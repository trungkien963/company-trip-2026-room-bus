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/Users/edric/Documents/Amaris/Project/company-trip-2026-room-bus/deploy_folder/mantu/company-trip-2026/room-bus-list/"/>
    </mc:Choice>
  </mc:AlternateContent>
  <xr:revisionPtr revIDLastSave="0" documentId="13_ncr:1_{19FD8D20-ED94-4F4E-BB4D-ED7406BB0DB6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Master" sheetId="1" r:id="rId1"/>
    <sheet name="Bus leader" sheetId="10" r:id="rId2"/>
    <sheet name="Room" sheetId="5" r:id="rId3"/>
    <sheet name="Update" sheetId="6" r:id="rId4"/>
    <sheet name="Bus" sheetId="4" r:id="rId5"/>
    <sheet name="EE" sheetId="3" r:id="rId6"/>
    <sheet name="Note" sheetId="2" r:id="rId7"/>
    <sheet name="Kids check" sheetId="8" r:id="rId8"/>
    <sheet name="Data4Hotel" sheetId="9" r:id="rId9"/>
  </sheets>
  <externalReferences>
    <externalReference r:id="rId10"/>
  </externalReferences>
  <definedNames>
    <definedName name="_xlnm._FilterDatabase" localSheetId="8" hidden="1">Data4Hotel!$A$1:$C$272</definedName>
    <definedName name="_xlnm._FilterDatabase" localSheetId="5" hidden="1">EE!$A$1:$G$457</definedName>
    <definedName name="_xlnm._FilterDatabase" localSheetId="2" hidden="1">Room!$A$1:$W$274</definedName>
    <definedName name="_xlnm._FilterDatabase" localSheetId="3" hidden="1">Update!$A$1:$S$272</definedName>
  </definedNames>
  <calcPr calcId="191029"/>
  <pivotCaches>
    <pivotCache cacheId="4" r:id="rId11"/>
    <pivotCache cacheId="5" r:id="rId12"/>
    <pivotCache cacheId="6" r:id="rId13"/>
    <pivotCache cacheId="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1" i="2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" i="9"/>
  <c r="I4" i="8"/>
  <c r="I6" i="8"/>
  <c r="I3" i="8"/>
  <c r="I7" i="8"/>
  <c r="I5" i="8"/>
  <c r="I2" i="8"/>
  <c r="G272" i="1"/>
  <c r="G270" i="1"/>
  <c r="G271" i="1"/>
  <c r="G129" i="1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4" i="6"/>
  <c r="AB3" i="6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4" i="5"/>
  <c r="W3" i="5" a="1"/>
  <c r="P24" i="4"/>
  <c r="Q24" i="4"/>
  <c r="P25" i="4"/>
  <c r="Q25" i="4"/>
  <c r="P26" i="4"/>
  <c r="Q26" i="4"/>
  <c r="P27" i="4"/>
  <c r="Q27" i="4"/>
  <c r="P28" i="4"/>
  <c r="Q28" i="4"/>
  <c r="P29" i="4"/>
  <c r="Q29" i="4"/>
  <c r="P30" i="4"/>
  <c r="Q30" i="4"/>
  <c r="P31" i="4"/>
  <c r="Q31" i="4"/>
  <c r="G157" i="1"/>
  <c r="T188" i="5" s="1"/>
  <c r="P6" i="4"/>
  <c r="P7" i="4"/>
  <c r="P8" i="4"/>
  <c r="P9" i="4"/>
  <c r="P10" i="4"/>
  <c r="P11" i="4"/>
  <c r="G197" i="1"/>
  <c r="G19" i="1"/>
  <c r="G232" i="1"/>
  <c r="G16" i="1"/>
  <c r="G68" i="1"/>
  <c r="G67" i="1"/>
  <c r="P5" i="4"/>
  <c r="P4" i="4"/>
  <c r="G258" i="1"/>
  <c r="T229" i="5" s="1"/>
  <c r="G216" i="1"/>
  <c r="G132" i="1"/>
  <c r="T97" i="5" s="1"/>
  <c r="G136" i="1"/>
  <c r="T187" i="5" s="1"/>
  <c r="G259" i="1"/>
  <c r="T218" i="5" s="1"/>
  <c r="G203" i="1"/>
  <c r="T156" i="5" s="1"/>
  <c r="G254" i="1"/>
  <c r="T220" i="5" s="1"/>
  <c r="G204" i="1"/>
  <c r="T150" i="5" s="1"/>
  <c r="G226" i="1"/>
  <c r="T216" i="5" s="1"/>
  <c r="G261" i="1"/>
  <c r="T172" i="5" s="1"/>
  <c r="G154" i="1"/>
  <c r="T177" i="5" s="1"/>
  <c r="G163" i="1"/>
  <c r="T199" i="5" s="1"/>
  <c r="G48" i="1"/>
  <c r="G76" i="1"/>
  <c r="T87" i="5" s="1"/>
  <c r="G77" i="1"/>
  <c r="T70" i="5" s="1"/>
  <c r="G181" i="1"/>
  <c r="T260" i="5" s="1"/>
  <c r="G193" i="1"/>
  <c r="T249" i="5" s="1"/>
  <c r="G188" i="1"/>
  <c r="T253" i="5" s="1"/>
  <c r="G262" i="1"/>
  <c r="T173" i="5" s="1"/>
  <c r="G143" i="1"/>
  <c r="T198" i="5" s="1"/>
  <c r="G250" i="1"/>
  <c r="T227" i="5" s="1"/>
  <c r="G49" i="1"/>
  <c r="T42" i="5" s="1"/>
  <c r="G44" i="1"/>
  <c r="T40" i="5" s="1"/>
  <c r="G50" i="1"/>
  <c r="T64" i="5" s="1"/>
  <c r="G51" i="1"/>
  <c r="T43" i="5" s="1"/>
  <c r="G52" i="1"/>
  <c r="T65" i="5" s="1"/>
  <c r="G75" i="1"/>
  <c r="T163" i="5" s="1"/>
  <c r="G242" i="1"/>
  <c r="T230" i="5" s="1"/>
  <c r="G251" i="1"/>
  <c r="T223" i="5" s="1"/>
  <c r="G252" i="1"/>
  <c r="T225" i="5" s="1"/>
  <c r="G53" i="1"/>
  <c r="T44" i="5" s="1"/>
  <c r="G82" i="1"/>
  <c r="T74" i="5" s="1"/>
  <c r="G20" i="1"/>
  <c r="T27" i="5" s="1"/>
  <c r="G229" i="1"/>
  <c r="T233" i="5" s="1"/>
  <c r="G236" i="1"/>
  <c r="T210" i="5" s="1"/>
  <c r="G263" i="1"/>
  <c r="T174" i="5" s="1"/>
  <c r="G54" i="1"/>
  <c r="T45" i="5" s="1"/>
  <c r="G230" i="1"/>
  <c r="T212" i="5" s="1"/>
  <c r="G39" i="1"/>
  <c r="T34" i="5" s="1"/>
  <c r="G167" i="1"/>
  <c r="T247" i="5" s="1"/>
  <c r="G103" i="1"/>
  <c r="T91" i="5" s="1"/>
  <c r="G83" i="1"/>
  <c r="T88" i="5" s="1"/>
  <c r="G78" i="1"/>
  <c r="T72" i="5" s="1"/>
  <c r="G21" i="1"/>
  <c r="T17" i="5" s="1"/>
  <c r="G233" i="1"/>
  <c r="T214" i="5" s="1"/>
  <c r="G158" i="1"/>
  <c r="T194" i="5" s="1"/>
  <c r="G153" i="1"/>
  <c r="T193" i="5" s="1"/>
  <c r="G148" i="1"/>
  <c r="T195" i="5" s="1"/>
  <c r="G22" i="1"/>
  <c r="T18" i="5" s="1"/>
  <c r="G55" i="1"/>
  <c r="T46" i="5" s="1"/>
  <c r="G189" i="1"/>
  <c r="T254" i="5" s="1"/>
  <c r="G264" i="1"/>
  <c r="T146" i="5" s="1"/>
  <c r="G111" i="1"/>
  <c r="T98" i="5" s="1"/>
  <c r="G56" i="1"/>
  <c r="T47" i="5" s="1"/>
  <c r="G240" i="1"/>
  <c r="T211" i="5" s="1"/>
  <c r="G40" i="1"/>
  <c r="T36" i="5" s="1"/>
  <c r="G41" i="1"/>
  <c r="T37" i="5" s="1"/>
  <c r="G173" i="1"/>
  <c r="T265" i="5" s="1"/>
  <c r="G174" i="1"/>
  <c r="T266" i="5" s="1"/>
  <c r="G168" i="1"/>
  <c r="T262" i="5" s="1"/>
  <c r="G175" i="1"/>
  <c r="T267" i="5" s="1"/>
  <c r="G238" i="1"/>
  <c r="T240" i="5" s="1"/>
  <c r="G176" i="1"/>
  <c r="T246" i="5" s="1"/>
  <c r="G208" i="1"/>
  <c r="T154" i="5" s="1"/>
  <c r="G217" i="1"/>
  <c r="T157" i="5" s="1"/>
  <c r="G177" i="1"/>
  <c r="T268" i="5" s="1"/>
  <c r="G104" i="1"/>
  <c r="T92" i="5" s="1"/>
  <c r="G105" i="1"/>
  <c r="T93" i="5" s="1"/>
  <c r="G106" i="1"/>
  <c r="T94" i="5" s="1"/>
  <c r="G247" i="1"/>
  <c r="T222" i="5" s="1"/>
  <c r="G184" i="1"/>
  <c r="T255" i="5" s="1"/>
  <c r="G107" i="1"/>
  <c r="T95" i="5" s="1"/>
  <c r="G45" i="1"/>
  <c r="T35" i="5" s="1"/>
  <c r="G178" i="1"/>
  <c r="T269" i="5" s="1"/>
  <c r="G190" i="1"/>
  <c r="T251" i="5" s="1"/>
  <c r="G73" i="1"/>
  <c r="T61" i="5" s="1"/>
  <c r="T48" i="5"/>
  <c r="G23" i="1"/>
  <c r="T28" i="5" s="1"/>
  <c r="G57" i="1"/>
  <c r="G198" i="1"/>
  <c r="G209" i="1"/>
  <c r="G9" i="1"/>
  <c r="G108" i="1"/>
  <c r="G191" i="1"/>
  <c r="G228" i="1"/>
  <c r="T236" i="5" s="1"/>
  <c r="G186" i="1"/>
  <c r="T243" i="5" s="1"/>
  <c r="G253" i="1"/>
  <c r="G265" i="1"/>
  <c r="G171" i="1"/>
  <c r="T245" i="5" s="1"/>
  <c r="G80" i="1"/>
  <c r="T71" i="5" s="1"/>
  <c r="G24" i="1"/>
  <c r="G25" i="1"/>
  <c r="G199" i="1"/>
  <c r="T148" i="5" s="1"/>
  <c r="G257" i="1"/>
  <c r="G26" i="1"/>
  <c r="G200" i="1"/>
  <c r="T137" i="5" s="1"/>
  <c r="G27" i="1"/>
  <c r="G169" i="1"/>
  <c r="G28" i="1"/>
  <c r="G58" i="1"/>
  <c r="G155" i="1"/>
  <c r="G79" i="1"/>
  <c r="T73" i="5" s="1"/>
  <c r="G59" i="1"/>
  <c r="G241" i="1"/>
  <c r="G109" i="1"/>
  <c r="G239" i="1"/>
  <c r="T238" i="5" s="1"/>
  <c r="G210" i="1"/>
  <c r="G219" i="1"/>
  <c r="G211" i="1"/>
  <c r="G234" i="1"/>
  <c r="T215" i="5" s="1"/>
  <c r="G192" i="1"/>
  <c r="G187" i="1"/>
  <c r="T272" i="5" s="1"/>
  <c r="G182" i="1"/>
  <c r="T257" i="5" s="1"/>
  <c r="G84" i="1"/>
  <c r="G147" i="1"/>
  <c r="T200" i="5" s="1"/>
  <c r="G152" i="1"/>
  <c r="G85" i="1"/>
  <c r="G86" i="1"/>
  <c r="G121" i="1"/>
  <c r="G201" i="1"/>
  <c r="G46" i="1"/>
  <c r="G87" i="1"/>
  <c r="G122" i="1"/>
  <c r="T138" i="5" s="1"/>
  <c r="G112" i="1"/>
  <c r="T99" i="5" s="1"/>
  <c r="G243" i="1"/>
  <c r="T231" i="5" s="1"/>
  <c r="G185" i="1"/>
  <c r="T271" i="5" s="1"/>
  <c r="G244" i="1"/>
  <c r="T232" i="5" s="1"/>
  <c r="G29" i="1"/>
  <c r="T29" i="5" s="1"/>
  <c r="G6" i="1"/>
  <c r="T160" i="5" s="1"/>
  <c r="G60" i="1"/>
  <c r="T66" i="5" s="1"/>
  <c r="G113" i="1"/>
  <c r="T100" i="5" s="1"/>
  <c r="G133" i="1"/>
  <c r="T107" i="5" s="1"/>
  <c r="G61" i="1"/>
  <c r="T52" i="5" s="1"/>
  <c r="G114" i="1"/>
  <c r="T101" i="5" s="1"/>
  <c r="G10" i="1"/>
  <c r="T9" i="5" s="1"/>
  <c r="G62" i="1"/>
  <c r="T68" i="5" s="1"/>
  <c r="G115" i="1"/>
  <c r="T118" i="5" s="1"/>
  <c r="G42" i="1"/>
  <c r="T38" i="5" s="1"/>
  <c r="G81" i="1"/>
  <c r="T165" i="5" s="1"/>
  <c r="G116" i="1"/>
  <c r="T102" i="5" s="1"/>
  <c r="G172" i="1"/>
  <c r="T264" i="5" s="1"/>
  <c r="G255" i="1"/>
  <c r="T209" i="5" s="1"/>
  <c r="G30" i="1"/>
  <c r="T21" i="5" s="1"/>
  <c r="G212" i="1"/>
  <c r="T131" i="5" s="1"/>
  <c r="G215" i="1"/>
  <c r="T158" i="5" s="1"/>
  <c r="G202" i="1"/>
  <c r="T122" i="5" s="1"/>
  <c r="G149" i="1"/>
  <c r="T206" i="5" s="1"/>
  <c r="G93" i="1"/>
  <c r="T140" i="5" s="1"/>
  <c r="G151" i="1"/>
  <c r="T180" i="5" s="1"/>
  <c r="G220" i="1"/>
  <c r="T126" i="5" s="1"/>
  <c r="G88" i="1"/>
  <c r="T78" i="5" s="1"/>
  <c r="G89" i="1"/>
  <c r="T79" i="5" s="1"/>
  <c r="G245" i="1"/>
  <c r="T228" i="5" s="1"/>
  <c r="G90" i="1"/>
  <c r="T90" i="5" s="1"/>
  <c r="G225" i="1"/>
  <c r="T135" i="5" s="1"/>
  <c r="G231" i="1"/>
  <c r="T234" i="5" s="1"/>
  <c r="G91" i="1"/>
  <c r="G194" i="1"/>
  <c r="G92" i="1"/>
  <c r="T142" i="5" s="1"/>
  <c r="G195" i="1"/>
  <c r="T239" i="5" s="1"/>
  <c r="G137" i="1"/>
  <c r="T183" i="5" s="1"/>
  <c r="G138" i="1"/>
  <c r="G8" i="1"/>
  <c r="T162" i="5" s="1"/>
  <c r="G150" i="1"/>
  <c r="T202" i="5" s="1"/>
  <c r="G139" i="1"/>
  <c r="G160" i="1"/>
  <c r="G164" i="1"/>
  <c r="G205" i="1"/>
  <c r="T151" i="5" s="1"/>
  <c r="G246" i="1"/>
  <c r="G144" i="1"/>
  <c r="G117" i="1"/>
  <c r="G218" i="1"/>
  <c r="T159" i="5" s="1"/>
  <c r="G260" i="1"/>
  <c r="T219" i="5" s="1"/>
  <c r="G31" i="1"/>
  <c r="G235" i="1"/>
  <c r="T213" i="5" s="1"/>
  <c r="G183" i="1"/>
  <c r="G7" i="1"/>
  <c r="G145" i="1"/>
  <c r="G134" i="1"/>
  <c r="T196" i="5"/>
  <c r="G63" i="1"/>
  <c r="G11" i="1"/>
  <c r="G110" i="1"/>
  <c r="G74" i="1"/>
  <c r="G118" i="1"/>
  <c r="G248" i="1"/>
  <c r="G256" i="1"/>
  <c r="G119" i="1"/>
  <c r="G206" i="1"/>
  <c r="T152" i="5" s="1"/>
  <c r="G36" i="1"/>
  <c r="G94" i="1"/>
  <c r="G95" i="1"/>
  <c r="T143" i="5" s="1"/>
  <c r="G123" i="1"/>
  <c r="T119" i="5" s="1"/>
  <c r="G120" i="1"/>
  <c r="G179" i="1"/>
  <c r="G124" i="1"/>
  <c r="G12" i="1"/>
  <c r="G13" i="1"/>
  <c r="G125" i="1"/>
  <c r="G64" i="1"/>
  <c r="G14" i="1"/>
  <c r="G165" i="1"/>
  <c r="T203" i="5" s="1"/>
  <c r="G135" i="1"/>
  <c r="T134" i="5" s="1"/>
  <c r="G32" i="1"/>
  <c r="G126" i="1"/>
  <c r="T114" i="5" s="1"/>
  <c r="G65" i="1"/>
  <c r="G213" i="1"/>
  <c r="G127" i="1"/>
  <c r="G266" i="1"/>
  <c r="G221" i="1"/>
  <c r="G66" i="1"/>
  <c r="G96" i="1"/>
  <c r="G214" i="1"/>
  <c r="T167" i="5" s="1"/>
  <c r="G146" i="1"/>
  <c r="G237" i="1"/>
  <c r="T237" i="5" s="1"/>
  <c r="G37" i="1"/>
  <c r="G38" i="1"/>
  <c r="G97" i="1"/>
  <c r="G267" i="1"/>
  <c r="G207" i="1"/>
  <c r="T153" i="5" s="1"/>
  <c r="G15" i="1"/>
  <c r="G3" i="1"/>
  <c r="G4" i="1"/>
  <c r="G161" i="1"/>
  <c r="G268" i="1"/>
  <c r="G69" i="1"/>
  <c r="G2" i="1"/>
  <c r="G98" i="1"/>
  <c r="T144" i="5" s="1"/>
  <c r="G222" i="1"/>
  <c r="G156" i="1"/>
  <c r="G5" i="1"/>
  <c r="G140" i="1"/>
  <c r="G47" i="1"/>
  <c r="G141" i="1"/>
  <c r="G70" i="1"/>
  <c r="G71" i="1"/>
  <c r="G128" i="1"/>
  <c r="G142" i="1"/>
  <c r="G162" i="1"/>
  <c r="G180" i="1"/>
  <c r="T259" i="5" s="1"/>
  <c r="G196" i="1"/>
  <c r="T241" i="5" s="1"/>
  <c r="G33" i="1"/>
  <c r="G17" i="1"/>
  <c r="G159" i="1"/>
  <c r="T175" i="5" s="1"/>
  <c r="G99" i="1"/>
  <c r="T84" i="5" s="1"/>
  <c r="G223" i="1"/>
  <c r="T123" i="5" s="1"/>
  <c r="G100" i="1"/>
  <c r="T86" i="5" s="1"/>
  <c r="G166" i="1"/>
  <c r="G101" i="1"/>
  <c r="T85" i="5" s="1"/>
  <c r="G102" i="1"/>
  <c r="T139" i="5" s="1"/>
  <c r="G224" i="1"/>
  <c r="G34" i="1"/>
  <c r="G269" i="1"/>
  <c r="G18" i="1"/>
  <c r="G249" i="1"/>
  <c r="T207" i="5" s="1"/>
  <c r="G227" i="1"/>
  <c r="T235" i="5" s="1"/>
  <c r="G130" i="1"/>
  <c r="T117" i="5" s="1"/>
  <c r="G131" i="1"/>
  <c r="T121" i="5" s="1"/>
  <c r="G72" i="1"/>
  <c r="T60" i="5" s="1"/>
  <c r="G35" i="1"/>
  <c r="T170" i="5" s="1"/>
  <c r="G43" i="1"/>
  <c r="T39" i="5" s="1"/>
  <c r="G170" i="1"/>
  <c r="T248" i="5" s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T120" i="5" l="1"/>
  <c r="I8" i="8"/>
  <c r="T63" i="5"/>
  <c r="Q9" i="4"/>
  <c r="Q11" i="4"/>
  <c r="Q7" i="4"/>
  <c r="Q8" i="4"/>
  <c r="Q4" i="4"/>
  <c r="Q6" i="4"/>
  <c r="Q10" i="4"/>
  <c r="Q5" i="4"/>
  <c r="W3" i="5"/>
  <c r="T50" i="5"/>
  <c r="T23" i="5"/>
  <c r="T20" i="5"/>
  <c r="T8" i="5"/>
  <c r="T96" i="5"/>
  <c r="T226" i="5"/>
  <c r="T26" i="5"/>
  <c r="T19" i="5"/>
  <c r="T256" i="5"/>
  <c r="T197" i="5"/>
  <c r="T250" i="5"/>
  <c r="T81" i="5"/>
  <c r="T125" i="5"/>
  <c r="T58" i="5"/>
  <c r="T67" i="5"/>
  <c r="T69" i="5"/>
  <c r="T11" i="5"/>
  <c r="T182" i="5"/>
  <c r="T191" i="5"/>
  <c r="T80" i="5"/>
  <c r="T190" i="5"/>
  <c r="T10" i="5"/>
  <c r="T128" i="5"/>
  <c r="T30" i="5"/>
  <c r="T161" i="5"/>
  <c r="T113" i="5"/>
  <c r="T5" i="5"/>
  <c r="T166" i="5"/>
  <c r="T205" i="5"/>
  <c r="T16" i="5"/>
  <c r="T184" i="5"/>
  <c r="T133" i="5"/>
  <c r="T129" i="5"/>
  <c r="T41" i="5"/>
  <c r="T82" i="5"/>
  <c r="T56" i="5"/>
  <c r="T221" i="5"/>
  <c r="T53" i="5"/>
  <c r="T6" i="5"/>
  <c r="T164" i="5"/>
  <c r="T57" i="5"/>
  <c r="T59" i="5"/>
  <c r="T185" i="5"/>
  <c r="T2" i="5"/>
  <c r="T178" i="5"/>
  <c r="T89" i="5"/>
  <c r="T189" i="5"/>
  <c r="T3" i="5"/>
  <c r="T13" i="5"/>
  <c r="T7" i="5"/>
  <c r="T32" i="5"/>
  <c r="T176" i="5"/>
  <c r="T155" i="5"/>
  <c r="T111" i="5"/>
  <c r="T124" i="5"/>
  <c r="T83" i="5"/>
  <c r="T75" i="5"/>
  <c r="T168" i="5"/>
  <c r="T130" i="5"/>
  <c r="T224" i="5"/>
  <c r="T186" i="5"/>
  <c r="T54" i="5"/>
  <c r="T55" i="5"/>
  <c r="T62" i="5"/>
  <c r="T76" i="5"/>
  <c r="T192" i="5"/>
  <c r="T149" i="5"/>
  <c r="T258" i="5"/>
  <c r="T116" i="5"/>
  <c r="T77" i="5"/>
  <c r="T112" i="5"/>
  <c r="T109" i="5"/>
  <c r="T25" i="5"/>
  <c r="T22" i="5"/>
  <c r="T12" i="5"/>
  <c r="T106" i="5"/>
  <c r="T181" i="5"/>
  <c r="T15" i="5"/>
  <c r="T33" i="5"/>
  <c r="T14" i="5"/>
  <c r="T103" i="5"/>
  <c r="T110" i="5"/>
  <c r="T115" i="5"/>
  <c r="T217" i="5"/>
  <c r="T242" i="5"/>
  <c r="T141" i="5"/>
  <c r="T270" i="5"/>
  <c r="T105" i="5"/>
  <c r="T204" i="5"/>
  <c r="T4" i="5"/>
  <c r="T147" i="5"/>
  <c r="T179" i="5"/>
  <c r="T31" i="5"/>
  <c r="T261" i="5"/>
  <c r="T104" i="5"/>
  <c r="T132" i="5"/>
  <c r="T244" i="5"/>
  <c r="T263" i="5"/>
  <c r="T49" i="5"/>
  <c r="T201" i="5"/>
  <c r="T208" i="5"/>
  <c r="T252" i="5"/>
  <c r="T136" i="5"/>
  <c r="T145" i="5"/>
  <c r="T24" i="5"/>
  <c r="T169" i="5"/>
  <c r="T51" i="5"/>
  <c r="T108" i="5"/>
  <c r="T127" i="5"/>
  <c r="T17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<sst xmlns="http://schemas.openxmlformats.org/spreadsheetml/2006/main" count="13121" uniqueCount="2239">
  <si>
    <t>Email</t>
  </si>
  <si>
    <t>Name</t>
  </si>
  <si>
    <t>Are you planning to join the company trip?</t>
  </si>
  <si>
    <t>Please enter your ID/Passport number.</t>
  </si>
  <si>
    <t>Please enter your phone number (just in case we need to get in touch)</t>
  </si>
  <si>
    <t xml:space="preserve">Are you bringing any partner or family members along? </t>
  </si>
  <si>
    <t>If yes, please provide the details for each guest below</t>
  </si>
  <si>
    <t>How do you plan to travel to the trip location?</t>
  </si>
  <si>
    <t>Anything else we should know?</t>
  </si>
  <si>
    <t>Gov</t>
  </si>
  <si>
    <t>Dep</t>
  </si>
  <si>
    <t>N+1</t>
  </si>
  <si>
    <t>Status</t>
  </si>
  <si>
    <t>With Fam</t>
  </si>
  <si>
    <t>C Fam</t>
  </si>
  <si>
    <t>A Fam</t>
  </si>
  <si>
    <t>Fam Q</t>
  </si>
  <si>
    <t>Total Hc</t>
  </si>
  <si>
    <t>Bus No.</t>
  </si>
  <si>
    <t>Room No.</t>
  </si>
  <si>
    <t>Gender</t>
  </si>
  <si>
    <t>sxia@mantu.com</t>
  </si>
  <si>
    <t>Sorry, I won’t be able to join this time.</t>
  </si>
  <si>
    <t>Yes</t>
  </si>
  <si>
    <t>I’ll take the company bus</t>
  </si>
  <si>
    <t>kpham@mantu.com</t>
  </si>
  <si>
    <t>No</t>
  </si>
  <si>
    <t>tdinh@mantu.com</t>
  </si>
  <si>
    <t>vle2@mantu.com</t>
  </si>
  <si>
    <t>kphan2@mantu.com</t>
  </si>
  <si>
    <t>thiyen.cao@amaris.com</t>
  </si>
  <si>
    <t>truong.vuhuu@amaris.com</t>
  </si>
  <si>
    <t>thihoa.vuong@amaris.com</t>
  </si>
  <si>
    <t>hha3@amaris.com</t>
  </si>
  <si>
    <t>quocanh.dang@amaris.com</t>
  </si>
  <si>
    <t>anh.dangquoc@amaris.com</t>
  </si>
  <si>
    <t>hogia.dinh@amaris.com</t>
  </si>
  <si>
    <t>hanh.nguyenngochong@amaris.com</t>
  </si>
  <si>
    <t>thanhphong.ho@amaris.com</t>
  </si>
  <si>
    <t>thanhphuc.nguyenhuynh@amaris.com</t>
  </si>
  <si>
    <t>dvohuynh@mantu.com</t>
  </si>
  <si>
    <t>khuynh@amaris.com</t>
  </si>
  <si>
    <t>hoangquoc.le@amaris.com</t>
  </si>
  <si>
    <t>hoanghai.nguyen@amaris.com</t>
  </si>
  <si>
    <t>dogia.phan@amaris.com</t>
  </si>
  <si>
    <t>quangvinh.nguyenduc@amaris.com</t>
  </si>
  <si>
    <t>bang.ngo@littlebigconnection.com</t>
  </si>
  <si>
    <t>mle2@amaris.com</t>
  </si>
  <si>
    <t>vdung@amaris.com</t>
  </si>
  <si>
    <t>hlenguyen@mantu.com</t>
  </si>
  <si>
    <t>tho@mantu.com</t>
  </si>
  <si>
    <t>thoang@mantu.com</t>
  </si>
  <si>
    <t>huutung.le@amaris.com</t>
  </si>
  <si>
    <t>hoang.thien@amaris.com</t>
  </si>
  <si>
    <t>ho.vanvinh@amaris.com</t>
  </si>
  <si>
    <t>diep.lethingoc@amaris.com</t>
  </si>
  <si>
    <t>haitrieu.dang@amaris.com</t>
  </si>
  <si>
    <t>nvu2@mantu.com</t>
  </si>
  <si>
    <t>ndao@mantu.com</t>
  </si>
  <si>
    <t>thanhnam.nguyenhuu@amaris.com</t>
  </si>
  <si>
    <t>lamchi.ly@amaris.com</t>
  </si>
  <si>
    <t>lnguyen1@mantu.com</t>
  </si>
  <si>
    <t>hdoan1@mantu.com</t>
  </si>
  <si>
    <t>phucthinh.tran@amaris.com</t>
  </si>
  <si>
    <t>binhduong.do@amaris.com</t>
  </si>
  <si>
    <t>phucanh.nguyen@amaris.com</t>
  </si>
  <si>
    <t>pham.yenduyen@amaris.com</t>
  </si>
  <si>
    <t>anhtuan.nguyen@amaris.com</t>
  </si>
  <si>
    <t>bahoang.vo@amaris.com</t>
  </si>
  <si>
    <t>toan.phamvan@amaris.com</t>
  </si>
  <si>
    <t>tle18@mantu.com</t>
  </si>
  <si>
    <t>dnguyen15@mantu.com</t>
  </si>
  <si>
    <t xml:space="preserve">Male                </t>
  </si>
  <si>
    <t>nhuvien.nguyen@amaris.com</t>
  </si>
  <si>
    <t>huuvinh.pham@amaris.com</t>
  </si>
  <si>
    <t>thiquynh.nguyen@amaris.com</t>
  </si>
  <si>
    <t>tiendat.pham@amaris.com</t>
  </si>
  <si>
    <t>nle6@amaris.com</t>
  </si>
  <si>
    <t>Nguyen Nhat Anh LE</t>
  </si>
  <si>
    <t>tluong@mantu.com</t>
  </si>
  <si>
    <t>hoangduy.pham@amaris.com</t>
  </si>
  <si>
    <t>duchuy.phamnguyen@amaris.com</t>
  </si>
  <si>
    <t>Nguyen Duc Huy PHAM</t>
  </si>
  <si>
    <t>tienthinh.le@amaris.com</t>
  </si>
  <si>
    <t>LE Tien Thinh</t>
  </si>
  <si>
    <t>Yes, count me in!</t>
  </si>
  <si>
    <t>thithanh.le@amaris.com</t>
  </si>
  <si>
    <t>Thi Thanh Huong LE</t>
  </si>
  <si>
    <t>079302009777</t>
  </si>
  <si>
    <t>0703264721</t>
  </si>
  <si>
    <t>lle@mantu.com</t>
  </si>
  <si>
    <t>Lan Vy LE</t>
  </si>
  <si>
    <t>051198007784</t>
  </si>
  <si>
    <t>0356703207</t>
  </si>
  <si>
    <t>tnguyen44@mantu.com</t>
  </si>
  <si>
    <t>Thanh Hoang NGUYEN</t>
  </si>
  <si>
    <t>079088031980</t>
  </si>
  <si>
    <t>0938004161</t>
  </si>
  <si>
    <t>I need a private room</t>
  </si>
  <si>
    <t>htran1@mantu.com</t>
  </si>
  <si>
    <t>Thai Hung TRAN</t>
  </si>
  <si>
    <t>066087005950</t>
  </si>
  <si>
    <t>0948912119</t>
  </si>
  <si>
    <t>1. Lưu Hồng Phương Thủy - Female - 27/10/1990 - 06619007476
2. Trần Hồng Như Ý - Female - 13/7/2025 - 079325017288</t>
  </si>
  <si>
    <t>tnguyen9@mantu.com</t>
  </si>
  <si>
    <t>Truong Thi NGUYEN</t>
  </si>
  <si>
    <t>079078022487</t>
  </si>
  <si>
    <t>0934181732</t>
  </si>
  <si>
    <t>knguyen1@mantu.com</t>
  </si>
  <si>
    <t>Khac Duy NGUYEN</t>
  </si>
  <si>
    <t>083096004407</t>
  </si>
  <si>
    <t>0964072710</t>
  </si>
  <si>
    <t>pchau@mantu.com</t>
  </si>
  <si>
    <t>Phu Qui CHAU</t>
  </si>
  <si>
    <t>079087017793</t>
  </si>
  <si>
    <t>0903322044</t>
  </si>
  <si>
    <t>le.huy@mantu.com</t>
  </si>
  <si>
    <t>Ngoc Huy LE</t>
  </si>
  <si>
    <t xml:space="preserve">051095009095 </t>
  </si>
  <si>
    <t>0985752395</t>
  </si>
  <si>
    <t>thoang5@mantu.com</t>
  </si>
  <si>
    <t>Trung Thong HOANG</t>
  </si>
  <si>
    <t>066201002422</t>
  </si>
  <si>
    <t>0372015192</t>
  </si>
  <si>
    <t>ctaidai@mantu.com</t>
  </si>
  <si>
    <t>Dai Che Phuong TAI</t>
  </si>
  <si>
    <t>080087011699</t>
  </si>
  <si>
    <t>0352176769</t>
  </si>
  <si>
    <t>hnguyen2@mantu.com</t>
  </si>
  <si>
    <t>Hoang Minh NGUYEN</t>
  </si>
  <si>
    <t>079095017425</t>
  </si>
  <si>
    <t>0984678726</t>
  </si>
  <si>
    <t>hnguyen3@mantu.com</t>
  </si>
  <si>
    <t>Hai Nam NGUYEN</t>
  </si>
  <si>
    <t>079203014457</t>
  </si>
  <si>
    <t>0968080085</t>
  </si>
  <si>
    <t>gduquesnay.ext@mantu.com</t>
  </si>
  <si>
    <t>Guillaume DUQUESNAY</t>
  </si>
  <si>
    <t>23FV09763</t>
  </si>
  <si>
    <t>+33613234722</t>
  </si>
  <si>
    <t>Any quality whisky (or wine) will do</t>
  </si>
  <si>
    <t>chuynh@mantu.com</t>
  </si>
  <si>
    <t>Van Cop HUYNH</t>
  </si>
  <si>
    <t>091086018626</t>
  </si>
  <si>
    <t>0935717578</t>
  </si>
  <si>
    <t>hnguyen4@mantu.com</t>
  </si>
  <si>
    <t>Hoang Duy NGUYEN</t>
  </si>
  <si>
    <t>079087016493</t>
  </si>
  <si>
    <t>0362685720</t>
  </si>
  <si>
    <t>tnguyen25@mantu.com</t>
  </si>
  <si>
    <t>Tuan Anh NGUYEN</t>
  </si>
  <si>
    <t>082089018141</t>
  </si>
  <si>
    <t>0909857832</t>
  </si>
  <si>
    <t>dle2@mantu.com</t>
  </si>
  <si>
    <t>Dinh Van LE</t>
  </si>
  <si>
    <t>079096007068</t>
  </si>
  <si>
    <t>0328971812</t>
  </si>
  <si>
    <t>bhuynh@mantu.com</t>
  </si>
  <si>
    <t>Ba Nghi HUYNH</t>
  </si>
  <si>
    <t>082098005823</t>
  </si>
  <si>
    <t>0979622203</t>
  </si>
  <si>
    <t>mpham@mantu.com</t>
  </si>
  <si>
    <t>Minh Tuan PHAM</t>
  </si>
  <si>
    <t>075099004545</t>
  </si>
  <si>
    <t>0792909998</t>
  </si>
  <si>
    <t>please have low fat, low cholesterol, easy to chew food
I want to be fit and have a nice body :)</t>
  </si>
  <si>
    <t>hngo1@mantu.com</t>
  </si>
  <si>
    <t>Hoang Vu NGO</t>
  </si>
  <si>
    <t>068088003980</t>
  </si>
  <si>
    <t>0773820182</t>
  </si>
  <si>
    <t>I’ll arrange my own transportation</t>
  </si>
  <si>
    <t>aphan2@mantu.com</t>
  </si>
  <si>
    <t>Anh Quan PHAN</t>
  </si>
  <si>
    <t>045201007690</t>
  </si>
  <si>
    <t>0973743542</t>
  </si>
  <si>
    <t>cbui@mantu.com</t>
  </si>
  <si>
    <t>Cuong BUI</t>
  </si>
  <si>
    <t>066203000250</t>
  </si>
  <si>
    <t>0914 119 624</t>
  </si>
  <si>
    <t>pnguyenduy@mantu.com</t>
  </si>
  <si>
    <t>Duy Phuong NGUYEN</t>
  </si>
  <si>
    <t>080094006419</t>
  </si>
  <si>
    <t>0979891673</t>
  </si>
  <si>
    <t>phoang@mantu.com</t>
  </si>
  <si>
    <t>Phu Loc HOANG</t>
  </si>
  <si>
    <t>001203053053</t>
  </si>
  <si>
    <t>0853355397</t>
  </si>
  <si>
    <t>npham@mantu.com</t>
  </si>
  <si>
    <t>Nguyen Trong Tuan PHAM</t>
  </si>
  <si>
    <t>049203006602</t>
  </si>
  <si>
    <t>0367304351</t>
  </si>
  <si>
    <t>tdinh1@mantu.com</t>
  </si>
  <si>
    <t>Tien Khoi DINH</t>
  </si>
  <si>
    <t>067202006321</t>
  </si>
  <si>
    <t>0867455918</t>
  </si>
  <si>
    <t>hhuynhngoc@mantu.com</t>
  </si>
  <si>
    <t>Ngoc Hoa HUYNH</t>
  </si>
  <si>
    <t>079301029723</t>
  </si>
  <si>
    <t>0908488723</t>
  </si>
  <si>
    <t>tnguyen6@mantu.com</t>
  </si>
  <si>
    <t>Thi Ha Trang NGUYEN</t>
  </si>
  <si>
    <t>040302018133</t>
  </si>
  <si>
    <t>0826900204</t>
  </si>
  <si>
    <t>I have plans after the next two days, so I’ll arrange my own travel back to HCM.</t>
  </si>
  <si>
    <t>hha2@mantu.com</t>
  </si>
  <si>
    <t>Thanh Huong HA</t>
  </si>
  <si>
    <t>079196031161</t>
  </si>
  <si>
    <t>0707205096</t>
  </si>
  <si>
    <t>mtrannhat@mantu.com</t>
  </si>
  <si>
    <t>Nhat Minh TRAN</t>
  </si>
  <si>
    <t>079302019473</t>
  </si>
  <si>
    <t>0918597387</t>
  </si>
  <si>
    <t>tta@mantu.com</t>
  </si>
  <si>
    <t>Thi My Hanh TA</t>
  </si>
  <si>
    <t>066303014236</t>
  </si>
  <si>
    <t>0852489626</t>
  </si>
  <si>
    <t>nnguyen3@mantu.com</t>
  </si>
  <si>
    <t>Ngoc Thao My NGUYEN</t>
  </si>
  <si>
    <t>079302018741</t>
  </si>
  <si>
    <t>0773215575</t>
  </si>
  <si>
    <t>motion sickness medicine</t>
  </si>
  <si>
    <t>tngo@mantu.com</t>
  </si>
  <si>
    <t>Trinh Quynh Nhu NGO</t>
  </si>
  <si>
    <t>079188037007</t>
  </si>
  <si>
    <t>0886311686</t>
  </si>
  <si>
    <t>clin1@amaris.com</t>
  </si>
  <si>
    <t>Clémence LIN</t>
  </si>
  <si>
    <t>24HC90633</t>
  </si>
  <si>
    <t>0896948417</t>
  </si>
  <si>
    <t>Xếp chung phòng với Ruby</t>
  </si>
  <si>
    <t>tho2@mantu.com</t>
  </si>
  <si>
    <t>Thi Lanh HO</t>
  </si>
  <si>
    <t>089192001289</t>
  </si>
  <si>
    <t>0933595559</t>
  </si>
  <si>
    <t>Food allergies: shrimps</t>
  </si>
  <si>
    <t>tle4@mantu.com</t>
  </si>
  <si>
    <t>Thuy Phuong - Kaitlyn LE</t>
  </si>
  <si>
    <t>038301000546</t>
  </si>
  <si>
    <t>0376622565</t>
  </si>
  <si>
    <t>hoainhu.nguyen@amaris.com</t>
  </si>
  <si>
    <t>Hoai Nhu Y NGUYEN</t>
  </si>
  <si>
    <t>079195004762</t>
  </si>
  <si>
    <t>0945686674</t>
  </si>
  <si>
    <t>nhuynh@mantu.com</t>
  </si>
  <si>
    <t>Diem Thien Nga - Micky HUYNH</t>
  </si>
  <si>
    <t>079301028966</t>
  </si>
  <si>
    <t>0763889811</t>
  </si>
  <si>
    <t>phuongthao.nguyen@amaris.com</t>
  </si>
  <si>
    <t>Phuong Thao NGUYEN</t>
  </si>
  <si>
    <t>079197000483</t>
  </si>
  <si>
    <t>0909915834</t>
  </si>
  <si>
    <t>nnguyen15@mantu.com</t>
  </si>
  <si>
    <t>Ngoc Nguyen Ngan - Emily NGUYEN</t>
  </si>
  <si>
    <t>079197014206</t>
  </si>
  <si>
    <t>0839022665</t>
  </si>
  <si>
    <t>mtranthi@mantu.com</t>
  </si>
  <si>
    <t>Thi Minh Phuong TRAN</t>
  </si>
  <si>
    <t>075184001102</t>
  </si>
  <si>
    <t>0945745944</t>
  </si>
  <si>
    <t>anh.hoang@amaris.com</t>
  </si>
  <si>
    <t>Kieu Anh HOANG</t>
  </si>
  <si>
    <t>079199035294</t>
  </si>
  <si>
    <t>84899286919</t>
  </si>
  <si>
    <t>tnguyen57@mantu.com</t>
  </si>
  <si>
    <t>Thu Hong NGUYEN</t>
  </si>
  <si>
    <t>074301006998</t>
  </si>
  <si>
    <t>0967486292</t>
  </si>
  <si>
    <t>nnhan@amaris.com</t>
  </si>
  <si>
    <t>Thi Thanh Nhan NGUYEN</t>
  </si>
  <si>
    <t>045198003359</t>
  </si>
  <si>
    <t>0355042483</t>
  </si>
  <si>
    <t>Mình muốn request ở phòng 3 người với team OC: NGUYEN Thi Thanh Nhan, TRAN Thị Anh Minh và NGUYEN Thu Hong</t>
  </si>
  <si>
    <t>lphan@mantu.com</t>
  </si>
  <si>
    <t>Linh Chau PHAN</t>
  </si>
  <si>
    <t>068300004128</t>
  </si>
  <si>
    <t xml:space="preserve">+84 389420759 </t>
  </si>
  <si>
    <t>lnguyen@mantu.com</t>
  </si>
  <si>
    <t>Le Minh Trang NGUYEN</t>
  </si>
  <si>
    <t>037303000012</t>
  </si>
  <si>
    <t>0961760721</t>
  </si>
  <si>
    <t>tnguyen56@amaris.com</t>
  </si>
  <si>
    <t>Hoang Bich Tran NGUYEN</t>
  </si>
  <si>
    <t>060199000392</t>
  </si>
  <si>
    <t>0975488340</t>
  </si>
  <si>
    <t>Nguyen Tran Bao Phu - Male - 28/03/1999 - 080099002154</t>
  </si>
  <si>
    <t>pthaian@amaris.com</t>
  </si>
  <si>
    <t>Thai An PHAM</t>
  </si>
  <si>
    <t>031199002762</t>
  </si>
  <si>
    <t>0363031131</t>
  </si>
  <si>
    <t>Do Chi Thanh - Male - 20/10/2002 - 001202005933</t>
  </si>
  <si>
    <t>ttran9@amaris.com</t>
  </si>
  <si>
    <t>Thi Anh Thu TRAN</t>
  </si>
  <si>
    <t>079301005911</t>
  </si>
  <si>
    <t>0327649437</t>
  </si>
  <si>
    <t>hnhi1@amaris.com</t>
  </si>
  <si>
    <t>Nguyen Tu Nhi HONG</t>
  </si>
  <si>
    <t>079198027964</t>
  </si>
  <si>
    <t>0374428877</t>
  </si>
  <si>
    <t>vnguyen5@amaris.com</t>
  </si>
  <si>
    <t>Ho Khanh Vy NGUYEN</t>
  </si>
  <si>
    <t>082196015477</t>
  </si>
  <si>
    <t>0984016140</t>
  </si>
  <si>
    <t>dnguyen18@amaris.com</t>
  </si>
  <si>
    <t>Dang Thuy Duong NGUYEN</t>
  </si>
  <si>
    <t>079302019770</t>
  </si>
  <si>
    <t>0708319701</t>
  </si>
  <si>
    <t>lpham1@amaris.com</t>
  </si>
  <si>
    <t>Le Khanh Chi PHAM</t>
  </si>
  <si>
    <t>079 303 003 034</t>
  </si>
  <si>
    <t>0903 175 838</t>
  </si>
  <si>
    <t>tpham2@amaris.com</t>
  </si>
  <si>
    <t>Tran Thao Vy PHAM</t>
  </si>
  <si>
    <t>064304011457</t>
  </si>
  <si>
    <t>0905435679</t>
  </si>
  <si>
    <t>bleho@mantu.com</t>
  </si>
  <si>
    <t>Ho Bao Thy LE</t>
  </si>
  <si>
    <t>079193009931</t>
  </si>
  <si>
    <t>0909083103</t>
  </si>
  <si>
    <t>tle31@mantu.com</t>
  </si>
  <si>
    <t>Tuong Khuyen LE</t>
  </si>
  <si>
    <t>079193040594</t>
  </si>
  <si>
    <t>0931439977</t>
  </si>
  <si>
    <t>tnguyen28@amaris.com</t>
  </si>
  <si>
    <t>Tu NGUYEN ANH</t>
  </si>
  <si>
    <t>056079000075</t>
  </si>
  <si>
    <t>0974674081</t>
  </si>
  <si>
    <t>triet.huynhminh@amaris.com</t>
  </si>
  <si>
    <t>Triet HUYNH MINH</t>
  </si>
  <si>
    <t>079202019928</t>
  </si>
  <si>
    <t>0898313181</t>
  </si>
  <si>
    <t>dnguyen@mantu.com</t>
  </si>
  <si>
    <t>Dinh Tien Dung NGUYEN</t>
  </si>
  <si>
    <t>079203005175</t>
  </si>
  <si>
    <t>0968412361</t>
  </si>
  <si>
    <t>tdang3@mantu.com</t>
  </si>
  <si>
    <t>Truong Tho DANG</t>
  </si>
  <si>
    <t>074093002317</t>
  </si>
  <si>
    <t xml:space="preserve">0906 406 613 </t>
  </si>
  <si>
    <t>qphan@mantu.com</t>
  </si>
  <si>
    <t>Xuan Quang PHAN</t>
  </si>
  <si>
    <t>051202007260</t>
  </si>
  <si>
    <t>0943527674</t>
  </si>
  <si>
    <t>bhoang@mantu.com</t>
  </si>
  <si>
    <t>Bao An HOANG</t>
  </si>
  <si>
    <t>075200000345</t>
  </si>
  <si>
    <t>0339526385</t>
  </si>
  <si>
    <t>klim@mantu.com</t>
  </si>
  <si>
    <t>Chee Kiat LIM</t>
  </si>
  <si>
    <t>079097016581</t>
  </si>
  <si>
    <t>0942229030</t>
  </si>
  <si>
    <t>cguiguen@amaris.com</t>
  </si>
  <si>
    <t>Clément GUIGUEN</t>
  </si>
  <si>
    <t>17EH77400</t>
  </si>
  <si>
    <t>+33679194344</t>
  </si>
  <si>
    <t>ndo3@mantu.com</t>
  </si>
  <si>
    <t>Nguyen Phuong DO</t>
  </si>
  <si>
    <t>079202015216</t>
  </si>
  <si>
    <t>0812900824</t>
  </si>
  <si>
    <t>hle1@amaris.com</t>
  </si>
  <si>
    <t>Hoang Dung LE</t>
  </si>
  <si>
    <t>068203012626</t>
  </si>
  <si>
    <t>0985291931</t>
  </si>
  <si>
    <t>I am allergic to seafood and eggs</t>
  </si>
  <si>
    <t>gdutertre@mantu.com</t>
  </si>
  <si>
    <t>Geoffrey DUTERTRE</t>
  </si>
  <si>
    <t>25HD56242</t>
  </si>
  <si>
    <t>0902411648</t>
  </si>
  <si>
    <t>acamaret@amaris.com</t>
  </si>
  <si>
    <t>Arthur CAMARET</t>
  </si>
  <si>
    <t>22IK50629</t>
  </si>
  <si>
    <t>0902612360</t>
  </si>
  <si>
    <t>xle@amaris.com</t>
  </si>
  <si>
    <t>Xuan Tung LE</t>
  </si>
  <si>
    <t>054204000568</t>
  </si>
  <si>
    <t>0377887851</t>
  </si>
  <si>
    <t>No spicy</t>
  </si>
  <si>
    <t>mbui3@mantu.com</t>
  </si>
  <si>
    <t>Minh Nhat BUI</t>
  </si>
  <si>
    <t>'079202030875</t>
  </si>
  <si>
    <t>'0902788713</t>
  </si>
  <si>
    <t>ppham@mantu.com</t>
  </si>
  <si>
    <t>Hoang Phuc PHAM</t>
  </si>
  <si>
    <t>079086003000</t>
  </si>
  <si>
    <t>0903177922</t>
  </si>
  <si>
    <t>bhung@mantu.com</t>
  </si>
  <si>
    <t>Quang Hung BUI</t>
  </si>
  <si>
    <t>074092001617</t>
  </si>
  <si>
    <t>0944234096</t>
  </si>
  <si>
    <t>knguyen8@mantu.com</t>
  </si>
  <si>
    <t>Trung Kien NGUYEN</t>
  </si>
  <si>
    <t>077097003655</t>
  </si>
  <si>
    <t>0355327017</t>
  </si>
  <si>
    <t>htran4@amaris.com</t>
  </si>
  <si>
    <t>Huu Phuc - Tony TRAN</t>
  </si>
  <si>
    <t>079096020132</t>
  </si>
  <si>
    <t>0917923778</t>
  </si>
  <si>
    <t>dle3@amaris.com</t>
  </si>
  <si>
    <t>Dang Quang LE</t>
  </si>
  <si>
    <t>060099008043</t>
  </si>
  <si>
    <t>0933726329</t>
  </si>
  <si>
    <t>tnguyen38@mantu.com</t>
  </si>
  <si>
    <t>The Anh NGUYEN</t>
  </si>
  <si>
    <t>070093006594</t>
  </si>
  <si>
    <t>0909321830</t>
  </si>
  <si>
    <t>qdiep@mantu.com</t>
  </si>
  <si>
    <t>Tue Quan DIEP</t>
  </si>
  <si>
    <t>079199001035</t>
  </si>
  <si>
    <t>0906982803</t>
  </si>
  <si>
    <t>Nguyen The Anh - Male - 21/07/2000 - 040200000125</t>
  </si>
  <si>
    <t>pnguyen7@mantu.com</t>
  </si>
  <si>
    <t>Tran Phuong Phuong NGUYEN</t>
  </si>
  <si>
    <t>077198000661</t>
  </si>
  <si>
    <t>0933655795</t>
  </si>
  <si>
    <t>kphan1@amaris.com</t>
  </si>
  <si>
    <t>Khanh Linh PHAN</t>
  </si>
  <si>
    <t>079198036919</t>
  </si>
  <si>
    <t>0903376980</t>
  </si>
  <si>
    <t>food allergy - all types of fish</t>
  </si>
  <si>
    <t>tminh@amaris.com</t>
  </si>
  <si>
    <t>Thi Anh Minh TRAN</t>
  </si>
  <si>
    <t>077197001261</t>
  </si>
  <si>
    <t>0785670597</t>
  </si>
  <si>
    <t>nle1@mantu.com</t>
  </si>
  <si>
    <t>Ngoc Khanh LE</t>
  </si>
  <si>
    <t>031303000776</t>
  </si>
  <si>
    <t>0393991003</t>
  </si>
  <si>
    <t>utran@mantu.com</t>
  </si>
  <si>
    <t>Ngoc Phuong Uyen TRAN</t>
  </si>
  <si>
    <t>060303007588</t>
  </si>
  <si>
    <t>0835255477</t>
  </si>
  <si>
    <t>cvodinhque@amaris.com</t>
  </si>
  <si>
    <t>Dinh Que Chau VO</t>
  </si>
  <si>
    <t>079303023390</t>
  </si>
  <si>
    <t>0828740008</t>
  </si>
  <si>
    <t>blam@mantu.com</t>
  </si>
  <si>
    <t>Bao Quyen LAM</t>
  </si>
  <si>
    <t>052303001134</t>
  </si>
  <si>
    <t>0394301209</t>
  </si>
  <si>
    <t>hnguyen21@amaris.com</t>
  </si>
  <si>
    <t>Hoang Thanh Thanh NGUYEN</t>
  </si>
  <si>
    <t>045302005235</t>
  </si>
  <si>
    <t>0824988225</t>
  </si>
  <si>
    <t>nhoanglamtam@amaris.com</t>
  </si>
  <si>
    <t>Lam Tam Nhu HOANG</t>
  </si>
  <si>
    <t>066303001193</t>
  </si>
  <si>
    <t>0971993024</t>
  </si>
  <si>
    <t>nphuonguyen@mantu.com</t>
  </si>
  <si>
    <t>NGUYEN Vu Phuong Uyen</t>
  </si>
  <si>
    <t>079195029833</t>
  </si>
  <si>
    <t>0765217394</t>
  </si>
  <si>
    <t>bngocminh@mantu.com</t>
  </si>
  <si>
    <t>BUI Thi Ngoc Minh</t>
  </si>
  <si>
    <t>Female</t>
  </si>
  <si>
    <t>qnguyen13@amaris.com</t>
  </si>
  <si>
    <t>Quynh Mai NGUYEN</t>
  </si>
  <si>
    <t>079302030108</t>
  </si>
  <si>
    <t>0868120502</t>
  </si>
  <si>
    <t>ptruongthi@amaris.com</t>
  </si>
  <si>
    <t>Thi Phuong Thao TRUONG</t>
  </si>
  <si>
    <t>034300013120</t>
  </si>
  <si>
    <t>0986555347</t>
  </si>
  <si>
    <t>hpham1@amaris.com</t>
  </si>
  <si>
    <t>Hoang Mai Quyen PHAM</t>
  </si>
  <si>
    <t>079304008486</t>
  </si>
  <si>
    <t>0933557924</t>
  </si>
  <si>
    <t>hnguyen13@amaris.com</t>
  </si>
  <si>
    <t>Ho Ngoc Tran NGUYEN</t>
  </si>
  <si>
    <t>077304005352</t>
  </si>
  <si>
    <t>0917827457</t>
  </si>
  <si>
    <t>tvo4@amaris.com</t>
  </si>
  <si>
    <t>Tran Phuong Nga VO</t>
  </si>
  <si>
    <t>066304009657</t>
  </si>
  <si>
    <t>0917810796</t>
  </si>
  <si>
    <t>tnguyen38@amaris.com</t>
  </si>
  <si>
    <t>Thi Thanh Thao NGUYEN</t>
  </si>
  <si>
    <t>077304002316</t>
  </si>
  <si>
    <t>0971917272</t>
  </si>
  <si>
    <t>tle8@amaris.com</t>
  </si>
  <si>
    <t>Thi Tu Quyen LE</t>
  </si>
  <si>
    <t>060303003328</t>
  </si>
  <si>
    <t>0947047885</t>
  </si>
  <si>
    <t>I’m allergic to beef</t>
  </si>
  <si>
    <t>hnguyen6@mantu.com</t>
  </si>
  <si>
    <t>Ha Nhi NGUYEN</t>
  </si>
  <si>
    <t>048198002437</t>
  </si>
  <si>
    <t>0335767961</t>
  </si>
  <si>
    <t>yhong@mantu.com</t>
  </si>
  <si>
    <t>Yen Xuan HONG</t>
  </si>
  <si>
    <t>095190000250</t>
  </si>
  <si>
    <t>0934831283</t>
  </si>
  <si>
    <t>tluong1@mantu.com</t>
  </si>
  <si>
    <t>Thi Tram Anh LUONG</t>
  </si>
  <si>
    <t>066304003315</t>
  </si>
  <si>
    <t>0345814997</t>
  </si>
  <si>
    <t>cnguyen@mantu.com</t>
  </si>
  <si>
    <t>Chau Giang NGUYEN</t>
  </si>
  <si>
    <t>079302023454</t>
  </si>
  <si>
    <t>0902912836</t>
  </si>
  <si>
    <t>utrinhlethao@mantu.com</t>
  </si>
  <si>
    <t>Uyen TRINH LE THAO</t>
  </si>
  <si>
    <t>095304000809</t>
  </si>
  <si>
    <t>0941219254</t>
  </si>
  <si>
    <t>aphan1@mantu.com</t>
  </si>
  <si>
    <t>Anh Dung Cuong PHAN</t>
  </si>
  <si>
    <t>079092012567</t>
  </si>
  <si>
    <t>0972708318</t>
  </si>
  <si>
    <t>1. Truong Ngoc Tinh Anh - 10/12/1993 - 060193015462
2. Phan Nhat Thien Dang - 28/11/2023 - 079223047176</t>
  </si>
  <si>
    <t>hvinh@mantu.com</t>
  </si>
  <si>
    <t>Hoang Le Nguyen VINH</t>
  </si>
  <si>
    <t>079093042207</t>
  </si>
  <si>
    <t>0937756145</t>
  </si>
  <si>
    <t>nnam@mantu.com</t>
  </si>
  <si>
    <t>Ngoc Nam NGO</t>
  </si>
  <si>
    <t>079091022899</t>
  </si>
  <si>
    <t>0987646085</t>
  </si>
  <si>
    <t>nnguyen9@amaris.com</t>
  </si>
  <si>
    <t>NGUYEN Tien Nam</t>
  </si>
  <si>
    <t>077097008033</t>
  </si>
  <si>
    <t>0979040971</t>
  </si>
  <si>
    <t>tnguyen24@amaris.com</t>
  </si>
  <si>
    <t>Trung Hieu NGUYEN</t>
  </si>
  <si>
    <t>079076006834</t>
  </si>
  <si>
    <t>0913676060</t>
  </si>
  <si>
    <t>kimnha.dao@amaris.com</t>
  </si>
  <si>
    <t>Kim Nha DAO</t>
  </si>
  <si>
    <t>079300041083</t>
  </si>
  <si>
    <t>0778605436</t>
  </si>
  <si>
    <t>hdo1@amaris.com</t>
  </si>
  <si>
    <t>Hieu Minh DO</t>
  </si>
  <si>
    <t>049303014137</t>
  </si>
  <si>
    <t>+84868772661</t>
  </si>
  <si>
    <t>pha1@amaris.com</t>
  </si>
  <si>
    <t>Phuong Thao HA</t>
  </si>
  <si>
    <t>079197023976</t>
  </si>
  <si>
    <t>0909324150</t>
  </si>
  <si>
    <t>lmaianh@amaris.com</t>
  </si>
  <si>
    <t>Thi Mai Anh LE</t>
  </si>
  <si>
    <t>031198014430</t>
  </si>
  <si>
    <t>0901857690</t>
  </si>
  <si>
    <t>tnguyen39@amaris.com</t>
  </si>
  <si>
    <t>The Trinh NGUYEN</t>
  </si>
  <si>
    <t>049192000750</t>
  </si>
  <si>
    <t>0983068421</t>
  </si>
  <si>
    <t>qtran5@amaris.com</t>
  </si>
  <si>
    <t>Trần Quỳnh Anh</t>
  </si>
  <si>
    <t>001196042675</t>
  </si>
  <si>
    <t>+84 583 032 919</t>
  </si>
  <si>
    <t>Team chị My</t>
  </si>
  <si>
    <t>hla@amaris.com</t>
  </si>
  <si>
    <t>Thuy My Hao LA</t>
  </si>
  <si>
    <t>087190011453</t>
  </si>
  <si>
    <t>0375225989</t>
  </si>
  <si>
    <t>pnguyen4@amaris.com</t>
  </si>
  <si>
    <t>Thi Minh Phuong NGUYEN</t>
  </si>
  <si>
    <t>008193007229</t>
  </si>
  <si>
    <t>0559852579</t>
  </si>
  <si>
    <t>uhonguyenhong@amaris.com</t>
  </si>
  <si>
    <t>Nguyen Hong Uyen HO</t>
  </si>
  <si>
    <t>079197003545</t>
  </si>
  <si>
    <t>0901936418</t>
  </si>
  <si>
    <t>hvu3@amaris.com</t>
  </si>
  <si>
    <t>Thanh Hang VU</t>
  </si>
  <si>
    <t>001188049157</t>
  </si>
  <si>
    <t>0901401929</t>
  </si>
  <si>
    <t>lnguyenthiquynh@mantu.com</t>
  </si>
  <si>
    <t>Thi Quynh Lien NGUYEN</t>
  </si>
  <si>
    <t>064301004400</t>
  </si>
  <si>
    <t>0961910015</t>
  </si>
  <si>
    <t>bcao@mantu.com</t>
  </si>
  <si>
    <t>Bao Tram CAO</t>
  </si>
  <si>
    <t>079193025094</t>
  </si>
  <si>
    <t>+84901393648</t>
  </si>
  <si>
    <t xml:space="preserve">I take company bus the way back only. </t>
  </si>
  <si>
    <t>mdang1@mantu.com</t>
  </si>
  <si>
    <t>Minh Thu DANG</t>
  </si>
  <si>
    <t>077302000543</t>
  </si>
  <si>
    <t>0931231740</t>
  </si>
  <si>
    <t>tdoan2@mantu.com</t>
  </si>
  <si>
    <t>Le Bao Tram - Rachel DOAN</t>
  </si>
  <si>
    <t>'048300007642</t>
  </si>
  <si>
    <t>'0984060780</t>
  </si>
  <si>
    <t>Dạ từ HCM -&gt; Bến Tre: em tự đi xe riêng. Từ Tiền Giang -&gt; HCM: em đi bus với cty nha. Em cảm ơn mn đã hỗ trợ</t>
  </si>
  <si>
    <t>tle19@mantu.com</t>
  </si>
  <si>
    <t>Thi My Tam - Cindy LE</t>
  </si>
  <si>
    <t>062195004991</t>
  </si>
  <si>
    <t>0964455190</t>
  </si>
  <si>
    <t>I wont take company bus on the depart day but i will take the return, pls help to count on me</t>
  </si>
  <si>
    <t>nnguyen16@mantu.com</t>
  </si>
  <si>
    <t>Le Kim Ngan NGUYEN</t>
  </si>
  <si>
    <t>077199007614</t>
  </si>
  <si>
    <t>0778819618</t>
  </si>
  <si>
    <t>tnguyen10@mantu.com</t>
  </si>
  <si>
    <t>Tuan Khoi NGUYEN</t>
  </si>
  <si>
    <t>079203008685</t>
  </si>
  <si>
    <t>0776932589</t>
  </si>
  <si>
    <t>nhao@mantu.com</t>
  </si>
  <si>
    <t>Thuc Hao NGUYEN</t>
  </si>
  <si>
    <t>079096012234</t>
  </si>
  <si>
    <t>0909120296</t>
  </si>
  <si>
    <t>Team event cho Hào đi bus chung từ Bến Tre đến Cần Thơ nhé, chiều về Hào đi xe riêng. Cảm ơn mọi người!</t>
  </si>
  <si>
    <t>qtran5@mantu.com</t>
  </si>
  <si>
    <t>Minh Quang TRAN</t>
  </si>
  <si>
    <t>075203000646</t>
  </si>
  <si>
    <t>0986245303</t>
  </si>
  <si>
    <t>pvantai@mantu.com</t>
  </si>
  <si>
    <t>Van Tai PHAM</t>
  </si>
  <si>
    <t>079201011530</t>
  </si>
  <si>
    <t>0965654937</t>
  </si>
  <si>
    <t>tran.ngocquoc@amaris.com</t>
  </si>
  <si>
    <t>Ngoc Quoc TRAN</t>
  </si>
  <si>
    <t>048097003639</t>
  </si>
  <si>
    <t>0799010869</t>
  </si>
  <si>
    <t>tienhuynh.nguyen@amaris.com</t>
  </si>
  <si>
    <t>Tien Huynh NGUYEN</t>
  </si>
  <si>
    <t>067094005805</t>
  </si>
  <si>
    <t>0976551265</t>
  </si>
  <si>
    <t>haithanh.nguyenquoc@amaris.com</t>
  </si>
  <si>
    <t>Quoc Hai Thanh NGUYEN</t>
  </si>
  <si>
    <t>079204009259</t>
  </si>
  <si>
    <t>0834132707</t>
  </si>
  <si>
    <t>quochung.phung@amaris.com</t>
  </si>
  <si>
    <t>Quoc Hung PHUNG</t>
  </si>
  <si>
    <t>079200004309</t>
  </si>
  <si>
    <t>0963357143</t>
  </si>
  <si>
    <t>huuphuc.le@amaris.com</t>
  </si>
  <si>
    <t>Huu Phuc LE</t>
  </si>
  <si>
    <t>079084023994</t>
  </si>
  <si>
    <t>0909009984</t>
  </si>
  <si>
    <t>Hồ Thị Minh Hoàng- Female-19/11/1984-046184001362</t>
  </si>
  <si>
    <t>congquan.pham@amaris.com</t>
  </si>
  <si>
    <t>Cong Quan PHAM</t>
  </si>
  <si>
    <t>049095015282</t>
  </si>
  <si>
    <t>0386987100</t>
  </si>
  <si>
    <t>1. Ung Thụy Song Quỳnh - Female - 11/11/1995 - 049195000151
2. Phạm Công Quang - Male - 26/05/2024 - 049224004390</t>
  </si>
  <si>
    <t>nguyen.huyhoang@amaris.com</t>
  </si>
  <si>
    <t>Huy Hoang NGUYEN</t>
  </si>
  <si>
    <t>049092003884</t>
  </si>
  <si>
    <t>0975193219</t>
  </si>
  <si>
    <t>1. Lương Thị Lưu - Female - 06/03/1993 - 040193036578
2. Nguyễn Lương Hoàng Yến - Female - 19/10/2021 - 086321006062
3. Nguyễn Lương Thanh Thảo - Female -  06/03/2024 - 086324001119</t>
  </si>
  <si>
    <t>nguyen.tuananh@amaris.com</t>
  </si>
  <si>
    <t>Anh Tuan - Tl NGUYEN</t>
  </si>
  <si>
    <t>079085007940</t>
  </si>
  <si>
    <t>0878886446</t>
  </si>
  <si>
    <t>1. TRẦN THỊ KIM THUỶ Ngày sinh: 07/10/1998 CCCD: 079198004873 
2. NGUYỄN NGỌC KIM ANH Ngày sinh: 04/09/2022 CCCD: 079322018996 
3. NGUYỄN NGỌC TUỆ NHI Ngày sinh: 01/03/2024 CCCD: 079324006070</t>
  </si>
  <si>
    <t>nguyen.tai3@amaris.com</t>
  </si>
  <si>
    <t>Thanh Tai NGUYEN</t>
  </si>
  <si>
    <t>051090016586</t>
  </si>
  <si>
    <t>0988383049</t>
  </si>
  <si>
    <t>1. Nguyen Thu Huyen - Female - 1991 - TBD
2. Nguyen Kha Han - Female - 2017 - TBD</t>
  </si>
  <si>
    <t>nhamquy.tran@amaris.com</t>
  </si>
  <si>
    <t>Nham Quy TRAN</t>
  </si>
  <si>
    <t>052092016286</t>
  </si>
  <si>
    <t>0972326052</t>
  </si>
  <si>
    <t>Lam Vi Phuong - Female - 25/05/1994 - 084194007540</t>
  </si>
  <si>
    <t>tuan.vancong@amaris.com</t>
  </si>
  <si>
    <t>Cong Tuan VAN</t>
  </si>
  <si>
    <t>052092002529</t>
  </si>
  <si>
    <t>0977794203</t>
  </si>
  <si>
    <t>Nguyen Thi Viet Le - Female - 20/11/1997 - 049197010026</t>
  </si>
  <si>
    <t>nhattan.tranhuynh@amaris.com</t>
  </si>
  <si>
    <t>Huynh Nhat Tan TRAN</t>
  </si>
  <si>
    <t>064096009158</t>
  </si>
  <si>
    <t>0367776115</t>
  </si>
  <si>
    <t>Nguyễn Thị Bích Duyên - Female - 05/08/1995</t>
  </si>
  <si>
    <t>baongoc.nguyen@amaris.com</t>
  </si>
  <si>
    <t>NGUYEN Bao Ngoc</t>
  </si>
  <si>
    <t>080196014207</t>
  </si>
  <si>
    <t>+84348592628</t>
  </si>
  <si>
    <t>thikhanh.nguyen@amaris.com</t>
  </si>
  <si>
    <t>Thi Khanh NGUYEN</t>
  </si>
  <si>
    <t>082196012509</t>
  </si>
  <si>
    <t>0793830996</t>
  </si>
  <si>
    <t>nducquy@amaris.com</t>
  </si>
  <si>
    <t>Duc Quy NGUYEN</t>
  </si>
  <si>
    <t>079093005091</t>
  </si>
  <si>
    <t>0906793262</t>
  </si>
  <si>
    <t>nly@amaris.com</t>
  </si>
  <si>
    <t>Thai Ly NGUYEN</t>
  </si>
  <si>
    <t>048195006450</t>
  </si>
  <si>
    <t>0943149780</t>
  </si>
  <si>
    <t>quangtin.tran@amaris.com</t>
  </si>
  <si>
    <t>Quang Tin TRAN</t>
  </si>
  <si>
    <t>058095001270</t>
  </si>
  <si>
    <t>0349687204</t>
  </si>
  <si>
    <t>tuongduy.vo@amaris.com</t>
  </si>
  <si>
    <t>Vo Tuong Duy</t>
  </si>
  <si>
    <t>079200028676</t>
  </si>
  <si>
    <t>0397974403</t>
  </si>
  <si>
    <t>thanhdat.nguyen@amaris.com</t>
  </si>
  <si>
    <t>Thanh Dat NGUYEN</t>
  </si>
  <si>
    <t>075096016711</t>
  </si>
  <si>
    <t>0932980033</t>
  </si>
  <si>
    <t>songtoan.vu@amaris.com</t>
  </si>
  <si>
    <t>Song Toan VU</t>
  </si>
  <si>
    <t>048095001773</t>
  </si>
  <si>
    <t>0335353685</t>
  </si>
  <si>
    <t>vantrien.dang@amaris.com</t>
  </si>
  <si>
    <t>Van Trien DANG</t>
  </si>
  <si>
    <t>068097008720</t>
  </si>
  <si>
    <t>0981212098</t>
  </si>
  <si>
    <t>anhkhoa.nguyen@amaris.com</t>
  </si>
  <si>
    <t>Anh Khoa NGUYEN</t>
  </si>
  <si>
    <t>079085028522</t>
  </si>
  <si>
    <t>0909988822</t>
  </si>
  <si>
    <t>nghilam.pham@amaris.com</t>
  </si>
  <si>
    <t>Nghi Lam PHAM</t>
  </si>
  <si>
    <t>075096010782</t>
  </si>
  <si>
    <t>0985788540</t>
  </si>
  <si>
    <t>viethoang.tran@amaris.com</t>
  </si>
  <si>
    <t>Viet Hoang TRAN</t>
  </si>
  <si>
    <t>001201015108</t>
  </si>
  <si>
    <t>0328005399</t>
  </si>
  <si>
    <t>dangkhoa.pham@amaris.com</t>
  </si>
  <si>
    <t>Dang Khoa PHAM</t>
  </si>
  <si>
    <t>079094014846</t>
  </si>
  <si>
    <t>0338330044</t>
  </si>
  <si>
    <t>huuthanh.tran@amaris.com</t>
  </si>
  <si>
    <t>Huu Thanh Tam TRAN</t>
  </si>
  <si>
    <t>045099007148</t>
  </si>
  <si>
    <t>0335533732</t>
  </si>
  <si>
    <t>khanhlinh.dangngoc@amaris.com</t>
  </si>
  <si>
    <t>Ngoc Khanh Linh DANG</t>
  </si>
  <si>
    <t>079197010801</t>
  </si>
  <si>
    <t>0704954529</t>
  </si>
  <si>
    <t>thihue.do@amaris.com</t>
  </si>
  <si>
    <t>Thi Hue DO</t>
  </si>
  <si>
    <t>096197008684</t>
  </si>
  <si>
    <t>0971732462</t>
  </si>
  <si>
    <t>my.tran@amaris.com</t>
  </si>
  <si>
    <t>Thi Ha My TRAN</t>
  </si>
  <si>
    <t>040195009694</t>
  </si>
  <si>
    <t>0966272279</t>
  </si>
  <si>
    <t>ngoctrang.tran@amaris.com</t>
  </si>
  <si>
    <t>Ngoc Trang Dai TRAN</t>
  </si>
  <si>
    <t>084197000010</t>
  </si>
  <si>
    <t>0936610147</t>
  </si>
  <si>
    <t>phuong.nguyenthiquynh@amaris.com</t>
  </si>
  <si>
    <t>Thi Quynh Phuong NGUYEN</t>
  </si>
  <si>
    <t>079196001003</t>
  </si>
  <si>
    <t>0931173302</t>
  </si>
  <si>
    <t>kimanh.do@amaris.com</t>
  </si>
  <si>
    <t>Kim Anh DO</t>
  </si>
  <si>
    <t>079192033623</t>
  </si>
  <si>
    <t>0903747427</t>
  </si>
  <si>
    <t xml:space="preserve">Dị ứng Hải sản, phô mai, sữa </t>
  </si>
  <si>
    <t>tunglam.ngo@amaris.com</t>
  </si>
  <si>
    <t>Tung Lam NGO</t>
  </si>
  <si>
    <t>001203015512</t>
  </si>
  <si>
    <t>0397810603</t>
  </si>
  <si>
    <t>sang.truongvan@amaris.com</t>
  </si>
  <si>
    <t>TRUONG Van Sang</t>
  </si>
  <si>
    <t>066098009860</t>
  </si>
  <si>
    <t>+84376275238</t>
  </si>
  <si>
    <t>namkha.le@amaris.com</t>
  </si>
  <si>
    <t>Nam Kha LE</t>
  </si>
  <si>
    <t>052097015080</t>
  </si>
  <si>
    <t>0776756952</t>
  </si>
  <si>
    <t>vuduy.dinh@amaris.com</t>
  </si>
  <si>
    <t>Vu Duy DINH</t>
  </si>
  <si>
    <t>068087004573</t>
  </si>
  <si>
    <t>0938112129</t>
  </si>
  <si>
    <t>thuong.trinhxuan@amaris.com</t>
  </si>
  <si>
    <t>Xuan Thuong TRINH</t>
  </si>
  <si>
    <t>0973718347</t>
  </si>
  <si>
    <t>thanhtung.le@amaris.com</t>
  </si>
  <si>
    <t>Thanh Tung LE</t>
  </si>
  <si>
    <t>091095009127</t>
  </si>
  <si>
    <t>0988438042</t>
  </si>
  <si>
    <t>haithien.nguyen@amaris.com</t>
  </si>
  <si>
    <t>Hai Thien NGUYEN</t>
  </si>
  <si>
    <t>37598</t>
  </si>
  <si>
    <t>0385094422</t>
  </si>
  <si>
    <t>vuphuong.nguyen@amaris.com</t>
  </si>
  <si>
    <t>Vu Phuong NGUYEN</t>
  </si>
  <si>
    <t>086096004777</t>
  </si>
  <si>
    <t>0705731919</t>
  </si>
  <si>
    <t>nguyen.phamhuukhoi@amaris.com</t>
  </si>
  <si>
    <t>Huu Khoi Nguyen PHAM</t>
  </si>
  <si>
    <t>068201006525</t>
  </si>
  <si>
    <t>0908725648</t>
  </si>
  <si>
    <t>chausy.le@amaris.com</t>
  </si>
  <si>
    <t>Chau Sy Dat LE</t>
  </si>
  <si>
    <t>082093010991</t>
  </si>
  <si>
    <t>0345864246</t>
  </si>
  <si>
    <t>ket.vovan@amaris.com</t>
  </si>
  <si>
    <t>Van Ket VO</t>
  </si>
  <si>
    <t>051091012099</t>
  </si>
  <si>
    <t>0902898110</t>
  </si>
  <si>
    <t>hoanglong.nguyen1@amaris.com</t>
  </si>
  <si>
    <t>Hoang Long NGUYEN</t>
  </si>
  <si>
    <t>056098000238</t>
  </si>
  <si>
    <t>0392707949</t>
  </si>
  <si>
    <t>tanhoang.nguyen1@amaris.com</t>
  </si>
  <si>
    <t>Tan Hoang - Bi NGUYEN</t>
  </si>
  <si>
    <t>079203011720</t>
  </si>
  <si>
    <t>0938080935</t>
  </si>
  <si>
    <t>ducthanh.van@amaris.com</t>
  </si>
  <si>
    <t>Duc Thanh VAN</t>
  </si>
  <si>
    <t>079090038513</t>
  </si>
  <si>
    <t>0356154210</t>
  </si>
  <si>
    <t>duan.nguyen@amaris.com</t>
  </si>
  <si>
    <t>Duan NGUYEN LE</t>
  </si>
  <si>
    <t>080096010523</t>
  </si>
  <si>
    <t>0966441600</t>
  </si>
  <si>
    <t>duyhanh.le@amaris.com</t>
  </si>
  <si>
    <t>Duy Hanh LE</t>
  </si>
  <si>
    <t>079090028751</t>
  </si>
  <si>
    <t>0937308357</t>
  </si>
  <si>
    <t>huuthinh.nguyen@amaris.com</t>
  </si>
  <si>
    <t>Huu Thinh NGUYEN</t>
  </si>
  <si>
    <t>066096004066</t>
  </si>
  <si>
    <t>0868415847</t>
  </si>
  <si>
    <t>chienhao.cao@amaris.com</t>
  </si>
  <si>
    <t>Chien Hao CAO</t>
  </si>
  <si>
    <t>066200009584</t>
  </si>
  <si>
    <t>0764290520</t>
  </si>
  <si>
    <t>donhat.pham@amaris.com</t>
  </si>
  <si>
    <t>Do Nhat Minh PHAM</t>
  </si>
  <si>
    <t>079099034668</t>
  </si>
  <si>
    <t>0906659850</t>
  </si>
  <si>
    <t>pham.trungkien@amaris.com</t>
  </si>
  <si>
    <t>Trung Kien PHAM</t>
  </si>
  <si>
    <t>030098008566</t>
  </si>
  <si>
    <t>0348997157</t>
  </si>
  <si>
    <t>TRẦN DIỆP HUY - 046098011753 - 0766669006 - Male - 07/01/1998</t>
  </si>
  <si>
    <t>trungtin.thai@amaris.com</t>
  </si>
  <si>
    <t>Trung Tin THAI</t>
  </si>
  <si>
    <t>064201004428</t>
  </si>
  <si>
    <t>0337399029</t>
  </si>
  <si>
    <t>minhnhat.dang@amaris.com</t>
  </si>
  <si>
    <t>Nhat DANG MINH</t>
  </si>
  <si>
    <t>048203001699</t>
  </si>
  <si>
    <t>0905054228</t>
  </si>
  <si>
    <t>anhquoc.pham@amaris.com</t>
  </si>
  <si>
    <t>Anh Quoc PHAM</t>
  </si>
  <si>
    <t>079201003742</t>
  </si>
  <si>
    <t>0896116155</t>
  </si>
  <si>
    <t>haibinh.dang@amaris.com</t>
  </si>
  <si>
    <t>Hai Binh DANG</t>
  </si>
  <si>
    <t>031202010766</t>
  </si>
  <si>
    <t>0981412159</t>
  </si>
  <si>
    <t>thanhtrung.nguyen@amaris.com</t>
  </si>
  <si>
    <t>Thanh Trung NGUYEN</t>
  </si>
  <si>
    <t>031202004177</t>
  </si>
  <si>
    <t>0886895676</t>
  </si>
  <si>
    <t>nguyenngoc.nguyensy@amaris.com</t>
  </si>
  <si>
    <t>Nguyen Ngoc NGUYEN SY</t>
  </si>
  <si>
    <t>079202021638</t>
  </si>
  <si>
    <t>0899337446</t>
  </si>
  <si>
    <t>phamkhanh.tran@amaris.com</t>
  </si>
  <si>
    <t>Pham Khanh Linh TRAN</t>
  </si>
  <si>
    <t>044199002375</t>
  </si>
  <si>
    <t>0823387274</t>
  </si>
  <si>
    <t>thinguyet.nong@amaris.com</t>
  </si>
  <si>
    <t>Thi Nguyet NONG</t>
  </si>
  <si>
    <t>091301010042</t>
  </si>
  <si>
    <t>0768811159</t>
  </si>
  <si>
    <t>thiviet.nguyen@amaris.com</t>
  </si>
  <si>
    <t>Thi Viet Trinh NGUYEN</t>
  </si>
  <si>
    <t>075193013225</t>
  </si>
  <si>
    <t>0356055190</t>
  </si>
  <si>
    <t>tranthuy.lu@amaris.com</t>
  </si>
  <si>
    <t>Tran Thuy Linh LU</t>
  </si>
  <si>
    <t>079198003401</t>
  </si>
  <si>
    <t>0397430707</t>
  </si>
  <si>
    <t>thiphuong.vu@amaris.com</t>
  </si>
  <si>
    <t>Thi Phuong Thao VU</t>
  </si>
  <si>
    <t>035198005801</t>
  </si>
  <si>
    <t>0961393725</t>
  </si>
  <si>
    <t>Cao Thi Truc Duyen - Female - 15/06/1997 - 083197002767</t>
  </si>
  <si>
    <t>thanhxuan.bui@amaris.com</t>
  </si>
  <si>
    <t>Thanh Xuan BUI</t>
  </si>
  <si>
    <t>075090010849</t>
  </si>
  <si>
    <t>0778836595</t>
  </si>
  <si>
    <t>vantinh.pham@amaris.com</t>
  </si>
  <si>
    <t>Van Tinh PHAM</t>
  </si>
  <si>
    <t>052092015218</t>
  </si>
  <si>
    <t>0346726479</t>
  </si>
  <si>
    <t>vanhieu.nguyen@amaris.com</t>
  </si>
  <si>
    <t>Van Hieu NGUYEN</t>
  </si>
  <si>
    <t>052096015341</t>
  </si>
  <si>
    <t>0397459642</t>
  </si>
  <si>
    <t>kimgia.nguyen@amaris.com</t>
  </si>
  <si>
    <t>Kim Gia Huy NGUYEN</t>
  </si>
  <si>
    <t>079099027044</t>
  </si>
  <si>
    <t>0335618057</t>
  </si>
  <si>
    <t>minhtan.tran1@amaris.com</t>
  </si>
  <si>
    <t>Minh Tan TRAN</t>
  </si>
  <si>
    <t>082097013452</t>
  </si>
  <si>
    <t>0332548027</t>
  </si>
  <si>
    <t>phuocson.le@amaris.com</t>
  </si>
  <si>
    <t>Phuoc Son LE</t>
  </si>
  <si>
    <t>045091003975</t>
  </si>
  <si>
    <t>0915004496</t>
  </si>
  <si>
    <t>vantien.cao@amaris.com</t>
  </si>
  <si>
    <t>Van Tien CAO</t>
  </si>
  <si>
    <t>067098004566</t>
  </si>
  <si>
    <t>0584106886</t>
  </si>
  <si>
    <t>phuong.vu@amaris.com</t>
  </si>
  <si>
    <t>Phuong VU</t>
  </si>
  <si>
    <t>089096021770</t>
  </si>
  <si>
    <t>0962359719</t>
  </si>
  <si>
    <t>baokhang.ha@amaris.com</t>
  </si>
  <si>
    <t>Bao Khang HA</t>
  </si>
  <si>
    <t>091201012114</t>
  </si>
  <si>
    <t>0762922184</t>
  </si>
  <si>
    <t>thanhduy.chau@amaris.com</t>
  </si>
  <si>
    <t>Thanh Duy CHAU</t>
  </si>
  <si>
    <t>079098003185</t>
  </si>
  <si>
    <t>0879295967</t>
  </si>
  <si>
    <t>tanhoang.nguyen@amaris.com</t>
  </si>
  <si>
    <t>Tan Hoang NGUYEN</t>
  </si>
  <si>
    <t>051202007406</t>
  </si>
  <si>
    <t>0345717796</t>
  </si>
  <si>
    <t>chitam.nguyenle@amaris.com</t>
  </si>
  <si>
    <t>Chi Tam NGUYEN LE</t>
  </si>
  <si>
    <t>080201013658</t>
  </si>
  <si>
    <t>0847827897</t>
  </si>
  <si>
    <t>thatviet.ton@amaris.com</t>
  </si>
  <si>
    <t>That Viet Anh TON</t>
  </si>
  <si>
    <t>079096027174</t>
  </si>
  <si>
    <t>0934297931</t>
  </si>
  <si>
    <t>antruong.nguyen@amaris.com</t>
  </si>
  <si>
    <t>Truong An NGUYEN</t>
  </si>
  <si>
    <t>075095021646</t>
  </si>
  <si>
    <t>0352680918</t>
  </si>
  <si>
    <t>trihung.nguyen@amaris.com</t>
  </si>
  <si>
    <t>Tri Hung NGUYEN</t>
  </si>
  <si>
    <t>040099011473</t>
  </si>
  <si>
    <t>0946650045</t>
  </si>
  <si>
    <t>hoangtuan.nguyen@amaris.com</t>
  </si>
  <si>
    <t>Hoang Tuan Anh NGUYEN</t>
  </si>
  <si>
    <t>079096034588</t>
  </si>
  <si>
    <t>0938282487</t>
  </si>
  <si>
    <t>tuuyen.dinhthi@amaris.com</t>
  </si>
  <si>
    <t>Tu Uyen DINH THI</t>
  </si>
  <si>
    <t>070302002356</t>
  </si>
  <si>
    <t>0383899275</t>
  </si>
  <si>
    <t>ngoctran.tathi@amaris.com</t>
  </si>
  <si>
    <t>Ngoc Tran TA THI</t>
  </si>
  <si>
    <t>089196003991</t>
  </si>
  <si>
    <t>0369040747</t>
  </si>
  <si>
    <t>ngocthuy.pham@amaris.com</t>
  </si>
  <si>
    <t>Ngoc Thuy Trang PHAM</t>
  </si>
  <si>
    <t>079300022868</t>
  </si>
  <si>
    <t>0707653589</t>
  </si>
  <si>
    <t>thaian.phamthuy@amaris.com</t>
  </si>
  <si>
    <t>Thai An PHAM THUY</t>
  </si>
  <si>
    <t>095304000976</t>
  </si>
  <si>
    <t>0913854054</t>
  </si>
  <si>
    <t>tramngan.tranthi@amaris.com</t>
  </si>
  <si>
    <t>Thi Tram Ngan TRAN</t>
  </si>
  <si>
    <t>087300002383</t>
  </si>
  <si>
    <t>0939053112</t>
  </si>
  <si>
    <t>ngocmy.ha@amaris.com</t>
  </si>
  <si>
    <t>Ngoc My HA</t>
  </si>
  <si>
    <t>082300007349</t>
  </si>
  <si>
    <t>0888745255</t>
  </si>
  <si>
    <t>phuonghang.lethi@amaris.com</t>
  </si>
  <si>
    <t>Phuong Hang LE THI</t>
  </si>
  <si>
    <t>079186021679</t>
  </si>
  <si>
    <t>0866876722</t>
  </si>
  <si>
    <t>hoaitrinh.do@amaris.com</t>
  </si>
  <si>
    <t>DO Hoai Trinh</t>
  </si>
  <si>
    <t>thanhviet.dinh@amaris.com</t>
  </si>
  <si>
    <t>DINH Thanh Viet</t>
  </si>
  <si>
    <t>052200005034</t>
  </si>
  <si>
    <t>+84 377130331</t>
  </si>
  <si>
    <t>huynhchi.cuong@amaris.com</t>
  </si>
  <si>
    <t>Chi Cuong HUYNH</t>
  </si>
  <si>
    <t>079095014706</t>
  </si>
  <si>
    <t>0937251707</t>
  </si>
  <si>
    <t>Dị ứng cồn</t>
  </si>
  <si>
    <t>tienmanh.nguyen@amaris.com</t>
  </si>
  <si>
    <t>Tien Manh NGUYEN</t>
  </si>
  <si>
    <t>252203000013</t>
  </si>
  <si>
    <t>0829622879</t>
  </si>
  <si>
    <t>quoctrung.kieu@amaris.com</t>
  </si>
  <si>
    <t>Quoc Trung KIEU</t>
  </si>
  <si>
    <t>079200044816</t>
  </si>
  <si>
    <t>0932535781</t>
  </si>
  <si>
    <t>trannhat.nguyen@amaris.com</t>
  </si>
  <si>
    <t>Tran Nhat Duc NGUYEN</t>
  </si>
  <si>
    <t>056200011360</t>
  </si>
  <si>
    <t>0869885812</t>
  </si>
  <si>
    <t>minhtri.do@amaris.com</t>
  </si>
  <si>
    <t>Minh Tri DO</t>
  </si>
  <si>
    <t>0935919461</t>
  </si>
  <si>
    <t>huytri.nguyen@amaris.com</t>
  </si>
  <si>
    <t>Huy Tri NGUYEN</t>
  </si>
  <si>
    <t>079203015788</t>
  </si>
  <si>
    <t>0963698249</t>
  </si>
  <si>
    <t>thanhduc.le@amaris.com</t>
  </si>
  <si>
    <t>Thanh Duc LE</t>
  </si>
  <si>
    <t>079200038775</t>
  </si>
  <si>
    <t>0339310132</t>
  </si>
  <si>
    <t>duyphong.nguyen@amaris.com</t>
  </si>
  <si>
    <t>Duy Phong NGUYEN</t>
  </si>
  <si>
    <t>049200016142</t>
  </si>
  <si>
    <t>0396428796</t>
  </si>
  <si>
    <t>tuanthanh.tran@amaris.com</t>
  </si>
  <si>
    <t>Tuan Thanh TRAN</t>
  </si>
  <si>
    <t>042200003160</t>
  </si>
  <si>
    <t>0971850315</t>
  </si>
  <si>
    <t>minhquan.dang@amaris.com</t>
  </si>
  <si>
    <t>Minh Quan DANG</t>
  </si>
  <si>
    <t>089201001783</t>
  </si>
  <si>
    <t>0941967745</t>
  </si>
  <si>
    <t>huunghia.pham@amaris.com</t>
  </si>
  <si>
    <t>Huu Nghia PHAM</t>
  </si>
  <si>
    <t>064098000457</t>
  </si>
  <si>
    <t>0363543388</t>
  </si>
  <si>
    <t>duynhat.nguyen@amaris.com</t>
  </si>
  <si>
    <t>Duy Nhat NGUYEN</t>
  </si>
  <si>
    <t>072200007361</t>
  </si>
  <si>
    <t>0967524457</t>
  </si>
  <si>
    <t>huungan.mai@amaris.com</t>
  </si>
  <si>
    <t>Huu Ngan MAI</t>
  </si>
  <si>
    <t>049202002958</t>
  </si>
  <si>
    <t>0343734096</t>
  </si>
  <si>
    <t>vanhao.le@amaris.com</t>
  </si>
  <si>
    <t>Van Hao LE</t>
  </si>
  <si>
    <t>089097008685</t>
  </si>
  <si>
    <t>0378462578</t>
  </si>
  <si>
    <t>nguyen.minhphuoc@amaris.com</t>
  </si>
  <si>
    <t>Minh Phuoc NGUYEN</t>
  </si>
  <si>
    <t>079094018368</t>
  </si>
  <si>
    <t>0937686998</t>
  </si>
  <si>
    <t>duyduc.nguyenhuynh@amaris.com</t>
  </si>
  <si>
    <t>Huynh Duy Duc NGUYEN</t>
  </si>
  <si>
    <t>064201016123</t>
  </si>
  <si>
    <t>0979409417</t>
  </si>
  <si>
    <t>quoclinh.tran@amaris.com</t>
  </si>
  <si>
    <t>Quoc Linh TRAN</t>
  </si>
  <si>
    <t>096099005690</t>
  </si>
  <si>
    <t>0379218610</t>
  </si>
  <si>
    <t>nhuhai.phan@amaris.com</t>
  </si>
  <si>
    <t>Nhu Hai Luu PHAN</t>
  </si>
  <si>
    <t>060099011492</t>
  </si>
  <si>
    <t>0379738098</t>
  </si>
  <si>
    <t>hoaisang.cao@amaris.com</t>
  </si>
  <si>
    <t>Hoai Sang CAO</t>
  </si>
  <si>
    <t>095203009143</t>
  </si>
  <si>
    <t>0944552050</t>
  </si>
  <si>
    <t>ngocthanh.pham@amaris.com</t>
  </si>
  <si>
    <t>Ngoc Thanh PHAM</t>
  </si>
  <si>
    <t>060094011465</t>
  </si>
  <si>
    <t>0333950268</t>
  </si>
  <si>
    <t>tran.xuanvu@amaris.com</t>
  </si>
  <si>
    <t>Xuan Vu TRAN</t>
  </si>
  <si>
    <t>046098001181</t>
  </si>
  <si>
    <t>0327360123</t>
  </si>
  <si>
    <t>dinhanh.hoang@amaris.com</t>
  </si>
  <si>
    <t>Dinh Anh Quoc HOANG</t>
  </si>
  <si>
    <t>079202006608</t>
  </si>
  <si>
    <t>0983941396</t>
  </si>
  <si>
    <t>dinhlam.tran@amaris.com</t>
  </si>
  <si>
    <t>Dinh Lam TRAN</t>
  </si>
  <si>
    <t>066200002973</t>
  </si>
  <si>
    <t>0769781003</t>
  </si>
  <si>
    <t>I have a mild seafood allergy</t>
  </si>
  <si>
    <t>chihau.nguyen@amaris.com</t>
  </si>
  <si>
    <t>Chi Hau NGUYEN</t>
  </si>
  <si>
    <t>086203010658</t>
  </si>
  <si>
    <t>0799549878</t>
  </si>
  <si>
    <t>daiduong.phan@amaris.com</t>
  </si>
  <si>
    <t>Dai Duong PHAN</t>
  </si>
  <si>
    <t>052201013763</t>
  </si>
  <si>
    <t>0398324011</t>
  </si>
  <si>
    <t>congkhanh.huynh@amaris.com</t>
  </si>
  <si>
    <t>Cong Khanh HUYNH</t>
  </si>
  <si>
    <t>087201004021</t>
  </si>
  <si>
    <t>0777905219</t>
  </si>
  <si>
    <t>duynguyen.vongoc@amaris.com</t>
  </si>
  <si>
    <t>Duy Nguyen VO NGOC</t>
  </si>
  <si>
    <t>079201007186</t>
  </si>
  <si>
    <t>0919990145</t>
  </si>
  <si>
    <t>huynhchi.vo@amaris.com</t>
  </si>
  <si>
    <t>Huynh Chi Tin VO</t>
  </si>
  <si>
    <t>079095022758</t>
  </si>
  <si>
    <t>0777104166</t>
  </si>
  <si>
    <t>quangtrung.do@amaris.com</t>
  </si>
  <si>
    <t>Quang Trung DO</t>
  </si>
  <si>
    <t>064200012749</t>
  </si>
  <si>
    <t>0396402696</t>
  </si>
  <si>
    <t>quangnien.nguyen@amaris.com</t>
  </si>
  <si>
    <t>Quang Nien NGUYEN</t>
  </si>
  <si>
    <t>058201000239</t>
  </si>
  <si>
    <t>0855586358</t>
  </si>
  <si>
    <t>congdanh.bui@amaris.com</t>
  </si>
  <si>
    <t>Cong Danh BUI</t>
  </si>
  <si>
    <t>079201014939</t>
  </si>
  <si>
    <t>0902891404</t>
  </si>
  <si>
    <t>Motion sickness pills</t>
  </si>
  <si>
    <t>trungnghia.nguyen@amaris.com</t>
  </si>
  <si>
    <t>Trung Nghia NGUYEN</t>
  </si>
  <si>
    <t>072094005258</t>
  </si>
  <si>
    <t>0354219319</t>
  </si>
  <si>
    <t>trunghieu.pham@amaris.com</t>
  </si>
  <si>
    <t>Trung Hieu PHAM</t>
  </si>
  <si>
    <t>079099030686</t>
  </si>
  <si>
    <t>0933284515</t>
  </si>
  <si>
    <t>kimcong.nguyen@amaris.com</t>
  </si>
  <si>
    <t>Kim Cong NGUYEN</t>
  </si>
  <si>
    <t>030080017185</t>
  </si>
  <si>
    <t>0988143980</t>
  </si>
  <si>
    <t>huuvinh.nguyen@amaris.com</t>
  </si>
  <si>
    <t>Huu Vinh NGUYEN</t>
  </si>
  <si>
    <t>089200019968</t>
  </si>
  <si>
    <t>0974086701</t>
  </si>
  <si>
    <t>thanhloc.nguyen@amaris.com</t>
  </si>
  <si>
    <t>Thanh Loc NGUYEN</t>
  </si>
  <si>
    <t>046097000064</t>
  </si>
  <si>
    <t>0333515756</t>
  </si>
  <si>
    <t>vanthanh.khuat@amaris.com</t>
  </si>
  <si>
    <t>Van Thanh Danh KHUAT</t>
  </si>
  <si>
    <t>077203004018</t>
  </si>
  <si>
    <t>0971007831</t>
  </si>
  <si>
    <t>leman.nguyen@amaris.com</t>
  </si>
  <si>
    <t>Le Man Dat NGUYEN</t>
  </si>
  <si>
    <t xml:space="preserve"> 086200001291</t>
  </si>
  <si>
    <t>0337804259</t>
  </si>
  <si>
    <t>thanhphuoc.le@amaris.com</t>
  </si>
  <si>
    <t>Thanh Phuoc LE</t>
  </si>
  <si>
    <t>068096007001</t>
  </si>
  <si>
    <t>0357556867</t>
  </si>
  <si>
    <t>hongdao.son@amaris.com</t>
  </si>
  <si>
    <t>Hong Son DAO</t>
  </si>
  <si>
    <t>075200024308</t>
  </si>
  <si>
    <t>0938316793</t>
  </si>
  <si>
    <t>thanhson.nguyen@amaris.com</t>
  </si>
  <si>
    <t>Thanh Son NGUYEN</t>
  </si>
  <si>
    <t>051098005098</t>
  </si>
  <si>
    <t>0392497315</t>
  </si>
  <si>
    <t>thanhnhan.phan@amaris.com</t>
  </si>
  <si>
    <t>Thanh Nhan PHAN</t>
  </si>
  <si>
    <t>079096015213</t>
  </si>
  <si>
    <t>0392357076</t>
  </si>
  <si>
    <t>xuandat.hoang@amaris.com</t>
  </si>
  <si>
    <t>Xuan Dat HOANG</t>
  </si>
  <si>
    <t>066201016152</t>
  </si>
  <si>
    <t>0393688714</t>
  </si>
  <si>
    <t>hongnguyen.chuong@amaris.com</t>
  </si>
  <si>
    <t>Hong Chuong NGUYEN</t>
  </si>
  <si>
    <t>083084008265</t>
  </si>
  <si>
    <t>0989600669</t>
  </si>
  <si>
    <t>ngoctuan.nguyen@amaris.com</t>
  </si>
  <si>
    <t>Ngoc Tuan NGUYEN</t>
  </si>
  <si>
    <t>051099011537</t>
  </si>
  <si>
    <t>0973724249</t>
  </si>
  <si>
    <t>tanthanh.ngo@amaris.com</t>
  </si>
  <si>
    <t>Ngô Tấn Thành</t>
  </si>
  <si>
    <t>089200015516</t>
  </si>
  <si>
    <t>+84 329 382 782</t>
  </si>
  <si>
    <t>lethanh.nguyen@amaris.com</t>
  </si>
  <si>
    <t>Nguyễn Lê Thành</t>
  </si>
  <si>
    <t>062201003205</t>
  </si>
  <si>
    <t>+84 931 182 688</t>
  </si>
  <si>
    <t>quangtrinh.ha@amaris.com</t>
  </si>
  <si>
    <t>Quang Trinh HA</t>
  </si>
  <si>
    <t>087099016549</t>
  </si>
  <si>
    <t>0826759579</t>
  </si>
  <si>
    <t>binhnam.mai@amaris.com</t>
  </si>
  <si>
    <t>Binh Nam MAI</t>
  </si>
  <si>
    <t>044099000541</t>
  </si>
  <si>
    <t>0948527910</t>
  </si>
  <si>
    <t>trungnghia.cao@amaris.com</t>
  </si>
  <si>
    <t>Trung Nghia CAO</t>
  </si>
  <si>
    <t>051094000961</t>
  </si>
  <si>
    <t>0938945445</t>
  </si>
  <si>
    <t>do.tranvan@amaris.com</t>
  </si>
  <si>
    <t>Van Do TRAN</t>
  </si>
  <si>
    <t>089097020361</t>
  </si>
  <si>
    <t>0967513840</t>
  </si>
  <si>
    <t>cao.minh@amaris.com</t>
  </si>
  <si>
    <t>Duc Minh CAO</t>
  </si>
  <si>
    <t>080202010719</t>
  </si>
  <si>
    <t>0942198738</t>
  </si>
  <si>
    <t>hoangtu.la@amaris.com</t>
  </si>
  <si>
    <t>Hoang Tu LA</t>
  </si>
  <si>
    <t>083097005277</t>
  </si>
  <si>
    <t>0386788883</t>
  </si>
  <si>
    <t>minhthuan.le@amaris.com</t>
  </si>
  <si>
    <t>Minh Thuan LE</t>
  </si>
  <si>
    <t>086099002987</t>
  </si>
  <si>
    <t>0968933873</t>
  </si>
  <si>
    <t>thanhthuan.nguyenvan@amaris.com</t>
  </si>
  <si>
    <t>Van Thanh Thuan NGUYEN</t>
  </si>
  <si>
    <t>080095004933</t>
  </si>
  <si>
    <t>0793485644</t>
  </si>
  <si>
    <t>I'd like to request to be booked in the same room as the IVB team.</t>
  </si>
  <si>
    <t>hoangha.nguyen@amaris.com</t>
  </si>
  <si>
    <t>Hoang Ha Quyen NGUYEN</t>
  </si>
  <si>
    <t>077300001719</t>
  </si>
  <si>
    <t>0968963049</t>
  </si>
  <si>
    <t>thientrang.doan@amaris.com</t>
  </si>
  <si>
    <t>Thien Trang DOAN</t>
  </si>
  <si>
    <t>091300011455</t>
  </si>
  <si>
    <t>0918626459</t>
  </si>
  <si>
    <t>If there’s a single room, I wanna stay alone (if any)</t>
  </si>
  <si>
    <t>thuytien.phamdo@amaris.com</t>
  </si>
  <si>
    <t>Do Thuy Tien PHAM</t>
  </si>
  <si>
    <t>070194001945</t>
  </si>
  <si>
    <t>0396744435</t>
  </si>
  <si>
    <t>khanhgia.chung@amaris.com</t>
  </si>
  <si>
    <t>Khanh Gia CHUNG</t>
  </si>
  <si>
    <t>079301006935</t>
  </si>
  <si>
    <t>0779911643</t>
  </si>
  <si>
    <t>thaihien.luong@amaris.com</t>
  </si>
  <si>
    <t>Thai Hien LUONG</t>
  </si>
  <si>
    <t>048087005724</t>
  </si>
  <si>
    <t>0968678149</t>
  </si>
  <si>
    <t>Sum of C Fam</t>
  </si>
  <si>
    <t>Sum of A Fam</t>
  </si>
  <si>
    <t>Sum of Total Hc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</si>
  <si>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</si>
  <si>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</si>
  <si>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</si>
  <si>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</si>
  <si>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</si>
  <si>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</si>
  <si>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</si>
  <si>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</si>
  <si>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(blank)</t>
  </si>
  <si>
    <t>(blank) Total</t>
  </si>
  <si>
    <t>Grand Total</t>
  </si>
  <si>
    <t>tienthuan.luong@amaris.com</t>
  </si>
  <si>
    <t>Tien Thuan Hai Luong</t>
  </si>
  <si>
    <t>(All)</t>
  </si>
  <si>
    <t>Amaris Consulting</t>
  </si>
  <si>
    <t>Consultants</t>
  </si>
  <si>
    <t>HA Phuong Thao</t>
  </si>
  <si>
    <t>In</t>
  </si>
  <si>
    <t>HO Nguyen Hong Uyen</t>
  </si>
  <si>
    <t>Sum of Fam Q</t>
  </si>
  <si>
    <t>HOANG Thien</t>
  </si>
  <si>
    <t>HUYNH Chi Cuong</t>
  </si>
  <si>
    <t>In (Exit confirmed)</t>
  </si>
  <si>
    <t>LA Thuy My Hao</t>
  </si>
  <si>
    <t>NGUYEN The Trinh</t>
  </si>
  <si>
    <t>NGUYEN Hoang Tuan Anh</t>
  </si>
  <si>
    <t>TRAN Thi Ha My</t>
  </si>
  <si>
    <t>HUYNH Minh Khoi</t>
  </si>
  <si>
    <t>NGUYEN Duc Quy</t>
  </si>
  <si>
    <t>NGUYEN Thi Minh Phuong</t>
  </si>
  <si>
    <t>Own transport</t>
  </si>
  <si>
    <t>NGUYEN Thai Ly</t>
  </si>
  <si>
    <t>Managers</t>
  </si>
  <si>
    <t>VU Thanh Hang</t>
  </si>
  <si>
    <t>Human Resources</t>
  </si>
  <si>
    <t>Compensation &amp; Benefits</t>
  </si>
  <si>
    <t>CAP Kim Hoang</t>
  </si>
  <si>
    <t>People Operations</t>
  </si>
  <si>
    <t>CAO Bao Tram</t>
  </si>
  <si>
    <t>Payroll Solutions</t>
  </si>
  <si>
    <t>COMAS Mireille</t>
  </si>
  <si>
    <t>NGUYEN Thuc Hao</t>
  </si>
  <si>
    <t>People Analytics</t>
  </si>
  <si>
    <t>NGUYEN Thai Bao</t>
  </si>
  <si>
    <t>RAYNAUD Claire</t>
  </si>
  <si>
    <t>Directors</t>
  </si>
  <si>
    <t>THEVELIN Chloe</t>
  </si>
  <si>
    <t>Delivery</t>
  </si>
  <si>
    <t>Consulting Talent Acquisition</t>
  </si>
  <si>
    <t>PHAM Thai An</t>
  </si>
  <si>
    <t>GALLOT Brice</t>
  </si>
  <si>
    <t>Information Technology</t>
  </si>
  <si>
    <t>System &amp; Network</t>
  </si>
  <si>
    <t>SIOUDI Mohamed Amine</t>
  </si>
  <si>
    <t>Help Desk</t>
  </si>
  <si>
    <t>MATEI Aurel-George</t>
  </si>
  <si>
    <t>Software Engineering</t>
  </si>
  <si>
    <t>DUQUESNAY Guillaume</t>
  </si>
  <si>
    <t>Administrative &amp; Finance</t>
  </si>
  <si>
    <t>Financial Business Controlling</t>
  </si>
  <si>
    <t>PHAN Thi Ha Trang</t>
  </si>
  <si>
    <t>RAVAIOLI Filippo</t>
  </si>
  <si>
    <t>Real Estate and Support Services</t>
  </si>
  <si>
    <t>Office Facillity Management</t>
  </si>
  <si>
    <t>Group Accounting</t>
  </si>
  <si>
    <t>BUI Quang Hung</t>
  </si>
  <si>
    <t>Operational Finance</t>
  </si>
  <si>
    <t>DUTERTRE Geoffrey</t>
  </si>
  <si>
    <t>Group &amp; Corporate Controlling</t>
  </si>
  <si>
    <t>ALSHABANI Anas</t>
  </si>
  <si>
    <t>PHAM Hoang Phuc</t>
  </si>
  <si>
    <t>NGUYEN The Anh</t>
  </si>
  <si>
    <t>VO Xuan Hung</t>
  </si>
  <si>
    <t>CHECROUN Juliette</t>
  </si>
  <si>
    <t>NGUYEN Tran Phuong Phuong</t>
  </si>
  <si>
    <t>HERNANDEZ Laurine</t>
  </si>
  <si>
    <t>Finance Operations</t>
  </si>
  <si>
    <t>SEMERADT Corinne</t>
  </si>
  <si>
    <t>CATEL Agnès</t>
  </si>
  <si>
    <t>DE LACOMBE Romain</t>
  </si>
  <si>
    <t>XIA Shuang</t>
  </si>
  <si>
    <t>Presales</t>
  </si>
  <si>
    <t>JOLLIOT Marie-Benoîte</t>
  </si>
  <si>
    <t>Product Management</t>
  </si>
  <si>
    <t>LIM Chee Kiat</t>
  </si>
  <si>
    <t>NGUYEN Hoang Bich Tran</t>
  </si>
  <si>
    <t>Telephony</t>
  </si>
  <si>
    <t>MAI Tan Ha</t>
  </si>
  <si>
    <t>NGO Ngoc Nam</t>
  </si>
  <si>
    <t>NGUYEN Trung Hieu</t>
  </si>
  <si>
    <t>ACT</t>
  </si>
  <si>
    <t>ACT Sales &amp; Pre-sales</t>
  </si>
  <si>
    <t>MAVANI Amit</t>
  </si>
  <si>
    <t>Marketing &amp; Conversation</t>
  </si>
  <si>
    <t>Design</t>
  </si>
  <si>
    <t>SANTANA Zulema</t>
  </si>
  <si>
    <t>GUILLOTON Eve</t>
  </si>
  <si>
    <t>NGUYEN Ho Khanh Vy</t>
  </si>
  <si>
    <t>HONG Nguyen Tu Nhi</t>
  </si>
  <si>
    <t>Recruitment</t>
  </si>
  <si>
    <t>Corporate Acquisition</t>
  </si>
  <si>
    <t>CARRILLO GIRONA Marina</t>
  </si>
  <si>
    <t>PHAN Linh Chau</t>
  </si>
  <si>
    <t>Performance Management</t>
  </si>
  <si>
    <t>Operational Controlling</t>
  </si>
  <si>
    <t>BUC Thomas</t>
  </si>
  <si>
    <t>VETTUKAD Amit</t>
  </si>
  <si>
    <t>User Experience</t>
  </si>
  <si>
    <t>HUYNH Anh Tam</t>
  </si>
  <si>
    <t>Quality Control</t>
  </si>
  <si>
    <t>RAHMANI Rihab</t>
  </si>
  <si>
    <t>NGUYEN Anh Tuan - Richard</t>
  </si>
  <si>
    <t>CAMARET Arthur</t>
  </si>
  <si>
    <t>PHAM Bao Chung</t>
  </si>
  <si>
    <t>HUYNH Van Cop</t>
  </si>
  <si>
    <t>Agile Center</t>
  </si>
  <si>
    <t>PHAN Anh Dung Cuong</t>
  </si>
  <si>
    <t>Software Architecture</t>
  </si>
  <si>
    <t>MATYSIAK Hervé</t>
  </si>
  <si>
    <t>IVAN Alex Constantin</t>
  </si>
  <si>
    <t>Engineering &amp; Architecture</t>
  </si>
  <si>
    <t>BUZZACARO Alain</t>
  </si>
  <si>
    <t>Own transport Total</t>
  </si>
  <si>
    <t>Row Labels</t>
  </si>
  <si>
    <t>Gia đình</t>
  </si>
  <si>
    <t>1 xe 45 người</t>
  </si>
  <si>
    <t>Count</t>
  </si>
  <si>
    <t>Room No,</t>
  </si>
  <si>
    <t>Bus</t>
  </si>
  <si>
    <t>Current</t>
  </si>
  <si>
    <t>Remaining</t>
  </si>
  <si>
    <t>Note</t>
  </si>
  <si>
    <t>Bus Leader</t>
  </si>
  <si>
    <t xml:space="preserve">Leader Mail </t>
  </si>
  <si>
    <t>Uyên + Thảo +</t>
  </si>
  <si>
    <t>I’ll arrange my own transportation Total</t>
  </si>
  <si>
    <t>Hoang Thien + Huynh Chi cuong + Hao la</t>
  </si>
  <si>
    <t xml:space="preserve">Nguyen Hoang Tuan Anh + Tran Thi Ha My (1/2) </t>
  </si>
  <si>
    <t xml:space="preserve">	Van Hieu NGUYEN</t>
  </si>
  <si>
    <t>Nguyen Thi Minh Phuong + Tran Thi Ha My + ACT + Hiếu</t>
  </si>
  <si>
    <t xml:space="preserve">	Thi Minh Phuong NGUYEN</t>
  </si>
  <si>
    <t>Finance + CA</t>
  </si>
  <si>
    <t xml:space="preserve">	Trung Kien NGUYEN</t>
  </si>
  <si>
    <t>IT</t>
  </si>
  <si>
    <t xml:space="preserve">	NGO Trinh Quynh Nhu</t>
  </si>
  <si>
    <t>NGO Trinh Quynh Nhu</t>
  </si>
  <si>
    <t>Xe chờ + Hảo + Ly + HR</t>
  </si>
  <si>
    <t>R-Team + Thomas Buc</t>
  </si>
  <si>
    <t xml:space="preserve">	Diem Thien Nga - Micky HUYNH</t>
  </si>
  <si>
    <t>To update</t>
  </si>
  <si>
    <t>Thai Ly + Tien Nam</t>
  </si>
  <si>
    <t>2 Trang + c Phương + a Hoang</t>
  </si>
  <si>
    <t>Ha MY + Thao + Uyen</t>
  </si>
  <si>
    <t>Hoang Thien + Huynh Chi cuong + Hao la + Tuan Anh</t>
  </si>
  <si>
    <t>Duc Quy + Minh Phương</t>
  </si>
  <si>
    <t>NGUYEN Thai Ly + HA Phuong Thao + HO Nguyen Hong Uyen + Nguyen Tien Nam</t>
  </si>
  <si>
    <t>Nguyen Hoang Tuan Anh + Tran Thi Ha My (1/2) + Nguyen Tien Nam</t>
  </si>
  <si>
    <t>Nguyen Thi Minh Phuong + Tran Thi Ha My + Delivery</t>
  </si>
  <si>
    <t>Xe chờ + Duc QUY</t>
  </si>
  <si>
    <t>R-Team + Thomas Buc + Managers/Directors</t>
  </si>
  <si>
    <t>I’ll take the company bus Total</t>
  </si>
  <si>
    <t>GUÉRET Thomas</t>
  </si>
  <si>
    <t>EmployeeId</t>
  </si>
  <si>
    <t>FullName</t>
  </si>
  <si>
    <t>ManagerFullName</t>
  </si>
  <si>
    <t>Governance</t>
  </si>
  <si>
    <t>Department</t>
  </si>
  <si>
    <t>EmployeeStatus</t>
  </si>
  <si>
    <t>NGUYEN Xuan Tu</t>
  </si>
  <si>
    <t>xnguyen1@mantu.com</t>
  </si>
  <si>
    <t>cpham@mantu.com</t>
  </si>
  <si>
    <t>TRAN Thai Hung</t>
  </si>
  <si>
    <t>kcap@mantu.com</t>
  </si>
  <si>
    <t>GIRALT ARRES Sara</t>
  </si>
  <si>
    <t>aivan@mantu.com</t>
  </si>
  <si>
    <t>LE Van Khanh</t>
  </si>
  <si>
    <t>NGUYEN Hoang Duy</t>
  </si>
  <si>
    <t>HOANG Vinh Thang</t>
  </si>
  <si>
    <t>VALCKE Marine</t>
  </si>
  <si>
    <t>Digital Workplace</t>
  </si>
  <si>
    <t>hmatysiak@mantu.com</t>
  </si>
  <si>
    <t>CHAU Phu Qui</t>
  </si>
  <si>
    <t>LUONG Thuan Thanh</t>
  </si>
  <si>
    <t>TRAN Tuan Kiet</t>
  </si>
  <si>
    <t>ttran7@mantu.com</t>
  </si>
  <si>
    <t>TAI Dai Che Phuong</t>
  </si>
  <si>
    <t>hmai@mantu.com</t>
  </si>
  <si>
    <t>CIOARA Dan Flavius</t>
  </si>
  <si>
    <t>Unified Communication</t>
  </si>
  <si>
    <t>LE NGUYEN HOANG Phuong</t>
  </si>
  <si>
    <t>VO Van Ket</t>
  </si>
  <si>
    <t>NGUYEN Tuan Dong</t>
  </si>
  <si>
    <t>dnguyen5@mantu.com</t>
  </si>
  <si>
    <t>NGO Hoang Vu</t>
  </si>
  <si>
    <t>CAO Quoc Tuan</t>
  </si>
  <si>
    <t>qcao@mantu.com</t>
  </si>
  <si>
    <t>DUONG Thai Kiet</t>
  </si>
  <si>
    <t>tduong1@mantu.com</t>
  </si>
  <si>
    <t>NGUYEN Minh Dat</t>
  </si>
  <si>
    <t>dnguyen6@mantu.com</t>
  </si>
  <si>
    <t>PHAM Do Thuy Tien</t>
  </si>
  <si>
    <t>LE Duc Tai</t>
  </si>
  <si>
    <t>tleduc@mantu.com</t>
  </si>
  <si>
    <t>HO Tuan Huy</t>
  </si>
  <si>
    <t>NGUYEN Tuan Anh</t>
  </si>
  <si>
    <t>NGUYEN Le Quang Hung</t>
  </si>
  <si>
    <t>hnguyen13@mantu.com</t>
  </si>
  <si>
    <t>VINH Hoang Le Nguyen</t>
  </si>
  <si>
    <t>GUIGUEN Clément</t>
  </si>
  <si>
    <t>HO Quang Khai</t>
  </si>
  <si>
    <t>khai.hoquang@littlebigconnection.com</t>
  </si>
  <si>
    <t>PHAM Hoang Xuan Thinh</t>
  </si>
  <si>
    <t>LittleBIG Connection</t>
  </si>
  <si>
    <t>LB Software Engineering</t>
  </si>
  <si>
    <t>thuynh4@mantu.com</t>
  </si>
  <si>
    <t>DANG Quang Khoa</t>
  </si>
  <si>
    <t>qdang@amaris.com</t>
  </si>
  <si>
    <t>NGO Nguyen Tien Phat</t>
  </si>
  <si>
    <t>nguyentien.ngo@amaris.com</t>
  </si>
  <si>
    <t>HUYNH Minh Trac</t>
  </si>
  <si>
    <t>htrac@mantu.com</t>
  </si>
  <si>
    <t>NGUYEN Quoc Ai</t>
  </si>
  <si>
    <t>qnguyen7@mantu.com</t>
  </si>
  <si>
    <t>NGUYEN Thanh Tai</t>
  </si>
  <si>
    <t>LE Ngoc Huy</t>
  </si>
  <si>
    <t>NGUYEN Duy Phuong</t>
  </si>
  <si>
    <t>NGUYEN Thi Thuy Diem</t>
  </si>
  <si>
    <t>tnguyen40@mantu.com</t>
  </si>
  <si>
    <t>VAN Cong Tuan</t>
  </si>
  <si>
    <t>LUONG Quoc Khang</t>
  </si>
  <si>
    <t>luong.quockhang@amaris.com</t>
  </si>
  <si>
    <t>tphanthiha@amaris.com</t>
  </si>
  <si>
    <t>CHATELIER Eva Hélène</t>
  </si>
  <si>
    <t>tnguyen41@mantu.com</t>
  </si>
  <si>
    <t>GILSON Romane</t>
  </si>
  <si>
    <t>DAU Thi Huyen Trang</t>
  </si>
  <si>
    <t>tdau@mantu.com</t>
  </si>
  <si>
    <t>NGUYEN Thanh Hoang</t>
  </si>
  <si>
    <t>NGUYEN Phuong Thao</t>
  </si>
  <si>
    <t>PHAM Van Tinh</t>
  </si>
  <si>
    <t>NGUYEN Trung Nghia</t>
  </si>
  <si>
    <t>NGUYEN Thi Thanh Nhan</t>
  </si>
  <si>
    <t>TRAN Thi Anh Minh</t>
  </si>
  <si>
    <t>PHAM Hoang Duy Duc</t>
  </si>
  <si>
    <t>LE Nam Kha</t>
  </si>
  <si>
    <t>NGUYEN Trung Kien</t>
  </si>
  <si>
    <t>TRAN Huynh Nhat Tan</t>
  </si>
  <si>
    <t>PHAN Khanh Linh</t>
  </si>
  <si>
    <t>NGUYEN Duc Tung</t>
  </si>
  <si>
    <t>OSBORNE Luke</t>
  </si>
  <si>
    <t>DevOps</t>
  </si>
  <si>
    <t>VU Thi Thuy Dung</t>
  </si>
  <si>
    <t>TRUONG Thi Ha Trang</t>
  </si>
  <si>
    <t>trang.truongthiha@amaris.com</t>
  </si>
  <si>
    <t>GUPTA Shrey</t>
  </si>
  <si>
    <t>PHAM Cong Quan</t>
  </si>
  <si>
    <t>BUI Thanh Xuan</t>
  </si>
  <si>
    <t>thinh.pham@littlebigconnection.com</t>
  </si>
  <si>
    <t>FARIAS Rafael</t>
  </si>
  <si>
    <t>PHAM Yen Duyen</t>
  </si>
  <si>
    <t>NGUYEN Minh Phuoc</t>
  </si>
  <si>
    <t>DO Kim Anh</t>
  </si>
  <si>
    <t>LE Tuong Khuyen</t>
  </si>
  <si>
    <t>NGUYEN Tuan Minh</t>
  </si>
  <si>
    <t>mnguyen8@mantu.com</t>
  </si>
  <si>
    <t>VO Huynh Duc Huy</t>
  </si>
  <si>
    <t>ALLARD Loris</t>
  </si>
  <si>
    <t>Database Administration</t>
  </si>
  <si>
    <t>DINH Vu Duy</t>
  </si>
  <si>
    <t>TRINH Xuan Thuong</t>
  </si>
  <si>
    <t>NGUYEN Huy Hoang</t>
  </si>
  <si>
    <t>NGUYEN Van Hieu</t>
  </si>
  <si>
    <t>LAI Thien Vu</t>
  </si>
  <si>
    <t>thienvu.lai@amaris.com</t>
  </si>
  <si>
    <t>NGUYEN Huy Cuong</t>
  </si>
  <si>
    <t>huycuong.nguyen@amaris.com</t>
  </si>
  <si>
    <t>NGUYEN Anh Tuan - Tl</t>
  </si>
  <si>
    <t>NGUYEN Truong An</t>
  </si>
  <si>
    <t>LE Duy Hanh</t>
  </si>
  <si>
    <t>DANG Ngoc Khanh Linh</t>
  </si>
  <si>
    <t>NGUYEN Trinh Tung</t>
  </si>
  <si>
    <t>nguyen.trinhtung@amaris.com</t>
  </si>
  <si>
    <t>LE Ho Bao Thy</t>
  </si>
  <si>
    <t>TRAN Xuan Vu</t>
  </si>
  <si>
    <t>PHAM Nghi Lam</t>
  </si>
  <si>
    <t>VO Huynh Chi Tin</t>
  </si>
  <si>
    <t>NGUYEN Thi Kim Khanh</t>
  </si>
  <si>
    <t>nkhanh@amaris.com</t>
  </si>
  <si>
    <t>LE Lan Vy</t>
  </si>
  <si>
    <t>VU Thi Phuong Thao</t>
  </si>
  <si>
    <t>NGO Nguyen Bang</t>
  </si>
  <si>
    <t>DANG Quoc Anh - Qc</t>
  </si>
  <si>
    <t>TRAN Ngoc Quoc</t>
  </si>
  <si>
    <t>MAI Quoc Nhu Nhat Phung</t>
  </si>
  <si>
    <t>quocnhu.mai@amaris.com</t>
  </si>
  <si>
    <t>NGUYEN Van Thanh Thuan</t>
  </si>
  <si>
    <t>NGUYEN Minh Man</t>
  </si>
  <si>
    <t>minhman.nguyen@amaris.com</t>
  </si>
  <si>
    <t>NGUYEN Hoai Khanh Linh</t>
  </si>
  <si>
    <t>lnguyenhoaikhanh@mantu.com</t>
  </si>
  <si>
    <t>THAN Quang Truong</t>
  </si>
  <si>
    <t>truong.than@amaris.com</t>
  </si>
  <si>
    <t>DANG Van Trien</t>
  </si>
  <si>
    <t>TRAN Thi Ngoc Anh</t>
  </si>
  <si>
    <t>thingoc.tran@amaris.com</t>
  </si>
  <si>
    <t>TRAN Quynh Diem Tran</t>
  </si>
  <si>
    <t>qtran4@amaris.com</t>
  </si>
  <si>
    <t>PHAM Trung Kien</t>
  </si>
  <si>
    <t>NGUYEN Vu Phuong</t>
  </si>
  <si>
    <t>LE Thanh Tuong</t>
  </si>
  <si>
    <t>tle14@mantu.com</t>
  </si>
  <si>
    <t>VO Ba Long</t>
  </si>
  <si>
    <t>lvo2@mantu.com</t>
  </si>
  <si>
    <t>HUYNH Thi Hong Tham</t>
  </si>
  <si>
    <t>hongtham.huynhthi@amaris.com</t>
  </si>
  <si>
    <t>HA Thanh Huong</t>
  </si>
  <si>
    <t>DANG Quoc Anh</t>
  </si>
  <si>
    <t>HA Huyen Trang</t>
  </si>
  <si>
    <t>NGUYEN Thi Nhat Le</t>
  </si>
  <si>
    <t>nhatle.nguyenthi@amaris.com</t>
  </si>
  <si>
    <t>LE Dinh Van</t>
  </si>
  <si>
    <t>PHAN Nguyen Quynh Nhu</t>
  </si>
  <si>
    <t>nphan1@mantu.com</t>
  </si>
  <si>
    <t>HO Thi Lanh</t>
  </si>
  <si>
    <t>DINH Thi Ngoc Thuy</t>
  </si>
  <si>
    <t>DO Thi Hue</t>
  </si>
  <si>
    <t>LE Thanh Phuoc</t>
  </si>
  <si>
    <t>HUYNH Ba Nghi</t>
  </si>
  <si>
    <t>NGUYEN Quoc Oai</t>
  </si>
  <si>
    <t>quocoai.nguyen@amaris.com</t>
  </si>
  <si>
    <t>VU Phuong</t>
  </si>
  <si>
    <t>LE Minh Nghi</t>
  </si>
  <si>
    <t>PHAM Van Toan</t>
  </si>
  <si>
    <t>NGUYEN Huynh Duy Duc</t>
  </si>
  <si>
    <t>rnguyen@mantu.com</t>
  </si>
  <si>
    <t>VU Huu Truong</t>
  </si>
  <si>
    <t>TRAN Thi Minh Phuong</t>
  </si>
  <si>
    <t>NGUYEN Duc Thien</t>
  </si>
  <si>
    <t>ducthien.nguyen@amaris.com</t>
  </si>
  <si>
    <t>NGUYEN Ha Phuong</t>
  </si>
  <si>
    <t>hnguyen18@mantu.com</t>
  </si>
  <si>
    <t>DANG Truong Tho</t>
  </si>
  <si>
    <t>TRAN Ngoc Trang Dai</t>
  </si>
  <si>
    <t>LE Huu Tung</t>
  </si>
  <si>
    <t>LE Dang Quang</t>
  </si>
  <si>
    <t>NGUYEN Huu Quy</t>
  </si>
  <si>
    <t>hnguyen19@mantu.com</t>
  </si>
  <si>
    <t>VU Song Toan</t>
  </si>
  <si>
    <t>DINH Xuan Huy</t>
  </si>
  <si>
    <t>xuanhuy.dinh@amaris.com</t>
  </si>
  <si>
    <t>HUYNH Nguyen Tuan Anh</t>
  </si>
  <si>
    <t>tuananh.nguyenhuynh@amaris.com</t>
  </si>
  <si>
    <t>HOANG Dinh Hung</t>
  </si>
  <si>
    <t>dinhhung.hoang@amaris.com</t>
  </si>
  <si>
    <t>NGUYEN Chau Giang</t>
  </si>
  <si>
    <t>VU Hoang Quan</t>
  </si>
  <si>
    <t>hvu5@mantu.com</t>
  </si>
  <si>
    <t>HOANG Trung Thong</t>
  </si>
  <si>
    <t>PHAN Anh Quan</t>
  </si>
  <si>
    <t>NGUYEN Dang Khoa</t>
  </si>
  <si>
    <t>dangkhoa.nguyen@amaris.com</t>
  </si>
  <si>
    <t>NGUYEN Thu Hong</t>
  </si>
  <si>
    <t>NGUYEN Ngoc Nguyen Ngan - Emily</t>
  </si>
  <si>
    <t>TRAN Quang Tin</t>
  </si>
  <si>
    <t>BUI Cong Danh</t>
  </si>
  <si>
    <t>HOANG Kieu Anh</t>
  </si>
  <si>
    <t>DIEP Tue Quan</t>
  </si>
  <si>
    <t>PHAM Ngoc Thanh</t>
  </si>
  <si>
    <t>LA Hoang Tu</t>
  </si>
  <si>
    <t>NGUYEN Quang Nien</t>
  </si>
  <si>
    <t>PHAM Ngoc Thuy Trang</t>
  </si>
  <si>
    <t>DOAN Hoang Minh</t>
  </si>
  <si>
    <t>LE Thanh Tung</t>
  </si>
  <si>
    <t>PHAM Khanh</t>
  </si>
  <si>
    <t>PHAN Manh Cuong</t>
  </si>
  <si>
    <t>mphan2@mantu.com</t>
  </si>
  <si>
    <t>NGUYEN Dang Tung</t>
  </si>
  <si>
    <t>tnguyen52@mantu.com</t>
  </si>
  <si>
    <t>NGUYEN Tri Hung</t>
  </si>
  <si>
    <t>DO Minh</t>
  </si>
  <si>
    <t>minh.do1@amaris.com</t>
  </si>
  <si>
    <t>DINH Ho Gia Nguyen</t>
  </si>
  <si>
    <t>LE Minh Phuong</t>
  </si>
  <si>
    <t>phuong.leminh@littlebigconnection.com</t>
  </si>
  <si>
    <t>AKAICHI Hajer</t>
  </si>
  <si>
    <t>NGUYEN Hong Chuong</t>
  </si>
  <si>
    <t>TON That Viet Anh</t>
  </si>
  <si>
    <t>NGUYEN Thanh Son</t>
  </si>
  <si>
    <t>VUONG Thi Hoa</t>
  </si>
  <si>
    <t>NGUYEN Thuy Dan</t>
  </si>
  <si>
    <t>tnguyen5@mantu.com</t>
  </si>
  <si>
    <t>PHAM Van Tai</t>
  </si>
  <si>
    <t>HA Thu Trang</t>
  </si>
  <si>
    <t>tha3@mantu.com</t>
  </si>
  <si>
    <t>SIERRA Juan Ignacio</t>
  </si>
  <si>
    <t>NGUYEN Hoai Nhu Y</t>
  </si>
  <si>
    <t>TRUONG Thi Phuong Thao</t>
  </si>
  <si>
    <t>PHAN Xuan Quang</t>
  </si>
  <si>
    <t>VO Ba Hoang Viet</t>
  </si>
  <si>
    <t>NGUYEN Thanh Dat</t>
  </si>
  <si>
    <t>NGUYEN Minh Quoc</t>
  </si>
  <si>
    <t>mnguyen11@mantu.com</t>
  </si>
  <si>
    <t>PHAM Huu Khoi Nguyen</t>
  </si>
  <si>
    <t>LE Thi Mai Anh</t>
  </si>
  <si>
    <t>PHAN Thanh Nhan</t>
  </si>
  <si>
    <t>HO Vu Nguyen Ngoc</t>
  </si>
  <si>
    <t>vunguyen.ho@amaris.com</t>
  </si>
  <si>
    <t>TRAN Minh Quang</t>
  </si>
  <si>
    <t>NGUYEN Thien Hieu</t>
  </si>
  <si>
    <t>thienhieu.nguyen@amaris.com</t>
  </si>
  <si>
    <t>VO Minh Hieu</t>
  </si>
  <si>
    <t>minhhieu.vo@amaris.com</t>
  </si>
  <si>
    <t>CAO Van Tien</t>
  </si>
  <si>
    <t>LE Thi Ngoc Mai</t>
  </si>
  <si>
    <t>HOANG Bao An</t>
  </si>
  <si>
    <t>NGUYEN Le Man Dat</t>
  </si>
  <si>
    <t>NGUYEN Hoang Thanh Thanh</t>
  </si>
  <si>
    <t>NGUYEN Quynh Mai</t>
  </si>
  <si>
    <t>TRAN Pham Khanh Linh</t>
  </si>
  <si>
    <t>DANG Hai Trieu</t>
  </si>
  <si>
    <t>DOAN Le Bao Tram - Rachel</t>
  </si>
  <si>
    <t>NGUYEN Duc Quang Vinh</t>
  </si>
  <si>
    <t>PHAM Nhat Khang</t>
  </si>
  <si>
    <t>npham@amaris.com</t>
  </si>
  <si>
    <t>DANG Minh Thu</t>
  </si>
  <si>
    <t>NGUYEN Kim Cong</t>
  </si>
  <si>
    <t>MAI Thien Bon</t>
  </si>
  <si>
    <t>tmai2@mantu.com</t>
  </si>
  <si>
    <t>LE Huynh Minh Quang</t>
  </si>
  <si>
    <t>huynhminh.le@amaris.com</t>
  </si>
  <si>
    <t>LE Thi Thanh Huong</t>
  </si>
  <si>
    <t>PHAM Hoang Phat</t>
  </si>
  <si>
    <t>pphamhoang@mantu.com</t>
  </si>
  <si>
    <t>NGUYEN Tuan Khoi</t>
  </si>
  <si>
    <t>HUYNH Cong Khanh</t>
  </si>
  <si>
    <t>HUYNH Ngoc Hoa</t>
  </si>
  <si>
    <t>NGUYEN Trieu Minh</t>
  </si>
  <si>
    <t>tnguyen59@mantu.com</t>
  </si>
  <si>
    <t>HUYNH Diem Thien Nga - Micky</t>
  </si>
  <si>
    <t>DINH Tien Khoi</t>
  </si>
  <si>
    <t>NGUYEN Minh Dang</t>
  </si>
  <si>
    <t>dnguyenminh@mantu.com</t>
  </si>
  <si>
    <t>NGUYEN Le Minh Trang</t>
  </si>
  <si>
    <t>NGUYEN Thanh An</t>
  </si>
  <si>
    <t>an.nguyenthanh@amaris.com</t>
  </si>
  <si>
    <t>NGUYEN Thanh Loc</t>
  </si>
  <si>
    <t>PHAM Huu Nghia</t>
  </si>
  <si>
    <t>LE Thi Ngoc Diep</t>
  </si>
  <si>
    <t>HOANG Minh</t>
  </si>
  <si>
    <t>minh.hoang@amaris.com</t>
  </si>
  <si>
    <t>NGUYEN Cong Duy</t>
  </si>
  <si>
    <t>duy.nguyencong@amaris.com</t>
  </si>
  <si>
    <t>PHAM Nguyen Duc Huy</t>
  </si>
  <si>
    <t>NGUYEN Thi Hong Hanh</t>
  </si>
  <si>
    <t>hanh.nguyen1@littlebigconnection.com</t>
  </si>
  <si>
    <t>NGUYEN Duy Phong</t>
  </si>
  <si>
    <t>PHAM Do Nhat Minh</t>
  </si>
  <si>
    <t>TRINH Nguyet Nuong</t>
  </si>
  <si>
    <t>ntrinhnguyet@mantu.com</t>
  </si>
  <si>
    <t>NGUYEN Hoang Hai</t>
  </si>
  <si>
    <t>NGUYEN Thanh Trung</t>
  </si>
  <si>
    <t>NGUYEN Truong Thi</t>
  </si>
  <si>
    <t>NGUYEN HUU Thanh Nam</t>
  </si>
  <si>
    <t>HO Van Vinh</t>
  </si>
  <si>
    <t>LE Thanh Duc</t>
  </si>
  <si>
    <t>NGUYEN Thi Lan Anh</t>
  </si>
  <si>
    <t>tnguyen7@mantu.com</t>
  </si>
  <si>
    <t>LB Operational Finance</t>
  </si>
  <si>
    <t>LE Ngoc Khanh</t>
  </si>
  <si>
    <t>LE Thi Tu Quyen</t>
  </si>
  <si>
    <t>LE Quang Phuoc</t>
  </si>
  <si>
    <t>qle1@mantu.com</t>
  </si>
  <si>
    <t>CAO Chien Hao</t>
  </si>
  <si>
    <t>LE Hoang Quoc Bao</t>
  </si>
  <si>
    <t>CAO Trung Nghia</t>
  </si>
  <si>
    <t>NGUYEN Phuoc An Vu</t>
  </si>
  <si>
    <t>phuocan.nguyen@amaris.com</t>
  </si>
  <si>
    <t>LE Nguyen Nhat Anh</t>
  </si>
  <si>
    <t>TRAN Ngoc Phuong Uyen</t>
  </si>
  <si>
    <t>VU Ngoc Bao Han</t>
  </si>
  <si>
    <t>NGUYEN Kim Gia Huy</t>
  </si>
  <si>
    <t>TRAN Viet Hoang</t>
  </si>
  <si>
    <t>NGUYEN Hoang Ha Quyen</t>
  </si>
  <si>
    <t>VU Le Thai Ngoc</t>
  </si>
  <si>
    <t>lvu@amaris.com</t>
  </si>
  <si>
    <t>COURVOISIER Estelle</t>
  </si>
  <si>
    <t>NGO Tung Lam</t>
  </si>
  <si>
    <t>VO Dinh Phuoc Trung</t>
  </si>
  <si>
    <t>dvo1@mantu.com</t>
  </si>
  <si>
    <t>NGUYEN Thi Quynh Lien</t>
  </si>
  <si>
    <t>PHAM Hoang Mai Quyen</t>
  </si>
  <si>
    <t>NGUYEN Duy Nhat</t>
  </si>
  <si>
    <t>PHAM Le Khanh Chi</t>
  </si>
  <si>
    <t>TRAN Huu Thanh Tam</t>
  </si>
  <si>
    <t>NONG Thi Nguyet</t>
  </si>
  <si>
    <t>PHAN Do Gia Huy</t>
  </si>
  <si>
    <t>DAO Hong Son</t>
  </si>
  <si>
    <t>VO Trong Dien</t>
  </si>
  <si>
    <t>trongdien.vo@amaris.com</t>
  </si>
  <si>
    <t>LU Tran Thuy Linh</t>
  </si>
  <si>
    <t>VU Cong Duc</t>
  </si>
  <si>
    <t>congduc.vu@amaris.com</t>
  </si>
  <si>
    <t>HUYNH Huu Vinh</t>
  </si>
  <si>
    <t>huuvinh.huynh@amaris.com</t>
  </si>
  <si>
    <t>BUI Cuong</t>
  </si>
  <si>
    <t>TRAN Van Do</t>
  </si>
  <si>
    <t>VO NGOC Duy Nguyen</t>
  </si>
  <si>
    <t>NGUYEN Tan Hoang</t>
  </si>
  <si>
    <t>NGUYEN Quoc Hai Thanh</t>
  </si>
  <si>
    <t>LAM Bao Quyen</t>
  </si>
  <si>
    <t>DANG Hai Binh</t>
  </si>
  <si>
    <t>DINH Vu Bao Ngan</t>
  </si>
  <si>
    <t>vdinh@mantu.com</t>
  </si>
  <si>
    <t>NGUYEN Hoa Binh</t>
  </si>
  <si>
    <t>hoabinh.nguyen@amaris.com</t>
  </si>
  <si>
    <t>NGUYEN Ngoc Tuan</t>
  </si>
  <si>
    <t>TA THI Ngoc Tran</t>
  </si>
  <si>
    <t>CAO Thi Yen Khoa</t>
  </si>
  <si>
    <t>NGUYEN Thi Viet Trinh</t>
  </si>
  <si>
    <t>TRAN Thi Tram Ngan</t>
  </si>
  <si>
    <t>HUYNH Truong Huu Thanh</t>
  </si>
  <si>
    <t>truonghuu.huynh@amaris.com</t>
  </si>
  <si>
    <t>NGO Hung Vuong</t>
  </si>
  <si>
    <t>hungvuong.ngo@amaris.com</t>
  </si>
  <si>
    <t>PHAN Dai Duong</t>
  </si>
  <si>
    <t>LE Ngoc Minh</t>
  </si>
  <si>
    <t>ngocminh.le@amaris.com</t>
  </si>
  <si>
    <t>NGUYEN HUYNH Thanh Phuc</t>
  </si>
  <si>
    <t>NGUYEN Phuc Loi</t>
  </si>
  <si>
    <t>phucloi.nguyen@amaris.com</t>
  </si>
  <si>
    <t>CAO Nguyen Huy Hoang</t>
  </si>
  <si>
    <t>ncao@mantu.com</t>
  </si>
  <si>
    <t>CAO Duc Minh</t>
  </si>
  <si>
    <t>NGUYEN LE Chi Tam</t>
  </si>
  <si>
    <t>MAI Binh Nam</t>
  </si>
  <si>
    <t>HA Bao Khang</t>
  </si>
  <si>
    <t>TRAN Dinh Lam</t>
  </si>
  <si>
    <t>DANG Duy Duc</t>
  </si>
  <si>
    <t>duyduc.dang@amaris.com</t>
  </si>
  <si>
    <t>NGUYEN Nhu Vien</t>
  </si>
  <si>
    <t>NGUYEN Huu Minh Quan</t>
  </si>
  <si>
    <t>hnguyen12@mantu.com</t>
  </si>
  <si>
    <t>PIGACHE Hugo</t>
  </si>
  <si>
    <t>HA Quang Trinh</t>
  </si>
  <si>
    <t>PHAM THUY Thai An</t>
  </si>
  <si>
    <t>TRAN Phuc Thinh</t>
  </si>
  <si>
    <t>CHAU Thanh Duy</t>
  </si>
  <si>
    <t>PHAM Anh Quoc</t>
  </si>
  <si>
    <t>PHAM Tran Thao Vy</t>
  </si>
  <si>
    <t>VO Tran Phuong Nga</t>
  </si>
  <si>
    <t>TRAN Quoc Linh</t>
  </si>
  <si>
    <t>LE Hoang Dung</t>
  </si>
  <si>
    <t>NGUYEN Quang Huy</t>
  </si>
  <si>
    <t>quanghuy.nguyen@amaris.com</t>
  </si>
  <si>
    <t>NGUYEN Tien Manh</t>
  </si>
  <si>
    <t>NGUYEN Anh Quan</t>
  </si>
  <si>
    <t>anhquan.nguyen@amaris.com</t>
  </si>
  <si>
    <t>VAN Duc Thanh</t>
  </si>
  <si>
    <t>NGUYEN Luu Bao</t>
  </si>
  <si>
    <t>DANG Minh Quan</t>
  </si>
  <si>
    <t>NGUYEN Truong Duy</t>
  </si>
  <si>
    <t>nguyen.truongduy@amaris.com</t>
  </si>
  <si>
    <t>LY Lam Chi Khang</t>
  </si>
  <si>
    <t>TA Thi My Hanh</t>
  </si>
  <si>
    <t>PHAN Van Quang</t>
  </si>
  <si>
    <t>vanquang.phan@amaris.com</t>
  </si>
  <si>
    <t>LE Minh Tan</t>
  </si>
  <si>
    <t>minhtan.le@amaris.com</t>
  </si>
  <si>
    <t>TRAN Minh Tan</t>
  </si>
  <si>
    <t>PHAM Huu Vinh</t>
  </si>
  <si>
    <t>NGUYEN LE Anh Thu</t>
  </si>
  <si>
    <t>anhthu.nguyenle@amaris.com</t>
  </si>
  <si>
    <t>PHAM Nguyen Trong Tuan</t>
  </si>
  <si>
    <t>NGUYEN LE Duan</t>
  </si>
  <si>
    <t>HA THI NGOC Linh</t>
  </si>
  <si>
    <t>linh.ha@amaris.com</t>
  </si>
  <si>
    <t>TANG THI Lan Anh</t>
  </si>
  <si>
    <t>lananh.tangthi@amaris.com</t>
  </si>
  <si>
    <t>HOANG Dinh Anh Quoc</t>
  </si>
  <si>
    <t>NGUYEN Dinh Tien Dung</t>
  </si>
  <si>
    <t>DANG Quoc Nhat</t>
  </si>
  <si>
    <t>quocnhat.dang@amaris.com</t>
  </si>
  <si>
    <t>DINH THI Tu Uyen</t>
  </si>
  <si>
    <t>HA THI Phuong Linh</t>
  </si>
  <si>
    <t>phuonglinh.hathi@amaris.com</t>
  </si>
  <si>
    <t>DO Nguyen Phuong</t>
  </si>
  <si>
    <t>NGUYEN Huu Vinh</t>
  </si>
  <si>
    <t>NGUYEN Ha Nhi</t>
  </si>
  <si>
    <t>LUONG Thi Tram Anh</t>
  </si>
  <si>
    <t>NGUYEN Huy Tri</t>
  </si>
  <si>
    <t>NGUYEN Khac Duy</t>
  </si>
  <si>
    <t>NGUYEN Tien Huynh</t>
  </si>
  <si>
    <t>HOANG Phu Loc</t>
  </si>
  <si>
    <t>NGUYEN Hai Nam</t>
  </si>
  <si>
    <t>PHAN An Di</t>
  </si>
  <si>
    <t>andi.phan@amaris.com</t>
  </si>
  <si>
    <t>NGUYEN Anh Khoa</t>
  </si>
  <si>
    <t>PHUNG Quoc Hung</t>
  </si>
  <si>
    <t>NGUYEN SY Nguyen Ngoc</t>
  </si>
  <si>
    <t>KHUAT Van Thanh Danh</t>
  </si>
  <si>
    <t>MAI Huu Ngan</t>
  </si>
  <si>
    <t>LE Minh Thuan</t>
  </si>
  <si>
    <t>CAO Hoai Sang</t>
  </si>
  <si>
    <t>CHUNG Khanh Gia</t>
  </si>
  <si>
    <t>NGUYEN Chi Hau</t>
  </si>
  <si>
    <t>NGUYEN Ngoc Thao My</t>
  </si>
  <si>
    <t>TRINH LE THAO Uyen</t>
  </si>
  <si>
    <t>TRAN Thi Anh Thu</t>
  </si>
  <si>
    <t>TRAN Huu Phuc - Tony</t>
  </si>
  <si>
    <t>NGUYEN Anh Tuan</t>
  </si>
  <si>
    <t>DO Binh Duong</t>
  </si>
  <si>
    <t>LE Thi Hanh Ngan</t>
  </si>
  <si>
    <t>tle17@amaris.com</t>
  </si>
  <si>
    <t>Cash Management</t>
  </si>
  <si>
    <t>PHAM Minh Tuan</t>
  </si>
  <si>
    <t>HO Thanh Phong</t>
  </si>
  <si>
    <t>LE Van Tam</t>
  </si>
  <si>
    <t>vle4@mantu.com</t>
  </si>
  <si>
    <t>NGUYEN Gia Huy</t>
  </si>
  <si>
    <t>hnguyen20@mantu.com</t>
  </si>
  <si>
    <t>NGUYEN Hoang Long</t>
  </si>
  <si>
    <t>PHAN Thi Kieu Tien</t>
  </si>
  <si>
    <t>PHAM Trung Hieu</t>
  </si>
  <si>
    <t>NGUYEN Dang Thuy Duong</t>
  </si>
  <si>
    <t>LE Thi My Tam - Cindy</t>
  </si>
  <si>
    <t>NGUYEN The Dao</t>
  </si>
  <si>
    <t>thedao.nguyen@amaris.com</t>
  </si>
  <si>
    <t>VO Tuong Duy</t>
  </si>
  <si>
    <t>PHAN Nhu Hai Luu</t>
  </si>
  <si>
    <t>NGUYEN Huu Thinh</t>
  </si>
  <si>
    <t>NGUYEN Le Kim Ngan</t>
  </si>
  <si>
    <t>TRUONG HUY Hoang Anh</t>
  </si>
  <si>
    <t>hoanganh.truonghuy@amaris.com</t>
  </si>
  <si>
    <t>PHAM Thuy Anh Thu</t>
  </si>
  <si>
    <t>thuyanh.pham@amaris.com</t>
  </si>
  <si>
    <t>NGUYEN Huu Nam Quang</t>
  </si>
  <si>
    <t>hnguyen5@mantu.com</t>
  </si>
  <si>
    <t>PHAM Dang Khoa</t>
  </si>
  <si>
    <t>NGUYEN Thi Quynh Phuong</t>
  </si>
  <si>
    <t>DO Quang Trung</t>
  </si>
  <si>
    <t>HUYNH Duy Khoa</t>
  </si>
  <si>
    <t>dhuynh@mantu.com</t>
  </si>
  <si>
    <t>HOANG Xuan Dat</t>
  </si>
  <si>
    <t>VO Van Vuong</t>
  </si>
  <si>
    <t>vanvuong.vo@amaris.com</t>
  </si>
  <si>
    <t>HOANG Lam Tam Nhu</t>
  </si>
  <si>
    <t>DAO Ngoc Gia Thoai</t>
  </si>
  <si>
    <t>VO Dinh Que Chau</t>
  </si>
  <si>
    <t>LE Chau Sy Dat</t>
  </si>
  <si>
    <t>TRAN Nhat Minh</t>
  </si>
  <si>
    <t>TRAN Tuan Thanh</t>
  </si>
  <si>
    <t>NGUYEN Hoang Minh</t>
  </si>
  <si>
    <t>PHAN Tung Duy</t>
  </si>
  <si>
    <t>tungduy.phan@amaris.com</t>
  </si>
  <si>
    <t>PHAM Tien Dat</t>
  </si>
  <si>
    <t>NGUYEN Thi Ha Trang</t>
  </si>
  <si>
    <t>DOAN Thien Trang</t>
  </si>
  <si>
    <t>PHAN Thanh Dat</t>
  </si>
  <si>
    <t>thanhdat.phan@amaris.com</t>
  </si>
  <si>
    <t>NGO Minh Tai</t>
  </si>
  <si>
    <t>mngo@mantu.com</t>
  </si>
  <si>
    <t>TRAN Nhut Trung</t>
  </si>
  <si>
    <t>ntran1@mantu.com</t>
  </si>
  <si>
    <t>BE Khanh Duy</t>
  </si>
  <si>
    <t>khanhduy.be@amaris.com</t>
  </si>
  <si>
    <t>DAO Kim Nha</t>
  </si>
  <si>
    <t>NGUYEN ANH Tu</t>
  </si>
  <si>
    <t>LUONG Hoang Chi Thien</t>
  </si>
  <si>
    <t>hoangchi.luong@amaris.com</t>
  </si>
  <si>
    <t>LE Phuoc Son</t>
  </si>
  <si>
    <t>LE Van Hao</t>
  </si>
  <si>
    <t>NGUYEN Tan Hoang - Bi</t>
  </si>
  <si>
    <t>NGUYEN Thi Quynh Nhu</t>
  </si>
  <si>
    <t>HA Ngoc My</t>
  </si>
  <si>
    <t>KIEU Quoc Trung</t>
  </si>
  <si>
    <t>xvo@mantu.com</t>
  </si>
  <si>
    <t>BERTHE Damien</t>
  </si>
  <si>
    <t>TRAN Nham Quy</t>
  </si>
  <si>
    <t>NGUYEN Thi Khanh</t>
  </si>
  <si>
    <t>LE Thuy Phuong - Kaitlyn</t>
  </si>
  <si>
    <t>THAI Trung Tin</t>
  </si>
  <si>
    <t>HA Thu</t>
  </si>
  <si>
    <t>thu.ha@amaris.com</t>
  </si>
  <si>
    <t>LE THI Phuong Hang</t>
  </si>
  <si>
    <t>LE Huu Phuc</t>
  </si>
  <si>
    <t>DO Hieu Minh</t>
  </si>
  <si>
    <t>PHAM Chi Truong - Chris</t>
  </si>
  <si>
    <t>cpham2@mantu.com</t>
  </si>
  <si>
    <t>BUNDHOO Hashim Mohammad</t>
  </si>
  <si>
    <t>Financial Account Management</t>
  </si>
  <si>
    <t>DANG MINH Nhat</t>
  </si>
  <si>
    <t>NGUYEN Hai Thien</t>
  </si>
  <si>
    <t>HONG Yen Xuan</t>
  </si>
  <si>
    <t>DOAN Minh Khanh</t>
  </si>
  <si>
    <t>minhkhanh.doan@amaris.com</t>
  </si>
  <si>
    <t>TRAN TRUONG Ngoc Han</t>
  </si>
  <si>
    <t>ngochan.trantruong@amaris.com</t>
  </si>
  <si>
    <t>NGUYEN Phuc Anh Khoi</t>
  </si>
  <si>
    <t>NGO Minh Trung</t>
  </si>
  <si>
    <t>minhtrung.ngo@amaris.com</t>
  </si>
  <si>
    <t>NGUYEN Ho Ngoc Tran</t>
  </si>
  <si>
    <t>LE Xuan Tung</t>
  </si>
  <si>
    <t>NGUYEN Thi Thanh Thao</t>
  </si>
  <si>
    <t>BUI Minh Nhat</t>
  </si>
  <si>
    <t>NGUYEN NGOC HONG Hanh</t>
  </si>
  <si>
    <t>KHAN Mohammed Zaffrulla</t>
  </si>
  <si>
    <t>VO Tran Trong Luan</t>
  </si>
  <si>
    <t>trantrong.vo@amaris.com</t>
  </si>
  <si>
    <t>Out</t>
  </si>
  <si>
    <t>NGUYEN Tuan Khanh Duy</t>
  </si>
  <si>
    <t>knguyentuan@mantu.com</t>
  </si>
  <si>
    <t>LE Dac Danh Lam</t>
  </si>
  <si>
    <t>dle@mantu.com</t>
  </si>
  <si>
    <t>VO Thi Ngoc Trong</t>
  </si>
  <si>
    <t>ngoctrong.vothi@amaris.com</t>
  </si>
  <si>
    <t>LUONG Thai Hien</t>
  </si>
  <si>
    <t>LIN Clémence</t>
  </si>
  <si>
    <t>Male</t>
  </si>
  <si>
    <t>Phòng 4 rẻ hơn phòng 2</t>
  </si>
  <si>
    <t>Optimize phòng 4</t>
  </si>
  <si>
    <t>1 Phòng 2 ng lớn + con nít dưới 5</t>
  </si>
  <si>
    <t>Phòng 2 view đẹp</t>
  </si>
  <si>
    <t>Nếu không thì phải extra bed/room</t>
  </si>
  <si>
    <t>Tăng bonding: Xếp staff với CS nếu có space</t>
  </si>
  <si>
    <t>Không đi</t>
  </si>
  <si>
    <t>70% giá phòng</t>
  </si>
  <si>
    <t>3tr 2tr1</t>
  </si>
  <si>
    <t>C age</t>
  </si>
  <si>
    <t>Total</t>
  </si>
  <si>
    <t>Tuổi</t>
  </si>
  <si>
    <t>Số lượng</t>
  </si>
  <si>
    <t>ID</t>
  </si>
  <si>
    <t>Họ &amp; Tên</t>
  </si>
  <si>
    <t>ĐỖ MINH TRÍ</t>
  </si>
  <si>
    <t>LIN CLEMENCE</t>
  </si>
  <si>
    <t>TRẦN PHẠM KHÁNH LINH</t>
  </si>
  <si>
    <t>PHẠM ĐỖ THỦY TIÊN</t>
  </si>
  <si>
    <t>NGUYỄN HOÀNG HẠ QUYÊN</t>
  </si>
  <si>
    <t>ĐOÀN THIÊN TRANG</t>
  </si>
  <si>
    <t>HỒ NGUYỄN HỒNG UYÊN</t>
  </si>
  <si>
    <t>HÀ PHƯƠNG THẢO</t>
  </si>
  <si>
    <t>VŨ THANH HẰNG</t>
  </si>
  <si>
    <t>CAO ĐỨC MINH</t>
  </si>
  <si>
    <t>LA HOÀNG TÚ</t>
  </si>
  <si>
    <t>CAO TRUNG NGHĨA</t>
  </si>
  <si>
    <t>LÊ MINH THUẬN</t>
  </si>
  <si>
    <t>NGUYỄN VĂN THANH THUẬN</t>
  </si>
  <si>
    <t>TRẦN VĂN ĐÔ</t>
  </si>
  <si>
    <t>HÀ QUANG TRÌNH</t>
  </si>
  <si>
    <t>NGÔ TẤN THÀNH</t>
  </si>
  <si>
    <t>MAI BÌNH NAM</t>
  </si>
  <si>
    <t>NGUYỄN HỒNG CHƯƠNG</t>
  </si>
  <si>
    <t>NGUYỄN LÊ THÀNH</t>
  </si>
  <si>
    <t>NGUYỄN KIM CÔNG</t>
  </si>
  <si>
    <t>NGUYỄN NGỌC TUẤN</t>
  </si>
  <si>
    <t>PHAN THÀNH NHÂN</t>
  </si>
  <si>
    <t>NGUYỄN TRUNG NGHĨA</t>
  </si>
  <si>
    <t>NGUYỄN LÊ MẪN ĐẠT</t>
  </si>
  <si>
    <t>NGUYỄN THANH LỘC</t>
  </si>
  <si>
    <t>NGUYỄN HỮU VINH</t>
  </si>
  <si>
    <t>ĐÀO HỒNG SƠN</t>
  </si>
  <si>
    <t>HOÀNG XUÂN ĐẠT</t>
  </si>
  <si>
    <t>PHẠM TRUNG HIẾU</t>
  </si>
  <si>
    <t>NGUYỄN THANH SƠN</t>
  </si>
  <si>
    <t>NGUYỄN THANH TÀI</t>
  </si>
  <si>
    <t>KHUẤT VĂN THÀNH DANH</t>
  </si>
  <si>
    <t>NGUYỄN QUANG NIÊN</t>
  </si>
  <si>
    <t>LÊ THÀNH PHƯỚC</t>
  </si>
  <si>
    <t>NGUYỄN TIẾN NAM</t>
  </si>
  <si>
    <t>BÙI CÔNG DANH</t>
  </si>
  <si>
    <t>VÕ HUỲNH CHÍ TÍN</t>
  </si>
  <si>
    <t>ĐỖ QUANG TRUNG</t>
  </si>
  <si>
    <t>ĐẶNG VĂN TRIỂN</t>
  </si>
  <si>
    <t>NGUYỄN THÀNH ĐẠT</t>
  </si>
  <si>
    <t>VŨ SONG TOÀN</t>
  </si>
  <si>
    <t>TRẦN QUANG TÍN</t>
  </si>
  <si>
    <t>VÕ TƯỜNG DUY</t>
  </si>
  <si>
    <t>PHẠM NGỌC THÀNH</t>
  </si>
  <si>
    <t>HUỲNH CÔNG KHANH</t>
  </si>
  <si>
    <t>TRẦN XUÂN VŨ</t>
  </si>
  <si>
    <t>LÊ THỊ THANH HƯƠNG</t>
  </si>
  <si>
    <t>LÊ THỊ PHƯƠNG HẰNG</t>
  </si>
  <si>
    <t>PHAN NHƯ HẢI LƯU</t>
  </si>
  <si>
    <t>TRẦN THỊ TRÂM NGÂN</t>
  </si>
  <si>
    <t>CAO HOÀI SANG</t>
  </si>
  <si>
    <t>HÀ NGỌC MỸ</t>
  </si>
  <si>
    <t>NGUYỄN HUỲNH DUY ĐỨC</t>
  </si>
  <si>
    <t>TRẦN QUỐC LĨNH</t>
  </si>
  <si>
    <t>LÊ VĂN HÀO</t>
  </si>
  <si>
    <t>NGUYỄN MINH PHƯỚC</t>
  </si>
  <si>
    <t>MAI HỮU NGẠN</t>
  </si>
  <si>
    <t>ĐẶNG MINH QUÂN</t>
  </si>
  <si>
    <t>PHẠM HỮU NGHĨA</t>
  </si>
  <si>
    <t>PHẠM NGỌC THUỲ TRANG</t>
  </si>
  <si>
    <t>NGUYỄN DUY PHONG</t>
  </si>
  <si>
    <t>ĐINH THỊ TÚ UYÊN</t>
  </si>
  <si>
    <t>TRẦN TUẤN THÀNH</t>
  </si>
  <si>
    <t>NGUYỄN HUY TRÍ</t>
  </si>
  <si>
    <t>LÊ THANH ĐỨC</t>
  </si>
  <si>
    <t>TẠ THỊ NGỌC TRÂN</t>
  </si>
  <si>
    <t>NGUYỄN TRẦN NHẬT ĐỨC</t>
  </si>
  <si>
    <t>NGUYỄN TIẾN MẠNH</t>
  </si>
  <si>
    <t>PHẠM THUỴ THÁI AN</t>
  </si>
  <si>
    <t>KIỀU QUỐC TRUNG</t>
  </si>
  <si>
    <t>ĐINH THÀNH VIỆT</t>
  </si>
  <si>
    <t>HUỲNH CHÍ CƯỜNG</t>
  </si>
  <si>
    <t>LA THÙY MỸ HẢO</t>
  </si>
  <si>
    <t>NGUYỄN THẾ TRINH</t>
  </si>
  <si>
    <t>NÔNG THỊ NGUYỆT</t>
  </si>
  <si>
    <t>NGUYỄN TRÍ HÙNG</t>
  </si>
  <si>
    <t>TÔN THẤT VIỆT ANH</t>
  </si>
  <si>
    <t>NGUYỄN TRƯỜNG AN</t>
  </si>
  <si>
    <t>NGUYỄN HOÀNG TUẤN ANH</t>
  </si>
  <si>
    <t>TRẦN THỊ HÀ MY</t>
  </si>
  <si>
    <t>NGUYỄN TẤN HOÀNG</t>
  </si>
  <si>
    <t>HÀ BẢO KHANG</t>
  </si>
  <si>
    <t>CHÂU THANH DUY</t>
  </si>
  <si>
    <t>CHUNG KHÁNH GIA</t>
  </si>
  <si>
    <t>CAO VĂN TIẾN</t>
  </si>
  <si>
    <t>VŨ PHƯƠNG</t>
  </si>
  <si>
    <t>TRẦN NGỌC TRANG ĐÀI</t>
  </si>
  <si>
    <t>TRẦN MINH TẤN</t>
  </si>
  <si>
    <t>NGUYỄN ANH TUẤN</t>
  </si>
  <si>
    <t>TRẦN NHÂM QUÝ</t>
  </si>
  <si>
    <t>NGUYỄN HUY HOÀNG</t>
  </si>
  <si>
    <t>NGUYỄN VĂN HIẾU</t>
  </si>
  <si>
    <t>NGUYỄN KIM GIA HUY</t>
  </si>
  <si>
    <t>PHẠM CÔNG QUÂN</t>
  </si>
  <si>
    <t>BÙI THANH XUÂN</t>
  </si>
  <si>
    <t>VŨ THỊ PHƯƠNG THẢO</t>
  </si>
  <si>
    <t>PHẠM VĂN TÌNH</t>
  </si>
  <si>
    <t>VĂN CÔNG TUẤN</t>
  </si>
  <si>
    <t>LÊ PHƯỚC SƠN</t>
  </si>
  <si>
    <t>NGUYỄN LÊ CHÍ TÂM</t>
  </si>
  <si>
    <t>LÊ NAM KHA</t>
  </si>
  <si>
    <t xml:space="preserve">TRỊNH XUÂN THƯƠNG </t>
  </si>
  <si>
    <t>NGUYỄN THÀNH TRUNG</t>
  </si>
  <si>
    <t>NGUYỄN SỸ NGUYÊN NGỌC</t>
  </si>
  <si>
    <t>PHẠM ANH QUỐC</t>
  </si>
  <si>
    <t>ĐẶNG HẢI BÌNH</t>
  </si>
  <si>
    <t>THÁI TRUNG TÍN</t>
  </si>
  <si>
    <t>ĐẶNG MINH NHẬT</t>
  </si>
  <si>
    <t>ĐÀO KIM NHÃ</t>
  </si>
  <si>
    <t>NGUYỄN THỊ MINH PHƯƠNG</t>
  </si>
  <si>
    <t>CAO CHIẾN HÀO</t>
  </si>
  <si>
    <t>PHẠM ĐỖ NHẬT MINH</t>
  </si>
  <si>
    <t>LÊ DUY HẠNH</t>
  </si>
  <si>
    <t>NGUYỄN HỮU THỊNH</t>
  </si>
  <si>
    <t>VĂN ĐỨC THANH</t>
  </si>
  <si>
    <t>NGUYỄN LÊ DUẨN</t>
  </si>
  <si>
    <t>NGUYỄN HOÀNG LONG</t>
  </si>
  <si>
    <t>NGUYỄN HẢI THIÊN</t>
  </si>
  <si>
    <t>PHẠM HỮU KHÔI NGUYÊN</t>
  </si>
  <si>
    <t>TRẦN HUỲNH NHẬT TÂN</t>
  </si>
  <si>
    <t>ĐẶNG NGỌC KHÁNH LINH</t>
  </si>
  <si>
    <t>LÊ THANH TÙNG</t>
  </si>
  <si>
    <t>ĐINH VŨ DUY</t>
  </si>
  <si>
    <t>NGÔ TÙNG LÂM</t>
  </si>
  <si>
    <t>TRẦN QUỲNH ANH</t>
  </si>
  <si>
    <t>TRƯƠNG VĂN SANG</t>
  </si>
  <si>
    <t>NGUYỄN BẢO NGỌC</t>
  </si>
  <si>
    <t>PHẠM TRUNG KIÊN</t>
  </si>
  <si>
    <t>VÕ VĂN KẾT</t>
  </si>
  <si>
    <t>NGUYỄN VỦ PHƯƠNG</t>
  </si>
  <si>
    <t>NGUYỄN ĐỨC QUÝ</t>
  </si>
  <si>
    <t>NGUYỄN THỊ KHÁNH</t>
  </si>
  <si>
    <t>ĐỖ THỊ HUỆ</t>
  </si>
  <si>
    <t>PHẠM NGUYỄN ĐỨC HUY</t>
  </si>
  <si>
    <t>LƯỜNG TIẾN THUẬN HẢI</t>
  </si>
  <si>
    <t>LÊ LAN VY</t>
  </si>
  <si>
    <t>PHẠM HOÀNG MAI QUYÊN</t>
  </si>
  <si>
    <t xml:space="preserve">LÊ XUÂN TÙNG </t>
  </si>
  <si>
    <t>NGUYỄN HỒ NGỌC TRÂN</t>
  </si>
  <si>
    <t>VÕ TRẦN PHƯƠNG NGA</t>
  </si>
  <si>
    <t>NGUYỄN THỊ THANH THẢO</t>
  </si>
  <si>
    <t>LÊ THỊ TÚ QUYÊN</t>
  </si>
  <si>
    <t>LÊ ĐĂNG QUANG</t>
  </si>
  <si>
    <t>NGUYỄN QUỲNH MAI</t>
  </si>
  <si>
    <t>TRƯƠNG THỊ PHƯƠNG THẢO</t>
  </si>
  <si>
    <t>BÙI MINH NHẬT</t>
  </si>
  <si>
    <t>NGUYỄN TRUNG KIÊN</t>
  </si>
  <si>
    <t>NGUYỄN TRẦN PHƯƠNG PHƯƠNG</t>
  </si>
  <si>
    <t>PHẠM HOÀNG PHÚC</t>
  </si>
  <si>
    <t>NGUYỄN HÀ NHI</t>
  </si>
  <si>
    <t>DIỆP TUỆ QUÂN</t>
  </si>
  <si>
    <t>LÊ NGỌC KHÁNH</t>
  </si>
  <si>
    <t>HỒNG YẾN XUÂN</t>
  </si>
  <si>
    <t>TRẦN HỮU PHÚC</t>
  </si>
  <si>
    <t>LƯƠNG THỊ TRÂM ANH</t>
  </si>
  <si>
    <t>NGUYỄN VŨ PHƯƠNG UYÊN</t>
  </si>
  <si>
    <t>TRẦN NGỌC PHƯƠNG UYÊN</t>
  </si>
  <si>
    <t>NGUYỄN CHÂU GIANG</t>
  </si>
  <si>
    <t>VÕ ĐÌNH QUẾ CHÂU</t>
  </si>
  <si>
    <t>HOÀNG LÂM TÂM NHƯ</t>
  </si>
  <si>
    <t>TRỊNH LÊ THẢO UYÊN</t>
  </si>
  <si>
    <t>NGUYỄN THẾ ANH</t>
  </si>
  <si>
    <t>LÂM BẢO QUYÊN</t>
  </si>
  <si>
    <t>BÙI QUANG HÙNG</t>
  </si>
  <si>
    <t>BÙI THỊ NGỌC MINH</t>
  </si>
  <si>
    <t>HUỲNH NGỌC HOA</t>
  </si>
  <si>
    <t>HUỲNH VĂN CỌP</t>
  </si>
  <si>
    <t>NGUYỄN HOÀNG MINH</t>
  </si>
  <si>
    <t>NGUYỄN THỊ HÀ TRANG</t>
  </si>
  <si>
    <t>HÀ THANH HƯƠNG</t>
  </si>
  <si>
    <t>NGUYỄN HẢI NAM</t>
  </si>
  <si>
    <t>HOÀNG TRUNG THÔNG</t>
  </si>
  <si>
    <t>TÀI ĐẠI CHẾ PHƯƠNG</t>
  </si>
  <si>
    <t>CHÂU PHÚ QUÍ</t>
  </si>
  <si>
    <t>TRẦN NHẬT MINH</t>
  </si>
  <si>
    <t>LÊ NGỌC HUY</t>
  </si>
  <si>
    <t>NGUYỄN TRƯỜNG THI</t>
  </si>
  <si>
    <t>NGUYỄN KHẮC DUY</t>
  </si>
  <si>
    <t>NGUYỄN HOÀNG DUY</t>
  </si>
  <si>
    <t>NGUYỄN TUẤN ANH</t>
  </si>
  <si>
    <t>LÊ ĐÌNH VĂN</t>
  </si>
  <si>
    <t>PHẠM MINH TUẤN</t>
  </si>
  <si>
    <t>TRẦN THÁI HÙNG</t>
  </si>
  <si>
    <t>TẠ THỊ MỸ HẠNH</t>
  </si>
  <si>
    <t>NGUYỄN THANH HOÀNG</t>
  </si>
  <si>
    <t>PHAN ANH QUÂN</t>
  </si>
  <si>
    <t>BÙI CƯỜNG</t>
  </si>
  <si>
    <t>NGUYỄN DUY PHƯƠNG</t>
  </si>
  <si>
    <t>NGUYỄN NGỌC THẢO MY</t>
  </si>
  <si>
    <t>HOÀNG PHÚ LỘC</t>
  </si>
  <si>
    <t>PHẠM NGUYỄN TRỌNG TUẤN</t>
  </si>
  <si>
    <t>ĐINH TIẾN KHỞI</t>
  </si>
  <si>
    <t>HỒ THỊ LÀNH</t>
  </si>
  <si>
    <t>NGÔ TRỊNH QUỲNH NHƯ</t>
  </si>
  <si>
    <t>LIM CHEE KIAT</t>
  </si>
  <si>
    <t>NGUYỄN HÒAI NHƯ Ý</t>
  </si>
  <si>
    <t>LÊ THÙY PHƯƠNG</t>
  </si>
  <si>
    <t>HUỲNH DIỄM THIÊN NGA</t>
  </si>
  <si>
    <t>GUIGUEN CLEMENT DIDIER</t>
  </si>
  <si>
    <t>ĐỖ NGUYÊN PHƯƠNG</t>
  </si>
  <si>
    <t>NGUYỄN THỊ VIỆT TRINH</t>
  </si>
  <si>
    <t>NGUYỄN THỊ QUỲNH PHƯƠNG</t>
  </si>
  <si>
    <t>TRẦN NGỌC QUỐC</t>
  </si>
  <si>
    <t>NGUYỄN TIẾN HUYNH</t>
  </si>
  <si>
    <t>LƯ TRẦN THÙY LINH</t>
  </si>
  <si>
    <t>ĐẶNG MINH THƯ</t>
  </si>
  <si>
    <t>TRẦN MINH QUANG</t>
  </si>
  <si>
    <t>PHẠM VĂN TÀI</t>
  </si>
  <si>
    <t>NGUYỄN TUẤN KHÔI</t>
  </si>
  <si>
    <t>NGUYỄN THÚC HÀO</t>
  </si>
  <si>
    <t>LÊ THỊ MỸ TÂM</t>
  </si>
  <si>
    <t>HOÀNG ĐÌNH ANH QUỐC</t>
  </si>
  <si>
    <t>TRẦN ĐÌNH LÂM</t>
  </si>
  <si>
    <t>NGUYỄN CHÍ HẬU</t>
  </si>
  <si>
    <t>PHAN ĐẠI DƯƠNG</t>
  </si>
  <si>
    <t>VÕ NGỌC DUY NGUYÊN</t>
  </si>
  <si>
    <t>LÊ THỊ MAI ANH</t>
  </si>
  <si>
    <t>NGUYỄN THỊ QUỲNH LIÊN</t>
  </si>
  <si>
    <t>NGUYỄN LÊ KIM NGÂN</t>
  </si>
  <si>
    <t>ĐOÀN LÊ BẢO TRÂM</t>
  </si>
  <si>
    <t>CAO BẢO TRÂM</t>
  </si>
  <si>
    <t>NGUYỄN ANH KHOA</t>
  </si>
  <si>
    <t>PHẠM NGHI LÂM</t>
  </si>
  <si>
    <t>TRẦN VIỆT HOÀNG</t>
  </si>
  <si>
    <t>PHẠM ĐĂNG KHOA</t>
  </si>
  <si>
    <t>ĐỖ KIM ÁNH</t>
  </si>
  <si>
    <t>TRẦN HỮU THANH TÂM</t>
  </si>
  <si>
    <t>NGUYỄN THÁI LY</t>
  </si>
  <si>
    <t>LÊ TIẾN THỊNH</t>
  </si>
  <si>
    <t>DUQUESNAY GUILLAUME MARCEL CLAUDE</t>
  </si>
  <si>
    <t>NGUYỄN ANH TÚ</t>
  </si>
  <si>
    <t>NGUYỄN PHƯƠNG THẢO</t>
  </si>
  <si>
    <t>NGUYỄN NGỌC NGUYÊN NGÂN</t>
  </si>
  <si>
    <t>TRẦN THỊ MINH PHƯƠNG</t>
  </si>
  <si>
    <t>PHAN XUÂN QUANG</t>
  </si>
  <si>
    <t>HOÀNG KIỀU ANH</t>
  </si>
  <si>
    <t>HUỲNH MINH TRIẾT</t>
  </si>
  <si>
    <t>NGUYỄN ĐÌNH TIẾN DŨNG</t>
  </si>
  <si>
    <t>HOÀNG BẢO ÂN</t>
  </si>
  <si>
    <t>TRẦN THỊ ANH MINH</t>
  </si>
  <si>
    <t>NGUYỄN THU HỒNG</t>
  </si>
  <si>
    <t>NGUYỄN THỊ THANH NHẠN</t>
  </si>
  <si>
    <t>PHAN LINH CHÂU</t>
  </si>
  <si>
    <t>NGUYỄN TRUNG HIẾU</t>
  </si>
  <si>
    <t>NGUYỄN HỒ KHÁNH VY</t>
  </si>
  <si>
    <t>TRẦN THỊ ANH THƯ</t>
  </si>
  <si>
    <t>NGUYỄN HOÀNG BÍCH TRÂN</t>
  </si>
  <si>
    <t>NGUYỄN ĐẶNG THÙY DƯƠNG</t>
  </si>
  <si>
    <t>HỒNG NGUYỄN TÚ NHI</t>
  </si>
  <si>
    <t>PHẠM THÁI AN</t>
  </si>
  <si>
    <t>PHẠM LÊ KHÁNH CHI</t>
  </si>
  <si>
    <t>LÊ HOÀNG DŨNG</t>
  </si>
  <si>
    <t>PHẠM TRẦN THẢO VY</t>
  </si>
  <si>
    <t>ĐỖ HIẾU MINH</t>
  </si>
  <si>
    <t>NGUYỄN LÊ MINH TRANG</t>
  </si>
  <si>
    <t>LÊ HỒ BẢO THY</t>
  </si>
  <si>
    <t>LÊ TƯỜNG KHUYÊN</t>
  </si>
  <si>
    <t>HUỲNH BÁ NGHI</t>
  </si>
  <si>
    <t>ĐẶNG TRƯỜNG THỌ</t>
  </si>
  <si>
    <t>VĨNH HOÀNG LÊ NGUYỄN</t>
  </si>
  <si>
    <t>NGÔ NGỌC NAM</t>
  </si>
  <si>
    <t>PHAN ANH DŨNG CƯỜNG</t>
  </si>
  <si>
    <t>NGUYỄN QUỐC HẢI THANH</t>
  </si>
  <si>
    <t>LÊ HỮU PHÚC</t>
  </si>
  <si>
    <t>NGÔ HOÀNG VŨ</t>
  </si>
  <si>
    <t>LÊ CHÂU SỶ ĐẠT</t>
  </si>
  <si>
    <t>PHÙNG QUỐC HÙNG</t>
  </si>
  <si>
    <t>CCCD</t>
  </si>
  <si>
    <t>TWN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</si>
  <si>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</si>
  <si>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</si>
  <si>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</si>
  <si>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</si>
  <si>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</si>
  <si>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</si>
  <si>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</si>
  <si>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</si>
  <si>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</si>
  <si>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DBL</t>
  </si>
  <si>
    <t>Room Type</t>
  </si>
  <si>
    <t>Full name</t>
  </si>
  <si>
    <t>Người nhà</t>
  </si>
  <si>
    <t>Room</t>
  </si>
  <si>
    <t>1. TRẦN THỊ KIM THUỶ - 07/10/1998 - 079198004873 
2. NGUYỄN NGỌC KIM ANH - 04/09/2022 - 079322018996 
3. NGUYỄN NGỌC TUỆ NHI - 01/03/2024 - 079324006070</t>
  </si>
  <si>
    <t>Hồ Thị Minh Hoàng - Female - 19/11/1984 - 046184001362</t>
  </si>
  <si>
    <t>Bus No</t>
  </si>
  <si>
    <t>Leader Mail</t>
  </si>
  <si>
    <t>Leader Name</t>
  </si>
  <si>
    <t>Leader Phone</t>
  </si>
  <si>
    <t>Own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</si>
</sst>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CE7EC"/>
        <bgColor indexed="64"/>
      </patternFill>
    </fill>
    <fill>
      <patternFill patternType="solid">
        <fgColor rgb="FFF0C9F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5B3D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0" fontId="0" fillId="2" borderId="0" xfId="0" applyFill="1"/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0" fillId="0" borderId="0" xfId="0" pivotButton="1"/>
    <xf numFmtId="49" fontId="0" fillId="6" borderId="2" xfId="0" applyNumberFormat="1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6" fillId="7" borderId="5" xfId="0" applyFont="1" applyFill="1" applyBorder="1"/>
    <xf numFmtId="0" fontId="6" fillId="7" borderId="2" xfId="0" applyFont="1" applyFill="1" applyBorder="1"/>
    <xf numFmtId="0" fontId="0" fillId="0" borderId="2" xfId="0" applyBorder="1"/>
    <xf numFmtId="0" fontId="0" fillId="2" borderId="5" xfId="0" applyFill="1" applyBorder="1"/>
    <xf numFmtId="0" fontId="0" fillId="2" borderId="2" xfId="0" applyFill="1" applyBorder="1"/>
    <xf numFmtId="0" fontId="0" fillId="6" borderId="2" xfId="0" applyFill="1" applyBorder="1"/>
    <xf numFmtId="0" fontId="0" fillId="0" borderId="5" xfId="0" applyBorder="1"/>
    <xf numFmtId="0" fontId="0" fillId="6" borderId="5" xfId="0" applyFill="1" applyBorder="1"/>
    <xf numFmtId="0" fontId="5" fillId="0" borderId="0" xfId="0" applyFont="1"/>
    <xf numFmtId="0" fontId="0" fillId="9" borderId="0" xfId="0" applyFill="1"/>
    <xf numFmtId="0" fontId="3" fillId="4" borderId="0" xfId="0" applyFont="1" applyFill="1"/>
    <xf numFmtId="0" fontId="4" fillId="0" borderId="3" xfId="0" applyFont="1" applyBorder="1"/>
    <xf numFmtId="0" fontId="8" fillId="0" borderId="0" xfId="0" applyFont="1"/>
    <xf numFmtId="49" fontId="0" fillId="0" borderId="4" xfId="0" applyNumberFormat="1" applyBorder="1"/>
    <xf numFmtId="0" fontId="6" fillId="3" borderId="2" xfId="0" applyFont="1" applyFill="1" applyBorder="1"/>
    <xf numFmtId="0" fontId="7" fillId="2" borderId="2" xfId="0" applyFont="1" applyFill="1" applyBorder="1"/>
    <xf numFmtId="49" fontId="0" fillId="6" borderId="2" xfId="0" quotePrefix="1" applyNumberFormat="1" applyFill="1" applyBorder="1"/>
    <xf numFmtId="0" fontId="0" fillId="3" borderId="2" xfId="0" applyFill="1" applyBorder="1"/>
    <xf numFmtId="0" fontId="0" fillId="11" borderId="2" xfId="0" applyFill="1" applyBorder="1"/>
    <xf numFmtId="49" fontId="0" fillId="0" borderId="2" xfId="0" applyNumberFormat="1" applyBorder="1"/>
    <xf numFmtId="49" fontId="0" fillId="0" borderId="2" xfId="0" quotePrefix="1" applyNumberFormat="1" applyBorder="1"/>
    <xf numFmtId="49" fontId="8" fillId="6" borderId="2" xfId="0" applyNumberFormat="1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8" fillId="11" borderId="2" xfId="0" applyFont="1" applyFill="1" applyBorder="1"/>
    <xf numFmtId="49" fontId="8" fillId="0" borderId="2" xfId="0" applyNumberFormat="1" applyFont="1" applyBorder="1"/>
    <xf numFmtId="49" fontId="0" fillId="0" borderId="2" xfId="0" applyNumberFormat="1" applyBorder="1" applyAlignment="1">
      <alignment wrapText="1"/>
    </xf>
    <xf numFmtId="0" fontId="8" fillId="0" borderId="2" xfId="0" applyFont="1" applyBorder="1"/>
    <xf numFmtId="0" fontId="0" fillId="6" borderId="2" xfId="0" quotePrefix="1" applyFill="1" applyBorder="1"/>
    <xf numFmtId="49" fontId="0" fillId="6" borderId="2" xfId="0" applyNumberFormat="1" applyFill="1" applyBorder="1" applyAlignment="1">
      <alignment wrapText="1"/>
    </xf>
    <xf numFmtId="49" fontId="0" fillId="2" borderId="2" xfId="0" applyNumberFormat="1" applyFill="1" applyBorder="1"/>
    <xf numFmtId="0" fontId="0" fillId="0" borderId="2" xfId="0" quotePrefix="1" applyBorder="1"/>
    <xf numFmtId="0" fontId="0" fillId="8" borderId="2" xfId="0" applyFill="1" applyBorder="1"/>
    <xf numFmtId="0" fontId="5" fillId="6" borderId="2" xfId="0" applyFont="1" applyFill="1" applyBorder="1"/>
    <xf numFmtId="0" fontId="0" fillId="12" borderId="2" xfId="0" applyFill="1" applyBorder="1"/>
    <xf numFmtId="0" fontId="0" fillId="12" borderId="2" xfId="0" quotePrefix="1" applyFill="1" applyBorder="1"/>
    <xf numFmtId="0" fontId="0" fillId="8" borderId="2" xfId="0" quotePrefix="1" applyFill="1" applyBorder="1"/>
    <xf numFmtId="0" fontId="0" fillId="8" borderId="2" xfId="0" applyFill="1" applyBorder="1" applyAlignment="1">
      <alignment wrapText="1"/>
    </xf>
    <xf numFmtId="49" fontId="0" fillId="8" borderId="2" xfId="0" applyNumberFormat="1" applyFill="1" applyBorder="1"/>
    <xf numFmtId="49" fontId="0" fillId="8" borderId="2" xfId="0" quotePrefix="1" applyNumberFormat="1" applyFill="1" applyBorder="1"/>
    <xf numFmtId="49" fontId="0" fillId="12" borderId="2" xfId="0" applyNumberFormat="1" applyFill="1" applyBorder="1"/>
    <xf numFmtId="49" fontId="0" fillId="12" borderId="2" xfId="0" quotePrefix="1" applyNumberFormat="1" applyFill="1" applyBorder="1"/>
    <xf numFmtId="49" fontId="0" fillId="12" borderId="2" xfId="0" applyNumberFormat="1" applyFill="1" applyBorder="1" applyAlignment="1">
      <alignment wrapText="1"/>
    </xf>
    <xf numFmtId="0" fontId="6" fillId="7" borderId="0" xfId="0" applyFont="1" applyFill="1"/>
    <xf numFmtId="0" fontId="0" fillId="13" borderId="2" xfId="0" applyFill="1" applyBorder="1"/>
    <xf numFmtId="0" fontId="8" fillId="2" borderId="2" xfId="0" applyFont="1" applyFill="1" applyBorder="1"/>
    <xf numFmtId="0" fontId="8" fillId="13" borderId="2" xfId="0" applyFont="1" applyFill="1" applyBorder="1"/>
    <xf numFmtId="49" fontId="8" fillId="0" borderId="2" xfId="0" applyNumberFormat="1" applyFont="1" applyBorder="1" applyAlignment="1">
      <alignment wrapText="1"/>
    </xf>
    <xf numFmtId="0" fontId="0" fillId="14" borderId="2" xfId="0" applyFill="1" applyBorder="1"/>
    <xf numFmtId="0" fontId="0" fillId="10" borderId="2" xfId="0" applyFill="1" applyBorder="1"/>
    <xf numFmtId="0" fontId="8" fillId="10" borderId="2" xfId="0" applyFont="1" applyFill="1" applyBorder="1"/>
    <xf numFmtId="0" fontId="0" fillId="15" borderId="2" xfId="0" applyFill="1" applyBorder="1"/>
    <xf numFmtId="0" fontId="0" fillId="16" borderId="2" xfId="0" applyFill="1" applyBorder="1"/>
    <xf numFmtId="0" fontId="8" fillId="16" borderId="2" xfId="0" applyFont="1" applyFill="1" applyBorder="1"/>
    <xf numFmtId="0" fontId="0" fillId="17" borderId="2" xfId="0" applyFill="1" applyBorder="1"/>
    <xf numFmtId="0" fontId="8" fillId="17" borderId="2" xfId="0" applyFont="1" applyFill="1" applyBorder="1"/>
    <xf numFmtId="0" fontId="8" fillId="15" borderId="2" xfId="0" applyFont="1" applyFill="1" applyBorder="1"/>
    <xf numFmtId="0" fontId="8" fillId="12" borderId="2" xfId="0" applyFont="1" applyFill="1" applyBorder="1"/>
    <xf numFmtId="0" fontId="0" fillId="0" borderId="0" xfId="0" applyAlignment="1">
      <alignment horizontal="left"/>
    </xf>
    <xf numFmtId="0" fontId="9" fillId="0" borderId="3" xfId="0" applyFont="1" applyBorder="1"/>
    <xf numFmtId="0" fontId="9" fillId="18" borderId="3" xfId="0" applyFont="1" applyFill="1" applyBorder="1"/>
    <xf numFmtId="0" fontId="9" fillId="18" borderId="3" xfId="1" applyFont="1" applyFill="1" applyBorder="1" applyAlignment="1"/>
    <xf numFmtId="49" fontId="9" fillId="0" borderId="3" xfId="0" applyNumberFormat="1" applyFont="1" applyBorder="1"/>
    <xf numFmtId="49" fontId="2" fillId="0" borderId="2" xfId="1" applyNumberFormat="1" applyBorder="1"/>
    <xf numFmtId="49" fontId="2" fillId="2" borderId="2" xfId="1" applyNumberFormat="1" applyFill="1" applyBorder="1"/>
    <xf numFmtId="0" fontId="2" fillId="6" borderId="2" xfId="1" applyFill="1" applyBorder="1"/>
    <xf numFmtId="49" fontId="2" fillId="6" borderId="2" xfId="1" applyNumberFormat="1" applyFill="1" applyBorder="1"/>
    <xf numFmtId="49" fontId="2" fillId="0" borderId="0" xfId="1" applyNumberFormat="1" applyFill="1" applyAlignment="1"/>
    <xf numFmtId="0" fontId="2" fillId="0" borderId="0" xfId="1" applyFill="1" applyAlignment="1"/>
    <xf numFmtId="0" fontId="11" fillId="18" borderId="0" xfId="0" applyFont="1" applyFill="1"/>
    <xf numFmtId="0" fontId="11" fillId="0" borderId="0" xfId="0" applyFont="1"/>
    <xf numFmtId="0" fontId="11" fillId="0" borderId="0" xfId="0" quotePrefix="1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NumberFormat="1"/>
    <xf numFmtId="0" fontId="2" fillId="0" borderId="0" xfId="1" applyNumberFormat="1" applyFill="1" applyAlignment="1"/>
  </cellXfs>
  <cellStyles count="2">
    <cellStyle name="Hyperlink" xfId="1" builtinId="8"/>
    <cellStyle name="Normal" xfId="0" builtinId="0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</dxf>
    <dxf>
      <numFmt numFmtId="0" formatCode="General"/>
    </dxf>
    <dxf>
      <numFmt numFmtId="0" formatCode="General"/>
    </dxf>
    <dxf>
      <fill>
        <patternFill patternType="none"/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1"/>
      </font>
    </dxf>
    <dxf>
      <font>
        <color theme="1"/>
      </font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F0C9F7"/>
      <color rgb="FF8CE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2240280</xdr:colOff>
      <xdr:row>5</xdr:row>
      <xdr:rowOff>99060</xdr:rowOff>
    </xdr:from>
    <xdr:to>
      <xdr:col>9</xdr:col>
      <xdr:colOff>364350</xdr:colOff>
      <xdr:row>14</xdr:row>
      <xdr:rowOff>68825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C053B13-7DE9-DEE9-A2BB-8F90BCD1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8460" y="1013460"/>
          <a:ext cx="3543795" cy="16842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nnguyen16_mantu/Downloads/Employee_employees_20260518.xlsx" TargetMode="External"/><Relationship Id="rId1" Type="http://schemas.openxmlformats.org/officeDocument/2006/relationships/externalLinkPath" Target="file:///C:/Users/nnguyen16_mantu/Downloads/Employee_employees_202605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</sheetNames>
    <sheetDataSet>
      <sheetData sheetId="0">
        <row r="1">
          <cell r="B1" t="str">
            <v>EmployeeId</v>
          </cell>
          <cell r="E1" t="str">
            <v>Email</v>
          </cell>
        </row>
        <row r="2">
          <cell r="B2">
            <v>225</v>
          </cell>
          <cell r="E2" t="str">
            <v>225@amaris.com</v>
          </cell>
        </row>
        <row r="3">
          <cell r="B3">
            <v>7670</v>
          </cell>
          <cell r="E3" t="str">
            <v>brian.jouannes@amaris.com</v>
          </cell>
        </row>
        <row r="4">
          <cell r="B4">
            <v>2214</v>
          </cell>
          <cell r="E4" t="str">
            <v>plamus@amaris.com</v>
          </cell>
        </row>
        <row r="5">
          <cell r="B5">
            <v>7287</v>
          </cell>
          <cell r="E5" t="str">
            <v>anguyen2@mantu.com</v>
          </cell>
        </row>
        <row r="6">
          <cell r="B6">
            <v>11362</v>
          </cell>
          <cell r="E6" t="str">
            <v>hlenguyen1@amaris.com</v>
          </cell>
        </row>
        <row r="7">
          <cell r="B7">
            <v>4075</v>
          </cell>
          <cell r="E7" t="str">
            <v>4075@amaris.com</v>
          </cell>
        </row>
        <row r="8">
          <cell r="B8">
            <v>5110</v>
          </cell>
          <cell r="E8" t="str">
            <v>5110@amaris.com</v>
          </cell>
        </row>
        <row r="9">
          <cell r="B9">
            <v>9102</v>
          </cell>
          <cell r="E9" t="str">
            <v>sbalay@amaris.com</v>
          </cell>
        </row>
        <row r="10">
          <cell r="B10">
            <v>10359</v>
          </cell>
          <cell r="E10" t="str">
            <v>francois.chhu@amaris.com</v>
          </cell>
        </row>
        <row r="11">
          <cell r="B11">
            <v>280</v>
          </cell>
          <cell r="E11" t="str">
            <v>280@amaris.com</v>
          </cell>
        </row>
        <row r="12">
          <cell r="B12">
            <v>313</v>
          </cell>
          <cell r="E12" t="str">
            <v>313@amaris.com</v>
          </cell>
        </row>
        <row r="13">
          <cell r="B13">
            <v>343</v>
          </cell>
          <cell r="E13" t="str">
            <v>bvedel@mantu.com</v>
          </cell>
        </row>
        <row r="14">
          <cell r="B14">
            <v>356</v>
          </cell>
          <cell r="E14" t="str">
            <v>gdutertre@mantu.com</v>
          </cell>
        </row>
        <row r="15">
          <cell r="B15">
            <v>1901</v>
          </cell>
          <cell r="E15" t="str">
            <v>1901@amaris.com</v>
          </cell>
        </row>
        <row r="16">
          <cell r="B16">
            <v>10471</v>
          </cell>
          <cell r="E16" t="str">
            <v>michael.bouakhasith@amaris.com</v>
          </cell>
        </row>
        <row r="17">
          <cell r="B17">
            <v>2952</v>
          </cell>
          <cell r="E17" t="str">
            <v>mboretti@amaris.com</v>
          </cell>
        </row>
        <row r="18">
          <cell r="B18">
            <v>141</v>
          </cell>
          <cell r="E18" t="str">
            <v>141@amaris.com</v>
          </cell>
        </row>
        <row r="19">
          <cell r="B19">
            <v>423</v>
          </cell>
          <cell r="E19" t="str">
            <v>tbesnard@amaris.com</v>
          </cell>
        </row>
        <row r="20">
          <cell r="B20">
            <v>6968</v>
          </cell>
          <cell r="E20" t="str">
            <v>ghislain.ozenne@amaris.com</v>
          </cell>
        </row>
        <row r="21">
          <cell r="B21">
            <v>2078</v>
          </cell>
          <cell r="E21" t="str">
            <v>raphaele.motte@amaris.com</v>
          </cell>
        </row>
        <row r="22">
          <cell r="B22">
            <v>2281</v>
          </cell>
          <cell r="E22" t="str">
            <v>tosin.vaithilingam@amaris.com</v>
          </cell>
        </row>
        <row r="23">
          <cell r="B23">
            <v>2293</v>
          </cell>
          <cell r="E23" t="str">
            <v>2293@amaris.com</v>
          </cell>
        </row>
        <row r="24">
          <cell r="B24">
            <v>8501</v>
          </cell>
          <cell r="E24" t="str">
            <v>jponzio@amaris.com</v>
          </cell>
        </row>
        <row r="25">
          <cell r="B25">
            <v>4070</v>
          </cell>
          <cell r="E25" t="str">
            <v>ahamai@amaris.com</v>
          </cell>
        </row>
        <row r="26">
          <cell r="B26">
            <v>5170</v>
          </cell>
          <cell r="E26" t="str">
            <v>5170@amaris.com</v>
          </cell>
        </row>
        <row r="27">
          <cell r="B27">
            <v>5156</v>
          </cell>
          <cell r="E27" t="str">
            <v>5156@amaris.com</v>
          </cell>
        </row>
        <row r="28">
          <cell r="B28">
            <v>5469</v>
          </cell>
          <cell r="E28" t="str">
            <v>5469@amaris.com</v>
          </cell>
        </row>
        <row r="29">
          <cell r="B29">
            <v>7901</v>
          </cell>
          <cell r="E29" t="str">
            <v>tvo3@mantu.com</v>
          </cell>
        </row>
        <row r="30">
          <cell r="B30">
            <v>5199</v>
          </cell>
          <cell r="E30" t="str">
            <v>tle@amaris.com</v>
          </cell>
        </row>
        <row r="31">
          <cell r="B31">
            <v>12110</v>
          </cell>
          <cell r="E31" t="str">
            <v>kvu1@amaris.com</v>
          </cell>
        </row>
        <row r="32">
          <cell r="B32">
            <v>5235</v>
          </cell>
          <cell r="E32" t="str">
            <v>5235@amaris.com</v>
          </cell>
        </row>
        <row r="33">
          <cell r="B33">
            <v>6746</v>
          </cell>
          <cell r="E33" t="str">
            <v>6746@amaris.com</v>
          </cell>
        </row>
        <row r="34">
          <cell r="B34">
            <v>397</v>
          </cell>
          <cell r="E34" t="str">
            <v>xmalparty@mantu.com</v>
          </cell>
        </row>
        <row r="35">
          <cell r="B35">
            <v>409</v>
          </cell>
          <cell r="E35" t="str">
            <v>mdrevet@amaris.com</v>
          </cell>
        </row>
        <row r="36">
          <cell r="B36">
            <v>1809</v>
          </cell>
          <cell r="E36" t="str">
            <v>1809@amaris.com</v>
          </cell>
        </row>
        <row r="37">
          <cell r="B37">
            <v>2062</v>
          </cell>
          <cell r="E37" t="str">
            <v>2062@amaris.com</v>
          </cell>
        </row>
        <row r="38">
          <cell r="B38">
            <v>2311</v>
          </cell>
          <cell r="E38" t="str">
            <v>2311@amaris.com</v>
          </cell>
        </row>
        <row r="39">
          <cell r="B39">
            <v>2415</v>
          </cell>
          <cell r="E39" t="str">
            <v>cedric.awenenty@amaris.com</v>
          </cell>
        </row>
        <row r="40">
          <cell r="B40">
            <v>9075</v>
          </cell>
          <cell r="E40" t="str">
            <v>arnaud.gilbert@amaris.com</v>
          </cell>
        </row>
        <row r="41">
          <cell r="B41">
            <v>9991</v>
          </cell>
          <cell r="E41" t="str">
            <v>laurent.tupin@amaris.com</v>
          </cell>
        </row>
        <row r="42">
          <cell r="B42">
            <v>2694</v>
          </cell>
          <cell r="E42" t="str">
            <v>2694@amaris.com</v>
          </cell>
        </row>
        <row r="43">
          <cell r="B43">
            <v>2667</v>
          </cell>
          <cell r="E43" t="str">
            <v>mixa.chan@amaris.com</v>
          </cell>
        </row>
        <row r="44">
          <cell r="B44">
            <v>1370</v>
          </cell>
          <cell r="E44" t="str">
            <v>1370@amaris.com</v>
          </cell>
        </row>
        <row r="45">
          <cell r="B45">
            <v>5775</v>
          </cell>
          <cell r="E45" t="str">
            <v>lmarguin@amaris.com</v>
          </cell>
        </row>
        <row r="46">
          <cell r="B46">
            <v>4041</v>
          </cell>
          <cell r="E46" t="str">
            <v>4041@amaris.com</v>
          </cell>
        </row>
        <row r="47">
          <cell r="B47">
            <v>3994</v>
          </cell>
          <cell r="E47" t="str">
            <v>mnguyen@amaris.com</v>
          </cell>
        </row>
        <row r="48">
          <cell r="B48">
            <v>4030</v>
          </cell>
          <cell r="E48" t="str">
            <v>4030@amaris.com</v>
          </cell>
        </row>
        <row r="49">
          <cell r="B49">
            <v>2618</v>
          </cell>
          <cell r="E49" t="str">
            <v>2618@amaris.com</v>
          </cell>
        </row>
        <row r="50">
          <cell r="B50">
            <v>10179</v>
          </cell>
          <cell r="E50" t="str">
            <v>ctisseyre@amaris.com</v>
          </cell>
        </row>
        <row r="51">
          <cell r="B51">
            <v>6206</v>
          </cell>
          <cell r="E51" t="str">
            <v>6206@amaris.com</v>
          </cell>
        </row>
        <row r="52">
          <cell r="B52">
            <v>2680</v>
          </cell>
          <cell r="E52" t="str">
            <v>athomas@amaris.com</v>
          </cell>
        </row>
        <row r="53">
          <cell r="B53">
            <v>5773</v>
          </cell>
          <cell r="E53" t="str">
            <v>ttran2@amaris.com</v>
          </cell>
        </row>
        <row r="54">
          <cell r="B54">
            <v>4037</v>
          </cell>
          <cell r="E54" t="str">
            <v>4037@amaris.com</v>
          </cell>
        </row>
        <row r="55">
          <cell r="B55">
            <v>12104</v>
          </cell>
          <cell r="E55" t="str">
            <v>hta@amaris.com</v>
          </cell>
        </row>
        <row r="56">
          <cell r="B56">
            <v>4028</v>
          </cell>
          <cell r="E56" t="str">
            <v>4028@amaris.com</v>
          </cell>
        </row>
        <row r="57">
          <cell r="B57">
            <v>7955</v>
          </cell>
          <cell r="E57" t="str">
            <v>ttruong1@amaris.com</v>
          </cell>
        </row>
        <row r="58">
          <cell r="B58">
            <v>2796</v>
          </cell>
          <cell r="E58" t="str">
            <v>2796@amaris.com</v>
          </cell>
        </row>
        <row r="59">
          <cell r="B59">
            <v>10602</v>
          </cell>
          <cell r="E59" t="str">
            <v>xthanh@amaris.com</v>
          </cell>
        </row>
        <row r="60">
          <cell r="B60">
            <v>2787</v>
          </cell>
          <cell r="E60" t="str">
            <v>lcatherall@amaris.com</v>
          </cell>
        </row>
        <row r="61">
          <cell r="B61">
            <v>4053</v>
          </cell>
          <cell r="E61" t="str">
            <v>akeereman@amaris.com</v>
          </cell>
        </row>
        <row r="62">
          <cell r="B62">
            <v>2963</v>
          </cell>
          <cell r="E62" t="str">
            <v>2963@amaris.com</v>
          </cell>
        </row>
        <row r="63">
          <cell r="B63">
            <v>2975</v>
          </cell>
          <cell r="E63" t="str">
            <v>2975@amaris.com</v>
          </cell>
        </row>
        <row r="64">
          <cell r="B64">
            <v>6145</v>
          </cell>
          <cell r="E64" t="str">
            <v>ttran3@amaris.com</v>
          </cell>
        </row>
        <row r="65">
          <cell r="B65">
            <v>5473</v>
          </cell>
          <cell r="E65" t="str">
            <v>5473@amaris.com</v>
          </cell>
        </row>
        <row r="66">
          <cell r="B66">
            <v>6560</v>
          </cell>
          <cell r="E66" t="str">
            <v>gopi.muddala@amaris.com</v>
          </cell>
        </row>
        <row r="67">
          <cell r="B67">
            <v>5697</v>
          </cell>
          <cell r="E67" t="str">
            <v>5697@amaris.com</v>
          </cell>
        </row>
        <row r="68">
          <cell r="B68">
            <v>5667</v>
          </cell>
          <cell r="E68" t="str">
            <v>ttran1@amaris.com</v>
          </cell>
        </row>
        <row r="69">
          <cell r="B69">
            <v>5587</v>
          </cell>
          <cell r="E69" t="str">
            <v>5587@amaris.com</v>
          </cell>
        </row>
        <row r="70">
          <cell r="B70">
            <v>5759</v>
          </cell>
          <cell r="E70" t="str">
            <v>nle1@amaris.com</v>
          </cell>
        </row>
        <row r="71">
          <cell r="B71">
            <v>5628</v>
          </cell>
          <cell r="E71" t="str">
            <v>ale@amaris.com</v>
          </cell>
        </row>
        <row r="72">
          <cell r="B72">
            <v>5315</v>
          </cell>
          <cell r="E72" t="str">
            <v>5315@amaris.com</v>
          </cell>
        </row>
        <row r="73">
          <cell r="B73">
            <v>4064</v>
          </cell>
          <cell r="E73" t="str">
            <v>4064@amaris.com</v>
          </cell>
        </row>
        <row r="74">
          <cell r="B74">
            <v>16439</v>
          </cell>
          <cell r="E74" t="str">
            <v>gferrero@mantu.com</v>
          </cell>
        </row>
        <row r="75">
          <cell r="B75">
            <v>7806</v>
          </cell>
          <cell r="E75" t="str">
            <v>spham2@amaris.com</v>
          </cell>
        </row>
        <row r="76">
          <cell r="B76">
            <v>5139</v>
          </cell>
          <cell r="E76" t="str">
            <v>dlefebvre@amaris.com</v>
          </cell>
        </row>
        <row r="77">
          <cell r="B77">
            <v>5969</v>
          </cell>
          <cell r="E77" t="str">
            <v>hvu@amaris.com</v>
          </cell>
        </row>
        <row r="78">
          <cell r="B78">
            <v>5174</v>
          </cell>
          <cell r="E78" t="str">
            <v>5174@amaris.com</v>
          </cell>
        </row>
        <row r="79">
          <cell r="B79">
            <v>8083</v>
          </cell>
          <cell r="E79" t="str">
            <v>billy.tran@amaris.com</v>
          </cell>
        </row>
        <row r="80">
          <cell r="B80">
            <v>10143</v>
          </cell>
          <cell r="E80" t="str">
            <v>crenet@amaris.com</v>
          </cell>
        </row>
        <row r="81">
          <cell r="B81">
            <v>4076</v>
          </cell>
          <cell r="E81" t="str">
            <v>4076@amaris.com</v>
          </cell>
        </row>
        <row r="82">
          <cell r="B82">
            <v>23365</v>
          </cell>
          <cell r="E82" t="str">
            <v>xnguyen1@mantu.com</v>
          </cell>
        </row>
        <row r="83">
          <cell r="B83">
            <v>4021</v>
          </cell>
          <cell r="E83" t="str">
            <v>tnguyen1@amaris.com</v>
          </cell>
        </row>
        <row r="84">
          <cell r="B84">
            <v>5877</v>
          </cell>
          <cell r="E84" t="str">
            <v>vincent.strullu@amaris.com</v>
          </cell>
        </row>
        <row r="85">
          <cell r="B85">
            <v>9060</v>
          </cell>
          <cell r="E85" t="str">
            <v>hnguyen9@amaris.com</v>
          </cell>
        </row>
        <row r="86">
          <cell r="B86">
            <v>4059</v>
          </cell>
          <cell r="E86" t="str">
            <v>4059@amaris.com</v>
          </cell>
        </row>
        <row r="87">
          <cell r="B87">
            <v>5306</v>
          </cell>
          <cell r="E87" t="str">
            <v>jschwartzmann@amaris.com</v>
          </cell>
        </row>
        <row r="88">
          <cell r="B88">
            <v>4034</v>
          </cell>
          <cell r="E88" t="str">
            <v>qluong@amaris.com</v>
          </cell>
        </row>
        <row r="89">
          <cell r="B89">
            <v>15685</v>
          </cell>
          <cell r="E89" t="str">
            <v>quangthang.pham@amaris.com</v>
          </cell>
        </row>
        <row r="90">
          <cell r="B90">
            <v>12262</v>
          </cell>
          <cell r="E90" t="str">
            <v>asenaud@mantu.com</v>
          </cell>
        </row>
        <row r="91">
          <cell r="B91">
            <v>5212</v>
          </cell>
          <cell r="E91" t="str">
            <v>mdescamps@amaris.com</v>
          </cell>
        </row>
        <row r="92">
          <cell r="B92">
            <v>6482</v>
          </cell>
          <cell r="E92" t="str">
            <v>cmendoza@amaris.com</v>
          </cell>
        </row>
        <row r="93">
          <cell r="B93">
            <v>4029</v>
          </cell>
          <cell r="E93" t="str">
            <v>4029@amaris.com</v>
          </cell>
        </row>
        <row r="94">
          <cell r="B94">
            <v>5198</v>
          </cell>
          <cell r="E94" t="str">
            <v>5198@amaris.com</v>
          </cell>
        </row>
        <row r="95">
          <cell r="B95">
            <v>5871</v>
          </cell>
          <cell r="E95" t="str">
            <v>hnguyen1@mantu.com</v>
          </cell>
        </row>
        <row r="96">
          <cell r="B96">
            <v>5251</v>
          </cell>
          <cell r="E96" t="str">
            <v>agervy@amaris.com</v>
          </cell>
        </row>
        <row r="97">
          <cell r="B97">
            <v>5432</v>
          </cell>
          <cell r="E97" t="str">
            <v>5432@amaris.com</v>
          </cell>
        </row>
        <row r="98">
          <cell r="B98">
            <v>10760</v>
          </cell>
          <cell r="E98" t="str">
            <v>minhtri.hong@amaris.com</v>
          </cell>
        </row>
        <row r="99">
          <cell r="B99">
            <v>5232</v>
          </cell>
          <cell r="E99" t="str">
            <v>5232@amaris.com</v>
          </cell>
        </row>
        <row r="100">
          <cell r="B100">
            <v>5517</v>
          </cell>
          <cell r="E100" t="str">
            <v>ttruong@amaris.com</v>
          </cell>
        </row>
        <row r="101">
          <cell r="B101">
            <v>5559</v>
          </cell>
          <cell r="E101" t="str">
            <v>5559@amaris.com</v>
          </cell>
        </row>
        <row r="102">
          <cell r="B102">
            <v>5659</v>
          </cell>
          <cell r="E102" t="str">
            <v>5659@amaris.com</v>
          </cell>
        </row>
        <row r="103">
          <cell r="B103">
            <v>8153</v>
          </cell>
          <cell r="E103" t="str">
            <v>ttran11@amaris.com</v>
          </cell>
        </row>
        <row r="104">
          <cell r="B104">
            <v>7829</v>
          </cell>
          <cell r="E104" t="str">
            <v>nhan.nguyen@amaris.com</v>
          </cell>
        </row>
        <row r="105">
          <cell r="B105">
            <v>5736</v>
          </cell>
          <cell r="E105" t="str">
            <v>5736@amaris.com</v>
          </cell>
        </row>
        <row r="106">
          <cell r="B106">
            <v>5692</v>
          </cell>
          <cell r="E106" t="str">
            <v>agenin@amaris.com</v>
          </cell>
        </row>
        <row r="107">
          <cell r="B107">
            <v>11030</v>
          </cell>
          <cell r="E107" t="str">
            <v>tran.ha@amaris.com</v>
          </cell>
        </row>
        <row r="108">
          <cell r="B108">
            <v>5986</v>
          </cell>
          <cell r="E108" t="str">
            <v>5986@amaris.com</v>
          </cell>
        </row>
        <row r="109">
          <cell r="B109">
            <v>12897</v>
          </cell>
          <cell r="E109" t="str">
            <v>trinh.nguyen@amaris.com</v>
          </cell>
        </row>
        <row r="110">
          <cell r="B110">
            <v>7471</v>
          </cell>
          <cell r="E110" t="str">
            <v>tduong@amaris.com</v>
          </cell>
        </row>
        <row r="111">
          <cell r="B111">
            <v>11408</v>
          </cell>
          <cell r="E111" t="str">
            <v>vvu@amaris.com</v>
          </cell>
        </row>
        <row r="112">
          <cell r="B112">
            <v>10135</v>
          </cell>
          <cell r="E112" t="str">
            <v>dlenail@amaris.com</v>
          </cell>
        </row>
        <row r="113">
          <cell r="B113">
            <v>5903</v>
          </cell>
          <cell r="E113" t="str">
            <v>mhoang@amaris.com</v>
          </cell>
        </row>
        <row r="114">
          <cell r="B114">
            <v>6238</v>
          </cell>
          <cell r="E114" t="str">
            <v>6238@amaris.com</v>
          </cell>
        </row>
        <row r="115">
          <cell r="B115">
            <v>7181</v>
          </cell>
          <cell r="E115" t="str">
            <v>mpham1@amaris.com</v>
          </cell>
        </row>
        <row r="116">
          <cell r="B116">
            <v>9085</v>
          </cell>
          <cell r="E116" t="str">
            <v>dthai@amaris.com</v>
          </cell>
        </row>
        <row r="117">
          <cell r="B117">
            <v>6532</v>
          </cell>
          <cell r="E117" t="str">
            <v>6532@amaris.com</v>
          </cell>
        </row>
        <row r="118">
          <cell r="B118">
            <v>6967</v>
          </cell>
          <cell r="E118" t="str">
            <v>tnguyen7@amaris.com</v>
          </cell>
        </row>
        <row r="119">
          <cell r="B119">
            <v>5196</v>
          </cell>
          <cell r="E119" t="str">
            <v>tpham@amaris.com</v>
          </cell>
        </row>
        <row r="120">
          <cell r="B120">
            <v>5197</v>
          </cell>
          <cell r="E120" t="str">
            <v>5197@amaris.com</v>
          </cell>
        </row>
        <row r="121">
          <cell r="B121">
            <v>6748</v>
          </cell>
          <cell r="E121" t="str">
            <v>hle@amaris.com</v>
          </cell>
        </row>
        <row r="122">
          <cell r="B122">
            <v>13585</v>
          </cell>
          <cell r="E122" t="str">
            <v>dminhtam@amaris.com</v>
          </cell>
        </row>
        <row r="123">
          <cell r="B123">
            <v>7666</v>
          </cell>
          <cell r="E123" t="str">
            <v>trung.pham@amaris.com</v>
          </cell>
        </row>
        <row r="124">
          <cell r="B124">
            <v>5516</v>
          </cell>
          <cell r="E124" t="str">
            <v>5516@amaris.com</v>
          </cell>
        </row>
        <row r="125">
          <cell r="B125">
            <v>5544</v>
          </cell>
          <cell r="E125" t="str">
            <v>5544@amaris.com</v>
          </cell>
        </row>
        <row r="126">
          <cell r="B126">
            <v>5581</v>
          </cell>
          <cell r="E126" t="str">
            <v>5581@amaris.com</v>
          </cell>
        </row>
        <row r="127">
          <cell r="B127">
            <v>9070</v>
          </cell>
          <cell r="E127" t="str">
            <v>cjuin@amaris.com</v>
          </cell>
        </row>
        <row r="128">
          <cell r="B128">
            <v>5494</v>
          </cell>
          <cell r="E128" t="str">
            <v>5494@amaris.com</v>
          </cell>
        </row>
        <row r="129">
          <cell r="B129">
            <v>5540</v>
          </cell>
          <cell r="E129" t="str">
            <v>htran1@mantu.com</v>
          </cell>
        </row>
        <row r="130">
          <cell r="B130">
            <v>12856</v>
          </cell>
          <cell r="E130" t="str">
            <v>chuong.nguyen@amaris.com</v>
          </cell>
        </row>
        <row r="131">
          <cell r="B131">
            <v>18040</v>
          </cell>
          <cell r="E131" t="str">
            <v>phuongmai.bui@amaris.com</v>
          </cell>
        </row>
        <row r="132">
          <cell r="B132">
            <v>5592</v>
          </cell>
          <cell r="E132" t="str">
            <v>5592@amaris.com</v>
          </cell>
        </row>
        <row r="133">
          <cell r="B133">
            <v>5656</v>
          </cell>
          <cell r="E133" t="str">
            <v>tuandung.bui@amaris.com</v>
          </cell>
        </row>
        <row r="134">
          <cell r="B134">
            <v>8382</v>
          </cell>
          <cell r="E134" t="str">
            <v>tdo1@amaris.com</v>
          </cell>
        </row>
        <row r="135">
          <cell r="B135">
            <v>5567</v>
          </cell>
          <cell r="E135" t="str">
            <v>dnguyen@amaris.com</v>
          </cell>
        </row>
        <row r="136">
          <cell r="B136">
            <v>8879</v>
          </cell>
          <cell r="E136" t="str">
            <v>duy.nguyen@amaris.com</v>
          </cell>
        </row>
        <row r="137">
          <cell r="B137">
            <v>5518</v>
          </cell>
          <cell r="E137" t="str">
            <v>achitre@amaris.com</v>
          </cell>
        </row>
        <row r="138">
          <cell r="B138">
            <v>6854</v>
          </cell>
          <cell r="E138" t="str">
            <v>cpham@mantu.com</v>
          </cell>
        </row>
        <row r="139">
          <cell r="B139">
            <v>5595</v>
          </cell>
          <cell r="E139" t="str">
            <v>5595@amaris.com</v>
          </cell>
        </row>
        <row r="140">
          <cell r="B140">
            <v>5556</v>
          </cell>
          <cell r="E140" t="str">
            <v>5556@amaris.com</v>
          </cell>
        </row>
        <row r="141">
          <cell r="B141">
            <v>9334</v>
          </cell>
          <cell r="E141" t="str">
            <v>lam.duonghong@amaris.com</v>
          </cell>
        </row>
        <row r="142">
          <cell r="B142">
            <v>14035</v>
          </cell>
          <cell r="E142" t="str">
            <v>tnguyen42@mantu.com</v>
          </cell>
        </row>
        <row r="143">
          <cell r="B143">
            <v>6240</v>
          </cell>
          <cell r="E143" t="str">
            <v>ltran@amaris.com</v>
          </cell>
        </row>
        <row r="144">
          <cell r="B144">
            <v>10666</v>
          </cell>
          <cell r="E144" t="str">
            <v>aivan@mantu.com</v>
          </cell>
        </row>
        <row r="145">
          <cell r="B145">
            <v>6508</v>
          </cell>
          <cell r="E145" t="str">
            <v>ktaing@amaris.com</v>
          </cell>
        </row>
        <row r="146">
          <cell r="B146">
            <v>10105</v>
          </cell>
          <cell r="E146" t="str">
            <v>tphan@amaris.com</v>
          </cell>
        </row>
        <row r="147">
          <cell r="B147">
            <v>8051</v>
          </cell>
          <cell r="E147" t="str">
            <v>jruchaud@amaris.com</v>
          </cell>
        </row>
        <row r="148">
          <cell r="B148">
            <v>6425</v>
          </cell>
          <cell r="E148" t="str">
            <v>thuynh@amaris.com</v>
          </cell>
        </row>
        <row r="149">
          <cell r="B149">
            <v>6316</v>
          </cell>
          <cell r="E149" t="str">
            <v>thuonghoai.le@amaris.com</v>
          </cell>
        </row>
        <row r="150">
          <cell r="B150">
            <v>8193</v>
          </cell>
          <cell r="E150" t="str">
            <v>tle5@amaris.com</v>
          </cell>
        </row>
        <row r="151">
          <cell r="B151">
            <v>21518</v>
          </cell>
          <cell r="E151" t="str">
            <v>khacminh.vo@amaris.com</v>
          </cell>
        </row>
        <row r="152">
          <cell r="B152">
            <v>5765</v>
          </cell>
          <cell r="E152" t="str">
            <v>anguyen@mantu.com</v>
          </cell>
        </row>
        <row r="153">
          <cell r="B153">
            <v>8421</v>
          </cell>
          <cell r="E153" t="str">
            <v>soutabia@amaris.com</v>
          </cell>
        </row>
        <row r="154">
          <cell r="B154">
            <v>5748</v>
          </cell>
          <cell r="E154" t="str">
            <v>tuanquang.nguyenduy@amaris.com</v>
          </cell>
        </row>
        <row r="155">
          <cell r="B155">
            <v>15924</v>
          </cell>
          <cell r="E155" t="str">
            <v>thieu.vantuan@amaris.com</v>
          </cell>
        </row>
        <row r="156">
          <cell r="B156">
            <v>9180</v>
          </cell>
          <cell r="E156" t="str">
            <v>vho@amaris.com</v>
          </cell>
        </row>
        <row r="157">
          <cell r="B157">
            <v>5863</v>
          </cell>
          <cell r="E157" t="str">
            <v>pvo@amaris.com</v>
          </cell>
        </row>
        <row r="158">
          <cell r="B158">
            <v>5876</v>
          </cell>
          <cell r="E158" t="str">
            <v>5876@amaris.com</v>
          </cell>
        </row>
        <row r="159">
          <cell r="B159">
            <v>6115</v>
          </cell>
          <cell r="E159" t="str">
            <v>6115@amaris.com</v>
          </cell>
        </row>
        <row r="160">
          <cell r="B160">
            <v>6000</v>
          </cell>
          <cell r="E160" t="str">
            <v>mlee@amaris.com</v>
          </cell>
        </row>
        <row r="161">
          <cell r="B161">
            <v>6479</v>
          </cell>
          <cell r="E161" t="str">
            <v>6479@amaris.com</v>
          </cell>
        </row>
        <row r="162">
          <cell r="B162">
            <v>6793</v>
          </cell>
          <cell r="E162" t="str">
            <v>ssaha@amaris.com</v>
          </cell>
        </row>
        <row r="163">
          <cell r="B163">
            <v>26347</v>
          </cell>
          <cell r="E163" t="str">
            <v>tle16@mantu.com</v>
          </cell>
        </row>
        <row r="164">
          <cell r="B164">
            <v>6009</v>
          </cell>
          <cell r="E164" t="str">
            <v>jleflour@mantu.com</v>
          </cell>
        </row>
        <row r="165">
          <cell r="B165">
            <v>6974</v>
          </cell>
          <cell r="E165" t="str">
            <v>mnguyentran@amaris.com</v>
          </cell>
        </row>
        <row r="166">
          <cell r="B166">
            <v>9092</v>
          </cell>
          <cell r="E166" t="str">
            <v>ndo@mantu.com</v>
          </cell>
        </row>
        <row r="167">
          <cell r="B167">
            <v>5942</v>
          </cell>
          <cell r="E167" t="str">
            <v>avallier@amaris.com</v>
          </cell>
        </row>
        <row r="168">
          <cell r="B168">
            <v>6179</v>
          </cell>
          <cell r="E168" t="str">
            <v>dle@amaris.com</v>
          </cell>
        </row>
        <row r="169">
          <cell r="B169">
            <v>28979</v>
          </cell>
          <cell r="E169" t="str">
            <v>tharant@amaris.com</v>
          </cell>
        </row>
        <row r="170">
          <cell r="B170">
            <v>5940</v>
          </cell>
          <cell r="E170" t="str">
            <v>qvu@amaris.com</v>
          </cell>
        </row>
        <row r="171">
          <cell r="B171">
            <v>6073</v>
          </cell>
          <cell r="E171" t="str">
            <v>6073@amaris.com</v>
          </cell>
        </row>
        <row r="172">
          <cell r="B172">
            <v>5939</v>
          </cell>
          <cell r="E172" t="str">
            <v>joseantonio.morenopunzon@amaris.com</v>
          </cell>
        </row>
        <row r="173">
          <cell r="B173">
            <v>7757</v>
          </cell>
          <cell r="E173" t="str">
            <v>cnguyen@amaris.com</v>
          </cell>
        </row>
        <row r="174">
          <cell r="B174">
            <v>6003</v>
          </cell>
          <cell r="E174" t="str">
            <v>tnguyen3@amaris.com</v>
          </cell>
        </row>
        <row r="175">
          <cell r="B175">
            <v>5795</v>
          </cell>
          <cell r="E175" t="str">
            <v>tpham1@amaris.com</v>
          </cell>
        </row>
        <row r="176">
          <cell r="B176">
            <v>7013</v>
          </cell>
          <cell r="E176" t="str">
            <v>dnguyen2@mantu.com</v>
          </cell>
        </row>
        <row r="177">
          <cell r="B177">
            <v>6782</v>
          </cell>
          <cell r="E177" t="str">
            <v>ahuynh@amaris.com</v>
          </cell>
        </row>
        <row r="178">
          <cell r="B178">
            <v>5734</v>
          </cell>
          <cell r="E178" t="str">
            <v>vduong@amaris.com</v>
          </cell>
        </row>
        <row r="179">
          <cell r="B179">
            <v>6975</v>
          </cell>
          <cell r="E179" t="str">
            <v>vbui@amaris.com</v>
          </cell>
        </row>
        <row r="180">
          <cell r="B180">
            <v>9586</v>
          </cell>
          <cell r="E180" t="str">
            <v>vo.ngocdiep@amaris.com</v>
          </cell>
        </row>
        <row r="181">
          <cell r="B181">
            <v>11887</v>
          </cell>
          <cell r="E181" t="str">
            <v>ngochuy.thanh@amaris.com</v>
          </cell>
        </row>
        <row r="182">
          <cell r="B182">
            <v>6424</v>
          </cell>
          <cell r="E182" t="str">
            <v>hdang@mantu.com</v>
          </cell>
        </row>
        <row r="183">
          <cell r="B183">
            <v>8662</v>
          </cell>
          <cell r="E183" t="str">
            <v>blecocq@amaris.com</v>
          </cell>
        </row>
        <row r="184">
          <cell r="B184">
            <v>10935</v>
          </cell>
          <cell r="E184" t="str">
            <v>manhhung.tran@amaris.com</v>
          </cell>
        </row>
        <row r="185">
          <cell r="B185">
            <v>11512</v>
          </cell>
          <cell r="E185" t="str">
            <v>quangvinh.pham@7circles.com</v>
          </cell>
        </row>
        <row r="186">
          <cell r="B186">
            <v>6825</v>
          </cell>
          <cell r="E186" t="str">
            <v>6825@amaris.com</v>
          </cell>
        </row>
        <row r="187">
          <cell r="B187">
            <v>6600</v>
          </cell>
          <cell r="E187" t="str">
            <v>hli@amaris.com</v>
          </cell>
        </row>
        <row r="188">
          <cell r="B188">
            <v>11925</v>
          </cell>
          <cell r="E188" t="str">
            <v>aherbil@amaris.com</v>
          </cell>
        </row>
        <row r="189">
          <cell r="B189">
            <v>13687</v>
          </cell>
          <cell r="E189" t="str">
            <v>vinhtruong.bui@amaris.com</v>
          </cell>
        </row>
        <row r="190">
          <cell r="B190">
            <v>7540</v>
          </cell>
          <cell r="E190" t="str">
            <v>atran@amaris.com</v>
          </cell>
        </row>
        <row r="191">
          <cell r="B191">
            <v>11445</v>
          </cell>
          <cell r="E191" t="str">
            <v>minhvu.cao@littlebigconnection.com</v>
          </cell>
        </row>
        <row r="192">
          <cell r="B192">
            <v>13467</v>
          </cell>
          <cell r="E192" t="str">
            <v>tho1@amaris.com</v>
          </cell>
        </row>
        <row r="193">
          <cell r="B193">
            <v>9126</v>
          </cell>
          <cell r="E193" t="str">
            <v>ole@amaris.com</v>
          </cell>
        </row>
        <row r="194">
          <cell r="B194">
            <v>11322</v>
          </cell>
          <cell r="E194" t="str">
            <v>dnguyen13@amaris.com</v>
          </cell>
        </row>
        <row r="195">
          <cell r="B195">
            <v>6464</v>
          </cell>
          <cell r="E195" t="str">
            <v>6464@amaris.com</v>
          </cell>
        </row>
        <row r="196">
          <cell r="B196">
            <v>5990</v>
          </cell>
          <cell r="E196" t="str">
            <v>knguyen@amaris.com</v>
          </cell>
        </row>
        <row r="197">
          <cell r="B197">
            <v>11406</v>
          </cell>
          <cell r="E197" t="str">
            <v>florence.chuette@amaris.com</v>
          </cell>
        </row>
        <row r="198">
          <cell r="B198">
            <v>16467</v>
          </cell>
          <cell r="E198" t="str">
            <v>thanhviet.huynh@amaris.com</v>
          </cell>
        </row>
        <row r="199">
          <cell r="B199">
            <v>6350</v>
          </cell>
          <cell r="E199" t="str">
            <v>kcap@mantu.com</v>
          </cell>
        </row>
        <row r="200">
          <cell r="B200">
            <v>15065</v>
          </cell>
          <cell r="E200" t="str">
            <v>thuan.nguyen@7circles.com</v>
          </cell>
        </row>
        <row r="201">
          <cell r="B201">
            <v>7621</v>
          </cell>
          <cell r="E201" t="str">
            <v>vtran1@mantu.com</v>
          </cell>
        </row>
        <row r="202">
          <cell r="B202">
            <v>10729</v>
          </cell>
          <cell r="E202" t="str">
            <v>sanket.sable@amaris.com</v>
          </cell>
        </row>
        <row r="203">
          <cell r="B203">
            <v>14735</v>
          </cell>
          <cell r="E203" t="str">
            <v>dquynhnga@amaris.com</v>
          </cell>
        </row>
        <row r="204">
          <cell r="B204">
            <v>6426</v>
          </cell>
          <cell r="E204" t="str">
            <v>nnguyen2@amaris.com</v>
          </cell>
        </row>
        <row r="205">
          <cell r="B205">
            <v>6487</v>
          </cell>
          <cell r="E205" t="str">
            <v>tungvan.nguyen@amaris.com</v>
          </cell>
        </row>
        <row r="206">
          <cell r="B206">
            <v>11525</v>
          </cell>
          <cell r="E206" t="str">
            <v>vnguyen7@mantu.com</v>
          </cell>
        </row>
        <row r="207">
          <cell r="B207">
            <v>7060</v>
          </cell>
          <cell r="E207" t="str">
            <v>lluu@amaris.com</v>
          </cell>
        </row>
        <row r="208">
          <cell r="B208">
            <v>8154</v>
          </cell>
          <cell r="E208" t="str">
            <v>ndinh@amaris.com</v>
          </cell>
        </row>
        <row r="209">
          <cell r="B209">
            <v>6760</v>
          </cell>
          <cell r="E209" t="str">
            <v>6760@amaris.com</v>
          </cell>
        </row>
        <row r="210">
          <cell r="B210">
            <v>7083</v>
          </cell>
          <cell r="E210" t="str">
            <v>jfauvel@amaris.com</v>
          </cell>
        </row>
        <row r="211">
          <cell r="B211">
            <v>12743</v>
          </cell>
          <cell r="E211" t="str">
            <v>dien.doanbao@amaris.com</v>
          </cell>
        </row>
        <row r="212">
          <cell r="B212">
            <v>5889</v>
          </cell>
          <cell r="E212" t="str">
            <v>5889@amaris.com</v>
          </cell>
        </row>
        <row r="213">
          <cell r="B213">
            <v>10638</v>
          </cell>
          <cell r="E213" t="str">
            <v>vinhhien.dinh@amaris.com</v>
          </cell>
        </row>
        <row r="214">
          <cell r="B214">
            <v>6614</v>
          </cell>
          <cell r="E214" t="str">
            <v>jbloomer@amaris.com</v>
          </cell>
        </row>
        <row r="215">
          <cell r="B215">
            <v>17462</v>
          </cell>
          <cell r="E215" t="str">
            <v>aasseline@amaris.com</v>
          </cell>
        </row>
        <row r="216">
          <cell r="B216">
            <v>6083</v>
          </cell>
          <cell r="E216" t="str">
            <v>jcouverchel@amaris.com</v>
          </cell>
        </row>
        <row r="217">
          <cell r="B217">
            <v>6444</v>
          </cell>
          <cell r="E217" t="str">
            <v>6444@amaris.com</v>
          </cell>
        </row>
        <row r="218">
          <cell r="B218">
            <v>7929</v>
          </cell>
          <cell r="E218" t="str">
            <v>hmatysiak@mantu.com</v>
          </cell>
        </row>
        <row r="219">
          <cell r="B219">
            <v>11433</v>
          </cell>
          <cell r="E219" t="str">
            <v>mhoang1@mantu.com</v>
          </cell>
        </row>
        <row r="220">
          <cell r="B220">
            <v>9700</v>
          </cell>
          <cell r="E220" t="str">
            <v>pchau@mantu.com</v>
          </cell>
        </row>
        <row r="221">
          <cell r="B221">
            <v>6670</v>
          </cell>
          <cell r="E221" t="str">
            <v>lnguyen@amaris.com</v>
          </cell>
        </row>
        <row r="222">
          <cell r="B222">
            <v>6794</v>
          </cell>
          <cell r="E222" t="str">
            <v>vlam@amaris.com</v>
          </cell>
        </row>
        <row r="223">
          <cell r="B223">
            <v>10565</v>
          </cell>
          <cell r="E223" t="str">
            <v>vle@mantu.com</v>
          </cell>
        </row>
        <row r="224">
          <cell r="B224">
            <v>6759</v>
          </cell>
          <cell r="E224" t="str">
            <v>6759@amaris.com</v>
          </cell>
        </row>
        <row r="225">
          <cell r="B225">
            <v>6904</v>
          </cell>
          <cell r="E225" t="str">
            <v>qtran@amaris.com</v>
          </cell>
        </row>
        <row r="226">
          <cell r="B226">
            <v>6706</v>
          </cell>
          <cell r="E226" t="str">
            <v>kbui@amaris.com</v>
          </cell>
        </row>
        <row r="227">
          <cell r="B227">
            <v>6505</v>
          </cell>
          <cell r="E227" t="str">
            <v>rgil@amaris.com</v>
          </cell>
        </row>
        <row r="228">
          <cell r="B228">
            <v>7157</v>
          </cell>
          <cell r="E228" t="str">
            <v>hle2@amaris.com</v>
          </cell>
        </row>
        <row r="229">
          <cell r="B229">
            <v>6884</v>
          </cell>
          <cell r="E229" t="str">
            <v>rangoteeah@mantu.com</v>
          </cell>
        </row>
        <row r="230">
          <cell r="B230">
            <v>7488</v>
          </cell>
          <cell r="E230" t="str">
            <v>mshili@amaris.com</v>
          </cell>
        </row>
        <row r="231">
          <cell r="B231">
            <v>6864</v>
          </cell>
          <cell r="E231" t="str">
            <v>nramasawmy@mantu.com</v>
          </cell>
        </row>
        <row r="232">
          <cell r="B232">
            <v>6622</v>
          </cell>
          <cell r="E232" t="str">
            <v>tvo1@amaris.com</v>
          </cell>
        </row>
        <row r="233">
          <cell r="B233">
            <v>6573</v>
          </cell>
          <cell r="E233" t="str">
            <v>bpham@amaris.com</v>
          </cell>
        </row>
        <row r="234">
          <cell r="B234">
            <v>12667</v>
          </cell>
          <cell r="E234" t="str">
            <v>vnguyen8@amaris.com</v>
          </cell>
        </row>
        <row r="235">
          <cell r="B235">
            <v>6540</v>
          </cell>
          <cell r="E235" t="str">
            <v>qtrinh@mantu.com</v>
          </cell>
        </row>
        <row r="236">
          <cell r="B236">
            <v>6649</v>
          </cell>
          <cell r="E236" t="str">
            <v>mthoulouse@amaris.com</v>
          </cell>
        </row>
        <row r="237">
          <cell r="B237">
            <v>8072</v>
          </cell>
          <cell r="E237" t="str">
            <v>tpham4@amaris.com</v>
          </cell>
        </row>
        <row r="238">
          <cell r="B238">
            <v>7590</v>
          </cell>
          <cell r="E238" t="str">
            <v>jcolumna@amaris.com</v>
          </cell>
        </row>
        <row r="239">
          <cell r="B239">
            <v>6770</v>
          </cell>
          <cell r="E239" t="str">
            <v>6770@amaris.com</v>
          </cell>
        </row>
        <row r="240">
          <cell r="B240">
            <v>6207</v>
          </cell>
          <cell r="E240" t="str">
            <v>6207@amaris.com</v>
          </cell>
        </row>
        <row r="241">
          <cell r="B241">
            <v>6163</v>
          </cell>
          <cell r="E241" t="str">
            <v>nphung@amaris.com</v>
          </cell>
        </row>
        <row r="242">
          <cell r="B242">
            <v>6299</v>
          </cell>
          <cell r="E242" t="str">
            <v>vnguyen@mantu.com</v>
          </cell>
        </row>
        <row r="243">
          <cell r="B243">
            <v>6385</v>
          </cell>
          <cell r="E243" t="str">
            <v>6385@amaris.com</v>
          </cell>
        </row>
        <row r="244">
          <cell r="B244">
            <v>6440</v>
          </cell>
          <cell r="E244" t="str">
            <v>6440@amaris.com</v>
          </cell>
        </row>
        <row r="245">
          <cell r="B245">
            <v>7832</v>
          </cell>
          <cell r="E245" t="str">
            <v>tdang@amaris.com</v>
          </cell>
        </row>
        <row r="246">
          <cell r="B246">
            <v>6414</v>
          </cell>
          <cell r="E246" t="str">
            <v>pdao@amaris.com</v>
          </cell>
        </row>
        <row r="247">
          <cell r="B247">
            <v>6503</v>
          </cell>
          <cell r="E247" t="str">
            <v>6503@amaris.com</v>
          </cell>
        </row>
        <row r="248">
          <cell r="B248">
            <v>12176</v>
          </cell>
          <cell r="E248" t="str">
            <v>nguyen.tai1@amaris.com</v>
          </cell>
        </row>
        <row r="249">
          <cell r="B249">
            <v>7041</v>
          </cell>
          <cell r="E249" t="str">
            <v>ygharbaoui@amaris.com</v>
          </cell>
        </row>
        <row r="250">
          <cell r="B250">
            <v>16047</v>
          </cell>
          <cell r="E250" t="str">
            <v>smezidi@amaris.com</v>
          </cell>
        </row>
        <row r="251">
          <cell r="B251">
            <v>6621</v>
          </cell>
          <cell r="E251" t="str">
            <v>cbui@amaris.com</v>
          </cell>
        </row>
        <row r="252">
          <cell r="B252">
            <v>6623</v>
          </cell>
          <cell r="E252" t="str">
            <v>thuynh1@amaris.com</v>
          </cell>
        </row>
        <row r="253">
          <cell r="B253">
            <v>9343</v>
          </cell>
          <cell r="E253" t="str">
            <v>wjoholee@mantu.com</v>
          </cell>
        </row>
        <row r="254">
          <cell r="B254">
            <v>7403</v>
          </cell>
          <cell r="E254" t="str">
            <v>ktran@amaris.com</v>
          </cell>
        </row>
        <row r="255">
          <cell r="B255">
            <v>6868</v>
          </cell>
          <cell r="E255" t="str">
            <v>6868@amaris.com</v>
          </cell>
        </row>
        <row r="256">
          <cell r="B256">
            <v>6916</v>
          </cell>
          <cell r="E256" t="str">
            <v>6916@amaris.com</v>
          </cell>
        </row>
        <row r="257">
          <cell r="B257">
            <v>7988</v>
          </cell>
          <cell r="E257" t="str">
            <v>cbrouard@amaris.com</v>
          </cell>
        </row>
        <row r="258">
          <cell r="B258">
            <v>6971</v>
          </cell>
          <cell r="E258" t="str">
            <v>pparis@amaris.com</v>
          </cell>
        </row>
        <row r="259">
          <cell r="B259">
            <v>7465</v>
          </cell>
          <cell r="E259" t="str">
            <v>aluong@amaris.com</v>
          </cell>
        </row>
        <row r="260">
          <cell r="B260">
            <v>7283</v>
          </cell>
          <cell r="E260" t="str">
            <v>sphung@amaris.com</v>
          </cell>
        </row>
        <row r="261">
          <cell r="B261">
            <v>10818</v>
          </cell>
          <cell r="E261" t="str">
            <v>vuongtien.do@amaris.com</v>
          </cell>
        </row>
        <row r="262">
          <cell r="B262">
            <v>13209</v>
          </cell>
          <cell r="E262" t="str">
            <v>ngocduy.tran@amaris.com</v>
          </cell>
        </row>
        <row r="263">
          <cell r="B263">
            <v>9061</v>
          </cell>
          <cell r="E263" t="str">
            <v>tluong@mantu.com</v>
          </cell>
        </row>
        <row r="264">
          <cell r="B264">
            <v>7133</v>
          </cell>
          <cell r="E264" t="str">
            <v>qgieng@mantu.com</v>
          </cell>
        </row>
        <row r="265">
          <cell r="B265">
            <v>9142</v>
          </cell>
          <cell r="E265" t="str">
            <v>pnguyen1@amaris.com</v>
          </cell>
        </row>
        <row r="266">
          <cell r="B266">
            <v>8289</v>
          </cell>
          <cell r="E266" t="str">
            <v>hcaothi@amaris.com</v>
          </cell>
        </row>
        <row r="267">
          <cell r="B267">
            <v>8633</v>
          </cell>
          <cell r="E267" t="str">
            <v>mnguyen2@amaris.com</v>
          </cell>
        </row>
        <row r="268">
          <cell r="B268">
            <v>7201</v>
          </cell>
          <cell r="E268" t="str">
            <v>ttran5@amaris.com</v>
          </cell>
        </row>
        <row r="269">
          <cell r="B269">
            <v>7169</v>
          </cell>
          <cell r="E269" t="str">
            <v>ttran4@mantu.com</v>
          </cell>
        </row>
        <row r="270">
          <cell r="B270">
            <v>7202</v>
          </cell>
          <cell r="E270" t="str">
            <v>qpham@amaris.com</v>
          </cell>
        </row>
        <row r="271">
          <cell r="B271">
            <v>7207</v>
          </cell>
          <cell r="E271" t="str">
            <v>ttran6@amaris.com</v>
          </cell>
        </row>
        <row r="272">
          <cell r="B272">
            <v>20041</v>
          </cell>
          <cell r="E272" t="str">
            <v>mhajji@amaris.com</v>
          </cell>
        </row>
        <row r="273">
          <cell r="B273">
            <v>7111</v>
          </cell>
          <cell r="E273" t="str">
            <v>truonggiang.khuong@amaris.com</v>
          </cell>
        </row>
        <row r="274">
          <cell r="B274">
            <v>18705</v>
          </cell>
          <cell r="E274" t="str">
            <v>mvo2@mantu.com</v>
          </cell>
        </row>
        <row r="275">
          <cell r="B275">
            <v>6688</v>
          </cell>
          <cell r="E275" t="str">
            <v>ynguyen@amaris.com</v>
          </cell>
        </row>
        <row r="276">
          <cell r="B276">
            <v>6847</v>
          </cell>
          <cell r="E276" t="str">
            <v>vle1@amaris.com</v>
          </cell>
        </row>
        <row r="277">
          <cell r="B277">
            <v>8115</v>
          </cell>
          <cell r="E277" t="str">
            <v>qla@amaris.com</v>
          </cell>
        </row>
        <row r="278">
          <cell r="B278">
            <v>6848</v>
          </cell>
          <cell r="E278" t="str">
            <v>atrieu@mantu.com</v>
          </cell>
        </row>
        <row r="279">
          <cell r="B279">
            <v>16340</v>
          </cell>
          <cell r="E279" t="str">
            <v>mfnguyen@mantu.com</v>
          </cell>
        </row>
        <row r="280">
          <cell r="B280">
            <v>6781</v>
          </cell>
          <cell r="E280" t="str">
            <v>mvo@mantu.com</v>
          </cell>
        </row>
        <row r="281">
          <cell r="B281">
            <v>7290</v>
          </cell>
          <cell r="E281" t="str">
            <v>vvo1@amaris.com</v>
          </cell>
        </row>
        <row r="282">
          <cell r="B282">
            <v>6842</v>
          </cell>
          <cell r="E282" t="str">
            <v>ttham@amaris.com</v>
          </cell>
        </row>
        <row r="283">
          <cell r="B283">
            <v>7186</v>
          </cell>
          <cell r="E283" t="str">
            <v>vu.thuy@amaris.com</v>
          </cell>
        </row>
        <row r="284">
          <cell r="B284">
            <v>10479</v>
          </cell>
          <cell r="E284" t="str">
            <v>xuanloc.nguyen@amaris.com</v>
          </cell>
        </row>
        <row r="285">
          <cell r="B285">
            <v>6903</v>
          </cell>
          <cell r="E285" t="str">
            <v>hle1@mantu.com</v>
          </cell>
        </row>
        <row r="286">
          <cell r="B286">
            <v>7001</v>
          </cell>
          <cell r="E286" t="str">
            <v>dtran1@amaris.com</v>
          </cell>
        </row>
        <row r="287">
          <cell r="B287">
            <v>8057</v>
          </cell>
          <cell r="E287" t="str">
            <v>thoang@mantu.com</v>
          </cell>
        </row>
        <row r="288">
          <cell r="B288">
            <v>8009</v>
          </cell>
          <cell r="E288" t="str">
            <v>tnguyen15@amaris.com</v>
          </cell>
        </row>
        <row r="289">
          <cell r="B289">
            <v>6973</v>
          </cell>
          <cell r="E289" t="str">
            <v>vphan@mantu.com</v>
          </cell>
        </row>
        <row r="290">
          <cell r="B290">
            <v>17773</v>
          </cell>
          <cell r="E290" t="str">
            <v>hduong@mantu.com</v>
          </cell>
        </row>
        <row r="291">
          <cell r="B291">
            <v>8194</v>
          </cell>
          <cell r="E291" t="str">
            <v>ctran@amaris.com</v>
          </cell>
        </row>
        <row r="292">
          <cell r="B292">
            <v>7073</v>
          </cell>
          <cell r="E292" t="str">
            <v>tnguyen8@mantu.com</v>
          </cell>
        </row>
        <row r="293">
          <cell r="B293">
            <v>7042</v>
          </cell>
          <cell r="E293" t="str">
            <v>alai@amaris.com</v>
          </cell>
        </row>
        <row r="294">
          <cell r="B294">
            <v>7687</v>
          </cell>
          <cell r="E294" t="str">
            <v>cle@mantu.com</v>
          </cell>
        </row>
        <row r="295">
          <cell r="B295">
            <v>23902</v>
          </cell>
          <cell r="E295" t="str">
            <v>xuanminh.le@amaris.com</v>
          </cell>
        </row>
        <row r="296">
          <cell r="B296">
            <v>7149</v>
          </cell>
          <cell r="E296" t="str">
            <v>hnguyen3@amaris.com</v>
          </cell>
        </row>
        <row r="297">
          <cell r="B297">
            <v>6987</v>
          </cell>
          <cell r="E297" t="str">
            <v>hchau@amaris.com</v>
          </cell>
        </row>
        <row r="298">
          <cell r="B298">
            <v>7179</v>
          </cell>
          <cell r="E298" t="str">
            <v>tle1@mantu.com</v>
          </cell>
        </row>
        <row r="299">
          <cell r="B299">
            <v>11463</v>
          </cell>
          <cell r="E299" t="str">
            <v>dnguyen14@amaris.com</v>
          </cell>
        </row>
        <row r="300">
          <cell r="B300">
            <v>7025</v>
          </cell>
          <cell r="E300" t="str">
            <v>ble@amaris.com</v>
          </cell>
        </row>
        <row r="301">
          <cell r="B301">
            <v>7000</v>
          </cell>
          <cell r="E301" t="str">
            <v>lnguyen1@amaris.com</v>
          </cell>
        </row>
        <row r="302">
          <cell r="B302">
            <v>9164</v>
          </cell>
          <cell r="E302" t="str">
            <v>tnguyen22@amaris.com</v>
          </cell>
        </row>
        <row r="303">
          <cell r="B303">
            <v>10173</v>
          </cell>
          <cell r="E303" t="str">
            <v>nbui1@mantu.com</v>
          </cell>
        </row>
        <row r="304">
          <cell r="B304">
            <v>7228</v>
          </cell>
          <cell r="E304" t="str">
            <v>vnguyen1@mantu.com</v>
          </cell>
        </row>
        <row r="305">
          <cell r="B305">
            <v>7262</v>
          </cell>
          <cell r="E305" t="str">
            <v>tle3@amaris.com</v>
          </cell>
        </row>
        <row r="306">
          <cell r="B306">
            <v>12647</v>
          </cell>
          <cell r="E306" t="str">
            <v>tuanduc.nguyen@amaris.com</v>
          </cell>
        </row>
        <row r="307">
          <cell r="B307">
            <v>7363</v>
          </cell>
          <cell r="E307" t="str">
            <v>vngo@amaris.com</v>
          </cell>
        </row>
        <row r="308">
          <cell r="B308">
            <v>7470</v>
          </cell>
          <cell r="E308" t="str">
            <v>knguyen1@amaris.com</v>
          </cell>
        </row>
        <row r="309">
          <cell r="B309">
            <v>7460</v>
          </cell>
          <cell r="E309" t="str">
            <v>dnguyen3@amaris.com</v>
          </cell>
        </row>
        <row r="310">
          <cell r="B310">
            <v>7583</v>
          </cell>
          <cell r="E310" t="str">
            <v>ttran8@amaris.com</v>
          </cell>
        </row>
        <row r="311">
          <cell r="B311">
            <v>7473</v>
          </cell>
          <cell r="E311" t="str">
            <v>htran2@amaris.com</v>
          </cell>
        </row>
        <row r="312">
          <cell r="B312">
            <v>11574</v>
          </cell>
          <cell r="E312" t="str">
            <v>hchu@amaris.com</v>
          </cell>
        </row>
        <row r="313">
          <cell r="B313">
            <v>7822</v>
          </cell>
          <cell r="E313" t="str">
            <v>kietminh.phanthe@amaris.com</v>
          </cell>
        </row>
        <row r="314">
          <cell r="B314">
            <v>11216</v>
          </cell>
          <cell r="E314" t="str">
            <v>hdo@amaris.com</v>
          </cell>
        </row>
        <row r="315">
          <cell r="B315">
            <v>7586</v>
          </cell>
          <cell r="E315" t="str">
            <v>dnguyen4@amaris.com</v>
          </cell>
        </row>
        <row r="316">
          <cell r="B316">
            <v>7658</v>
          </cell>
          <cell r="E316" t="str">
            <v>dnguyen5@mantu.com</v>
          </cell>
        </row>
        <row r="317">
          <cell r="B317">
            <v>7902</v>
          </cell>
          <cell r="E317" t="str">
            <v>nnguyen6@amaris.com</v>
          </cell>
        </row>
        <row r="318">
          <cell r="B318">
            <v>7697</v>
          </cell>
          <cell r="E318" t="str">
            <v>kdang@mantu.com</v>
          </cell>
        </row>
        <row r="319">
          <cell r="B319">
            <v>6867</v>
          </cell>
          <cell r="E319" t="str">
            <v>tnguyen5@amaris.com</v>
          </cell>
        </row>
        <row r="320">
          <cell r="B320">
            <v>18759</v>
          </cell>
          <cell r="E320" t="str">
            <v>trungtai.nguy@amaris.com</v>
          </cell>
        </row>
        <row r="321">
          <cell r="B321">
            <v>15646</v>
          </cell>
          <cell r="E321" t="str">
            <v>vle2@mantu.com</v>
          </cell>
        </row>
        <row r="322">
          <cell r="B322">
            <v>6985</v>
          </cell>
          <cell r="E322" t="str">
            <v>dcao@amaris.com</v>
          </cell>
        </row>
        <row r="323">
          <cell r="B323">
            <v>10292</v>
          </cell>
          <cell r="E323" t="str">
            <v>hienphat.tang@amaris.com</v>
          </cell>
        </row>
        <row r="324">
          <cell r="B324">
            <v>7616</v>
          </cell>
          <cell r="E324" t="str">
            <v>hnguyen4@mantu.com</v>
          </cell>
        </row>
        <row r="325">
          <cell r="B325">
            <v>10395</v>
          </cell>
          <cell r="E325" t="str">
            <v>pbuinguyen@amaris.com</v>
          </cell>
        </row>
        <row r="326">
          <cell r="B326">
            <v>12701</v>
          </cell>
          <cell r="E326" t="str">
            <v>tvo7@amaris.com</v>
          </cell>
        </row>
        <row r="327">
          <cell r="B327">
            <v>7121</v>
          </cell>
          <cell r="E327" t="str">
            <v>ble1@mantu.com</v>
          </cell>
        </row>
        <row r="328">
          <cell r="B328">
            <v>7208</v>
          </cell>
          <cell r="E328" t="str">
            <v>btran1@amaris.com</v>
          </cell>
        </row>
        <row r="329">
          <cell r="B329">
            <v>8497</v>
          </cell>
          <cell r="E329" t="str">
            <v>lzou@mantu.com</v>
          </cell>
        </row>
        <row r="330">
          <cell r="B330">
            <v>8155</v>
          </cell>
          <cell r="E330" t="str">
            <v>bdo@amaris.com</v>
          </cell>
        </row>
        <row r="331">
          <cell r="B331">
            <v>7383</v>
          </cell>
          <cell r="E331" t="str">
            <v>anhpham.tuan@amaris.com</v>
          </cell>
        </row>
        <row r="332">
          <cell r="B332">
            <v>7448</v>
          </cell>
          <cell r="E332" t="str">
            <v>gnguyen@mantu.com</v>
          </cell>
        </row>
        <row r="333">
          <cell r="B333">
            <v>7706</v>
          </cell>
          <cell r="E333" t="str">
            <v>plehuynh@amaris.com</v>
          </cell>
        </row>
        <row r="334">
          <cell r="B334">
            <v>8270</v>
          </cell>
          <cell r="E334" t="str">
            <v>sbryard@amaris.com</v>
          </cell>
        </row>
        <row r="335">
          <cell r="B335">
            <v>7760</v>
          </cell>
          <cell r="E335" t="str">
            <v>hnguyen5@amaris.com</v>
          </cell>
        </row>
        <row r="336">
          <cell r="B336">
            <v>7584</v>
          </cell>
          <cell r="E336" t="str">
            <v>hhoangminh@amaris.com</v>
          </cell>
        </row>
        <row r="337">
          <cell r="B337">
            <v>7478</v>
          </cell>
          <cell r="E337" t="str">
            <v>blelu@amaris.com</v>
          </cell>
        </row>
        <row r="338">
          <cell r="B338">
            <v>7568</v>
          </cell>
          <cell r="E338" t="str">
            <v>nle2@amaris.com</v>
          </cell>
        </row>
        <row r="339">
          <cell r="B339">
            <v>18811</v>
          </cell>
          <cell r="E339" t="str">
            <v>nhuynh2@mantu.com</v>
          </cell>
        </row>
        <row r="340">
          <cell r="B340">
            <v>7533</v>
          </cell>
          <cell r="E340" t="str">
            <v>tnguyenvu@amaris.com</v>
          </cell>
        </row>
        <row r="341">
          <cell r="B341">
            <v>7578</v>
          </cell>
          <cell r="E341" t="str">
            <v>nnguyen5@amaris.com</v>
          </cell>
        </row>
        <row r="342">
          <cell r="B342">
            <v>7579</v>
          </cell>
          <cell r="E342" t="str">
            <v>dvo@mantu.com</v>
          </cell>
        </row>
        <row r="343">
          <cell r="B343">
            <v>7922</v>
          </cell>
          <cell r="E343" t="str">
            <v>sbodineau@amaris.com</v>
          </cell>
        </row>
        <row r="344">
          <cell r="B344">
            <v>7763</v>
          </cell>
          <cell r="E344" t="str">
            <v>spham@amaris.com</v>
          </cell>
        </row>
        <row r="345">
          <cell r="B345">
            <v>7812</v>
          </cell>
          <cell r="E345" t="str">
            <v>tphu@amaris.com</v>
          </cell>
        </row>
        <row r="346">
          <cell r="B346">
            <v>23143</v>
          </cell>
          <cell r="E346" t="str">
            <v>hngo1@mantu.com</v>
          </cell>
        </row>
        <row r="347">
          <cell r="B347">
            <v>18766</v>
          </cell>
          <cell r="E347" t="str">
            <v>nguyenhong.buiduc@amaris.com</v>
          </cell>
        </row>
        <row r="348">
          <cell r="B348">
            <v>7956</v>
          </cell>
          <cell r="E348" t="str">
            <v>vhuynh@amaris.com</v>
          </cell>
        </row>
        <row r="349">
          <cell r="B349">
            <v>7851</v>
          </cell>
          <cell r="E349" t="str">
            <v>pnguyen@amaris.com</v>
          </cell>
        </row>
        <row r="350">
          <cell r="B350">
            <v>8851</v>
          </cell>
          <cell r="E350" t="str">
            <v>qnguyen3@amaris.com</v>
          </cell>
        </row>
        <row r="351">
          <cell r="B351">
            <v>7120</v>
          </cell>
          <cell r="E351" t="str">
            <v>tha@amaris.com</v>
          </cell>
        </row>
        <row r="352">
          <cell r="B352">
            <v>7213</v>
          </cell>
          <cell r="E352" t="str">
            <v>hfanico@amaris.com</v>
          </cell>
        </row>
        <row r="353">
          <cell r="B353">
            <v>7174</v>
          </cell>
          <cell r="E353" t="str">
            <v>vmota@amaris.com</v>
          </cell>
        </row>
        <row r="354">
          <cell r="B354">
            <v>7070</v>
          </cell>
          <cell r="E354" t="str">
            <v>mdelacroix@amaris.com</v>
          </cell>
        </row>
        <row r="355">
          <cell r="B355">
            <v>7051</v>
          </cell>
          <cell r="E355" t="str">
            <v>hha1@amaris.com</v>
          </cell>
        </row>
        <row r="356">
          <cell r="B356">
            <v>7044</v>
          </cell>
          <cell r="E356" t="str">
            <v>tvo2@amaris.com</v>
          </cell>
        </row>
        <row r="357">
          <cell r="B357">
            <v>7122</v>
          </cell>
          <cell r="E357" t="str">
            <v>ltran1@mantu.com</v>
          </cell>
        </row>
        <row r="358">
          <cell r="B358">
            <v>7142</v>
          </cell>
          <cell r="E358" t="str">
            <v>dphan@amaris.com</v>
          </cell>
        </row>
        <row r="359">
          <cell r="B359">
            <v>11179</v>
          </cell>
          <cell r="E359" t="str">
            <v>nhoang@mantu.com</v>
          </cell>
        </row>
        <row r="360">
          <cell r="B360">
            <v>7738</v>
          </cell>
          <cell r="E360" t="str">
            <v>tdao@mantu.com</v>
          </cell>
        </row>
        <row r="361">
          <cell r="B361">
            <v>7199</v>
          </cell>
          <cell r="E361" t="str">
            <v>tle2@amaris.com</v>
          </cell>
        </row>
        <row r="362">
          <cell r="B362">
            <v>7200</v>
          </cell>
          <cell r="E362" t="str">
            <v>tnguyen10@amaris.com</v>
          </cell>
        </row>
        <row r="363">
          <cell r="B363">
            <v>9024</v>
          </cell>
          <cell r="E363" t="str">
            <v>kvu@amaris.com</v>
          </cell>
        </row>
        <row r="364">
          <cell r="B364">
            <v>7371</v>
          </cell>
          <cell r="E364" t="str">
            <v>vnguyen2@mantu.com</v>
          </cell>
        </row>
        <row r="365">
          <cell r="B365">
            <v>7355</v>
          </cell>
          <cell r="E365" t="str">
            <v>toan.trinh@amaris.com</v>
          </cell>
        </row>
        <row r="366">
          <cell r="B366">
            <v>7404</v>
          </cell>
          <cell r="E366" t="str">
            <v>qnguyenle@amaris.com</v>
          </cell>
        </row>
        <row r="367">
          <cell r="B367">
            <v>7132</v>
          </cell>
          <cell r="E367" t="str">
            <v>vtran@amaris.com</v>
          </cell>
        </row>
        <row r="368">
          <cell r="B368">
            <v>7348</v>
          </cell>
          <cell r="E368" t="str">
            <v>phuynh@amaris.com</v>
          </cell>
        </row>
        <row r="369">
          <cell r="B369">
            <v>7074</v>
          </cell>
          <cell r="E369" t="str">
            <v>sly@amaris.com</v>
          </cell>
        </row>
        <row r="370">
          <cell r="B370">
            <v>8337</v>
          </cell>
          <cell r="E370" t="str">
            <v>hlam@amaris.com</v>
          </cell>
        </row>
        <row r="371">
          <cell r="B371">
            <v>7134</v>
          </cell>
          <cell r="E371" t="str">
            <v>vphung@amaris.com</v>
          </cell>
        </row>
        <row r="372">
          <cell r="B372">
            <v>7076</v>
          </cell>
          <cell r="E372" t="str">
            <v>tnguyen9@amaris.com</v>
          </cell>
        </row>
        <row r="373">
          <cell r="B373">
            <v>8147</v>
          </cell>
          <cell r="E373" t="str">
            <v>dtruong@amaris.com</v>
          </cell>
        </row>
        <row r="374">
          <cell r="B374">
            <v>17757</v>
          </cell>
          <cell r="E374" t="str">
            <v>ntruong@mantu.com</v>
          </cell>
        </row>
        <row r="375">
          <cell r="B375">
            <v>7493</v>
          </cell>
          <cell r="E375" t="str">
            <v>kimngan.trinh@amaris.com</v>
          </cell>
        </row>
        <row r="376">
          <cell r="B376">
            <v>7724</v>
          </cell>
          <cell r="E376" t="str">
            <v>vnguyen3@amaris.com</v>
          </cell>
        </row>
        <row r="377">
          <cell r="B377">
            <v>7209</v>
          </cell>
          <cell r="E377" t="str">
            <v>tpham2@mantu.com</v>
          </cell>
        </row>
        <row r="378">
          <cell r="B378">
            <v>7259</v>
          </cell>
          <cell r="E378" t="str">
            <v>mtrinh@amaris.com</v>
          </cell>
        </row>
        <row r="379">
          <cell r="B379">
            <v>12742</v>
          </cell>
          <cell r="E379" t="str">
            <v>hoaitan.nguyen@amaris.com</v>
          </cell>
        </row>
        <row r="380">
          <cell r="B380">
            <v>10734</v>
          </cell>
          <cell r="E380" t="str">
            <v>dnguyen11@amaris.com</v>
          </cell>
        </row>
        <row r="381">
          <cell r="B381">
            <v>7492</v>
          </cell>
          <cell r="E381" t="str">
            <v>dlequang@amaris.com</v>
          </cell>
        </row>
        <row r="382">
          <cell r="B382">
            <v>7541</v>
          </cell>
          <cell r="E382" t="str">
            <v>ssadjan@amaris.com</v>
          </cell>
        </row>
        <row r="383">
          <cell r="B383">
            <v>12728</v>
          </cell>
          <cell r="E383" t="str">
            <v>mhoang2@mantu.com</v>
          </cell>
        </row>
        <row r="384">
          <cell r="B384">
            <v>7742</v>
          </cell>
          <cell r="E384" t="str">
            <v>tnguyen14@amaris.com</v>
          </cell>
        </row>
        <row r="385">
          <cell r="B385">
            <v>7682</v>
          </cell>
          <cell r="E385" t="str">
            <v>hmai@mantu.com</v>
          </cell>
        </row>
        <row r="386">
          <cell r="B386">
            <v>7653</v>
          </cell>
          <cell r="E386" t="str">
            <v>nle3@amaris.com</v>
          </cell>
        </row>
        <row r="387">
          <cell r="B387">
            <v>8052</v>
          </cell>
          <cell r="E387" t="str">
            <v>mho@amaris.com</v>
          </cell>
        </row>
        <row r="388">
          <cell r="B388">
            <v>7676</v>
          </cell>
          <cell r="E388" t="str">
            <v>ntong@mantu.com</v>
          </cell>
        </row>
        <row r="389">
          <cell r="B389">
            <v>8349</v>
          </cell>
          <cell r="E389" t="str">
            <v>gzummo@amaris.com</v>
          </cell>
        </row>
        <row r="390">
          <cell r="B390">
            <v>7805</v>
          </cell>
          <cell r="E390" t="str">
            <v>spham1@amaris.com</v>
          </cell>
        </row>
        <row r="391">
          <cell r="B391">
            <v>8479</v>
          </cell>
          <cell r="E391" t="str">
            <v>tnguyen17@amaris.com</v>
          </cell>
        </row>
        <row r="392">
          <cell r="B392">
            <v>7896</v>
          </cell>
          <cell r="E392" t="str">
            <v>dnguyen6@mantu.com</v>
          </cell>
        </row>
        <row r="393">
          <cell r="B393">
            <v>7942</v>
          </cell>
          <cell r="E393" t="str">
            <v>bphanminh@mantu.com</v>
          </cell>
        </row>
        <row r="394">
          <cell r="B394">
            <v>7930</v>
          </cell>
          <cell r="E394" t="str">
            <v>vnguyenngoc@amaris.com</v>
          </cell>
        </row>
        <row r="395">
          <cell r="B395">
            <v>20247</v>
          </cell>
          <cell r="E395" t="str">
            <v>ngocquy.nguyen@amaris.com</v>
          </cell>
        </row>
        <row r="396">
          <cell r="B396">
            <v>8070</v>
          </cell>
          <cell r="E396" t="str">
            <v>nho1@amaris.com</v>
          </cell>
        </row>
        <row r="397">
          <cell r="B397">
            <v>9490</v>
          </cell>
          <cell r="E397" t="str">
            <v>phu.tran@amaris.com</v>
          </cell>
        </row>
        <row r="398">
          <cell r="B398">
            <v>8023</v>
          </cell>
          <cell r="E398" t="str">
            <v>nnguyen7@amaris.com</v>
          </cell>
        </row>
        <row r="399">
          <cell r="B399">
            <v>12139</v>
          </cell>
          <cell r="E399" t="str">
            <v>tdao1@mantu.com</v>
          </cell>
        </row>
        <row r="400">
          <cell r="B400">
            <v>19717</v>
          </cell>
          <cell r="E400" t="str">
            <v>ndoan@mantu.com</v>
          </cell>
        </row>
        <row r="401">
          <cell r="B401">
            <v>18706</v>
          </cell>
          <cell r="E401" t="str">
            <v>quockhanh.nguyen@amaris.com</v>
          </cell>
        </row>
        <row r="402">
          <cell r="B402">
            <v>19407</v>
          </cell>
          <cell r="E402" t="str">
            <v>pthanhtin@mantu.com</v>
          </cell>
        </row>
        <row r="403">
          <cell r="B403">
            <v>8272</v>
          </cell>
          <cell r="E403" t="str">
            <v>rcyrille@amaris.com</v>
          </cell>
        </row>
        <row r="404">
          <cell r="B404">
            <v>8364</v>
          </cell>
          <cell r="E404" t="str">
            <v>qmiquel@mantu.com</v>
          </cell>
        </row>
        <row r="405">
          <cell r="B405">
            <v>8196</v>
          </cell>
          <cell r="E405" t="str">
            <v>tnguyen16@amaris.com</v>
          </cell>
        </row>
        <row r="406">
          <cell r="B406">
            <v>8533</v>
          </cell>
          <cell r="E406" t="str">
            <v>ttran13@mantu.com</v>
          </cell>
        </row>
        <row r="407">
          <cell r="B407">
            <v>10685</v>
          </cell>
          <cell r="E407" t="str">
            <v>vietdung.hodac@amaris.com</v>
          </cell>
        </row>
        <row r="408">
          <cell r="B408">
            <v>9765</v>
          </cell>
          <cell r="E408" t="str">
            <v>mnguyen4@amaris.com</v>
          </cell>
        </row>
        <row r="409">
          <cell r="B409">
            <v>7469</v>
          </cell>
          <cell r="E409" t="str">
            <v>ttran7@mantu.com</v>
          </cell>
        </row>
        <row r="410">
          <cell r="B410">
            <v>10360</v>
          </cell>
          <cell r="E410" t="str">
            <v>tnguyen33@amaris.com</v>
          </cell>
        </row>
        <row r="411">
          <cell r="B411">
            <v>7494</v>
          </cell>
          <cell r="E411" t="str">
            <v>dle1@amaris.com</v>
          </cell>
        </row>
        <row r="412">
          <cell r="B412">
            <v>7935</v>
          </cell>
          <cell r="E412" t="str">
            <v>missuree@mantu.com</v>
          </cell>
        </row>
        <row r="413">
          <cell r="B413">
            <v>16448</v>
          </cell>
          <cell r="E413" t="str">
            <v>dinhnguyen.to@amaris.com</v>
          </cell>
        </row>
        <row r="414">
          <cell r="B414">
            <v>7505</v>
          </cell>
          <cell r="E414" t="str">
            <v>mnguyen1@amaris.com</v>
          </cell>
        </row>
        <row r="415">
          <cell r="B415">
            <v>7915</v>
          </cell>
          <cell r="E415" t="str">
            <v>ctaidai@mantu.com</v>
          </cell>
        </row>
        <row r="416">
          <cell r="B416">
            <v>12402</v>
          </cell>
          <cell r="E416" t="str">
            <v>anhtuan.phan@amaris.com</v>
          </cell>
        </row>
        <row r="417">
          <cell r="B417">
            <v>7694</v>
          </cell>
          <cell r="E417" t="str">
            <v>phuphuc.pham@amaris.com</v>
          </cell>
        </row>
        <row r="418">
          <cell r="B418">
            <v>10784</v>
          </cell>
          <cell r="E418" t="str">
            <v>xuanloc.hoang@amaris.com</v>
          </cell>
        </row>
        <row r="419">
          <cell r="B419">
            <v>7497</v>
          </cell>
          <cell r="E419" t="str">
            <v>lnguyen2@amaris.com</v>
          </cell>
        </row>
        <row r="420">
          <cell r="B420">
            <v>7532</v>
          </cell>
          <cell r="E420" t="str">
            <v>ntruong@amaris.com</v>
          </cell>
        </row>
        <row r="421">
          <cell r="B421">
            <v>7610</v>
          </cell>
          <cell r="E421" t="str">
            <v>wjin@amaris.com</v>
          </cell>
        </row>
        <row r="422">
          <cell r="B422">
            <v>8723</v>
          </cell>
          <cell r="E422" t="str">
            <v>nmac@amaris.com</v>
          </cell>
        </row>
        <row r="423">
          <cell r="B423">
            <v>7663</v>
          </cell>
          <cell r="E423" t="str">
            <v>mvayid@mantu.com</v>
          </cell>
        </row>
        <row r="424">
          <cell r="B424">
            <v>7675</v>
          </cell>
          <cell r="E424" t="str">
            <v>knguyenviet@amaris.com</v>
          </cell>
        </row>
        <row r="425">
          <cell r="B425">
            <v>14119</v>
          </cell>
          <cell r="E425" t="str">
            <v>hphamha@mantu.com</v>
          </cell>
        </row>
        <row r="426">
          <cell r="B426">
            <v>7792</v>
          </cell>
          <cell r="E426" t="str">
            <v>nho@amaris.com</v>
          </cell>
        </row>
        <row r="427">
          <cell r="B427">
            <v>8880</v>
          </cell>
          <cell r="E427" t="str">
            <v>tnguyen21@amaris.com</v>
          </cell>
        </row>
        <row r="428">
          <cell r="B428">
            <v>16322</v>
          </cell>
          <cell r="E428" t="str">
            <v>nnguyen11@mantu.com</v>
          </cell>
        </row>
        <row r="429">
          <cell r="B429">
            <v>7776</v>
          </cell>
          <cell r="E429" t="str">
            <v>tha1@amaris.com</v>
          </cell>
        </row>
        <row r="430">
          <cell r="B430">
            <v>7962</v>
          </cell>
          <cell r="E430" t="str">
            <v>gtruong@amaris.com</v>
          </cell>
        </row>
        <row r="431">
          <cell r="B431">
            <v>7745</v>
          </cell>
          <cell r="E431" t="str">
            <v>tnguyen12@amaris.com</v>
          </cell>
        </row>
        <row r="432">
          <cell r="B432">
            <v>23031</v>
          </cell>
          <cell r="E432" t="str">
            <v>ket.vovan@amaris.com</v>
          </cell>
        </row>
        <row r="433">
          <cell r="B433">
            <v>18708</v>
          </cell>
          <cell r="E433" t="str">
            <v>hanhgiang.nguyen@amaris.com</v>
          </cell>
        </row>
        <row r="434">
          <cell r="B434">
            <v>7826</v>
          </cell>
          <cell r="E434" t="str">
            <v>plibert@amaris.com</v>
          </cell>
        </row>
        <row r="435">
          <cell r="B435">
            <v>7891</v>
          </cell>
          <cell r="E435" t="str">
            <v>ttran9@mantu.com</v>
          </cell>
        </row>
        <row r="436">
          <cell r="B436">
            <v>8028</v>
          </cell>
          <cell r="E436" t="str">
            <v>hton@amaris.com</v>
          </cell>
        </row>
        <row r="437">
          <cell r="B437">
            <v>7883</v>
          </cell>
          <cell r="E437" t="str">
            <v>tpham3@amaris.com</v>
          </cell>
        </row>
        <row r="438">
          <cell r="B438">
            <v>8942</v>
          </cell>
          <cell r="E438" t="str">
            <v>thevinh.phan@amaris.com</v>
          </cell>
        </row>
        <row r="439">
          <cell r="B439">
            <v>10683</v>
          </cell>
          <cell r="E439" t="str">
            <v>minh.do@amaris.com</v>
          </cell>
        </row>
        <row r="440">
          <cell r="B440">
            <v>10902</v>
          </cell>
          <cell r="E440" t="str">
            <v>hvu3@amaris.com</v>
          </cell>
        </row>
        <row r="441">
          <cell r="B441">
            <v>11868</v>
          </cell>
          <cell r="E441" t="str">
            <v>mnguyen6@amaris.com</v>
          </cell>
        </row>
        <row r="442">
          <cell r="B442">
            <v>8253</v>
          </cell>
          <cell r="E442" t="str">
            <v>hnguyen7@amaris.com</v>
          </cell>
        </row>
        <row r="443">
          <cell r="B443">
            <v>14041</v>
          </cell>
          <cell r="E443" t="str">
            <v>thiha.nguyen@amaris.com</v>
          </cell>
        </row>
        <row r="444">
          <cell r="B444">
            <v>8511</v>
          </cell>
          <cell r="E444" t="str">
            <v>rdesplats@amaris.com</v>
          </cell>
        </row>
        <row r="445">
          <cell r="B445">
            <v>8098</v>
          </cell>
          <cell r="E445" t="str">
            <v>mvo1@mantu.com</v>
          </cell>
        </row>
        <row r="446">
          <cell r="B446">
            <v>8192</v>
          </cell>
          <cell r="E446" t="str">
            <v>qnguyen2@amaris.com</v>
          </cell>
        </row>
        <row r="447">
          <cell r="B447">
            <v>8532</v>
          </cell>
          <cell r="E447" t="str">
            <v>ttran12@amaris.com</v>
          </cell>
        </row>
        <row r="448">
          <cell r="B448">
            <v>8354</v>
          </cell>
          <cell r="E448" t="str">
            <v>thuynh2@mantu.com</v>
          </cell>
        </row>
        <row r="449">
          <cell r="B449">
            <v>8309</v>
          </cell>
          <cell r="E449" t="str">
            <v>ddo1@amaris.com</v>
          </cell>
        </row>
        <row r="450">
          <cell r="B450">
            <v>8583</v>
          </cell>
          <cell r="E450" t="str">
            <v>bchevelu@amaris.com</v>
          </cell>
        </row>
        <row r="451">
          <cell r="B451">
            <v>12457</v>
          </cell>
          <cell r="E451" t="str">
            <v>anhhuy.tran@amaris.com</v>
          </cell>
        </row>
        <row r="452">
          <cell r="B452">
            <v>8561</v>
          </cell>
          <cell r="E452" t="str">
            <v>vtran3@mantu.com</v>
          </cell>
        </row>
        <row r="453">
          <cell r="B453">
            <v>11470</v>
          </cell>
          <cell r="E453" t="str">
            <v>tnguyen35@amaris.com</v>
          </cell>
        </row>
        <row r="454">
          <cell r="B454">
            <v>11839</v>
          </cell>
          <cell r="E454" t="str">
            <v>hle5@mantu.com</v>
          </cell>
        </row>
        <row r="455">
          <cell r="B455">
            <v>7550</v>
          </cell>
          <cell r="E455" t="str">
            <v>nnguyen4@amaris.com</v>
          </cell>
        </row>
        <row r="456">
          <cell r="B456">
            <v>7611</v>
          </cell>
          <cell r="E456" t="str">
            <v>odeboisdeffre@amaris.com</v>
          </cell>
        </row>
        <row r="457">
          <cell r="B457">
            <v>7603</v>
          </cell>
          <cell r="E457" t="str">
            <v>atran1@mantu.com</v>
          </cell>
        </row>
        <row r="458">
          <cell r="B458">
            <v>9002</v>
          </cell>
          <cell r="E458" t="str">
            <v>dnguyen10@mantu.com</v>
          </cell>
        </row>
        <row r="459">
          <cell r="B459">
            <v>7643</v>
          </cell>
          <cell r="E459" t="str">
            <v>hlenguyen@mantu.com</v>
          </cell>
        </row>
        <row r="460">
          <cell r="B460">
            <v>7665</v>
          </cell>
          <cell r="E460" t="str">
            <v>bnguyen1@amaris.com</v>
          </cell>
        </row>
        <row r="461">
          <cell r="B461">
            <v>7689</v>
          </cell>
          <cell r="E461" t="str">
            <v>tnguyen13@amaris.com</v>
          </cell>
        </row>
        <row r="462">
          <cell r="B462">
            <v>9629</v>
          </cell>
          <cell r="E462" t="str">
            <v>bundith.khamkhosy@amaris.com</v>
          </cell>
        </row>
        <row r="463">
          <cell r="B463">
            <v>7821</v>
          </cell>
          <cell r="E463" t="str">
            <v>lbernard@amaris.com</v>
          </cell>
        </row>
        <row r="464">
          <cell r="B464">
            <v>16227</v>
          </cell>
          <cell r="E464" t="str">
            <v>ptran@amaris.com</v>
          </cell>
        </row>
        <row r="465">
          <cell r="B465">
            <v>7900</v>
          </cell>
          <cell r="E465" t="str">
            <v>tle4@amaris.com</v>
          </cell>
        </row>
        <row r="466">
          <cell r="B466">
            <v>7813</v>
          </cell>
          <cell r="E466" t="str">
            <v>lnguyen3@mantu.com</v>
          </cell>
        </row>
        <row r="467">
          <cell r="B467">
            <v>8288</v>
          </cell>
          <cell r="E467" t="str">
            <v>sbaizet@mantu.com</v>
          </cell>
        </row>
        <row r="468">
          <cell r="B468">
            <v>7823</v>
          </cell>
          <cell r="E468" t="str">
            <v>tlehoang@amaris.com</v>
          </cell>
        </row>
        <row r="469">
          <cell r="B469">
            <v>11402</v>
          </cell>
          <cell r="E469" t="str">
            <v>minhnhat.nguyen@amaris.com</v>
          </cell>
        </row>
        <row r="470">
          <cell r="B470">
            <v>7944</v>
          </cell>
          <cell r="E470" t="str">
            <v>omartinmartin@amaris.com</v>
          </cell>
        </row>
        <row r="471">
          <cell r="B471">
            <v>8631</v>
          </cell>
          <cell r="E471" t="str">
            <v>tschwartz@amaris.com</v>
          </cell>
        </row>
        <row r="472">
          <cell r="B472">
            <v>12175</v>
          </cell>
          <cell r="E472" t="str">
            <v>truongthinh.nguyen@amaris.com</v>
          </cell>
        </row>
        <row r="473">
          <cell r="B473">
            <v>32796</v>
          </cell>
          <cell r="E473" t="str">
            <v>qcao@mantu.com</v>
          </cell>
        </row>
        <row r="474">
          <cell r="B474">
            <v>8170</v>
          </cell>
          <cell r="E474" t="str">
            <v>lnguyen4@amaris.com</v>
          </cell>
        </row>
        <row r="475">
          <cell r="B475">
            <v>8403</v>
          </cell>
          <cell r="E475" t="str">
            <v>pbach@amaris.com</v>
          </cell>
        </row>
        <row r="476">
          <cell r="B476">
            <v>9889</v>
          </cell>
          <cell r="E476" t="str">
            <v>vnguyen6@amaris.com</v>
          </cell>
        </row>
        <row r="477">
          <cell r="B477">
            <v>13549</v>
          </cell>
          <cell r="E477" t="str">
            <v>baoquoc.luong@amaris.com</v>
          </cell>
        </row>
        <row r="478">
          <cell r="B478">
            <v>15135</v>
          </cell>
          <cell r="E478" t="str">
            <v>pham.anh@amaris.com</v>
          </cell>
        </row>
        <row r="479">
          <cell r="B479">
            <v>10405</v>
          </cell>
          <cell r="E479" t="str">
            <v>manhhung.nguyen@amaris.com</v>
          </cell>
        </row>
        <row r="480">
          <cell r="B480">
            <v>23097</v>
          </cell>
          <cell r="E480" t="str">
            <v>hieu.daovan@amaris.com</v>
          </cell>
        </row>
        <row r="481">
          <cell r="B481">
            <v>15447</v>
          </cell>
          <cell r="E481" t="str">
            <v>ttran22@mantu.com</v>
          </cell>
        </row>
        <row r="482">
          <cell r="B482">
            <v>13755</v>
          </cell>
          <cell r="E482" t="str">
            <v>hnguyen17@amaris.com</v>
          </cell>
        </row>
        <row r="483">
          <cell r="B483">
            <v>16065</v>
          </cell>
          <cell r="E483" t="str">
            <v>viethung.le@amaris.com</v>
          </cell>
        </row>
        <row r="484">
          <cell r="B484">
            <v>9220</v>
          </cell>
          <cell r="E484" t="str">
            <v>viet.nguyen@mantu.com</v>
          </cell>
        </row>
        <row r="485">
          <cell r="B485">
            <v>8499</v>
          </cell>
          <cell r="E485" t="str">
            <v>vnguyen4@amaris.com</v>
          </cell>
        </row>
        <row r="486">
          <cell r="B486">
            <v>8386</v>
          </cell>
          <cell r="E486" t="str">
            <v>kluc@amaris.com</v>
          </cell>
        </row>
        <row r="487">
          <cell r="B487">
            <v>8526</v>
          </cell>
          <cell r="E487" t="str">
            <v>hpham1@mantu.com</v>
          </cell>
        </row>
        <row r="488">
          <cell r="B488">
            <v>8557</v>
          </cell>
          <cell r="E488" t="str">
            <v>tchu@amaris.com</v>
          </cell>
        </row>
        <row r="489">
          <cell r="B489">
            <v>8865</v>
          </cell>
          <cell r="E489" t="str">
            <v>aboulon@amaris.com</v>
          </cell>
        </row>
        <row r="490">
          <cell r="B490">
            <v>20350</v>
          </cell>
          <cell r="E490" t="str">
            <v>thuytien.phamdo@amaris.com</v>
          </cell>
        </row>
        <row r="491">
          <cell r="B491">
            <v>8649</v>
          </cell>
          <cell r="E491" t="str">
            <v>qdao@amaris.com</v>
          </cell>
        </row>
        <row r="492">
          <cell r="B492">
            <v>8739</v>
          </cell>
          <cell r="E492" t="str">
            <v>tle6@amaris.com</v>
          </cell>
        </row>
        <row r="493">
          <cell r="B493">
            <v>8951</v>
          </cell>
          <cell r="E493" t="str">
            <v>tleduc@mantu.com</v>
          </cell>
        </row>
        <row r="494">
          <cell r="B494">
            <v>8660</v>
          </cell>
          <cell r="E494" t="str">
            <v>minhhung.vu@amaris.com</v>
          </cell>
        </row>
        <row r="495">
          <cell r="B495">
            <v>8703</v>
          </cell>
          <cell r="E495" t="str">
            <v>nnguyen8@amaris.com</v>
          </cell>
        </row>
        <row r="496">
          <cell r="B496">
            <v>8696</v>
          </cell>
          <cell r="E496" t="str">
            <v>nhuquynh.nguyen@amaris.com</v>
          </cell>
        </row>
        <row r="497">
          <cell r="B497">
            <v>22467</v>
          </cell>
          <cell r="E497" t="str">
            <v>thanhtoan.nguyen@amaris.com</v>
          </cell>
        </row>
        <row r="498">
          <cell r="B498">
            <v>8881</v>
          </cell>
          <cell r="E498" t="str">
            <v>hherboch@amaris.com</v>
          </cell>
        </row>
        <row r="499">
          <cell r="B499">
            <v>13374</v>
          </cell>
          <cell r="E499" t="str">
            <v>dangthuy.nha@amaris.com</v>
          </cell>
        </row>
        <row r="500">
          <cell r="B500">
            <v>8727</v>
          </cell>
          <cell r="E500" t="str">
            <v>tha2@amaris.com</v>
          </cell>
        </row>
        <row r="501">
          <cell r="B501">
            <v>11884</v>
          </cell>
          <cell r="E501" t="str">
            <v>trungphong.vokhac@amaris.com</v>
          </cell>
        </row>
        <row r="502">
          <cell r="B502">
            <v>8163</v>
          </cell>
          <cell r="E502" t="str">
            <v>chuynh@mantu.com</v>
          </cell>
        </row>
        <row r="503">
          <cell r="B503">
            <v>7989</v>
          </cell>
          <cell r="E503" t="str">
            <v>ttran10@amaris.com</v>
          </cell>
        </row>
        <row r="504">
          <cell r="B504">
            <v>8198</v>
          </cell>
          <cell r="E504" t="str">
            <v>chibert@amaris.com</v>
          </cell>
        </row>
        <row r="505">
          <cell r="B505">
            <v>10911</v>
          </cell>
          <cell r="E505" t="str">
            <v>danghuy.vo@amaris.com</v>
          </cell>
        </row>
        <row r="506">
          <cell r="B506">
            <v>7990</v>
          </cell>
          <cell r="E506" t="str">
            <v>tbui@amaris.com</v>
          </cell>
        </row>
        <row r="507">
          <cell r="B507">
            <v>9674</v>
          </cell>
          <cell r="E507" t="str">
            <v>cnguyen1@amaris.com</v>
          </cell>
        </row>
        <row r="508">
          <cell r="B508">
            <v>8073</v>
          </cell>
          <cell r="E508" t="str">
            <v>vtran2@amaris.com</v>
          </cell>
        </row>
        <row r="509">
          <cell r="B509">
            <v>10511</v>
          </cell>
          <cell r="E509" t="str">
            <v>amartinez1@amaris.com</v>
          </cell>
        </row>
        <row r="510">
          <cell r="B510">
            <v>8221</v>
          </cell>
          <cell r="E510" t="str">
            <v>phong.donam@amaris.com</v>
          </cell>
        </row>
        <row r="511">
          <cell r="B511">
            <v>8125</v>
          </cell>
          <cell r="E511" t="str">
            <v>duy.lenguyen@amaris.com</v>
          </cell>
        </row>
        <row r="512">
          <cell r="B512">
            <v>11274</v>
          </cell>
          <cell r="E512" t="str">
            <v>anhduan.le@amaris.com</v>
          </cell>
        </row>
        <row r="513">
          <cell r="B513">
            <v>8231</v>
          </cell>
          <cell r="E513" t="str">
            <v>hnguyen6@amaris.com</v>
          </cell>
        </row>
        <row r="514">
          <cell r="B514">
            <v>9613</v>
          </cell>
          <cell r="E514" t="str">
            <v>amakos@amaris.com</v>
          </cell>
        </row>
        <row r="515">
          <cell r="B515">
            <v>8394</v>
          </cell>
          <cell r="E515" t="str">
            <v>anguyen3@amaris.com</v>
          </cell>
        </row>
        <row r="516">
          <cell r="B516">
            <v>19720</v>
          </cell>
          <cell r="E516" t="str">
            <v>jcanales@amaris.com</v>
          </cell>
        </row>
        <row r="517">
          <cell r="B517">
            <v>13408</v>
          </cell>
          <cell r="E517" t="str">
            <v>chongthai.vong@amaris.com</v>
          </cell>
        </row>
        <row r="518">
          <cell r="B518">
            <v>8366</v>
          </cell>
          <cell r="E518" t="str">
            <v>tduong1@mantu.com</v>
          </cell>
        </row>
        <row r="519">
          <cell r="B519">
            <v>8558</v>
          </cell>
          <cell r="E519" t="str">
            <v>ntran@amaris.com</v>
          </cell>
        </row>
        <row r="520">
          <cell r="B520">
            <v>8475</v>
          </cell>
          <cell r="E520" t="str">
            <v>nle4@amaris.com</v>
          </cell>
        </row>
        <row r="521">
          <cell r="B521">
            <v>8417</v>
          </cell>
          <cell r="E521" t="str">
            <v>dnguyen7@amaris.com</v>
          </cell>
        </row>
        <row r="522">
          <cell r="B522">
            <v>11115</v>
          </cell>
          <cell r="E522" t="str">
            <v>mborner@mantu.com</v>
          </cell>
        </row>
        <row r="523">
          <cell r="B523">
            <v>10283</v>
          </cell>
          <cell r="E523" t="str">
            <v>tvo6@amaris.com</v>
          </cell>
        </row>
        <row r="524">
          <cell r="B524">
            <v>11163</v>
          </cell>
          <cell r="E524" t="str">
            <v>duythanh.tranle@mantu.com</v>
          </cell>
        </row>
        <row r="525">
          <cell r="B525">
            <v>8890</v>
          </cell>
          <cell r="E525" t="str">
            <v>hieu.tranvan@amaris.com</v>
          </cell>
        </row>
        <row r="526">
          <cell r="B526">
            <v>8952</v>
          </cell>
          <cell r="E526" t="str">
            <v>ttran14@amaris.com</v>
          </cell>
        </row>
        <row r="527">
          <cell r="B527">
            <v>9043</v>
          </cell>
          <cell r="E527" t="str">
            <v>tle7@amaris.com</v>
          </cell>
        </row>
        <row r="528">
          <cell r="B528">
            <v>8993</v>
          </cell>
          <cell r="E528" t="str">
            <v>hvu2@amaris.com</v>
          </cell>
        </row>
        <row r="529">
          <cell r="B529">
            <v>8955</v>
          </cell>
          <cell r="E529" t="str">
            <v>vdam@amaris.com</v>
          </cell>
        </row>
        <row r="530">
          <cell r="B530">
            <v>9049</v>
          </cell>
          <cell r="E530" t="str">
            <v>hnguyen8@mantu.com</v>
          </cell>
        </row>
        <row r="531">
          <cell r="B531">
            <v>9267</v>
          </cell>
          <cell r="E531" t="str">
            <v>tngo1@amaris.com</v>
          </cell>
        </row>
        <row r="532">
          <cell r="B532">
            <v>8911</v>
          </cell>
          <cell r="E532" t="str">
            <v>tmac@amaris.com</v>
          </cell>
        </row>
        <row r="533">
          <cell r="B533">
            <v>9044</v>
          </cell>
          <cell r="E533" t="str">
            <v>kevin.nanayakkara@amaris.com</v>
          </cell>
        </row>
        <row r="534">
          <cell r="B534">
            <v>9472</v>
          </cell>
          <cell r="E534" t="str">
            <v>tnguyen26@amaris.com</v>
          </cell>
        </row>
        <row r="535">
          <cell r="B535">
            <v>10469</v>
          </cell>
          <cell r="E535" t="str">
            <v>thile.nguyen@amaris.com</v>
          </cell>
        </row>
        <row r="536">
          <cell r="B536">
            <v>12200</v>
          </cell>
          <cell r="E536" t="str">
            <v>tandat.tran@amaris.com</v>
          </cell>
        </row>
        <row r="537">
          <cell r="B537">
            <v>8875</v>
          </cell>
          <cell r="E537" t="str">
            <v>dnguyen8@amaris.com</v>
          </cell>
        </row>
        <row r="538">
          <cell r="B538">
            <v>17417</v>
          </cell>
          <cell r="E538" t="str">
            <v>minh.tranduc@amaris.com</v>
          </cell>
        </row>
        <row r="539">
          <cell r="B539">
            <v>9065</v>
          </cell>
          <cell r="E539" t="str">
            <v>atran2@mantu.com</v>
          </cell>
        </row>
        <row r="540">
          <cell r="B540">
            <v>24736</v>
          </cell>
          <cell r="E540" t="str">
            <v>nguyenngoc.dao@amaris.com</v>
          </cell>
        </row>
        <row r="541">
          <cell r="B541">
            <v>8418</v>
          </cell>
          <cell r="E541" t="str">
            <v>tbui1@amaris.com</v>
          </cell>
        </row>
        <row r="542">
          <cell r="B542">
            <v>9088</v>
          </cell>
          <cell r="E542" t="str">
            <v>tngo@mantu.com</v>
          </cell>
        </row>
        <row r="543">
          <cell r="B543">
            <v>8713</v>
          </cell>
          <cell r="E543" t="str">
            <v>ybenaniba@amaris.com</v>
          </cell>
        </row>
        <row r="544">
          <cell r="B544">
            <v>12247</v>
          </cell>
          <cell r="E544" t="str">
            <v>anguyen5@amaris.com</v>
          </cell>
        </row>
        <row r="545">
          <cell r="B545">
            <v>11526</v>
          </cell>
          <cell r="E545" t="str">
            <v>dung.thong@amaris.com</v>
          </cell>
        </row>
        <row r="546">
          <cell r="B546">
            <v>8658</v>
          </cell>
          <cell r="E546" t="str">
            <v>tnguyen20@amaris.com</v>
          </cell>
        </row>
        <row r="547">
          <cell r="B547">
            <v>8534</v>
          </cell>
          <cell r="E547" t="str">
            <v>tnguyen18@amaris.com</v>
          </cell>
        </row>
        <row r="548">
          <cell r="B548">
            <v>8852</v>
          </cell>
          <cell r="E548" t="str">
            <v>qle@mantu.com</v>
          </cell>
        </row>
        <row r="549">
          <cell r="B549">
            <v>9052</v>
          </cell>
          <cell r="E549" t="str">
            <v>lvo@amaris.com</v>
          </cell>
        </row>
        <row r="550">
          <cell r="B550">
            <v>10083</v>
          </cell>
          <cell r="E550" t="str">
            <v>uraffini@amaris.com</v>
          </cell>
        </row>
        <row r="551">
          <cell r="B551">
            <v>9031</v>
          </cell>
          <cell r="E551" t="str">
            <v>thuynh3@mantu.com</v>
          </cell>
        </row>
        <row r="552">
          <cell r="B552">
            <v>8883</v>
          </cell>
          <cell r="E552" t="str">
            <v>dnguyen9@amaris.com</v>
          </cell>
        </row>
        <row r="553">
          <cell r="B553">
            <v>9001</v>
          </cell>
          <cell r="E553" t="str">
            <v>gmontaldi@amaris.com</v>
          </cell>
        </row>
        <row r="554">
          <cell r="B554">
            <v>11950</v>
          </cell>
          <cell r="E554" t="str">
            <v>eromano@amaris.com</v>
          </cell>
        </row>
        <row r="555">
          <cell r="B555">
            <v>8982</v>
          </cell>
          <cell r="E555" t="str">
            <v>ypham@amaris.com</v>
          </cell>
        </row>
        <row r="556">
          <cell r="B556">
            <v>9431</v>
          </cell>
          <cell r="E556" t="str">
            <v>tpham5@amaris.com</v>
          </cell>
        </row>
        <row r="557">
          <cell r="B557">
            <v>9248</v>
          </cell>
          <cell r="E557" t="str">
            <v>lgarcia@amaris.com</v>
          </cell>
        </row>
        <row r="558">
          <cell r="B558">
            <v>14824</v>
          </cell>
          <cell r="E558" t="str">
            <v>hbui@amaris.com</v>
          </cell>
        </row>
        <row r="559">
          <cell r="B559">
            <v>13791</v>
          </cell>
          <cell r="E559" t="str">
            <v>embey@mantu.com</v>
          </cell>
        </row>
        <row r="560">
          <cell r="B560">
            <v>9169</v>
          </cell>
          <cell r="E560" t="str">
            <v>tpham6@amaris.com</v>
          </cell>
        </row>
        <row r="561">
          <cell r="B561">
            <v>10100</v>
          </cell>
          <cell r="E561" t="str">
            <v>cbontemps@mantu.com</v>
          </cell>
        </row>
        <row r="562">
          <cell r="B562">
            <v>9163</v>
          </cell>
          <cell r="E562" t="str">
            <v>qdinh@amaris.com</v>
          </cell>
        </row>
        <row r="563">
          <cell r="B563">
            <v>15271</v>
          </cell>
          <cell r="E563" t="str">
            <v>caonam.pham@amaris.com</v>
          </cell>
        </row>
        <row r="564">
          <cell r="B564">
            <v>11325</v>
          </cell>
          <cell r="E564" t="str">
            <v>thitai.tran@amaris.com</v>
          </cell>
        </row>
        <row r="565">
          <cell r="B565">
            <v>9702</v>
          </cell>
          <cell r="E565" t="str">
            <v>ydoan@amaris.com</v>
          </cell>
        </row>
        <row r="566">
          <cell r="B566">
            <v>9237</v>
          </cell>
          <cell r="E566" t="str">
            <v>cdechy@mantu.com</v>
          </cell>
        </row>
        <row r="567">
          <cell r="B567">
            <v>9181</v>
          </cell>
          <cell r="E567" t="str">
            <v>tnguyen23@mantu.com</v>
          </cell>
        </row>
        <row r="568">
          <cell r="B568">
            <v>9337</v>
          </cell>
          <cell r="E568" t="str">
            <v>thaxuan@amaris.com</v>
          </cell>
        </row>
        <row r="569">
          <cell r="B569">
            <v>9323</v>
          </cell>
          <cell r="E569" t="str">
            <v>tho@mantu.com</v>
          </cell>
        </row>
        <row r="570">
          <cell r="B570">
            <v>8994</v>
          </cell>
          <cell r="E570" t="str">
            <v>kchu@amaris.com</v>
          </cell>
        </row>
        <row r="571">
          <cell r="B571">
            <v>10049</v>
          </cell>
          <cell r="E571" t="str">
            <v>thanh.hothi@amaris.com</v>
          </cell>
        </row>
        <row r="572">
          <cell r="B572">
            <v>8984</v>
          </cell>
          <cell r="E572" t="str">
            <v>mdoan@amaris.com</v>
          </cell>
        </row>
        <row r="573">
          <cell r="B573">
            <v>9185</v>
          </cell>
          <cell r="E573" t="str">
            <v>ptrinh@amaris.com</v>
          </cell>
        </row>
        <row r="574">
          <cell r="B574">
            <v>10338</v>
          </cell>
          <cell r="E574" t="str">
            <v>gmichelotti@mantu.com</v>
          </cell>
        </row>
        <row r="575">
          <cell r="B575">
            <v>9268</v>
          </cell>
          <cell r="E575" t="str">
            <v>hvinh@mantu.com</v>
          </cell>
        </row>
        <row r="576">
          <cell r="B576">
            <v>9358</v>
          </cell>
          <cell r="E576" t="str">
            <v>thoang1@amaris.com</v>
          </cell>
        </row>
        <row r="577">
          <cell r="B577">
            <v>9419</v>
          </cell>
          <cell r="E577" t="str">
            <v>than@amaris.com</v>
          </cell>
        </row>
        <row r="578">
          <cell r="B578">
            <v>9504</v>
          </cell>
          <cell r="E578" t="str">
            <v>tngo2@amaris.com</v>
          </cell>
        </row>
        <row r="579">
          <cell r="B579">
            <v>20603</v>
          </cell>
          <cell r="E579" t="str">
            <v>tong.hoa@amaris.com</v>
          </cell>
        </row>
        <row r="580">
          <cell r="B580">
            <v>15782</v>
          </cell>
          <cell r="E580" t="str">
            <v>tung.do@amaris.com</v>
          </cell>
        </row>
        <row r="581">
          <cell r="B581">
            <v>9811</v>
          </cell>
          <cell r="E581" t="str">
            <v>ttran16@mantu.com</v>
          </cell>
        </row>
        <row r="582">
          <cell r="B582">
            <v>9640</v>
          </cell>
          <cell r="E582" t="str">
            <v>tdang1@amaris.com</v>
          </cell>
        </row>
        <row r="583">
          <cell r="B583">
            <v>9592</v>
          </cell>
          <cell r="E583" t="str">
            <v>dhoang@amaris.com</v>
          </cell>
        </row>
        <row r="584">
          <cell r="B584">
            <v>9691</v>
          </cell>
          <cell r="E584" t="str">
            <v>hle3@mantu.com</v>
          </cell>
        </row>
        <row r="585">
          <cell r="B585">
            <v>8574</v>
          </cell>
          <cell r="E585" t="str">
            <v>tnguyen19@amaris.com</v>
          </cell>
        </row>
        <row r="586">
          <cell r="B586">
            <v>10999</v>
          </cell>
          <cell r="E586" t="str">
            <v>knguyen2@mantu.com</v>
          </cell>
        </row>
        <row r="587">
          <cell r="B587">
            <v>9239</v>
          </cell>
          <cell r="E587" t="str">
            <v>mle@amaris.com</v>
          </cell>
        </row>
        <row r="588">
          <cell r="B588">
            <v>9112</v>
          </cell>
          <cell r="E588" t="str">
            <v>npham1@amaris.com</v>
          </cell>
        </row>
        <row r="589">
          <cell r="B589">
            <v>9433</v>
          </cell>
          <cell r="E589" t="str">
            <v>ttran15@amaris.com</v>
          </cell>
        </row>
        <row r="590">
          <cell r="B590">
            <v>10373</v>
          </cell>
          <cell r="E590" t="str">
            <v>nhatquang.nguyen@amaris.com</v>
          </cell>
        </row>
        <row r="591">
          <cell r="B591">
            <v>9162</v>
          </cell>
          <cell r="E591" t="str">
            <v>varakorn.chayakul@amaris.com</v>
          </cell>
        </row>
        <row r="592">
          <cell r="B592">
            <v>8856</v>
          </cell>
          <cell r="E592" t="str">
            <v>xdinh@amaris.com</v>
          </cell>
        </row>
        <row r="593">
          <cell r="B593">
            <v>8945</v>
          </cell>
          <cell r="E593" t="str">
            <v>xvu@mantu.com</v>
          </cell>
        </row>
        <row r="594">
          <cell r="B594">
            <v>9641</v>
          </cell>
          <cell r="E594" t="str">
            <v>thang.hoang@amaris.com</v>
          </cell>
        </row>
        <row r="595">
          <cell r="B595">
            <v>10303</v>
          </cell>
          <cell r="E595" t="str">
            <v>quochuy.ngo@amaris.com</v>
          </cell>
        </row>
        <row r="596">
          <cell r="B596">
            <v>14713</v>
          </cell>
          <cell r="E596" t="str">
            <v>emace@mantu.com</v>
          </cell>
        </row>
        <row r="597">
          <cell r="B597">
            <v>9607</v>
          </cell>
          <cell r="E597" t="str">
            <v>thoang2@amaris.com</v>
          </cell>
        </row>
        <row r="598">
          <cell r="B598">
            <v>9369</v>
          </cell>
          <cell r="E598" t="str">
            <v>binh.pham@amaris.com</v>
          </cell>
        </row>
        <row r="599">
          <cell r="B599">
            <v>10108</v>
          </cell>
          <cell r="E599" t="str">
            <v>lpham@amaris.com</v>
          </cell>
        </row>
        <row r="600">
          <cell r="B600">
            <v>17611</v>
          </cell>
          <cell r="E600" t="str">
            <v>vdoan@mantu.com</v>
          </cell>
        </row>
        <row r="601">
          <cell r="B601">
            <v>11869</v>
          </cell>
          <cell r="E601" t="str">
            <v>mlethi@amaris.com</v>
          </cell>
        </row>
        <row r="602">
          <cell r="B602">
            <v>11048</v>
          </cell>
          <cell r="E602" t="str">
            <v>vo.anhtu@amaris.com</v>
          </cell>
        </row>
        <row r="603">
          <cell r="B603">
            <v>9132</v>
          </cell>
          <cell r="E603" t="str">
            <v>ytran@mantu.com</v>
          </cell>
        </row>
        <row r="604">
          <cell r="B604">
            <v>9262</v>
          </cell>
          <cell r="E604" t="str">
            <v>nngo@amaris.com</v>
          </cell>
        </row>
        <row r="605">
          <cell r="B605">
            <v>9408</v>
          </cell>
          <cell r="E605" t="str">
            <v>yxu@amaris.com</v>
          </cell>
        </row>
        <row r="606">
          <cell r="B606">
            <v>9521</v>
          </cell>
          <cell r="E606" t="str">
            <v>kphan@amaris.com</v>
          </cell>
        </row>
        <row r="607">
          <cell r="B607">
            <v>12629</v>
          </cell>
          <cell r="E607" t="str">
            <v>mle1@amaris.com</v>
          </cell>
        </row>
        <row r="608">
          <cell r="B608">
            <v>18276</v>
          </cell>
          <cell r="E608" t="str">
            <v>diemphuc.chauthi@amaris.com</v>
          </cell>
        </row>
        <row r="609">
          <cell r="B609">
            <v>9678</v>
          </cell>
          <cell r="E609" t="str">
            <v>pfleury@mantu.com</v>
          </cell>
        </row>
        <row r="610">
          <cell r="B610">
            <v>9544</v>
          </cell>
          <cell r="E610" t="str">
            <v>chuynh1@amaris.com</v>
          </cell>
        </row>
        <row r="611">
          <cell r="B611">
            <v>9423</v>
          </cell>
          <cell r="E611" t="str">
            <v>hnguyen11@mantu.com</v>
          </cell>
        </row>
        <row r="612">
          <cell r="B612">
            <v>9546</v>
          </cell>
          <cell r="E612" t="str">
            <v>ddang1@amaris.com</v>
          </cell>
        </row>
        <row r="613">
          <cell r="B613">
            <v>13911</v>
          </cell>
          <cell r="E613" t="str">
            <v>shatim@amaris.com</v>
          </cell>
        </row>
        <row r="614">
          <cell r="B614">
            <v>9482</v>
          </cell>
          <cell r="E614" t="str">
            <v>tpham7@amaris.com</v>
          </cell>
        </row>
        <row r="615">
          <cell r="B615">
            <v>9429</v>
          </cell>
          <cell r="E615" t="str">
            <v>vnguyen5@amaris.com</v>
          </cell>
        </row>
        <row r="616">
          <cell r="B616">
            <v>9628</v>
          </cell>
          <cell r="E616" t="str">
            <v>tvu1@amaris.com</v>
          </cell>
        </row>
        <row r="617">
          <cell r="B617">
            <v>9616</v>
          </cell>
          <cell r="E617" t="str">
            <v>lvasseur@mantu.com</v>
          </cell>
        </row>
        <row r="618">
          <cell r="B618">
            <v>9766</v>
          </cell>
          <cell r="E618" t="str">
            <v>tdanh@amaris.com</v>
          </cell>
        </row>
        <row r="619">
          <cell r="B619">
            <v>9722</v>
          </cell>
          <cell r="E619" t="str">
            <v>tpham8@amaris.com</v>
          </cell>
        </row>
        <row r="620">
          <cell r="B620">
            <v>20408</v>
          </cell>
          <cell r="E620" t="str">
            <v>ducquy.nguyen@amaris.com</v>
          </cell>
        </row>
        <row r="621">
          <cell r="B621">
            <v>9965</v>
          </cell>
          <cell r="E621" t="str">
            <v>ldinh@amaris.com</v>
          </cell>
        </row>
        <row r="622">
          <cell r="B622">
            <v>9879</v>
          </cell>
          <cell r="E622" t="str">
            <v>tpham9@amaris.com</v>
          </cell>
        </row>
        <row r="623">
          <cell r="B623">
            <v>9721</v>
          </cell>
          <cell r="E623" t="str">
            <v>mlechau@amaris.com</v>
          </cell>
        </row>
        <row r="624">
          <cell r="B624">
            <v>9891</v>
          </cell>
          <cell r="E624" t="str">
            <v>mnguyen5@amaris.com</v>
          </cell>
        </row>
        <row r="625">
          <cell r="B625">
            <v>11404</v>
          </cell>
          <cell r="E625" t="str">
            <v>xuong.trantrieu@amaris.com</v>
          </cell>
        </row>
        <row r="626">
          <cell r="B626">
            <v>30352</v>
          </cell>
          <cell r="E626" t="str">
            <v>tranthien.nguyen@amaris.com</v>
          </cell>
        </row>
        <row r="627">
          <cell r="B627">
            <v>9844</v>
          </cell>
          <cell r="E627" t="str">
            <v>tgiaan@amaris.com</v>
          </cell>
        </row>
        <row r="628">
          <cell r="B628">
            <v>22422</v>
          </cell>
          <cell r="E628" t="str">
            <v>qdang@amaris.com</v>
          </cell>
        </row>
        <row r="629">
          <cell r="B629">
            <v>9956</v>
          </cell>
          <cell r="E629" t="str">
            <v>tle8@mantu.com</v>
          </cell>
        </row>
        <row r="630">
          <cell r="B630">
            <v>9425</v>
          </cell>
          <cell r="E630" t="str">
            <v>nvo1@amaris.com</v>
          </cell>
        </row>
        <row r="631">
          <cell r="B631">
            <v>9359</v>
          </cell>
          <cell r="E631" t="str">
            <v>hnguyen10@amaris.com</v>
          </cell>
        </row>
        <row r="632">
          <cell r="B632">
            <v>9376</v>
          </cell>
          <cell r="E632" t="str">
            <v>anguyen4@mantu.com</v>
          </cell>
        </row>
        <row r="633">
          <cell r="B633">
            <v>9402</v>
          </cell>
          <cell r="E633" t="str">
            <v>tnguyen25@mantu.com</v>
          </cell>
        </row>
        <row r="634">
          <cell r="B634">
            <v>9502</v>
          </cell>
          <cell r="E634" t="str">
            <v>ltrankim@amaris.com</v>
          </cell>
        </row>
        <row r="635">
          <cell r="B635">
            <v>9811</v>
          </cell>
          <cell r="E635" t="str">
            <v>ttran16@mantu.com</v>
          </cell>
        </row>
        <row r="636">
          <cell r="B636">
            <v>9560</v>
          </cell>
          <cell r="E636" t="str">
            <v>ntran1@amaris.com</v>
          </cell>
        </row>
        <row r="637">
          <cell r="B637">
            <v>9462</v>
          </cell>
          <cell r="E637" t="str">
            <v>hnguyen13@mantu.com</v>
          </cell>
        </row>
        <row r="638">
          <cell r="B638">
            <v>9428</v>
          </cell>
          <cell r="E638" t="str">
            <v>hnguyen12@amaris.com</v>
          </cell>
        </row>
        <row r="639">
          <cell r="B639">
            <v>21087</v>
          </cell>
          <cell r="E639" t="str">
            <v>haidang.tran@amaris.com</v>
          </cell>
        </row>
        <row r="640">
          <cell r="B640">
            <v>12342</v>
          </cell>
          <cell r="E640" t="str">
            <v>qnguyen6@amaris.com</v>
          </cell>
        </row>
        <row r="641">
          <cell r="B641">
            <v>9813</v>
          </cell>
          <cell r="E641" t="str">
            <v>ttran17@mantu.com</v>
          </cell>
        </row>
        <row r="642">
          <cell r="B642">
            <v>9740</v>
          </cell>
          <cell r="E642" t="str">
            <v>tnguyen27@amaris.com</v>
          </cell>
        </row>
        <row r="643">
          <cell r="B643">
            <v>17956</v>
          </cell>
          <cell r="E643" t="str">
            <v>myphung.tran@amaris.com</v>
          </cell>
        </row>
        <row r="644">
          <cell r="B644">
            <v>9841</v>
          </cell>
          <cell r="E644" t="str">
            <v>chuynh2@amaris.com</v>
          </cell>
        </row>
        <row r="645">
          <cell r="B645">
            <v>9762</v>
          </cell>
          <cell r="E645" t="str">
            <v>mnguyen3@amaris.com</v>
          </cell>
        </row>
        <row r="646">
          <cell r="B646">
            <v>10429</v>
          </cell>
          <cell r="E646" t="str">
            <v>hnguyen16@amaris.com</v>
          </cell>
        </row>
        <row r="647">
          <cell r="B647">
            <v>19200</v>
          </cell>
          <cell r="E647" t="str">
            <v>knguyen@mantu.com</v>
          </cell>
        </row>
        <row r="648">
          <cell r="B648">
            <v>9904</v>
          </cell>
          <cell r="E648" t="str">
            <v>ttu@amaris.com</v>
          </cell>
        </row>
        <row r="649">
          <cell r="B649">
            <v>9884</v>
          </cell>
          <cell r="E649" t="str">
            <v>tnguyenngoc@amaris.com</v>
          </cell>
        </row>
        <row r="650">
          <cell r="B650">
            <v>12239</v>
          </cell>
          <cell r="E650" t="str">
            <v>qtran1@amaris.com</v>
          </cell>
        </row>
        <row r="651">
          <cell r="B651">
            <v>9966</v>
          </cell>
          <cell r="E651" t="str">
            <v>tnguyen30@amaris.com</v>
          </cell>
        </row>
        <row r="652">
          <cell r="B652">
            <v>9968</v>
          </cell>
          <cell r="E652" t="str">
            <v>ungo@amaris.com</v>
          </cell>
        </row>
        <row r="653">
          <cell r="B653">
            <v>10019</v>
          </cell>
          <cell r="E653" t="str">
            <v>chitrung.pham@mantu.com</v>
          </cell>
        </row>
        <row r="654">
          <cell r="B654">
            <v>10164</v>
          </cell>
          <cell r="E654" t="str">
            <v>thuynh4@mantu.com</v>
          </cell>
        </row>
        <row r="655">
          <cell r="B655">
            <v>10104</v>
          </cell>
          <cell r="E655" t="str">
            <v>ktrinh@amaris.com</v>
          </cell>
        </row>
        <row r="656">
          <cell r="B656">
            <v>10473</v>
          </cell>
          <cell r="E656" t="str">
            <v>dnguyenhuynhgia@amaris.com</v>
          </cell>
        </row>
        <row r="657">
          <cell r="B657">
            <v>10068</v>
          </cell>
          <cell r="E657" t="str">
            <v>vanvinh.nguyen@amaris.com</v>
          </cell>
        </row>
        <row r="658">
          <cell r="B658">
            <v>16692</v>
          </cell>
          <cell r="E658" t="str">
            <v>nvu1@mantu.com</v>
          </cell>
        </row>
        <row r="659">
          <cell r="B659">
            <v>10215</v>
          </cell>
          <cell r="E659" t="str">
            <v>tdo2@amaris.com</v>
          </cell>
        </row>
        <row r="660">
          <cell r="B660">
            <v>10361</v>
          </cell>
          <cell r="E660" t="str">
            <v>tanloc.pham@amaris.com</v>
          </cell>
        </row>
        <row r="661">
          <cell r="B661">
            <v>15147</v>
          </cell>
          <cell r="E661" t="str">
            <v>nguyenhuu.tai@amaris.com</v>
          </cell>
        </row>
        <row r="662">
          <cell r="B662">
            <v>9969</v>
          </cell>
          <cell r="E662" t="str">
            <v>qnguyen4@amaris.com</v>
          </cell>
        </row>
        <row r="663">
          <cell r="B663">
            <v>9951</v>
          </cell>
          <cell r="E663" t="str">
            <v>tngo3@amaris.com</v>
          </cell>
        </row>
        <row r="664">
          <cell r="B664">
            <v>9962</v>
          </cell>
          <cell r="E664" t="str">
            <v>thaiphong.ho@amaris.com</v>
          </cell>
        </row>
        <row r="665">
          <cell r="B665">
            <v>10042</v>
          </cell>
          <cell r="E665" t="str">
            <v>ttran18@amaris.com</v>
          </cell>
        </row>
        <row r="666">
          <cell r="B666">
            <v>13205</v>
          </cell>
          <cell r="E666" t="str">
            <v>tholephuong@mantu.com</v>
          </cell>
        </row>
        <row r="667">
          <cell r="B667">
            <v>10107</v>
          </cell>
          <cell r="E667" t="str">
            <v>hhuynh@amaris.com</v>
          </cell>
        </row>
        <row r="668">
          <cell r="B668">
            <v>17879</v>
          </cell>
          <cell r="E668" t="str">
            <v>vanan.dang@amaris.com</v>
          </cell>
        </row>
        <row r="669">
          <cell r="B669">
            <v>10212</v>
          </cell>
          <cell r="E669" t="str">
            <v>pdelacelle@mantu.com</v>
          </cell>
        </row>
        <row r="670">
          <cell r="B670">
            <v>9574</v>
          </cell>
          <cell r="E670" t="str">
            <v>qbui@amaris.com</v>
          </cell>
        </row>
        <row r="671">
          <cell r="B671">
            <v>9481</v>
          </cell>
          <cell r="E671" t="str">
            <v>vongdhonglua.nadthathad@amaris.com</v>
          </cell>
        </row>
        <row r="672">
          <cell r="B672">
            <v>9742</v>
          </cell>
          <cell r="E672" t="str">
            <v>tnguyen28@mantu.com</v>
          </cell>
        </row>
        <row r="673">
          <cell r="B673">
            <v>9854</v>
          </cell>
          <cell r="E673" t="str">
            <v>ntran2@amaris.com</v>
          </cell>
        </row>
        <row r="674">
          <cell r="B674">
            <v>9769</v>
          </cell>
          <cell r="E674" t="str">
            <v>tlaithi@amaris.com</v>
          </cell>
        </row>
        <row r="675">
          <cell r="B675">
            <v>12261</v>
          </cell>
          <cell r="E675" t="str">
            <v>lvu@mantu.com</v>
          </cell>
        </row>
        <row r="676">
          <cell r="B676">
            <v>19795</v>
          </cell>
          <cell r="E676" t="str">
            <v>truong.nguyen@amaris.com</v>
          </cell>
        </row>
        <row r="677">
          <cell r="B677">
            <v>9839</v>
          </cell>
          <cell r="E677" t="str">
            <v>tthu1@amaris.com</v>
          </cell>
        </row>
        <row r="678">
          <cell r="B678">
            <v>9826</v>
          </cell>
          <cell r="E678" t="str">
            <v>hnguyen14@mantu.com</v>
          </cell>
        </row>
        <row r="679">
          <cell r="B679">
            <v>9865</v>
          </cell>
          <cell r="E679" t="str">
            <v>tnguyen29@amaris.com</v>
          </cell>
        </row>
        <row r="680">
          <cell r="B680">
            <v>10165</v>
          </cell>
          <cell r="E680" t="str">
            <v>hnguyen15@amaris.com</v>
          </cell>
        </row>
        <row r="681">
          <cell r="B681">
            <v>9878</v>
          </cell>
          <cell r="E681" t="str">
            <v>ktang@mantu.com</v>
          </cell>
        </row>
        <row r="682">
          <cell r="B682">
            <v>13256</v>
          </cell>
          <cell r="E682" t="str">
            <v>ngoctien.nguyen@amaris.com</v>
          </cell>
        </row>
        <row r="683">
          <cell r="B683">
            <v>9890</v>
          </cell>
          <cell r="E683" t="str">
            <v>phan.nguyenchu@amaris.com</v>
          </cell>
        </row>
        <row r="684">
          <cell r="B684">
            <v>9795</v>
          </cell>
          <cell r="E684" t="str">
            <v>hle4@amaris.com</v>
          </cell>
        </row>
        <row r="685">
          <cell r="B685">
            <v>10047</v>
          </cell>
          <cell r="E685" t="str">
            <v>tvo5@amaris.com</v>
          </cell>
        </row>
        <row r="686">
          <cell r="B686">
            <v>12437</v>
          </cell>
          <cell r="E686" t="str">
            <v>luan.huynhhoc@amaris.com</v>
          </cell>
        </row>
        <row r="687">
          <cell r="B687">
            <v>9934</v>
          </cell>
          <cell r="E687" t="str">
            <v>qbui1@amaris.com</v>
          </cell>
        </row>
        <row r="688">
          <cell r="B688">
            <v>9970</v>
          </cell>
          <cell r="E688" t="str">
            <v>nphu@amaris.com</v>
          </cell>
        </row>
        <row r="689">
          <cell r="B689">
            <v>9962</v>
          </cell>
          <cell r="E689" t="str">
            <v>thaiphong.ho@amaris.com</v>
          </cell>
        </row>
        <row r="690">
          <cell r="B690">
            <v>10154</v>
          </cell>
          <cell r="E690" t="str">
            <v>tnguyen31@amaris.com</v>
          </cell>
        </row>
        <row r="691">
          <cell r="B691">
            <v>13253</v>
          </cell>
          <cell r="E691" t="str">
            <v>duchuy.le@amaris.com</v>
          </cell>
        </row>
        <row r="692">
          <cell r="B692">
            <v>10167</v>
          </cell>
          <cell r="E692" t="str">
            <v>ngockhanh.nguyen@amaris.com</v>
          </cell>
        </row>
        <row r="693">
          <cell r="B693">
            <v>10251</v>
          </cell>
          <cell r="E693" t="str">
            <v>nphan@mantu.com</v>
          </cell>
        </row>
        <row r="694">
          <cell r="B694">
            <v>10355</v>
          </cell>
          <cell r="E694" t="str">
            <v>puyen@amaris.com</v>
          </cell>
        </row>
        <row r="695">
          <cell r="B695">
            <v>10313</v>
          </cell>
          <cell r="E695" t="str">
            <v>minhchinh.nguyen@amaris.com</v>
          </cell>
        </row>
        <row r="696">
          <cell r="B696">
            <v>21045</v>
          </cell>
          <cell r="E696" t="str">
            <v>baoduy.nguyenthe@amaris.com</v>
          </cell>
        </row>
        <row r="697">
          <cell r="B697">
            <v>20783</v>
          </cell>
          <cell r="E697" t="str">
            <v>le.ha@amaris.com</v>
          </cell>
        </row>
        <row r="698">
          <cell r="B698">
            <v>13465</v>
          </cell>
          <cell r="E698" t="str">
            <v>hoangquoc.cao@amaris.com</v>
          </cell>
        </row>
        <row r="699">
          <cell r="B699">
            <v>10354</v>
          </cell>
          <cell r="E699" t="str">
            <v>akilayasiruni.madarasinghe@amaris.com</v>
          </cell>
        </row>
        <row r="700">
          <cell r="B700">
            <v>10585</v>
          </cell>
          <cell r="E700" t="str">
            <v>trongnghia.nguyen@amaris.com</v>
          </cell>
        </row>
        <row r="701">
          <cell r="B701">
            <v>11541</v>
          </cell>
          <cell r="E701" t="str">
            <v>htrinh@amaris.com</v>
          </cell>
        </row>
        <row r="702">
          <cell r="B702">
            <v>10570</v>
          </cell>
          <cell r="E702" t="str">
            <v>mphan@amaris.com</v>
          </cell>
        </row>
        <row r="703">
          <cell r="B703">
            <v>10934</v>
          </cell>
          <cell r="E703" t="str">
            <v>dnguyen12@amaris.com</v>
          </cell>
        </row>
        <row r="704">
          <cell r="B704">
            <v>20034</v>
          </cell>
          <cell r="E704" t="str">
            <v>tlam@mantu.com</v>
          </cell>
        </row>
        <row r="705">
          <cell r="B705">
            <v>10709</v>
          </cell>
          <cell r="E705" t="str">
            <v>hoangtruong.tran@amaris.com</v>
          </cell>
        </row>
        <row r="706">
          <cell r="B706">
            <v>11184</v>
          </cell>
          <cell r="E706" t="str">
            <v>tanguy.degrandmaison@littlebigconnection.com</v>
          </cell>
        </row>
        <row r="707">
          <cell r="B707">
            <v>10027</v>
          </cell>
          <cell r="E707" t="str">
            <v>hungthinh.tran@amaris.com</v>
          </cell>
        </row>
        <row r="708">
          <cell r="B708">
            <v>12838</v>
          </cell>
          <cell r="E708" t="str">
            <v>tantai.ho@amaris.com</v>
          </cell>
        </row>
        <row r="709">
          <cell r="B709">
            <v>13142</v>
          </cell>
          <cell r="E709" t="str">
            <v>nguyen.tai3@amaris.com</v>
          </cell>
        </row>
        <row r="710">
          <cell r="B710">
            <v>10437</v>
          </cell>
          <cell r="E710" t="str">
            <v>xhothi@amaris.com</v>
          </cell>
        </row>
        <row r="711">
          <cell r="B711">
            <v>11886</v>
          </cell>
          <cell r="E711" t="str">
            <v>phuduong.dam@amaris.com</v>
          </cell>
        </row>
        <row r="712">
          <cell r="B712">
            <v>13479</v>
          </cell>
          <cell r="E712" t="str">
            <v>le.huy@mantu.com</v>
          </cell>
        </row>
        <row r="713">
          <cell r="B713">
            <v>11167</v>
          </cell>
          <cell r="E713" t="str">
            <v>ltran2@amaris.com</v>
          </cell>
        </row>
        <row r="714">
          <cell r="B714">
            <v>10986</v>
          </cell>
          <cell r="E714" t="str">
            <v>mcao@mantu.com</v>
          </cell>
        </row>
        <row r="715">
          <cell r="B715">
            <v>11199</v>
          </cell>
          <cell r="E715" t="str">
            <v>ntrang@mantu.com</v>
          </cell>
        </row>
        <row r="716">
          <cell r="B716">
            <v>9923</v>
          </cell>
          <cell r="E716" t="str">
            <v>nguyen.tai@amaris.com</v>
          </cell>
        </row>
        <row r="717">
          <cell r="B717">
            <v>11375</v>
          </cell>
          <cell r="E717" t="str">
            <v>tnguyen32@amaris.com</v>
          </cell>
        </row>
        <row r="718">
          <cell r="B718">
            <v>10199</v>
          </cell>
          <cell r="E718" t="str">
            <v>npham2@mantu.com</v>
          </cell>
        </row>
        <row r="719">
          <cell r="B719">
            <v>10038</v>
          </cell>
          <cell r="E719" t="str">
            <v>pnguyen2@amaris.com</v>
          </cell>
        </row>
        <row r="720">
          <cell r="B720">
            <v>10157</v>
          </cell>
          <cell r="E720" t="str">
            <v>ale1@amaris.com</v>
          </cell>
        </row>
        <row r="721">
          <cell r="B721">
            <v>18392</v>
          </cell>
          <cell r="E721" t="str">
            <v>trunghau.huynh@amaris.com</v>
          </cell>
        </row>
        <row r="722">
          <cell r="B722">
            <v>21608</v>
          </cell>
          <cell r="E722" t="str">
            <v>cguiguen@amaris.com</v>
          </cell>
        </row>
        <row r="723">
          <cell r="B723">
            <v>11064</v>
          </cell>
          <cell r="E723" t="str">
            <v>ppham@mantu.com</v>
          </cell>
        </row>
        <row r="724">
          <cell r="B724">
            <v>23022</v>
          </cell>
          <cell r="E724" t="str">
            <v>khai.hoquang@littlebigconnection.com</v>
          </cell>
        </row>
        <row r="725">
          <cell r="B725">
            <v>10850</v>
          </cell>
          <cell r="E725" t="str">
            <v>bao.hatuan@amaris.com</v>
          </cell>
        </row>
        <row r="726">
          <cell r="B726">
            <v>10856</v>
          </cell>
          <cell r="E726" t="str">
            <v>dtran2@amaris.com</v>
          </cell>
        </row>
        <row r="727">
          <cell r="B727">
            <v>17342</v>
          </cell>
          <cell r="E727" t="str">
            <v>ngocchinh.dang@amaris.com</v>
          </cell>
        </row>
        <row r="728">
          <cell r="B728">
            <v>18217</v>
          </cell>
          <cell r="E728" t="str">
            <v>thanhvan.bui@amaris.com</v>
          </cell>
        </row>
        <row r="729">
          <cell r="B729">
            <v>10569</v>
          </cell>
          <cell r="E729" t="str">
            <v>tam.huynh@amaris.com</v>
          </cell>
        </row>
        <row r="730">
          <cell r="B730">
            <v>10082</v>
          </cell>
          <cell r="E730" t="str">
            <v>btruong@amaris.com</v>
          </cell>
        </row>
        <row r="731">
          <cell r="B731">
            <v>10137</v>
          </cell>
          <cell r="E731" t="str">
            <v>tlam1@mantu.com</v>
          </cell>
        </row>
        <row r="732">
          <cell r="B732">
            <v>15036</v>
          </cell>
          <cell r="E732" t="str">
            <v>qnguyen7@mantu.com</v>
          </cell>
        </row>
        <row r="733">
          <cell r="B733">
            <v>10272</v>
          </cell>
          <cell r="E733" t="str">
            <v>qnguyen5@amaris.com</v>
          </cell>
        </row>
        <row r="734">
          <cell r="B734">
            <v>10324</v>
          </cell>
          <cell r="E734" t="str">
            <v>tdoan1@amaris.com</v>
          </cell>
        </row>
        <row r="735">
          <cell r="B735">
            <v>10271</v>
          </cell>
          <cell r="E735" t="str">
            <v>bnguyen2@amaris.com</v>
          </cell>
        </row>
        <row r="736">
          <cell r="B736">
            <v>13182</v>
          </cell>
          <cell r="E736" t="str">
            <v>xuantung.nguyen@amaris.com</v>
          </cell>
        </row>
        <row r="737">
          <cell r="B737">
            <v>10234</v>
          </cell>
          <cell r="E737" t="str">
            <v>quyen.do@amaris.com</v>
          </cell>
        </row>
        <row r="738">
          <cell r="B738">
            <v>15721</v>
          </cell>
          <cell r="E738" t="str">
            <v>viet.ho@amaris.com</v>
          </cell>
        </row>
        <row r="739">
          <cell r="B739">
            <v>18014</v>
          </cell>
          <cell r="E739" t="str">
            <v>hung.tran@amaris.com</v>
          </cell>
        </row>
        <row r="740">
          <cell r="B740">
            <v>10470</v>
          </cell>
          <cell r="E740" t="str">
            <v>vkhanh@amaris.com</v>
          </cell>
        </row>
        <row r="741">
          <cell r="B741">
            <v>20994</v>
          </cell>
          <cell r="E741" t="str">
            <v>hoangngu.dong@amaris.com</v>
          </cell>
        </row>
        <row r="742">
          <cell r="B742">
            <v>10857</v>
          </cell>
          <cell r="E742" t="str">
            <v>nhao@mantu.com</v>
          </cell>
        </row>
        <row r="743">
          <cell r="B743">
            <v>10805</v>
          </cell>
          <cell r="E743" t="str">
            <v>lnguyen5@mantu.com</v>
          </cell>
        </row>
        <row r="744">
          <cell r="B744">
            <v>18310</v>
          </cell>
          <cell r="E744" t="str">
            <v>tranbui.quanglinh@amaris.com</v>
          </cell>
        </row>
        <row r="745">
          <cell r="B745">
            <v>12061</v>
          </cell>
          <cell r="E745" t="str">
            <v>nvy@mantu.com</v>
          </cell>
        </row>
        <row r="746">
          <cell r="B746">
            <v>11324</v>
          </cell>
          <cell r="E746" t="str">
            <v>sbentikouk@amaris.com</v>
          </cell>
        </row>
        <row r="747">
          <cell r="B747">
            <v>11936</v>
          </cell>
          <cell r="E747" t="str">
            <v>duyphuc.do@amaris.com</v>
          </cell>
        </row>
        <row r="748">
          <cell r="B748">
            <v>11198</v>
          </cell>
          <cell r="E748" t="str">
            <v>bphamhoang@mantu.com</v>
          </cell>
        </row>
        <row r="749">
          <cell r="B749">
            <v>11444</v>
          </cell>
          <cell r="E749" t="str">
            <v>atran3@amaris.com</v>
          </cell>
        </row>
        <row r="750">
          <cell r="B750">
            <v>11023</v>
          </cell>
          <cell r="E750" t="str">
            <v>nlam@amaris.com</v>
          </cell>
        </row>
        <row r="751">
          <cell r="B751">
            <v>11298</v>
          </cell>
          <cell r="E751" t="str">
            <v>hoangtan.vo@mantu.com</v>
          </cell>
        </row>
        <row r="752">
          <cell r="B752">
            <v>10878</v>
          </cell>
          <cell r="E752" t="str">
            <v>tnguyen3233@amaris.com</v>
          </cell>
        </row>
        <row r="753">
          <cell r="B753">
            <v>12084</v>
          </cell>
          <cell r="E753" t="str">
            <v>nta@amaris.com</v>
          </cell>
        </row>
        <row r="754">
          <cell r="B754">
            <v>11178</v>
          </cell>
          <cell r="E754" t="str">
            <v>dinhhau.van@amaris.com</v>
          </cell>
        </row>
        <row r="755">
          <cell r="B755">
            <v>10985</v>
          </cell>
          <cell r="E755" t="str">
            <v>hoanghiep.nguyen@amaris.com</v>
          </cell>
        </row>
        <row r="756">
          <cell r="B756">
            <v>11133</v>
          </cell>
          <cell r="E756" t="str">
            <v>hnguyentran1@mantu.com</v>
          </cell>
        </row>
        <row r="757">
          <cell r="B757">
            <v>11164</v>
          </cell>
          <cell r="E757" t="str">
            <v>nnguyen9@mantu.com</v>
          </cell>
        </row>
        <row r="758">
          <cell r="B758">
            <v>16902</v>
          </cell>
          <cell r="E758" t="str">
            <v>marvin.mercado@amaris.com</v>
          </cell>
        </row>
        <row r="759">
          <cell r="B759">
            <v>11556</v>
          </cell>
          <cell r="E759" t="str">
            <v>ttu1@amaris.com</v>
          </cell>
        </row>
        <row r="760">
          <cell r="B760">
            <v>11049</v>
          </cell>
          <cell r="E760" t="str">
            <v>nguyendinh.gianghia@amaris.com</v>
          </cell>
        </row>
        <row r="761">
          <cell r="B761">
            <v>11345</v>
          </cell>
          <cell r="E761" t="str">
            <v>bnguyen3@mantu.com</v>
          </cell>
        </row>
        <row r="762">
          <cell r="B762">
            <v>11978</v>
          </cell>
          <cell r="E762" t="str">
            <v>acamaret@amaris.com</v>
          </cell>
        </row>
        <row r="763">
          <cell r="B763">
            <v>11286</v>
          </cell>
          <cell r="E763" t="str">
            <v>nguyen.hau@amaris.com</v>
          </cell>
        </row>
        <row r="764">
          <cell r="B764">
            <v>11514</v>
          </cell>
          <cell r="E764" t="str">
            <v>pphan@mantu.com</v>
          </cell>
        </row>
        <row r="765">
          <cell r="B765">
            <v>12126</v>
          </cell>
          <cell r="E765" t="str">
            <v>aperon@amaris.com</v>
          </cell>
        </row>
        <row r="766">
          <cell r="B766">
            <v>13147</v>
          </cell>
          <cell r="E766" t="str">
            <v>fahbabou@amaris.com</v>
          </cell>
        </row>
        <row r="767">
          <cell r="B767">
            <v>11534</v>
          </cell>
          <cell r="E767" t="str">
            <v>quanglap.pham@7circles.com</v>
          </cell>
        </row>
        <row r="768">
          <cell r="B768">
            <v>11540</v>
          </cell>
          <cell r="E768" t="str">
            <v>mducourant@amaris.com</v>
          </cell>
        </row>
        <row r="769">
          <cell r="B769">
            <v>11200</v>
          </cell>
          <cell r="E769" t="str">
            <v>tduong2@amaris.com</v>
          </cell>
        </row>
        <row r="770">
          <cell r="B770">
            <v>16726</v>
          </cell>
          <cell r="E770" t="str">
            <v>nle@mantu.com</v>
          </cell>
        </row>
        <row r="771">
          <cell r="B771">
            <v>11593</v>
          </cell>
          <cell r="E771" t="str">
            <v>thuynh5@amaris.com</v>
          </cell>
        </row>
        <row r="772">
          <cell r="B772">
            <v>14727</v>
          </cell>
          <cell r="E772" t="str">
            <v>leo.aamar@amaris.com</v>
          </cell>
        </row>
        <row r="773">
          <cell r="B773">
            <v>11678</v>
          </cell>
          <cell r="E773" t="str">
            <v>dinhtung.vu@amaris.com</v>
          </cell>
        </row>
        <row r="774">
          <cell r="B774">
            <v>10852</v>
          </cell>
          <cell r="E774" t="str">
            <v>htrandinh@amaris.com</v>
          </cell>
        </row>
        <row r="775">
          <cell r="B775">
            <v>10963</v>
          </cell>
          <cell r="E775" t="str">
            <v>nan@amaris.com</v>
          </cell>
        </row>
        <row r="776">
          <cell r="B776">
            <v>37495</v>
          </cell>
          <cell r="E776" t="str">
            <v>nguyentien.ngo@amaris.com</v>
          </cell>
        </row>
        <row r="777">
          <cell r="B777">
            <v>11564</v>
          </cell>
          <cell r="E777" t="str">
            <v>htrac@mantu.com</v>
          </cell>
        </row>
        <row r="778">
          <cell r="B778">
            <v>11203</v>
          </cell>
          <cell r="E778" t="str">
            <v>tdat@amaris.com</v>
          </cell>
        </row>
        <row r="779">
          <cell r="B779">
            <v>11204</v>
          </cell>
          <cell r="E779" t="str">
            <v>nngoc@amaris.com</v>
          </cell>
        </row>
        <row r="780">
          <cell r="B780">
            <v>11412</v>
          </cell>
          <cell r="E780" t="str">
            <v>cong.nguyen@7circles.com</v>
          </cell>
        </row>
        <row r="781">
          <cell r="B781">
            <v>11265</v>
          </cell>
          <cell r="E781" t="str">
            <v>bhung@mantu.com</v>
          </cell>
        </row>
        <row r="782">
          <cell r="B782">
            <v>11047</v>
          </cell>
          <cell r="E782" t="str">
            <v>tuananh.pham@amaris.com</v>
          </cell>
        </row>
        <row r="783">
          <cell r="B783">
            <v>11197</v>
          </cell>
          <cell r="E783" t="str">
            <v>kcat@mantu.com</v>
          </cell>
        </row>
        <row r="784">
          <cell r="B784">
            <v>11072</v>
          </cell>
          <cell r="E784" t="str">
            <v>anhphu.luong@amaris.com</v>
          </cell>
        </row>
        <row r="785">
          <cell r="B785">
            <v>11699</v>
          </cell>
          <cell r="E785" t="str">
            <v>sarvesh.kumar@amaris.com</v>
          </cell>
        </row>
        <row r="786">
          <cell r="B786">
            <v>11476</v>
          </cell>
          <cell r="E786" t="str">
            <v>hoangnhan.votran@amaris.com</v>
          </cell>
        </row>
        <row r="787">
          <cell r="B787">
            <v>11513</v>
          </cell>
          <cell r="E787" t="str">
            <v>dinhphuong.trinh@amaris.com</v>
          </cell>
        </row>
        <row r="788">
          <cell r="B788">
            <v>12010</v>
          </cell>
          <cell r="E788" t="str">
            <v>htrinh1@amaris.com</v>
          </cell>
        </row>
        <row r="789">
          <cell r="B789">
            <v>14003</v>
          </cell>
          <cell r="E789" t="str">
            <v>laurent.campmas@7circles.com</v>
          </cell>
        </row>
        <row r="790">
          <cell r="B790">
            <v>16620</v>
          </cell>
          <cell r="E790" t="str">
            <v>dung.phan@hrmsconsulting.com</v>
          </cell>
        </row>
        <row r="791">
          <cell r="B791">
            <v>12559</v>
          </cell>
          <cell r="E791" t="str">
            <v>dha@mantu.com</v>
          </cell>
        </row>
        <row r="792">
          <cell r="B792">
            <v>11086</v>
          </cell>
          <cell r="E792" t="str">
            <v>thanhduong.pham@amaris.com</v>
          </cell>
        </row>
        <row r="793">
          <cell r="B793">
            <v>12568</v>
          </cell>
          <cell r="E793" t="str">
            <v>knguyen4@amaris.com</v>
          </cell>
        </row>
        <row r="794">
          <cell r="B794">
            <v>14919</v>
          </cell>
          <cell r="E794" t="str">
            <v>mbui@mantu.com</v>
          </cell>
        </row>
        <row r="795">
          <cell r="B795">
            <v>11758</v>
          </cell>
          <cell r="E795" t="str">
            <v>phoanglong@amaris.com</v>
          </cell>
        </row>
        <row r="796">
          <cell r="B796">
            <v>16174</v>
          </cell>
          <cell r="E796" t="str">
            <v>phan.trungthanh@amaris.com</v>
          </cell>
        </row>
        <row r="797">
          <cell r="B797">
            <v>11443</v>
          </cell>
          <cell r="E797" t="str">
            <v>nbao@amaris.com</v>
          </cell>
        </row>
        <row r="798">
          <cell r="B798">
            <v>11490</v>
          </cell>
          <cell r="E798" t="str">
            <v>tnguyen34@amaris.com</v>
          </cell>
        </row>
        <row r="799">
          <cell r="B799">
            <v>12109</v>
          </cell>
          <cell r="E799" t="str">
            <v>arthur.saintgenis@amaris.com</v>
          </cell>
        </row>
        <row r="800">
          <cell r="B800">
            <v>11814</v>
          </cell>
          <cell r="E800" t="str">
            <v>hbao@amaris.com</v>
          </cell>
        </row>
        <row r="801">
          <cell r="B801">
            <v>11566</v>
          </cell>
          <cell r="E801" t="str">
            <v>plenhu@amaris.com</v>
          </cell>
        </row>
        <row r="802">
          <cell r="B802">
            <v>11874</v>
          </cell>
          <cell r="E802" t="str">
            <v>vannhat.tran@amaris.com</v>
          </cell>
        </row>
        <row r="803">
          <cell r="B803">
            <v>16101</v>
          </cell>
          <cell r="E803" t="str">
            <v>tnguyen45@mantu.com</v>
          </cell>
        </row>
        <row r="804">
          <cell r="B804">
            <v>29701</v>
          </cell>
          <cell r="E804" t="str">
            <v>margaux.guilmeau@amaris.com</v>
          </cell>
        </row>
        <row r="805">
          <cell r="B805">
            <v>12066</v>
          </cell>
          <cell r="E805" t="str">
            <v>mtranvan@amaris.com</v>
          </cell>
        </row>
        <row r="806">
          <cell r="B806">
            <v>11885</v>
          </cell>
          <cell r="E806" t="str">
            <v>thanh.maicong@amaris.com</v>
          </cell>
        </row>
        <row r="807">
          <cell r="B807">
            <v>13068</v>
          </cell>
          <cell r="E807" t="str">
            <v>vanchien.hoang@amaris.com</v>
          </cell>
        </row>
        <row r="808">
          <cell r="B808">
            <v>12081</v>
          </cell>
          <cell r="E808" t="str">
            <v>gilles.pelvin@amaris.com</v>
          </cell>
        </row>
        <row r="809">
          <cell r="B809">
            <v>12574</v>
          </cell>
          <cell r="E809" t="str">
            <v>gdulon@amaris.com</v>
          </cell>
        </row>
        <row r="810">
          <cell r="B810">
            <v>12556</v>
          </cell>
          <cell r="E810" t="str">
            <v>nmanh@mantu.com</v>
          </cell>
        </row>
        <row r="811">
          <cell r="B811">
            <v>12426</v>
          </cell>
          <cell r="E811" t="str">
            <v>tle11@amaris.com</v>
          </cell>
        </row>
        <row r="812">
          <cell r="B812">
            <v>12208</v>
          </cell>
          <cell r="E812" t="str">
            <v>hoan.le@amaris.com</v>
          </cell>
        </row>
        <row r="813">
          <cell r="B813">
            <v>11751</v>
          </cell>
          <cell r="E813" t="str">
            <v>maitung.vu@amaris.com</v>
          </cell>
        </row>
        <row r="814">
          <cell r="B814">
            <v>12179</v>
          </cell>
          <cell r="E814" t="str">
            <v>tle10@amaris.com</v>
          </cell>
        </row>
        <row r="815">
          <cell r="B815">
            <v>26472</v>
          </cell>
          <cell r="E815" t="str">
            <v>pnguyenduy@mantu.com</v>
          </cell>
        </row>
        <row r="816">
          <cell r="B816">
            <v>12093</v>
          </cell>
          <cell r="E816" t="str">
            <v>tle9@amaris.com</v>
          </cell>
        </row>
        <row r="817">
          <cell r="B817">
            <v>12697</v>
          </cell>
          <cell r="E817" t="str">
            <v>binh.phamhong@amaris.com</v>
          </cell>
        </row>
        <row r="818">
          <cell r="B818">
            <v>13601</v>
          </cell>
          <cell r="E818" t="str">
            <v>tnguyen39@amaris.com</v>
          </cell>
        </row>
        <row r="819">
          <cell r="B819">
            <v>12471</v>
          </cell>
          <cell r="E819" t="str">
            <v>tnguyen36@amaris.com</v>
          </cell>
        </row>
        <row r="820">
          <cell r="B820">
            <v>12296</v>
          </cell>
          <cell r="E820" t="str">
            <v>bha@amaris.com</v>
          </cell>
        </row>
        <row r="821">
          <cell r="B821">
            <v>12289</v>
          </cell>
          <cell r="E821" t="str">
            <v>vo.vanchau@amaris.com</v>
          </cell>
        </row>
        <row r="822">
          <cell r="B822">
            <v>12131</v>
          </cell>
          <cell r="E822" t="str">
            <v>artem.vereshchagin@amaris.com</v>
          </cell>
        </row>
        <row r="823">
          <cell r="B823">
            <v>12326</v>
          </cell>
          <cell r="E823" t="str">
            <v>dalan.hoang@hrmsconsulting.com</v>
          </cell>
        </row>
        <row r="824">
          <cell r="B824">
            <v>13255</v>
          </cell>
          <cell r="E824" t="str">
            <v>minhtri.cao@amaris.com</v>
          </cell>
        </row>
        <row r="825">
          <cell r="B825">
            <v>12717</v>
          </cell>
          <cell r="E825" t="str">
            <v>bhien@amaris.com</v>
          </cell>
        </row>
        <row r="826">
          <cell r="B826">
            <v>13409</v>
          </cell>
          <cell r="E826" t="str">
            <v>hoang.nam@amaris.com</v>
          </cell>
        </row>
        <row r="827">
          <cell r="B827">
            <v>12906</v>
          </cell>
          <cell r="E827" t="str">
            <v>ttran19@mantu.com</v>
          </cell>
        </row>
        <row r="828">
          <cell r="B828">
            <v>12369</v>
          </cell>
          <cell r="E828" t="str">
            <v>aaugagneur@amaris.com</v>
          </cell>
        </row>
        <row r="829">
          <cell r="B829">
            <v>13043</v>
          </cell>
          <cell r="E829" t="str">
            <v>phan.thanh@amaris.com</v>
          </cell>
        </row>
        <row r="830">
          <cell r="B830">
            <v>17352</v>
          </cell>
          <cell r="E830" t="str">
            <v>ttran5@mantu.com</v>
          </cell>
        </row>
        <row r="831">
          <cell r="B831">
            <v>12047</v>
          </cell>
          <cell r="E831" t="str">
            <v>nvu@mantu.com</v>
          </cell>
        </row>
        <row r="832">
          <cell r="B832">
            <v>11974</v>
          </cell>
          <cell r="E832" t="str">
            <v>pnguyen3@amaris.com</v>
          </cell>
        </row>
        <row r="833">
          <cell r="B833">
            <v>12424</v>
          </cell>
          <cell r="E833" t="str">
            <v>qtran2@amaris.com</v>
          </cell>
        </row>
        <row r="834">
          <cell r="B834">
            <v>12378</v>
          </cell>
          <cell r="E834" t="str">
            <v>pgupta@mantu.com</v>
          </cell>
        </row>
        <row r="835">
          <cell r="B835">
            <v>12286</v>
          </cell>
          <cell r="E835" t="str">
            <v>thuyhong.lethi@mantu.com</v>
          </cell>
        </row>
        <row r="836">
          <cell r="B836">
            <v>16684</v>
          </cell>
          <cell r="E836" t="str">
            <v>minhbui.duc@amaris.com</v>
          </cell>
        </row>
        <row r="837">
          <cell r="B837">
            <v>16217</v>
          </cell>
          <cell r="E837" t="str">
            <v>thuagia@amaris.com</v>
          </cell>
        </row>
        <row r="838">
          <cell r="B838">
            <v>11929</v>
          </cell>
          <cell r="E838" t="str">
            <v>khoinguyen.tran@amaris.com</v>
          </cell>
        </row>
        <row r="839">
          <cell r="B839">
            <v>12103</v>
          </cell>
          <cell r="E839" t="str">
            <v>dtran3@amaris.com</v>
          </cell>
        </row>
        <row r="840">
          <cell r="B840">
            <v>12121</v>
          </cell>
          <cell r="E840" t="str">
            <v>ldat@amaris.com</v>
          </cell>
        </row>
        <row r="841">
          <cell r="B841">
            <v>12807</v>
          </cell>
          <cell r="E841" t="str">
            <v>mphrakornkham@mantu.com</v>
          </cell>
        </row>
        <row r="842">
          <cell r="B842">
            <v>12992</v>
          </cell>
          <cell r="E842" t="str">
            <v>duc.voduy@amaris.com</v>
          </cell>
        </row>
        <row r="843">
          <cell r="B843">
            <v>12039</v>
          </cell>
          <cell r="E843" t="str">
            <v>loc.nguyentruong@amaris.com</v>
          </cell>
        </row>
        <row r="844">
          <cell r="B844">
            <v>14434</v>
          </cell>
          <cell r="E844" t="str">
            <v>vanbao.huynh@amaris.com</v>
          </cell>
        </row>
        <row r="845">
          <cell r="B845">
            <v>12425</v>
          </cell>
          <cell r="E845" t="str">
            <v>ntruong1@mantu.com</v>
          </cell>
        </row>
        <row r="846">
          <cell r="B846">
            <v>12592</v>
          </cell>
          <cell r="E846" t="str">
            <v>qbui2@amaris.com</v>
          </cell>
        </row>
        <row r="847">
          <cell r="B847">
            <v>12322</v>
          </cell>
          <cell r="E847" t="str">
            <v>dung.phan10@hrmsconsulting.com</v>
          </cell>
        </row>
        <row r="848">
          <cell r="B848">
            <v>12325</v>
          </cell>
          <cell r="E848" t="str">
            <v>phuong.tran@hrmsconsulting.com</v>
          </cell>
        </row>
        <row r="849">
          <cell r="B849">
            <v>12333</v>
          </cell>
          <cell r="E849" t="str">
            <v>vananhkhoa.tran@amaris.com</v>
          </cell>
        </row>
        <row r="850">
          <cell r="B850">
            <v>12334</v>
          </cell>
          <cell r="E850" t="str">
            <v>cuong.tran@hrmsconsulting.com</v>
          </cell>
        </row>
        <row r="851">
          <cell r="B851">
            <v>13052</v>
          </cell>
          <cell r="E851" t="str">
            <v>kenyusuf.khan@amaris.com</v>
          </cell>
        </row>
        <row r="852">
          <cell r="B852">
            <v>12845</v>
          </cell>
          <cell r="E852" t="str">
            <v>nguyen.tai2@amaris.com</v>
          </cell>
        </row>
        <row r="853">
          <cell r="B853">
            <v>14314</v>
          </cell>
          <cell r="E853" t="str">
            <v>ppham1@amaris.com</v>
          </cell>
        </row>
        <row r="854">
          <cell r="B854">
            <v>12330</v>
          </cell>
          <cell r="E854" t="str">
            <v>tran.nguyen@hrmsconsulting.com</v>
          </cell>
        </row>
        <row r="855">
          <cell r="B855">
            <v>25632</v>
          </cell>
          <cell r="E855" t="str">
            <v>anhvinh.le@amaris.com</v>
          </cell>
        </row>
        <row r="856">
          <cell r="B856">
            <v>12796</v>
          </cell>
          <cell r="E856" t="str">
            <v>hluuhoang@mantu.com</v>
          </cell>
        </row>
        <row r="857">
          <cell r="B857">
            <v>12966</v>
          </cell>
          <cell r="E857" t="str">
            <v>dang.nguyen@amaris.com</v>
          </cell>
        </row>
        <row r="858">
          <cell r="B858">
            <v>12694</v>
          </cell>
          <cell r="E858" t="str">
            <v>nphuonguyen@mantu.com</v>
          </cell>
        </row>
        <row r="859">
          <cell r="B859">
            <v>13466</v>
          </cell>
          <cell r="E859" t="str">
            <v>nguyen.huutri@amaris.com</v>
          </cell>
        </row>
        <row r="860">
          <cell r="B860">
            <v>13260</v>
          </cell>
          <cell r="E860" t="str">
            <v>sxia@mantu.com</v>
          </cell>
        </row>
        <row r="861">
          <cell r="B861">
            <v>12823</v>
          </cell>
          <cell r="E861" t="str">
            <v>le.quangtruc@amaris.com</v>
          </cell>
        </row>
        <row r="862">
          <cell r="B862">
            <v>13181</v>
          </cell>
          <cell r="E862" t="str">
            <v>vhoahiep@mantu.com</v>
          </cell>
        </row>
        <row r="863">
          <cell r="B863">
            <v>13145</v>
          </cell>
          <cell r="E863" t="str">
            <v>phan.congthuc@amaris.com</v>
          </cell>
        </row>
        <row r="864">
          <cell r="B864">
            <v>13254</v>
          </cell>
          <cell r="E864" t="str">
            <v>thanh.phamthithien@amaris.com</v>
          </cell>
        </row>
        <row r="865">
          <cell r="B865">
            <v>13304</v>
          </cell>
          <cell r="E865" t="str">
            <v>thihuyen.nguyen@amaris.com</v>
          </cell>
        </row>
        <row r="866">
          <cell r="B866">
            <v>13944</v>
          </cell>
          <cell r="E866" t="str">
            <v>hai.nguyenkim@amaris.com</v>
          </cell>
        </row>
        <row r="867">
          <cell r="B867">
            <v>12839</v>
          </cell>
          <cell r="E867" t="str">
            <v>ho.lam@amaris.com</v>
          </cell>
        </row>
        <row r="868">
          <cell r="B868">
            <v>12950</v>
          </cell>
          <cell r="E868" t="str">
            <v>ngocdung.truong@amaris.com</v>
          </cell>
        </row>
        <row r="869">
          <cell r="B869">
            <v>13303</v>
          </cell>
          <cell r="E869" t="str">
            <v>trungtin.tran@amaris.com</v>
          </cell>
        </row>
        <row r="870">
          <cell r="B870">
            <v>14232</v>
          </cell>
          <cell r="E870" t="str">
            <v>phuc.nguyenmaitat@amaris.com</v>
          </cell>
        </row>
        <row r="871">
          <cell r="B871">
            <v>31679</v>
          </cell>
          <cell r="E871" t="str">
            <v>marieanne.pinet@amaris.com</v>
          </cell>
        </row>
        <row r="872">
          <cell r="B872">
            <v>13349</v>
          </cell>
          <cell r="E872" t="str">
            <v>minhthai.voxuan@amaris.com</v>
          </cell>
        </row>
        <row r="873">
          <cell r="B873">
            <v>16665</v>
          </cell>
          <cell r="E873" t="str">
            <v>vinh.truongthe@amaris.com</v>
          </cell>
        </row>
        <row r="874">
          <cell r="B874">
            <v>12198</v>
          </cell>
          <cell r="E874" t="str">
            <v>le.anh@amaris.com</v>
          </cell>
        </row>
        <row r="875">
          <cell r="B875">
            <v>12423</v>
          </cell>
          <cell r="E875" t="str">
            <v>tluu@mantu.com</v>
          </cell>
        </row>
        <row r="876">
          <cell r="B876">
            <v>12386</v>
          </cell>
          <cell r="E876" t="str">
            <v>qqi@amaris.com</v>
          </cell>
        </row>
        <row r="877">
          <cell r="B877">
            <v>12316</v>
          </cell>
          <cell r="E877" t="str">
            <v>vincent.tchobanian@hrmsconsulting.com</v>
          </cell>
        </row>
        <row r="878">
          <cell r="B878">
            <v>12337</v>
          </cell>
          <cell r="E878" t="str">
            <v>thu.truong@hrmsconsulting.com</v>
          </cell>
        </row>
        <row r="879">
          <cell r="B879">
            <v>12702</v>
          </cell>
          <cell r="E879" t="str">
            <v>tnguyen38@mantu.com</v>
          </cell>
        </row>
        <row r="880">
          <cell r="B880">
            <v>12696</v>
          </cell>
          <cell r="E880" t="str">
            <v>hao.huynhtam@amaris.com</v>
          </cell>
        </row>
        <row r="881">
          <cell r="B881">
            <v>13035</v>
          </cell>
          <cell r="E881" t="str">
            <v>tdao2@amaris.com</v>
          </cell>
        </row>
        <row r="882">
          <cell r="B882">
            <v>13732</v>
          </cell>
          <cell r="E882" t="str">
            <v>tnguyen40@mantu.com</v>
          </cell>
        </row>
        <row r="883">
          <cell r="B883">
            <v>13258</v>
          </cell>
          <cell r="E883" t="str">
            <v>quangvu.dinh@amaris.com</v>
          </cell>
        </row>
        <row r="884">
          <cell r="B884">
            <v>14104</v>
          </cell>
          <cell r="E884" t="str">
            <v>haianh.tranle@amaris.com</v>
          </cell>
        </row>
        <row r="885">
          <cell r="B885">
            <v>13246</v>
          </cell>
          <cell r="E885" t="str">
            <v>man.wonghok@amaris.com</v>
          </cell>
        </row>
        <row r="886">
          <cell r="B886">
            <v>13290</v>
          </cell>
          <cell r="E886" t="str">
            <v>dinhthi.nguyen@amaris.com</v>
          </cell>
        </row>
        <row r="887">
          <cell r="B887">
            <v>12822</v>
          </cell>
          <cell r="E887" t="str">
            <v>pnguyen4@mantu.com</v>
          </cell>
        </row>
        <row r="888">
          <cell r="B888">
            <v>13416</v>
          </cell>
          <cell r="E888" t="str">
            <v>yuval.wollman@amaris.com</v>
          </cell>
        </row>
        <row r="889">
          <cell r="B889">
            <v>14317</v>
          </cell>
          <cell r="E889" t="str">
            <v>pdonguyen@amaris.com</v>
          </cell>
        </row>
        <row r="890">
          <cell r="B890">
            <v>13053</v>
          </cell>
          <cell r="E890" t="str">
            <v>tthai@amaris.com</v>
          </cell>
        </row>
        <row r="891">
          <cell r="B891">
            <v>13891</v>
          </cell>
          <cell r="E891" t="str">
            <v>lthoai@amaris.com</v>
          </cell>
        </row>
        <row r="892">
          <cell r="B892">
            <v>13785</v>
          </cell>
          <cell r="E892" t="str">
            <v>dkene@mantu.com</v>
          </cell>
        </row>
        <row r="893">
          <cell r="B893">
            <v>22573</v>
          </cell>
          <cell r="E893" t="str">
            <v>tle12@mantu.com</v>
          </cell>
        </row>
        <row r="894">
          <cell r="B894">
            <v>13373</v>
          </cell>
          <cell r="E894" t="str">
            <v>nle5@amaris.com</v>
          </cell>
        </row>
        <row r="895">
          <cell r="B895">
            <v>15338</v>
          </cell>
          <cell r="E895" t="str">
            <v>tle@mantu.com</v>
          </cell>
        </row>
        <row r="896">
          <cell r="B896">
            <v>13554</v>
          </cell>
          <cell r="E896" t="str">
            <v>nguyen.phanvan@amaris.com</v>
          </cell>
        </row>
        <row r="897">
          <cell r="B897">
            <v>13449</v>
          </cell>
          <cell r="E897" t="str">
            <v>son.le@hrmsconsulting.com</v>
          </cell>
        </row>
        <row r="898">
          <cell r="B898">
            <v>21313</v>
          </cell>
          <cell r="E898" t="str">
            <v>tnguyen3@mantu.com</v>
          </cell>
        </row>
        <row r="899">
          <cell r="B899">
            <v>18162</v>
          </cell>
          <cell r="E899" t="str">
            <v>quanghung.lam@amaris.com</v>
          </cell>
        </row>
        <row r="900">
          <cell r="B900">
            <v>14328</v>
          </cell>
          <cell r="E900" t="str">
            <v>duong.khuong@amaris.com</v>
          </cell>
        </row>
        <row r="901">
          <cell r="B901">
            <v>14236</v>
          </cell>
          <cell r="E901" t="str">
            <v>africheteau@mantu.com</v>
          </cell>
        </row>
        <row r="902">
          <cell r="B902">
            <v>13890</v>
          </cell>
          <cell r="E902" t="str">
            <v>qtran3@mantu.com</v>
          </cell>
        </row>
        <row r="903">
          <cell r="B903">
            <v>14700</v>
          </cell>
          <cell r="E903" t="str">
            <v>ho.kiet@amaris.com</v>
          </cell>
        </row>
        <row r="904">
          <cell r="B904">
            <v>14819</v>
          </cell>
          <cell r="E904" t="str">
            <v>wjoncquel@mantu.com</v>
          </cell>
        </row>
        <row r="905">
          <cell r="B905">
            <v>22023</v>
          </cell>
          <cell r="E905" t="str">
            <v>thithuy.nguyen@amaris.com</v>
          </cell>
        </row>
        <row r="906">
          <cell r="B906">
            <v>14461</v>
          </cell>
          <cell r="E906" t="str">
            <v>tnguyen43@mantu.com</v>
          </cell>
        </row>
        <row r="907">
          <cell r="B907">
            <v>18283</v>
          </cell>
          <cell r="E907" t="str">
            <v>minh.voviet@amaris.com</v>
          </cell>
        </row>
        <row r="908">
          <cell r="B908">
            <v>14316</v>
          </cell>
          <cell r="E908" t="str">
            <v>nhuynh@amaris.com</v>
          </cell>
        </row>
        <row r="909">
          <cell r="B909">
            <v>14245</v>
          </cell>
          <cell r="E909" t="str">
            <v>thach.muni@amaris.com</v>
          </cell>
        </row>
        <row r="910">
          <cell r="B910">
            <v>13662</v>
          </cell>
          <cell r="E910" t="str">
            <v>phuong.ho@7circles.com</v>
          </cell>
        </row>
        <row r="911">
          <cell r="B911">
            <v>13865</v>
          </cell>
          <cell r="E911" t="str">
            <v>thanhnhan.nguyen@amaris.com</v>
          </cell>
        </row>
        <row r="912">
          <cell r="B912">
            <v>14056</v>
          </cell>
          <cell r="E912" t="str">
            <v>tanphat.ta@amaris.com</v>
          </cell>
        </row>
        <row r="913">
          <cell r="B913">
            <v>15541</v>
          </cell>
          <cell r="E913" t="str">
            <v>bfaux@mantu.com</v>
          </cell>
        </row>
        <row r="914">
          <cell r="B914">
            <v>17297</v>
          </cell>
          <cell r="E914" t="str">
            <v>tvo15@mantu.com</v>
          </cell>
        </row>
        <row r="915">
          <cell r="B915">
            <v>14471</v>
          </cell>
          <cell r="E915" t="str">
            <v>quangchau.tran@amaris.com</v>
          </cell>
        </row>
        <row r="916">
          <cell r="B916">
            <v>15983</v>
          </cell>
          <cell r="E916" t="str">
            <v>phan.triet@hrmsconsulting.com</v>
          </cell>
        </row>
        <row r="917">
          <cell r="B917">
            <v>13322</v>
          </cell>
          <cell r="E917" t="str">
            <v>tuan.vancong@amaris.com</v>
          </cell>
        </row>
        <row r="918">
          <cell r="B918">
            <v>13406</v>
          </cell>
          <cell r="E918" t="str">
            <v>aphamnutuyet@mantu.com</v>
          </cell>
        </row>
        <row r="919">
          <cell r="B919">
            <v>14226</v>
          </cell>
          <cell r="E919" t="str">
            <v>jackson.lai@amaris.com</v>
          </cell>
        </row>
        <row r="920">
          <cell r="B920">
            <v>13980</v>
          </cell>
          <cell r="E920" t="str">
            <v>hongmei.jin@amaris.com</v>
          </cell>
        </row>
        <row r="921">
          <cell r="B921">
            <v>13525</v>
          </cell>
          <cell r="E921" t="str">
            <v>xnguyen@amaris.com</v>
          </cell>
        </row>
        <row r="922">
          <cell r="B922">
            <v>13538</v>
          </cell>
          <cell r="E922" t="str">
            <v>hoangthao.nguyen@amaris.com</v>
          </cell>
        </row>
        <row r="923">
          <cell r="B923">
            <v>14054</v>
          </cell>
          <cell r="E923" t="str">
            <v>hoangtuan.nguyen@amaris.com</v>
          </cell>
        </row>
        <row r="924">
          <cell r="B924">
            <v>13999</v>
          </cell>
          <cell r="E924" t="str">
            <v>tnguyen41@mantu.com</v>
          </cell>
        </row>
        <row r="925">
          <cell r="B925">
            <v>13912</v>
          </cell>
          <cell r="E925" t="str">
            <v>vu.ducthien@amaris.com</v>
          </cell>
        </row>
        <row r="926">
          <cell r="B926">
            <v>17559</v>
          </cell>
          <cell r="E926" t="str">
            <v>nghia.ta@amaris.com</v>
          </cell>
        </row>
        <row r="927">
          <cell r="B927">
            <v>14063</v>
          </cell>
          <cell r="E927" t="str">
            <v>quynh.tran@amaris.com</v>
          </cell>
        </row>
        <row r="928">
          <cell r="B928">
            <v>14038</v>
          </cell>
          <cell r="E928" t="str">
            <v>leduc.tran@amaris.com</v>
          </cell>
        </row>
        <row r="929">
          <cell r="B929">
            <v>15669</v>
          </cell>
          <cell r="E929" t="str">
            <v>james.lau@amaris.com</v>
          </cell>
        </row>
        <row r="930">
          <cell r="B930">
            <v>14315</v>
          </cell>
          <cell r="E930" t="str">
            <v>nnganha@amaris.com</v>
          </cell>
        </row>
        <row r="931">
          <cell r="B931">
            <v>14512</v>
          </cell>
          <cell r="E931" t="str">
            <v>pphuong@amaris.com</v>
          </cell>
        </row>
        <row r="932">
          <cell r="B932">
            <v>14353</v>
          </cell>
          <cell r="E932" t="str">
            <v>hlananh@amaris.com</v>
          </cell>
        </row>
        <row r="933">
          <cell r="B933">
            <v>13739</v>
          </cell>
          <cell r="E933" t="str">
            <v>dang.quoctung@amaris.com</v>
          </cell>
        </row>
        <row r="934">
          <cell r="B934">
            <v>13768</v>
          </cell>
          <cell r="E934" t="str">
            <v>tranthi.anh@amaris.com</v>
          </cell>
        </row>
        <row r="935">
          <cell r="B935">
            <v>13945</v>
          </cell>
          <cell r="E935" t="str">
            <v>vietquan.nguyen@amaris.com</v>
          </cell>
        </row>
        <row r="936">
          <cell r="B936">
            <v>14266</v>
          </cell>
          <cell r="E936" t="str">
            <v>ttran20@amaris.com</v>
          </cell>
        </row>
        <row r="937">
          <cell r="B937">
            <v>14166</v>
          </cell>
          <cell r="E937" t="str">
            <v>knguyenhotruong@mantu.com</v>
          </cell>
        </row>
        <row r="938">
          <cell r="B938">
            <v>22204</v>
          </cell>
          <cell r="E938" t="str">
            <v>luu.tuyen@amaris.com</v>
          </cell>
        </row>
        <row r="939">
          <cell r="B939">
            <v>14636</v>
          </cell>
          <cell r="E939" t="str">
            <v>aurelia.costes@hrmsconsulting.com</v>
          </cell>
        </row>
        <row r="940">
          <cell r="B940">
            <v>14192</v>
          </cell>
          <cell r="E940" t="str">
            <v>ddinh@mantu.com</v>
          </cell>
        </row>
        <row r="941">
          <cell r="B941">
            <v>14777</v>
          </cell>
          <cell r="E941" t="str">
            <v>tnguyen44@mantu.com</v>
          </cell>
        </row>
        <row r="942">
          <cell r="B942">
            <v>35401</v>
          </cell>
          <cell r="E942" t="str">
            <v>phuongthao.nguyen@amaris.com</v>
          </cell>
        </row>
        <row r="943">
          <cell r="B943">
            <v>14879</v>
          </cell>
          <cell r="E943" t="str">
            <v>nguyen.vankiem@amaris.com</v>
          </cell>
        </row>
        <row r="944">
          <cell r="B944">
            <v>14678</v>
          </cell>
          <cell r="E944" t="str">
            <v>chady.qaissi@littlebigconnection.com</v>
          </cell>
        </row>
        <row r="945">
          <cell r="B945">
            <v>16623</v>
          </cell>
          <cell r="E945" t="str">
            <v>kethan.nguyen@amaris.com</v>
          </cell>
        </row>
        <row r="946">
          <cell r="B946">
            <v>16775</v>
          </cell>
          <cell r="E946" t="str">
            <v>trantrong.vo@amaris.com</v>
          </cell>
        </row>
        <row r="947">
          <cell r="B947">
            <v>14963</v>
          </cell>
          <cell r="E947" t="str">
            <v>hle6@amaris.com</v>
          </cell>
        </row>
        <row r="948">
          <cell r="B948">
            <v>15037</v>
          </cell>
          <cell r="E948" t="str">
            <v>nnguyen10@amaris.com</v>
          </cell>
        </row>
        <row r="949">
          <cell r="B949">
            <v>14948</v>
          </cell>
          <cell r="E949" t="str">
            <v>vanhoang.ho@amaris.com</v>
          </cell>
        </row>
        <row r="950">
          <cell r="B950">
            <v>14872</v>
          </cell>
          <cell r="E950" t="str">
            <v>hung.tranquoc@amaris.com</v>
          </cell>
        </row>
        <row r="951">
          <cell r="B951">
            <v>14987</v>
          </cell>
          <cell r="E951" t="str">
            <v>vvo2@mantu.com</v>
          </cell>
        </row>
        <row r="952">
          <cell r="B952">
            <v>15193</v>
          </cell>
          <cell r="E952" t="str">
            <v>ttran21@mantu.com</v>
          </cell>
        </row>
        <row r="953">
          <cell r="B953">
            <v>15093</v>
          </cell>
          <cell r="E953" t="str">
            <v>thuhien.pham@amaris.com</v>
          </cell>
        </row>
        <row r="954">
          <cell r="B954">
            <v>15206</v>
          </cell>
          <cell r="E954" t="str">
            <v>hchau1@mantu.com</v>
          </cell>
        </row>
        <row r="955">
          <cell r="B955">
            <v>15344</v>
          </cell>
          <cell r="E955" t="str">
            <v>thaochi.ngo@littlebigconnection.com</v>
          </cell>
        </row>
        <row r="956">
          <cell r="B956">
            <v>16601</v>
          </cell>
          <cell r="E956" t="str">
            <v>trang.le@amaris.com</v>
          </cell>
        </row>
        <row r="957">
          <cell r="B957">
            <v>20645</v>
          </cell>
          <cell r="E957" t="str">
            <v>vantung.pham@amaris.com</v>
          </cell>
        </row>
        <row r="958">
          <cell r="B958">
            <v>14989</v>
          </cell>
          <cell r="E958" t="str">
            <v>ening@mantu.com</v>
          </cell>
        </row>
        <row r="959">
          <cell r="B959">
            <v>19740</v>
          </cell>
          <cell r="E959" t="str">
            <v>luong.quockhang@amaris.com</v>
          </cell>
        </row>
        <row r="960">
          <cell r="B960">
            <v>15292</v>
          </cell>
          <cell r="E960" t="str">
            <v>hnhatphuong@mantu.com</v>
          </cell>
        </row>
        <row r="961">
          <cell r="B961">
            <v>20234</v>
          </cell>
          <cell r="E961" t="str">
            <v>dinhho.vinhnguyen@amaris.com</v>
          </cell>
        </row>
        <row r="962">
          <cell r="B962">
            <v>15411</v>
          </cell>
          <cell r="E962" t="str">
            <v>hnguyentran@mantu.com</v>
          </cell>
        </row>
        <row r="963">
          <cell r="B963">
            <v>15481</v>
          </cell>
          <cell r="E963" t="str">
            <v>tto@mantu.com</v>
          </cell>
        </row>
        <row r="964">
          <cell r="B964">
            <v>15638</v>
          </cell>
          <cell r="E964" t="str">
            <v>thai.thanhtruc@amaris.com</v>
          </cell>
        </row>
        <row r="965">
          <cell r="B965">
            <v>24558</v>
          </cell>
          <cell r="E965" t="str">
            <v>tphanthiha@amaris.com</v>
          </cell>
        </row>
        <row r="966">
          <cell r="B966">
            <v>15843</v>
          </cell>
          <cell r="E966" t="str">
            <v>utranha@mantu.com</v>
          </cell>
        </row>
        <row r="967">
          <cell r="B967">
            <v>16736</v>
          </cell>
          <cell r="E967" t="str">
            <v>vanchuong.ho@amaris.com</v>
          </cell>
        </row>
        <row r="968">
          <cell r="B968">
            <v>16063</v>
          </cell>
          <cell r="E968" t="str">
            <v>vpham1@mantu.com</v>
          </cell>
        </row>
        <row r="969">
          <cell r="B969">
            <v>15829</v>
          </cell>
          <cell r="E969" t="str">
            <v>kevin.tracy@amaris.com</v>
          </cell>
        </row>
        <row r="970">
          <cell r="B970">
            <v>21536</v>
          </cell>
          <cell r="E970" t="str">
            <v>tdang2@amaris.com</v>
          </cell>
        </row>
        <row r="971">
          <cell r="B971">
            <v>16127</v>
          </cell>
          <cell r="E971" t="str">
            <v>nducquy@amaris.com</v>
          </cell>
        </row>
        <row r="972">
          <cell r="B972">
            <v>19230</v>
          </cell>
          <cell r="E972" t="str">
            <v>tieng.trang@amaris.com</v>
          </cell>
        </row>
        <row r="973">
          <cell r="B973">
            <v>14723</v>
          </cell>
          <cell r="E973" t="str">
            <v>bngocminh@mantu.com</v>
          </cell>
        </row>
        <row r="974">
          <cell r="B974">
            <v>14264</v>
          </cell>
          <cell r="E974" t="str">
            <v>tongkim.quyen@amaris.com</v>
          </cell>
        </row>
        <row r="975">
          <cell r="B975">
            <v>14358</v>
          </cell>
          <cell r="E975" t="str">
            <v>camtu.phamnguyen@amaris.com</v>
          </cell>
        </row>
        <row r="976">
          <cell r="B976">
            <v>15248</v>
          </cell>
          <cell r="E976" t="str">
            <v>nthanhtan@mantu.com</v>
          </cell>
        </row>
        <row r="977">
          <cell r="B977">
            <v>19794</v>
          </cell>
          <cell r="E977" t="str">
            <v>nnguyenle@mantu.com</v>
          </cell>
        </row>
        <row r="978">
          <cell r="B978">
            <v>15361</v>
          </cell>
          <cell r="E978" t="str">
            <v>viet.xuan@amaris.com</v>
          </cell>
        </row>
        <row r="979">
          <cell r="B979">
            <v>15431</v>
          </cell>
          <cell r="E979" t="str">
            <v>nthanhtung@mantu.com</v>
          </cell>
        </row>
        <row r="980">
          <cell r="B980">
            <v>15266</v>
          </cell>
          <cell r="E980" t="str">
            <v>nhut.havan@amaris.com</v>
          </cell>
        </row>
        <row r="981">
          <cell r="B981">
            <v>16533</v>
          </cell>
          <cell r="E981" t="str">
            <v>doan.phuoc@amaris.com</v>
          </cell>
        </row>
        <row r="982">
          <cell r="B982">
            <v>15406</v>
          </cell>
          <cell r="E982" t="str">
            <v>xphung@mantu.com</v>
          </cell>
        </row>
        <row r="983">
          <cell r="B983">
            <v>24808</v>
          </cell>
          <cell r="E983" t="str">
            <v>nhuynh3@mantu.com</v>
          </cell>
        </row>
        <row r="984">
          <cell r="B984">
            <v>15813</v>
          </cell>
          <cell r="E984" t="str">
            <v>thoang3@mantu.com</v>
          </cell>
        </row>
        <row r="985">
          <cell r="B985">
            <v>16061</v>
          </cell>
          <cell r="E985" t="str">
            <v>nminhphong@amaris.com</v>
          </cell>
        </row>
        <row r="986">
          <cell r="B986">
            <v>19788</v>
          </cell>
          <cell r="E986" t="str">
            <v>ldam@mantu.com</v>
          </cell>
        </row>
        <row r="987">
          <cell r="B987">
            <v>20411</v>
          </cell>
          <cell r="E987" t="str">
            <v>vdung@amaris.com</v>
          </cell>
        </row>
        <row r="988">
          <cell r="B988">
            <v>21324</v>
          </cell>
          <cell r="E988" t="str">
            <v>nhan.le1@amaris.com</v>
          </cell>
        </row>
        <row r="989">
          <cell r="B989">
            <v>16370</v>
          </cell>
          <cell r="E989" t="str">
            <v>an.dinh@amaris.com</v>
          </cell>
        </row>
        <row r="990">
          <cell r="B990">
            <v>20553</v>
          </cell>
          <cell r="E990" t="str">
            <v>nguyen.dat@amaris.com</v>
          </cell>
        </row>
        <row r="991">
          <cell r="B991">
            <v>16118</v>
          </cell>
          <cell r="E991" t="str">
            <v>lequoc.vu@amaris.com</v>
          </cell>
        </row>
        <row r="992">
          <cell r="B992">
            <v>16414</v>
          </cell>
          <cell r="E992" t="str">
            <v>nthaonguyen@amaris.com</v>
          </cell>
        </row>
        <row r="993">
          <cell r="B993">
            <v>24850</v>
          </cell>
          <cell r="E993" t="str">
            <v>mphamphuong@mantu.com</v>
          </cell>
        </row>
        <row r="994">
          <cell r="B994">
            <v>16544</v>
          </cell>
          <cell r="E994" t="str">
            <v>dhongtam@mantu.com</v>
          </cell>
        </row>
        <row r="995">
          <cell r="B995">
            <v>20036</v>
          </cell>
          <cell r="E995" t="str">
            <v>thanhbinh.tran@amaris.com</v>
          </cell>
        </row>
        <row r="996">
          <cell r="B996">
            <v>16935</v>
          </cell>
          <cell r="E996" t="str">
            <v>nhuphuong.tran@amaris.com</v>
          </cell>
        </row>
        <row r="997">
          <cell r="B997">
            <v>16542</v>
          </cell>
          <cell r="E997" t="str">
            <v>vantinh.pham@amaris.com</v>
          </cell>
        </row>
        <row r="998">
          <cell r="B998">
            <v>16338</v>
          </cell>
          <cell r="E998" t="str">
            <v>tnguyen46@amaris.com</v>
          </cell>
        </row>
        <row r="999">
          <cell r="B999">
            <v>16826</v>
          </cell>
          <cell r="E999" t="str">
            <v>ngothi.loc@amaris.com</v>
          </cell>
        </row>
        <row r="1000">
          <cell r="B1000">
            <v>16600</v>
          </cell>
          <cell r="E1000" t="str">
            <v>congtoan.le@amaris.com</v>
          </cell>
        </row>
        <row r="1001">
          <cell r="B1001">
            <v>14746</v>
          </cell>
          <cell r="E1001" t="str">
            <v>nguyen.minhtuong@amaris.com</v>
          </cell>
        </row>
        <row r="1002">
          <cell r="B1002">
            <v>14921</v>
          </cell>
          <cell r="E1002" t="str">
            <v>vanphi.huynh@amaris.com</v>
          </cell>
        </row>
        <row r="1003">
          <cell r="B1003">
            <v>15287</v>
          </cell>
          <cell r="E1003" t="str">
            <v>pcungoc@mantu.com</v>
          </cell>
        </row>
        <row r="1004">
          <cell r="B1004">
            <v>15350</v>
          </cell>
          <cell r="E1004" t="str">
            <v>qnguyen8@mantu.com</v>
          </cell>
        </row>
        <row r="1005">
          <cell r="B1005">
            <v>15267</v>
          </cell>
          <cell r="E1005" t="str">
            <v>pdao1@mantu.com</v>
          </cell>
        </row>
        <row r="1006">
          <cell r="B1006">
            <v>22134</v>
          </cell>
          <cell r="E1006" t="str">
            <v>do.nhuan@amaris.com</v>
          </cell>
        </row>
        <row r="1007">
          <cell r="B1007">
            <v>21481</v>
          </cell>
          <cell r="E1007" t="str">
            <v>dnguyen16@amaris.com</v>
          </cell>
        </row>
        <row r="1008">
          <cell r="B1008">
            <v>15930</v>
          </cell>
          <cell r="E1008" t="str">
            <v>tminh@amaris.com</v>
          </cell>
        </row>
        <row r="1009">
          <cell r="B1009">
            <v>15781</v>
          </cell>
          <cell r="E1009" t="str">
            <v>nhatminh.tran@amaris.com</v>
          </cell>
        </row>
        <row r="1010">
          <cell r="B1010">
            <v>15692</v>
          </cell>
          <cell r="E1010" t="str">
            <v>ebourgeois@mantu.com</v>
          </cell>
        </row>
        <row r="1011">
          <cell r="B1011">
            <v>15846</v>
          </cell>
          <cell r="E1011" t="str">
            <v>phuc.nguyenvinh@amaris.com</v>
          </cell>
        </row>
        <row r="1012">
          <cell r="B1012">
            <v>16176</v>
          </cell>
          <cell r="E1012" t="str">
            <v>dnguyen15@mantu.com</v>
          </cell>
        </row>
        <row r="1013">
          <cell r="B1013">
            <v>16320</v>
          </cell>
          <cell r="E1013" t="str">
            <v>ntrunghieu@mantu.com</v>
          </cell>
        </row>
        <row r="1014">
          <cell r="B1014">
            <v>16288</v>
          </cell>
          <cell r="E1014" t="str">
            <v>vequyen.huynh@amaris.com</v>
          </cell>
        </row>
        <row r="1015">
          <cell r="B1015">
            <v>16402</v>
          </cell>
          <cell r="E1015" t="str">
            <v>vanan.pham@amaris.com</v>
          </cell>
        </row>
        <row r="1016">
          <cell r="B1016">
            <v>17619</v>
          </cell>
          <cell r="E1016" t="str">
            <v>huuduc.pham@amaris.com</v>
          </cell>
        </row>
        <row r="1017">
          <cell r="B1017">
            <v>16801</v>
          </cell>
          <cell r="E1017" t="str">
            <v>luu.quangminh@amaris.com</v>
          </cell>
        </row>
        <row r="1018">
          <cell r="B1018">
            <v>14511</v>
          </cell>
          <cell r="E1018" t="str">
            <v>quocnam.dinh@amaris.com</v>
          </cell>
        </row>
        <row r="1019">
          <cell r="B1019">
            <v>16342</v>
          </cell>
          <cell r="E1019" t="str">
            <v>tran.thuytien@amaris.com</v>
          </cell>
        </row>
        <row r="1020">
          <cell r="B1020">
            <v>14745</v>
          </cell>
          <cell r="E1020" t="str">
            <v>nguyen.phu@amaris.com</v>
          </cell>
        </row>
        <row r="1021">
          <cell r="B1021">
            <v>14833</v>
          </cell>
          <cell r="E1021" t="str">
            <v>pbenezetszekely@mantu.com</v>
          </cell>
        </row>
        <row r="1022">
          <cell r="B1022">
            <v>14729</v>
          </cell>
          <cell r="E1022" t="str">
            <v>tnguyen37@mantu.com</v>
          </cell>
        </row>
        <row r="1023">
          <cell r="B1023">
            <v>14820</v>
          </cell>
          <cell r="E1023" t="str">
            <v>tdau@mantu.com</v>
          </cell>
        </row>
        <row r="1024">
          <cell r="B1024">
            <v>16303</v>
          </cell>
          <cell r="E1024" t="str">
            <v>dang.tuan@amaris.com</v>
          </cell>
        </row>
        <row r="1025">
          <cell r="B1025">
            <v>17977</v>
          </cell>
          <cell r="E1025" t="str">
            <v>phamtien.dat@amaris.com</v>
          </cell>
        </row>
        <row r="1026">
          <cell r="B1026">
            <v>16535</v>
          </cell>
          <cell r="E1026" t="str">
            <v>qlai@mantu.com</v>
          </cell>
        </row>
        <row r="1027">
          <cell r="B1027">
            <v>16841</v>
          </cell>
          <cell r="E1027" t="str">
            <v>thanhxuan.bui@amaris.com</v>
          </cell>
        </row>
        <row r="1028">
          <cell r="B1028">
            <v>16818</v>
          </cell>
          <cell r="E1028" t="str">
            <v>ductri.tran@amaris.com</v>
          </cell>
        </row>
        <row r="1029">
          <cell r="B1029">
            <v>18910</v>
          </cell>
          <cell r="E1029" t="str">
            <v>tnguyen2@mantu.com</v>
          </cell>
        </row>
        <row r="1030">
          <cell r="B1030">
            <v>17024</v>
          </cell>
          <cell r="E1030" t="str">
            <v>vngan@amaris.com</v>
          </cell>
        </row>
        <row r="1031">
          <cell r="B1031">
            <v>17020</v>
          </cell>
          <cell r="E1031" t="str">
            <v>cthai@mantu.com</v>
          </cell>
        </row>
        <row r="1032">
          <cell r="B1032">
            <v>20410</v>
          </cell>
          <cell r="E1032" t="str">
            <v>dnga@amaris.com</v>
          </cell>
        </row>
        <row r="1033">
          <cell r="B1033">
            <v>17743</v>
          </cell>
          <cell r="E1033" t="str">
            <v>tle31@mantu.com</v>
          </cell>
        </row>
        <row r="1034">
          <cell r="B1034">
            <v>17283</v>
          </cell>
          <cell r="E1034" t="str">
            <v>chen.ji@amaris.com</v>
          </cell>
        </row>
        <row r="1035">
          <cell r="B1035">
            <v>24382</v>
          </cell>
          <cell r="E1035" t="str">
            <v>phuongtram.pham@amaris.com</v>
          </cell>
        </row>
        <row r="1036">
          <cell r="B1036">
            <v>17287</v>
          </cell>
          <cell r="E1036" t="str">
            <v>wenjie.xie@amaris.com</v>
          </cell>
        </row>
        <row r="1037">
          <cell r="B1037">
            <v>17702</v>
          </cell>
          <cell r="E1037" t="str">
            <v>nguyenvu.hoa@amaris.com</v>
          </cell>
        </row>
        <row r="1038">
          <cell r="B1038">
            <v>18021</v>
          </cell>
          <cell r="E1038" t="str">
            <v>huong.trinhthixuan@amaris.com</v>
          </cell>
        </row>
        <row r="1039">
          <cell r="B1039">
            <v>17670</v>
          </cell>
          <cell r="E1039" t="str">
            <v>hhuynh1@amaris.com</v>
          </cell>
        </row>
        <row r="1040">
          <cell r="B1040">
            <v>16957</v>
          </cell>
          <cell r="E1040" t="str">
            <v>thanhquyen.ly@amaris.com</v>
          </cell>
        </row>
        <row r="1041">
          <cell r="B1041">
            <v>17112</v>
          </cell>
          <cell r="E1041" t="str">
            <v>tuan.le@amaris.com</v>
          </cell>
        </row>
        <row r="1042">
          <cell r="B1042">
            <v>16928</v>
          </cell>
          <cell r="E1042" t="str">
            <v>hpham2@mantu.com</v>
          </cell>
        </row>
        <row r="1043">
          <cell r="B1043">
            <v>19256</v>
          </cell>
          <cell r="E1043" t="str">
            <v>vdinhngoc@amaris.com</v>
          </cell>
        </row>
        <row r="1044">
          <cell r="B1044">
            <v>17351</v>
          </cell>
          <cell r="E1044" t="str">
            <v>tphan1@amaris.com</v>
          </cell>
        </row>
        <row r="1045">
          <cell r="B1045">
            <v>16947</v>
          </cell>
          <cell r="E1045" t="str">
            <v>tnguyen47@mantu.com</v>
          </cell>
        </row>
        <row r="1046">
          <cell r="B1046">
            <v>17077</v>
          </cell>
          <cell r="E1046" t="str">
            <v>trungnghia.nguyen@amaris.com</v>
          </cell>
        </row>
        <row r="1047">
          <cell r="B1047">
            <v>17075</v>
          </cell>
          <cell r="E1047" t="str">
            <v>jjouve@mantu.com</v>
          </cell>
        </row>
        <row r="1048">
          <cell r="B1048">
            <v>19446</v>
          </cell>
          <cell r="E1048" t="str">
            <v>dat.tran@amaris.com</v>
          </cell>
        </row>
        <row r="1049">
          <cell r="B1049">
            <v>16469</v>
          </cell>
          <cell r="E1049" t="str">
            <v>ngocnguyen.nguyen@amaris.com</v>
          </cell>
        </row>
        <row r="1050">
          <cell r="B1050">
            <v>16552</v>
          </cell>
          <cell r="E1050" t="str">
            <v>dtran4@mantu.com</v>
          </cell>
        </row>
        <row r="1051">
          <cell r="B1051">
            <v>16553</v>
          </cell>
          <cell r="E1051" t="str">
            <v>bichngoc.phanthi@amaris.com</v>
          </cell>
        </row>
        <row r="1052">
          <cell r="B1052">
            <v>16690</v>
          </cell>
          <cell r="E1052" t="str">
            <v>tri.nguyen@amaris.com</v>
          </cell>
        </row>
        <row r="1053">
          <cell r="B1053">
            <v>16637</v>
          </cell>
          <cell r="E1053" t="str">
            <v>nhoa@mantu.com</v>
          </cell>
        </row>
        <row r="1054">
          <cell r="B1054">
            <v>16873</v>
          </cell>
          <cell r="E1054" t="str">
            <v>vson@mantu.com</v>
          </cell>
        </row>
        <row r="1055">
          <cell r="B1055">
            <v>17032</v>
          </cell>
          <cell r="E1055" t="str">
            <v>tvo8@mantu.com</v>
          </cell>
        </row>
        <row r="1056">
          <cell r="B1056">
            <v>19005</v>
          </cell>
          <cell r="E1056" t="str">
            <v>ly.huynh@amaris.com</v>
          </cell>
        </row>
        <row r="1057">
          <cell r="B1057">
            <v>17146</v>
          </cell>
          <cell r="E1057" t="str">
            <v>quocdung.pham@amaris.com</v>
          </cell>
        </row>
        <row r="1058">
          <cell r="B1058">
            <v>17009</v>
          </cell>
          <cell r="E1058" t="str">
            <v>thu.truong@amaris.com</v>
          </cell>
        </row>
        <row r="1059">
          <cell r="B1059">
            <v>17078</v>
          </cell>
          <cell r="E1059" t="str">
            <v>thihuyen.nguyen1@amaris.com</v>
          </cell>
        </row>
        <row r="1060">
          <cell r="B1060">
            <v>17631</v>
          </cell>
          <cell r="E1060" t="str">
            <v>nguyen.phuong@amaris.com</v>
          </cell>
        </row>
        <row r="1061">
          <cell r="B1061">
            <v>17115</v>
          </cell>
          <cell r="E1061" t="str">
            <v>ludinh.tuan@amaris.com</v>
          </cell>
        </row>
        <row r="1062">
          <cell r="B1062">
            <v>17272</v>
          </cell>
          <cell r="E1062" t="str">
            <v>mingli.bien@amaris.com</v>
          </cell>
        </row>
        <row r="1063">
          <cell r="B1063">
            <v>17354</v>
          </cell>
          <cell r="E1063" t="str">
            <v>minhtri.nguyen@amaris.com</v>
          </cell>
        </row>
        <row r="1064">
          <cell r="B1064">
            <v>17220</v>
          </cell>
          <cell r="E1064" t="str">
            <v>ltrang@amaris.com</v>
          </cell>
        </row>
        <row r="1065">
          <cell r="B1065">
            <v>15207</v>
          </cell>
          <cell r="E1065" t="str">
            <v>gnguyen1@mantu.com</v>
          </cell>
        </row>
        <row r="1066">
          <cell r="B1066">
            <v>15346</v>
          </cell>
          <cell r="E1066" t="str">
            <v>dinhtu.le@amaris.com</v>
          </cell>
        </row>
        <row r="1067">
          <cell r="B1067">
            <v>17872</v>
          </cell>
          <cell r="E1067" t="str">
            <v>nguyen.do@amaris.com</v>
          </cell>
        </row>
        <row r="1068">
          <cell r="B1068">
            <v>16204</v>
          </cell>
          <cell r="E1068" t="str">
            <v>nhuynh1@mantu.com</v>
          </cell>
        </row>
        <row r="1069">
          <cell r="B1069">
            <v>15999</v>
          </cell>
          <cell r="E1069" t="str">
            <v>lhoaithu@amaris.com</v>
          </cell>
        </row>
        <row r="1070">
          <cell r="B1070">
            <v>16020</v>
          </cell>
          <cell r="E1070" t="str">
            <v>nguyen.thanh@amaris.com</v>
          </cell>
        </row>
        <row r="1071">
          <cell r="B1071">
            <v>19360</v>
          </cell>
          <cell r="E1071" t="str">
            <v>nnhan@amaris.com</v>
          </cell>
        </row>
        <row r="1072">
          <cell r="B1072">
            <v>16441</v>
          </cell>
          <cell r="E1072" t="str">
            <v>tnguyen@mantu.com</v>
          </cell>
        </row>
        <row r="1073">
          <cell r="B1073">
            <v>18161</v>
          </cell>
          <cell r="E1073" t="str">
            <v>trungkien.ha@amaris.com</v>
          </cell>
        </row>
        <row r="1074">
          <cell r="B1074">
            <v>17756</v>
          </cell>
          <cell r="E1074" t="str">
            <v>mnguyen8@mantu.com</v>
          </cell>
        </row>
        <row r="1075">
          <cell r="B1075">
            <v>17740</v>
          </cell>
          <cell r="E1075" t="str">
            <v>nquyen@amaris.com</v>
          </cell>
        </row>
        <row r="1076">
          <cell r="B1076">
            <v>17739</v>
          </cell>
          <cell r="E1076" t="str">
            <v>nhieu@amaris.com</v>
          </cell>
        </row>
        <row r="1077">
          <cell r="B1077">
            <v>17753</v>
          </cell>
          <cell r="E1077" t="str">
            <v>ductai.nguyen@amaris.com</v>
          </cell>
        </row>
        <row r="1078">
          <cell r="B1078">
            <v>20159</v>
          </cell>
          <cell r="E1078" t="str">
            <v>dtruong@mantu.com</v>
          </cell>
        </row>
        <row r="1079">
          <cell r="B1079">
            <v>18112</v>
          </cell>
          <cell r="E1079" t="str">
            <v>hathi.thom@amaris.com</v>
          </cell>
        </row>
        <row r="1080">
          <cell r="B1080">
            <v>19399</v>
          </cell>
          <cell r="E1080" t="str">
            <v>trungngo.hieu@amaris.com</v>
          </cell>
        </row>
        <row r="1081">
          <cell r="B1081">
            <v>19364</v>
          </cell>
          <cell r="E1081" t="str">
            <v>tle2@mantu.com</v>
          </cell>
        </row>
        <row r="1082">
          <cell r="B1082">
            <v>18391</v>
          </cell>
          <cell r="E1082" t="str">
            <v>vanluc.pham@amaris.com</v>
          </cell>
        </row>
        <row r="1083">
          <cell r="B1083">
            <v>18595</v>
          </cell>
          <cell r="E1083" t="str">
            <v>farha.amjaid@amaris.com</v>
          </cell>
        </row>
        <row r="1084">
          <cell r="B1084">
            <v>18232</v>
          </cell>
          <cell r="E1084" t="str">
            <v>vietdung.tran@amaris.com</v>
          </cell>
        </row>
        <row r="1085">
          <cell r="B1085">
            <v>21281</v>
          </cell>
          <cell r="E1085" t="str">
            <v>ngocdung.duongthi@amaris.com</v>
          </cell>
        </row>
        <row r="1086">
          <cell r="B1086">
            <v>18437</v>
          </cell>
          <cell r="E1086" t="str">
            <v>kikei.chow@amaris.com</v>
          </cell>
        </row>
        <row r="1087">
          <cell r="B1087">
            <v>18616</v>
          </cell>
          <cell r="E1087" t="str">
            <v>esimon@mantu.com</v>
          </cell>
        </row>
        <row r="1088">
          <cell r="B1088">
            <v>18408</v>
          </cell>
          <cell r="E1088" t="str">
            <v>tienloc.dang@amaris.com</v>
          </cell>
        </row>
        <row r="1089">
          <cell r="B1089">
            <v>18311</v>
          </cell>
          <cell r="E1089" t="str">
            <v>minhkiet.huynh@amaris.com</v>
          </cell>
        </row>
        <row r="1090">
          <cell r="B1090">
            <v>17355</v>
          </cell>
          <cell r="E1090" t="str">
            <v>kquocbao@amaris.com</v>
          </cell>
        </row>
        <row r="1091">
          <cell r="B1091">
            <v>17614</v>
          </cell>
          <cell r="E1091" t="str">
            <v>huixing.li@amaris.com</v>
          </cell>
        </row>
        <row r="1092">
          <cell r="B1092">
            <v>24983</v>
          </cell>
          <cell r="E1092" t="str">
            <v>tle15@amaris.com</v>
          </cell>
        </row>
        <row r="1093">
          <cell r="B1093">
            <v>17646</v>
          </cell>
          <cell r="E1093" t="str">
            <v>namkha.le@amaris.com</v>
          </cell>
        </row>
        <row r="1094">
          <cell r="B1094">
            <v>17629</v>
          </cell>
          <cell r="E1094" t="str">
            <v>tuthanh.nguyen@amaris.com</v>
          </cell>
        </row>
        <row r="1095">
          <cell r="B1095">
            <v>21396</v>
          </cell>
          <cell r="E1095" t="str">
            <v>baminh.dang@amaris.com</v>
          </cell>
        </row>
        <row r="1096">
          <cell r="B1096">
            <v>17871</v>
          </cell>
          <cell r="E1096" t="str">
            <v>nguyenthuy.phan@amaris.com</v>
          </cell>
        </row>
        <row r="1097">
          <cell r="B1097">
            <v>18257</v>
          </cell>
          <cell r="E1097" t="str">
            <v>nhatanh.nguyen@amaris.com</v>
          </cell>
        </row>
        <row r="1098">
          <cell r="B1098">
            <v>18462</v>
          </cell>
          <cell r="E1098" t="str">
            <v>vanminh.duong@amaris.com</v>
          </cell>
        </row>
        <row r="1099">
          <cell r="B1099">
            <v>17933</v>
          </cell>
          <cell r="E1099" t="str">
            <v>nghia.hoang@hrmsconsulting.com</v>
          </cell>
        </row>
        <row r="1100">
          <cell r="B1100">
            <v>17972</v>
          </cell>
          <cell r="E1100" t="str">
            <v>hongduc.phan@amaris.com</v>
          </cell>
        </row>
        <row r="1101">
          <cell r="B1101">
            <v>18619</v>
          </cell>
          <cell r="E1101" t="str">
            <v>thithao.nguyen@amaris.com</v>
          </cell>
        </row>
        <row r="1102">
          <cell r="B1102">
            <v>18139</v>
          </cell>
          <cell r="E1102" t="str">
            <v>pthien@amaris.com</v>
          </cell>
        </row>
        <row r="1103">
          <cell r="B1103">
            <v>18111</v>
          </cell>
          <cell r="E1103" t="str">
            <v>nhatkien.ho@amaris.com</v>
          </cell>
        </row>
        <row r="1104">
          <cell r="B1104">
            <v>20136</v>
          </cell>
          <cell r="E1104" t="str">
            <v>nguyenthanh.long@amaris.com</v>
          </cell>
        </row>
        <row r="1105">
          <cell r="B1105">
            <v>17527</v>
          </cell>
          <cell r="E1105" t="str">
            <v>anguyenduong@mantu.com</v>
          </cell>
        </row>
        <row r="1106">
          <cell r="B1106">
            <v>17528</v>
          </cell>
          <cell r="E1106" t="str">
            <v>hvu4@mantu.com</v>
          </cell>
        </row>
        <row r="1107">
          <cell r="B1107">
            <v>17609</v>
          </cell>
          <cell r="E1107" t="str">
            <v>huynhchi.cuong@amaris.com</v>
          </cell>
        </row>
        <row r="1108">
          <cell r="B1108">
            <v>17534</v>
          </cell>
          <cell r="E1108" t="str">
            <v>vu.tri@amaris.com</v>
          </cell>
        </row>
        <row r="1109">
          <cell r="B1109">
            <v>17537</v>
          </cell>
          <cell r="E1109" t="str">
            <v>dinh.nguyen@amaris.com</v>
          </cell>
        </row>
        <row r="1110">
          <cell r="B1110">
            <v>17538</v>
          </cell>
          <cell r="E1110" t="str">
            <v>nguyen.ton@amaris.com</v>
          </cell>
        </row>
        <row r="1111">
          <cell r="B1111">
            <v>30997</v>
          </cell>
          <cell r="E1111" t="str">
            <v>kimanh.do@amaris.com</v>
          </cell>
        </row>
        <row r="1112">
          <cell r="B1112">
            <v>18618</v>
          </cell>
          <cell r="E1112" t="str">
            <v>dang.huyviet@amaris.com</v>
          </cell>
        </row>
        <row r="1113">
          <cell r="B1113">
            <v>18648</v>
          </cell>
          <cell r="E1113" t="str">
            <v>hieu.tran@amaris.com</v>
          </cell>
        </row>
        <row r="1114">
          <cell r="B1114">
            <v>18714</v>
          </cell>
          <cell r="E1114" t="str">
            <v>mbui2@mantu.com</v>
          </cell>
        </row>
        <row r="1115">
          <cell r="B1115">
            <v>18859</v>
          </cell>
          <cell r="E1115" t="str">
            <v>hmai1@mantu.com</v>
          </cell>
        </row>
        <row r="1116">
          <cell r="B1116">
            <v>19872</v>
          </cell>
          <cell r="E1116" t="str">
            <v>antruong.nguyen@amaris.com</v>
          </cell>
        </row>
        <row r="1117">
          <cell r="B1117">
            <v>19118</v>
          </cell>
          <cell r="E1117" t="str">
            <v>giang.phamdanghoang@amaris.com</v>
          </cell>
        </row>
        <row r="1118">
          <cell r="B1118">
            <v>18913</v>
          </cell>
          <cell r="E1118" t="str">
            <v>pham.quy@amaris.com</v>
          </cell>
        </row>
        <row r="1119">
          <cell r="B1119">
            <v>19196</v>
          </cell>
          <cell r="E1119" t="str">
            <v>ktrinh@mantu.com</v>
          </cell>
        </row>
        <row r="1120">
          <cell r="B1120">
            <v>15738</v>
          </cell>
          <cell r="E1120" t="str">
            <v>vietanh.duong@amaris.com</v>
          </cell>
        </row>
        <row r="1121">
          <cell r="B1121">
            <v>21665</v>
          </cell>
          <cell r="E1121" t="str">
            <v>congtrieu.nguyen@amaris.com</v>
          </cell>
        </row>
        <row r="1122">
          <cell r="B1122">
            <v>16150</v>
          </cell>
          <cell r="E1122" t="str">
            <v>nguyenhung.xuan@amaris.com</v>
          </cell>
        </row>
        <row r="1123">
          <cell r="B1123">
            <v>18303</v>
          </cell>
          <cell r="E1123" t="str">
            <v>hoangduy.pham@amaris.com</v>
          </cell>
        </row>
        <row r="1124">
          <cell r="B1124">
            <v>16534</v>
          </cell>
          <cell r="E1124" t="str">
            <v>trungtin.nguyen@amaris.com</v>
          </cell>
        </row>
        <row r="1125">
          <cell r="B1125">
            <v>19195</v>
          </cell>
          <cell r="E1125" t="str">
            <v>giap.nguyen@amaris.com</v>
          </cell>
        </row>
        <row r="1126">
          <cell r="B1126">
            <v>18785</v>
          </cell>
          <cell r="E1126" t="str">
            <v>minhtung.truong@amaris.com</v>
          </cell>
        </row>
        <row r="1127">
          <cell r="B1127">
            <v>21537</v>
          </cell>
          <cell r="E1127" t="str">
            <v>hnguyenthimy@amaris.com</v>
          </cell>
        </row>
        <row r="1128">
          <cell r="B1128">
            <v>17117</v>
          </cell>
          <cell r="E1128" t="str">
            <v>htran3@amaris.com</v>
          </cell>
        </row>
        <row r="1129">
          <cell r="B1129">
            <v>17356</v>
          </cell>
          <cell r="E1129" t="str">
            <v>knguyen8@mantu.com</v>
          </cell>
        </row>
        <row r="1130">
          <cell r="B1130">
            <v>17501</v>
          </cell>
          <cell r="E1130" t="str">
            <v>nhattan.tranhuynh@amaris.com</v>
          </cell>
        </row>
        <row r="1131">
          <cell r="B1131">
            <v>17725</v>
          </cell>
          <cell r="E1131" t="str">
            <v>viet.lenguyen@amaris.com</v>
          </cell>
        </row>
        <row r="1132">
          <cell r="B1132">
            <v>17536</v>
          </cell>
          <cell r="E1132" t="str">
            <v>nguyenxuan.thang@amaris.com</v>
          </cell>
        </row>
        <row r="1133">
          <cell r="B1133">
            <v>25640</v>
          </cell>
          <cell r="E1133" t="str">
            <v>kphan1@amaris.com</v>
          </cell>
        </row>
        <row r="1134">
          <cell r="B1134">
            <v>17620</v>
          </cell>
          <cell r="E1134" t="str">
            <v>minh.buingoc@amaris.com</v>
          </cell>
        </row>
        <row r="1135">
          <cell r="B1135">
            <v>18300</v>
          </cell>
          <cell r="E1135" t="str">
            <v>van.nguyenmanh@amaris.com</v>
          </cell>
        </row>
        <row r="1136">
          <cell r="B1136">
            <v>18231</v>
          </cell>
          <cell r="E1136" t="str">
            <v>thikim.nguyen@amaris.com</v>
          </cell>
        </row>
        <row r="1137">
          <cell r="B1137">
            <v>21472</v>
          </cell>
          <cell r="E1137" t="str">
            <v>truongduy.huynh@amaris.com</v>
          </cell>
        </row>
        <row r="1138">
          <cell r="B1138">
            <v>18193</v>
          </cell>
          <cell r="E1138" t="str">
            <v>xuan.chuthanh@amaris.com</v>
          </cell>
        </row>
        <row r="1139">
          <cell r="B1139">
            <v>18309</v>
          </cell>
          <cell r="E1139" t="str">
            <v>quocdung.doan@amaris.com</v>
          </cell>
        </row>
        <row r="1140">
          <cell r="B1140">
            <v>18360</v>
          </cell>
          <cell r="E1140" t="str">
            <v>long.lyhoang@amaris.com</v>
          </cell>
        </row>
        <row r="1141">
          <cell r="B1141">
            <v>18536</v>
          </cell>
          <cell r="E1141" t="str">
            <v>quoctran.hoang@amaris.com</v>
          </cell>
        </row>
        <row r="1142">
          <cell r="B1142">
            <v>18553</v>
          </cell>
          <cell r="E1142" t="str">
            <v>ngothanh.nguyen@amaris.com</v>
          </cell>
        </row>
        <row r="1143">
          <cell r="B1143">
            <v>21408</v>
          </cell>
          <cell r="E1143" t="str">
            <v>congquan.pham@amaris.com</v>
          </cell>
        </row>
        <row r="1144">
          <cell r="B1144">
            <v>18492</v>
          </cell>
          <cell r="E1144" t="str">
            <v>uhuynh@mantu.com</v>
          </cell>
        </row>
        <row r="1145">
          <cell r="B1145">
            <v>21055</v>
          </cell>
          <cell r="E1145" t="str">
            <v>manhnguyen.hung@amaris.com</v>
          </cell>
        </row>
        <row r="1146">
          <cell r="B1146">
            <v>18512</v>
          </cell>
          <cell r="E1146" t="str">
            <v>nhu.bui@amaris.com</v>
          </cell>
        </row>
        <row r="1147">
          <cell r="B1147">
            <v>18686</v>
          </cell>
          <cell r="E1147" t="str">
            <v>khanh.letiet@amaris.com</v>
          </cell>
        </row>
        <row r="1148">
          <cell r="B1148">
            <v>18601</v>
          </cell>
          <cell r="E1148" t="str">
            <v>toan.nguyen@amaris.com</v>
          </cell>
        </row>
        <row r="1149">
          <cell r="B1149">
            <v>18615</v>
          </cell>
          <cell r="E1149" t="str">
            <v>nnhu@mantu.com</v>
          </cell>
        </row>
        <row r="1150">
          <cell r="B1150">
            <v>22727</v>
          </cell>
          <cell r="E1150" t="str">
            <v>thinh.pham@littlebigconnection.com</v>
          </cell>
        </row>
        <row r="1151">
          <cell r="B1151">
            <v>24417</v>
          </cell>
          <cell r="E1151" t="str">
            <v>bphan1@mantu.com</v>
          </cell>
        </row>
        <row r="1152">
          <cell r="B1152">
            <v>17458</v>
          </cell>
          <cell r="E1152" t="str">
            <v>nguyen.duy@amaris.com</v>
          </cell>
        </row>
        <row r="1153">
          <cell r="B1153">
            <v>17887</v>
          </cell>
          <cell r="E1153" t="str">
            <v>pnguyen5@amaris.com</v>
          </cell>
        </row>
        <row r="1154">
          <cell r="B1154">
            <v>19385</v>
          </cell>
          <cell r="E1154" t="str">
            <v>pnguyen@mantu.com</v>
          </cell>
        </row>
        <row r="1155">
          <cell r="B1155">
            <v>17687</v>
          </cell>
          <cell r="E1155" t="str">
            <v>aha@mantu.com</v>
          </cell>
        </row>
        <row r="1156">
          <cell r="B1156">
            <v>17751</v>
          </cell>
          <cell r="E1156" t="str">
            <v>lenhat.tung@amaris.com</v>
          </cell>
        </row>
        <row r="1157">
          <cell r="B1157">
            <v>18263</v>
          </cell>
          <cell r="E1157" t="str">
            <v>duynguyen.huynh@amaris.com</v>
          </cell>
        </row>
        <row r="1158">
          <cell r="B1158">
            <v>23914</v>
          </cell>
          <cell r="E1158" t="str">
            <v>vuduy.dinh@amaris.com</v>
          </cell>
        </row>
        <row r="1159">
          <cell r="B1159">
            <v>17650</v>
          </cell>
          <cell r="E1159" t="str">
            <v>tdao3@mantu.com</v>
          </cell>
        </row>
        <row r="1160">
          <cell r="B1160">
            <v>17937</v>
          </cell>
          <cell r="E1160" t="str">
            <v>pvu@amaris.com</v>
          </cell>
        </row>
        <row r="1161">
          <cell r="B1161">
            <v>17629</v>
          </cell>
          <cell r="E1161" t="str">
            <v>tuthanh.nguyen@amaris.com</v>
          </cell>
        </row>
        <row r="1162">
          <cell r="B1162">
            <v>17763</v>
          </cell>
          <cell r="E1162" t="str">
            <v>kluu@amaris.com</v>
          </cell>
        </row>
        <row r="1163">
          <cell r="B1163">
            <v>18319</v>
          </cell>
          <cell r="E1163" t="str">
            <v>congdanh.nguyen@amaris.com</v>
          </cell>
        </row>
        <row r="1164">
          <cell r="B1164">
            <v>18096</v>
          </cell>
          <cell r="E1164" t="str">
            <v>trang.truongthiha@amaris.com</v>
          </cell>
        </row>
        <row r="1165">
          <cell r="B1165">
            <v>18312</v>
          </cell>
          <cell r="E1165" t="str">
            <v>tronghoang.pho@amaris.com</v>
          </cell>
        </row>
        <row r="1166">
          <cell r="B1166">
            <v>21646</v>
          </cell>
          <cell r="E1166" t="str">
            <v>phoang1@mantu.com</v>
          </cell>
        </row>
        <row r="1167">
          <cell r="B1167">
            <v>18318</v>
          </cell>
          <cell r="E1167" t="str">
            <v>truongnguyen.guong@amaris.com</v>
          </cell>
        </row>
        <row r="1168">
          <cell r="B1168">
            <v>18517</v>
          </cell>
          <cell r="E1168" t="str">
            <v>ngocthien.tran@amaris.com</v>
          </cell>
        </row>
        <row r="1169">
          <cell r="B1169">
            <v>18364</v>
          </cell>
          <cell r="E1169" t="str">
            <v>quocnguyen.khanh@amaris.com</v>
          </cell>
        </row>
        <row r="1170">
          <cell r="B1170">
            <v>20666</v>
          </cell>
          <cell r="E1170" t="str">
            <v>cuong.nguyentuan@amaris.com</v>
          </cell>
        </row>
        <row r="1171">
          <cell r="B1171">
            <v>18387</v>
          </cell>
          <cell r="E1171" t="str">
            <v>quy.huynh@amaris.com</v>
          </cell>
        </row>
        <row r="1172">
          <cell r="B1172">
            <v>18524</v>
          </cell>
          <cell r="E1172" t="str">
            <v>ttam@mantu.com</v>
          </cell>
        </row>
        <row r="1173">
          <cell r="B1173">
            <v>19106</v>
          </cell>
          <cell r="E1173" t="str">
            <v>nxuan@mantu.com</v>
          </cell>
        </row>
        <row r="1174">
          <cell r="B1174">
            <v>19466</v>
          </cell>
          <cell r="E1174" t="str">
            <v>thao.phan@amaris.com</v>
          </cell>
        </row>
        <row r="1175">
          <cell r="B1175">
            <v>23782</v>
          </cell>
          <cell r="E1175" t="str">
            <v>vle3@mantu.com</v>
          </cell>
        </row>
        <row r="1176">
          <cell r="B1176">
            <v>20193</v>
          </cell>
          <cell r="E1176" t="str">
            <v>nlu@amaris.com</v>
          </cell>
        </row>
        <row r="1177">
          <cell r="B1177">
            <v>19537</v>
          </cell>
          <cell r="E1177" t="str">
            <v>tdomaihuyen@amaris.com</v>
          </cell>
        </row>
        <row r="1178">
          <cell r="B1178">
            <v>19848</v>
          </cell>
          <cell r="E1178" t="str">
            <v>mtran@amaris.com</v>
          </cell>
        </row>
        <row r="1179">
          <cell r="B1179">
            <v>19914</v>
          </cell>
          <cell r="E1179" t="str">
            <v>nguyen.quocthanh@amaris.com</v>
          </cell>
        </row>
        <row r="1180">
          <cell r="B1180">
            <v>25801</v>
          </cell>
          <cell r="E1180" t="str">
            <v>pham.yenduyen@amaris.com</v>
          </cell>
        </row>
        <row r="1181">
          <cell r="B1181">
            <v>20161</v>
          </cell>
          <cell r="E1181" t="str">
            <v>nguyen.thuan@amaris.com</v>
          </cell>
        </row>
        <row r="1182">
          <cell r="B1182">
            <v>19481</v>
          </cell>
          <cell r="E1182" t="str">
            <v>hongpham.annguyen@amaris.com</v>
          </cell>
        </row>
        <row r="1183">
          <cell r="B1183">
            <v>19425</v>
          </cell>
          <cell r="E1183" t="str">
            <v>lphi@amaris.com</v>
          </cell>
        </row>
        <row r="1184">
          <cell r="B1184">
            <v>28649</v>
          </cell>
          <cell r="E1184" t="str">
            <v>nghilam.pham@amaris.com</v>
          </cell>
        </row>
        <row r="1185">
          <cell r="B1185">
            <v>19533</v>
          </cell>
          <cell r="E1185" t="str">
            <v>thanhnguyen.duc@amaris.com</v>
          </cell>
        </row>
        <row r="1186">
          <cell r="B1186">
            <v>21362</v>
          </cell>
          <cell r="E1186" t="str">
            <v>tnguyen56@amaris.com</v>
          </cell>
        </row>
        <row r="1187">
          <cell r="B1187">
            <v>19480</v>
          </cell>
          <cell r="E1187" t="str">
            <v>huunguyen.can@amaris.com</v>
          </cell>
        </row>
        <row r="1188">
          <cell r="B1188">
            <v>19530</v>
          </cell>
          <cell r="E1188" t="str">
            <v>tmai@mantu.com</v>
          </cell>
        </row>
        <row r="1189">
          <cell r="B1189">
            <v>19773</v>
          </cell>
          <cell r="E1189" t="str">
            <v>tuanbinh.nguyen@amaris.com</v>
          </cell>
        </row>
        <row r="1190">
          <cell r="B1190">
            <v>19818</v>
          </cell>
          <cell r="E1190" t="str">
            <v>ndaokha@mantu.com</v>
          </cell>
        </row>
        <row r="1191">
          <cell r="B1191">
            <v>19986</v>
          </cell>
          <cell r="E1191" t="str">
            <v>minhho.cuong@amaris.com</v>
          </cell>
        </row>
        <row r="1192">
          <cell r="B1192">
            <v>19846</v>
          </cell>
          <cell r="E1192" t="str">
            <v>hbui1@mantu.com</v>
          </cell>
        </row>
        <row r="1193">
          <cell r="B1193">
            <v>19800</v>
          </cell>
          <cell r="E1193" t="str">
            <v>le.thanhhoai@amaris.com</v>
          </cell>
        </row>
        <row r="1194">
          <cell r="B1194">
            <v>24274</v>
          </cell>
          <cell r="E1194" t="str">
            <v>bang.ngo@littlebigconnection.com</v>
          </cell>
        </row>
        <row r="1195">
          <cell r="B1195">
            <v>19961</v>
          </cell>
          <cell r="E1195" t="str">
            <v>pham.huykhoa@amaris.com</v>
          </cell>
        </row>
        <row r="1196">
          <cell r="B1196">
            <v>24680</v>
          </cell>
          <cell r="E1196" t="str">
            <v>nletran@mantu.com</v>
          </cell>
        </row>
        <row r="1197">
          <cell r="B1197">
            <v>20264</v>
          </cell>
          <cell r="E1197" t="str">
            <v>nguyen.tuan@amaris.com</v>
          </cell>
        </row>
        <row r="1198">
          <cell r="B1198">
            <v>23564</v>
          </cell>
          <cell r="E1198" t="str">
            <v>dinhsinh.nguyen@amaris.com</v>
          </cell>
        </row>
        <row r="1199">
          <cell r="B1199">
            <v>24058</v>
          </cell>
          <cell r="E1199" t="str">
            <v>tuonglam.nguyen@amaris.com</v>
          </cell>
        </row>
        <row r="1200">
          <cell r="B1200">
            <v>19357</v>
          </cell>
          <cell r="E1200" t="str">
            <v>ta.anhluan@amaris.com</v>
          </cell>
        </row>
        <row r="1201">
          <cell r="B1201">
            <v>18539</v>
          </cell>
          <cell r="E1201" t="str">
            <v>huynhkinh.huan@amaris.com</v>
          </cell>
        </row>
        <row r="1202">
          <cell r="B1202">
            <v>18575</v>
          </cell>
          <cell r="E1202" t="str">
            <v>thuong.trinhxuan@amaris.com</v>
          </cell>
        </row>
        <row r="1203">
          <cell r="B1203">
            <v>18600</v>
          </cell>
          <cell r="E1203" t="str">
            <v>thanhgiang.nguyen@amaris.com</v>
          </cell>
        </row>
        <row r="1204">
          <cell r="B1204">
            <v>18594</v>
          </cell>
          <cell r="E1204" t="str">
            <v>hoangtran.minh@amaris.com</v>
          </cell>
        </row>
        <row r="1205">
          <cell r="B1205">
            <v>24092</v>
          </cell>
          <cell r="E1205" t="str">
            <v>phat.le@sevencircles.com</v>
          </cell>
        </row>
        <row r="1206">
          <cell r="B1206">
            <v>19001</v>
          </cell>
          <cell r="E1206" t="str">
            <v>chienjou.tuan@amaris.com</v>
          </cell>
        </row>
        <row r="1207">
          <cell r="B1207">
            <v>18786</v>
          </cell>
          <cell r="E1207" t="str">
            <v>bao.phan@amaris.com</v>
          </cell>
        </row>
        <row r="1208">
          <cell r="B1208">
            <v>21935</v>
          </cell>
          <cell r="E1208" t="str">
            <v>dangkhoa.duong@amaris.com</v>
          </cell>
        </row>
        <row r="1209">
          <cell r="B1209">
            <v>18922</v>
          </cell>
          <cell r="E1209" t="str">
            <v>nthuthao@mantu.com</v>
          </cell>
        </row>
        <row r="1210">
          <cell r="B1210">
            <v>19101</v>
          </cell>
          <cell r="E1210" t="str">
            <v>tri.vanminh@mantu.com</v>
          </cell>
        </row>
        <row r="1211">
          <cell r="B1211">
            <v>23371</v>
          </cell>
          <cell r="E1211" t="str">
            <v>batruong.nguyen@amaris.com</v>
          </cell>
        </row>
        <row r="1212">
          <cell r="B1212">
            <v>19274</v>
          </cell>
          <cell r="E1212" t="str">
            <v>hchu@mantu.com</v>
          </cell>
        </row>
        <row r="1213">
          <cell r="B1213">
            <v>19371</v>
          </cell>
          <cell r="E1213" t="str">
            <v>klim@mantu.com</v>
          </cell>
        </row>
        <row r="1214">
          <cell r="B1214">
            <v>18623</v>
          </cell>
          <cell r="E1214" t="str">
            <v>vinh.nguyen@amaris.com</v>
          </cell>
        </row>
        <row r="1215">
          <cell r="B1215">
            <v>18753</v>
          </cell>
          <cell r="E1215" t="str">
            <v>nly@amaris.com</v>
          </cell>
        </row>
        <row r="1216">
          <cell r="B1216">
            <v>18640</v>
          </cell>
          <cell r="E1216" t="str">
            <v>quangho.dung@amaris.com</v>
          </cell>
        </row>
        <row r="1217">
          <cell r="B1217">
            <v>18810</v>
          </cell>
          <cell r="E1217" t="str">
            <v>bdinh@mantu.com</v>
          </cell>
        </row>
        <row r="1218">
          <cell r="B1218">
            <v>18837</v>
          </cell>
          <cell r="E1218" t="str">
            <v>vu.ngoc@amaris.com</v>
          </cell>
        </row>
        <row r="1219">
          <cell r="B1219">
            <v>20298</v>
          </cell>
          <cell r="E1219" t="str">
            <v>khan.pham@amaris.com</v>
          </cell>
        </row>
        <row r="1220">
          <cell r="B1220">
            <v>18912</v>
          </cell>
          <cell r="E1220" t="str">
            <v>anhminh.do@amaris.com</v>
          </cell>
        </row>
        <row r="1221">
          <cell r="B1221">
            <v>18873</v>
          </cell>
          <cell r="E1221" t="str">
            <v>thanhnguyen.hung@amaris.com</v>
          </cell>
        </row>
        <row r="1222">
          <cell r="B1222">
            <v>27710</v>
          </cell>
          <cell r="E1222" t="str">
            <v>abbysabrina@amaris.com</v>
          </cell>
        </row>
        <row r="1223">
          <cell r="B1223">
            <v>20123</v>
          </cell>
          <cell r="E1223" t="str">
            <v>nguyen.buuson@amaris.com</v>
          </cell>
        </row>
        <row r="1224">
          <cell r="B1224">
            <v>20137</v>
          </cell>
          <cell r="E1224" t="str">
            <v>tuan.ngo@amaris.com</v>
          </cell>
        </row>
        <row r="1225">
          <cell r="B1225">
            <v>23366</v>
          </cell>
          <cell r="E1225" t="str">
            <v>tuanduyanh.le@amaris.com</v>
          </cell>
        </row>
        <row r="1226">
          <cell r="B1226">
            <v>20231</v>
          </cell>
          <cell r="E1226" t="str">
            <v>pphan1@mantu.com</v>
          </cell>
        </row>
        <row r="1227">
          <cell r="B1227">
            <v>20266</v>
          </cell>
          <cell r="E1227" t="str">
            <v>hoang.quochai@amaris.com</v>
          </cell>
        </row>
        <row r="1228">
          <cell r="B1228">
            <v>20916</v>
          </cell>
          <cell r="E1228" t="str">
            <v>tu.le@amaris.com</v>
          </cell>
        </row>
        <row r="1229">
          <cell r="B1229">
            <v>20374</v>
          </cell>
          <cell r="E1229" t="str">
            <v>nguyen.thuctung@amaris.com</v>
          </cell>
        </row>
        <row r="1230">
          <cell r="B1230">
            <v>20509</v>
          </cell>
          <cell r="E1230" t="str">
            <v>nguyen.minhphuoc@amaris.com</v>
          </cell>
        </row>
        <row r="1231">
          <cell r="B1231">
            <v>20568</v>
          </cell>
          <cell r="E1231" t="str">
            <v>hnguyen@mantu.com</v>
          </cell>
        </row>
        <row r="1232">
          <cell r="B1232">
            <v>20733</v>
          </cell>
          <cell r="E1232" t="str">
            <v>hung.levan@amaris.com</v>
          </cell>
        </row>
        <row r="1233">
          <cell r="B1233">
            <v>20669</v>
          </cell>
          <cell r="E1233" t="str">
            <v>loc.lenguyenquangdai@amaris.com</v>
          </cell>
        </row>
        <row r="1234">
          <cell r="B1234">
            <v>20709</v>
          </cell>
          <cell r="E1234" t="str">
            <v>thithanh.tran@amaris.com</v>
          </cell>
        </row>
        <row r="1235">
          <cell r="B1235">
            <v>20727</v>
          </cell>
          <cell r="E1235" t="str">
            <v>nguyen.tien@amaris.com</v>
          </cell>
        </row>
        <row r="1236">
          <cell r="B1236">
            <v>20826</v>
          </cell>
          <cell r="E1236" t="str">
            <v>tvuthanh@mantu.com</v>
          </cell>
        </row>
        <row r="1237">
          <cell r="B1237">
            <v>20944</v>
          </cell>
          <cell r="E1237" t="str">
            <v>nguyen.tai4@amaris.com</v>
          </cell>
        </row>
        <row r="1238">
          <cell r="B1238">
            <v>20874</v>
          </cell>
          <cell r="E1238" t="str">
            <v>bui.thanhtuan@amaris.com</v>
          </cell>
        </row>
        <row r="1239">
          <cell r="B1239">
            <v>20984</v>
          </cell>
          <cell r="E1239" t="str">
            <v>waiwong.hang@amaris.com</v>
          </cell>
        </row>
        <row r="1240">
          <cell r="B1240">
            <v>20138</v>
          </cell>
          <cell r="E1240" t="str">
            <v>trinh.khanhhoa@amaris.com</v>
          </cell>
        </row>
        <row r="1241">
          <cell r="B1241">
            <v>20256</v>
          </cell>
          <cell r="E1241" t="str">
            <v>nnguyen@mantu.com</v>
          </cell>
        </row>
        <row r="1242">
          <cell r="B1242">
            <v>20412</v>
          </cell>
          <cell r="E1242" t="str">
            <v>nguyenvan.tung@amaris.com</v>
          </cell>
        </row>
        <row r="1243">
          <cell r="B1243">
            <v>20692</v>
          </cell>
          <cell r="E1243" t="str">
            <v>tlai@amaris.com</v>
          </cell>
        </row>
        <row r="1244">
          <cell r="B1244">
            <v>20507</v>
          </cell>
          <cell r="E1244" t="str">
            <v>tranvu.ngochoang@amaris.com</v>
          </cell>
        </row>
        <row r="1245">
          <cell r="B1245">
            <v>20668</v>
          </cell>
          <cell r="E1245" t="str">
            <v>thanhhuy.tran@amaris.com</v>
          </cell>
        </row>
        <row r="1246">
          <cell r="B1246">
            <v>20576</v>
          </cell>
          <cell r="E1246" t="str">
            <v>hmai2@mantu.com</v>
          </cell>
        </row>
        <row r="1247">
          <cell r="B1247">
            <v>28389</v>
          </cell>
          <cell r="E1247" t="str">
            <v>thingoc.tran@amaris.com</v>
          </cell>
        </row>
        <row r="1248">
          <cell r="B1248">
            <v>19401</v>
          </cell>
          <cell r="E1248" t="str">
            <v>tran.hoang@amaris.com</v>
          </cell>
        </row>
        <row r="1249">
          <cell r="B1249">
            <v>19671</v>
          </cell>
          <cell r="E1249" t="str">
            <v>vu.bac@amaris.com</v>
          </cell>
        </row>
        <row r="1250">
          <cell r="B1250">
            <v>19741</v>
          </cell>
          <cell r="E1250" t="str">
            <v>phuong.nguyen@amaris.com</v>
          </cell>
        </row>
        <row r="1251">
          <cell r="B1251">
            <v>20130</v>
          </cell>
          <cell r="E1251" t="str">
            <v>nguyen.huyhoang@amaris.com</v>
          </cell>
        </row>
        <row r="1252">
          <cell r="B1252">
            <v>19836</v>
          </cell>
          <cell r="E1252" t="str">
            <v>hphan@mantu.com</v>
          </cell>
        </row>
        <row r="1253">
          <cell r="B1253">
            <v>19774</v>
          </cell>
          <cell r="E1253" t="str">
            <v>truongpham.chung@amaris.com</v>
          </cell>
        </row>
        <row r="1254">
          <cell r="B1254">
            <v>24025</v>
          </cell>
          <cell r="E1254" t="str">
            <v>vanhieu.nguyen@amaris.com</v>
          </cell>
        </row>
        <row r="1255">
          <cell r="B1255">
            <v>19823</v>
          </cell>
          <cell r="E1255" t="str">
            <v>thienvu.lai@amaris.com</v>
          </cell>
        </row>
        <row r="1256">
          <cell r="B1256">
            <v>19852</v>
          </cell>
          <cell r="E1256" t="str">
            <v>rodel.pilapil@amaris.com</v>
          </cell>
        </row>
        <row r="1257">
          <cell r="B1257">
            <v>19913</v>
          </cell>
          <cell r="E1257" t="str">
            <v>nguyen.thanh1@amaris.com</v>
          </cell>
        </row>
        <row r="1258">
          <cell r="B1258">
            <v>20928</v>
          </cell>
          <cell r="E1258" t="str">
            <v>bao.trinhluong@amaris.com</v>
          </cell>
        </row>
        <row r="1259">
          <cell r="B1259">
            <v>20058</v>
          </cell>
          <cell r="E1259" t="str">
            <v>bleho@mantu.com</v>
          </cell>
        </row>
        <row r="1260">
          <cell r="B1260">
            <v>20299</v>
          </cell>
          <cell r="E1260" t="str">
            <v>nguyenthi.hoangha@amaris.com</v>
          </cell>
        </row>
        <row r="1261">
          <cell r="B1261">
            <v>20832</v>
          </cell>
          <cell r="E1261" t="str">
            <v>mphan1@mantu.com</v>
          </cell>
        </row>
        <row r="1262">
          <cell r="B1262">
            <v>27317</v>
          </cell>
          <cell r="E1262" t="str">
            <v>minhnhut.huynh@amaris.com</v>
          </cell>
        </row>
        <row r="1263">
          <cell r="B1263">
            <v>20552</v>
          </cell>
          <cell r="E1263" t="str">
            <v>duy.nguyenhoanghuu@amaris.com</v>
          </cell>
        </row>
        <row r="1264">
          <cell r="B1264">
            <v>19075</v>
          </cell>
          <cell r="E1264" t="str">
            <v>anhnhat.le@amaris.com</v>
          </cell>
        </row>
        <row r="1265">
          <cell r="B1265">
            <v>22392</v>
          </cell>
          <cell r="E1265" t="str">
            <v>baongoc.buitran@amaris.com</v>
          </cell>
        </row>
        <row r="1266">
          <cell r="B1266">
            <v>21989</v>
          </cell>
          <cell r="E1266" t="str">
            <v>huyen.nguyen2@mantu.com</v>
          </cell>
        </row>
        <row r="1267">
          <cell r="B1267">
            <v>19435</v>
          </cell>
          <cell r="E1267" t="str">
            <v>pnguyen6@mantu.com</v>
          </cell>
        </row>
        <row r="1268">
          <cell r="B1268">
            <v>19475</v>
          </cell>
          <cell r="E1268" t="str">
            <v>tle3@mantu.com</v>
          </cell>
        </row>
        <row r="1269">
          <cell r="B1269">
            <v>19912</v>
          </cell>
          <cell r="E1269" t="str">
            <v>pham.sac@amaris.com</v>
          </cell>
        </row>
        <row r="1270">
          <cell r="B1270">
            <v>22910</v>
          </cell>
          <cell r="E1270" t="str">
            <v>hoaan.nguyen@amaris.com</v>
          </cell>
        </row>
        <row r="1271">
          <cell r="B1271">
            <v>21064</v>
          </cell>
          <cell r="E1271" t="str">
            <v>tran.tanphat@amaris.com</v>
          </cell>
        </row>
        <row r="1272">
          <cell r="B1272">
            <v>21088</v>
          </cell>
          <cell r="E1272" t="str">
            <v>duyhanh.le@amaris.com</v>
          </cell>
        </row>
        <row r="1273">
          <cell r="B1273">
            <v>21208</v>
          </cell>
          <cell r="E1273" t="str">
            <v>khanhlinh.dangngoc@amaris.com</v>
          </cell>
        </row>
        <row r="1274">
          <cell r="B1274">
            <v>21215</v>
          </cell>
          <cell r="E1274" t="str">
            <v>vinhgiai.dung@amaris.com</v>
          </cell>
        </row>
        <row r="1275">
          <cell r="B1275">
            <v>21251</v>
          </cell>
          <cell r="E1275" t="str">
            <v>su.huycuong@amaris.com</v>
          </cell>
        </row>
        <row r="1276">
          <cell r="B1276">
            <v>21250</v>
          </cell>
          <cell r="E1276" t="str">
            <v>hieunguyen.phuong@amaris.com</v>
          </cell>
        </row>
        <row r="1277">
          <cell r="B1277">
            <v>21470</v>
          </cell>
          <cell r="E1277" t="str">
            <v>nguyen.trinhtung@amaris.com</v>
          </cell>
        </row>
        <row r="1278">
          <cell r="B1278">
            <v>21410</v>
          </cell>
          <cell r="E1278" t="str">
            <v>tuananh.vo@amaris.com</v>
          </cell>
        </row>
        <row r="1279">
          <cell r="B1279">
            <v>21419</v>
          </cell>
          <cell r="E1279" t="str">
            <v>ctran@mantu.com</v>
          </cell>
        </row>
        <row r="1280">
          <cell r="B1280">
            <v>26261</v>
          </cell>
          <cell r="E1280" t="str">
            <v>trieu.nguyenkhanhhai@amaris.com</v>
          </cell>
        </row>
        <row r="1281">
          <cell r="B1281">
            <v>21374</v>
          </cell>
          <cell r="E1281" t="str">
            <v>munishvaraan.jayabalan@amaris.com</v>
          </cell>
        </row>
        <row r="1282">
          <cell r="B1282">
            <v>21420</v>
          </cell>
          <cell r="E1282" t="str">
            <v>marvin.ygar@amaris.com</v>
          </cell>
        </row>
        <row r="1283">
          <cell r="B1283">
            <v>21719</v>
          </cell>
          <cell r="E1283" t="str">
            <v>pnguyen7@mantu.com</v>
          </cell>
        </row>
        <row r="1284">
          <cell r="B1284">
            <v>21693</v>
          </cell>
          <cell r="E1284" t="str">
            <v>duong.quangdat@amaris.com</v>
          </cell>
        </row>
        <row r="1285">
          <cell r="B1285">
            <v>21937</v>
          </cell>
          <cell r="E1285" t="str">
            <v>kevin.lam@amaris.com</v>
          </cell>
        </row>
        <row r="1286">
          <cell r="B1286">
            <v>26590</v>
          </cell>
          <cell r="E1286" t="str">
            <v>minhnhat.cao@amaris.com</v>
          </cell>
        </row>
        <row r="1287">
          <cell r="B1287">
            <v>21173</v>
          </cell>
          <cell r="E1287" t="str">
            <v>tnguyen55@amaris.com</v>
          </cell>
        </row>
        <row r="1288">
          <cell r="B1288">
            <v>20785</v>
          </cell>
          <cell r="E1288" t="str">
            <v>nguyenhuynh.thaonguyen@amaris.com</v>
          </cell>
        </row>
        <row r="1289">
          <cell r="B1289">
            <v>20691</v>
          </cell>
          <cell r="E1289" t="str">
            <v>nkhanh@amaris.com</v>
          </cell>
        </row>
        <row r="1290">
          <cell r="B1290">
            <v>21134</v>
          </cell>
          <cell r="E1290" t="str">
            <v>lle@mantu.com</v>
          </cell>
        </row>
        <row r="1291">
          <cell r="B1291">
            <v>20789</v>
          </cell>
          <cell r="E1291" t="str">
            <v>uphan@amaris.com</v>
          </cell>
        </row>
        <row r="1292">
          <cell r="B1292">
            <v>21965</v>
          </cell>
          <cell r="E1292" t="str">
            <v>vlo1@mantu.com</v>
          </cell>
        </row>
        <row r="1293">
          <cell r="B1293">
            <v>20784</v>
          </cell>
          <cell r="E1293" t="str">
            <v>huynh.thachtuan@amaris.com</v>
          </cell>
        </row>
        <row r="1294">
          <cell r="B1294">
            <v>20710</v>
          </cell>
          <cell r="E1294" t="str">
            <v>chihuynh.cuong@amaris.com</v>
          </cell>
        </row>
        <row r="1295">
          <cell r="B1295">
            <v>20771</v>
          </cell>
          <cell r="E1295" t="str">
            <v>qnguyen9@amaris.com</v>
          </cell>
        </row>
        <row r="1296">
          <cell r="B1296">
            <v>27767</v>
          </cell>
          <cell r="E1296" t="str">
            <v>qtran4@amaris.com</v>
          </cell>
        </row>
        <row r="1297">
          <cell r="B1297">
            <v>20990</v>
          </cell>
          <cell r="E1297" t="str">
            <v>y.huynhngocnhu@amaris.com</v>
          </cell>
        </row>
        <row r="1298">
          <cell r="B1298">
            <v>21135</v>
          </cell>
          <cell r="E1298" t="str">
            <v>nnga@mantu.com</v>
          </cell>
        </row>
        <row r="1299">
          <cell r="B1299">
            <v>20958</v>
          </cell>
          <cell r="E1299" t="str">
            <v>pham.trungkien@amaris.com</v>
          </cell>
        </row>
        <row r="1300">
          <cell r="B1300">
            <v>23364</v>
          </cell>
          <cell r="E1300" t="str">
            <v>hien.nguyentran@amaris.com</v>
          </cell>
        </row>
        <row r="1301">
          <cell r="B1301">
            <v>19909</v>
          </cell>
          <cell r="E1301" t="str">
            <v>diep.ngocsang@amaris.com</v>
          </cell>
        </row>
        <row r="1302">
          <cell r="B1302">
            <v>23899</v>
          </cell>
          <cell r="E1302" t="str">
            <v>dvohuynh@mantu.com</v>
          </cell>
        </row>
        <row r="1303">
          <cell r="B1303">
            <v>20035</v>
          </cell>
          <cell r="E1303" t="str">
            <v>quocta.thao@amaris.com</v>
          </cell>
        </row>
        <row r="1304">
          <cell r="B1304">
            <v>20055</v>
          </cell>
          <cell r="E1304" t="str">
            <v>bcao@mantu.com</v>
          </cell>
        </row>
        <row r="1305">
          <cell r="B1305">
            <v>20157</v>
          </cell>
          <cell r="E1305" t="str">
            <v>lnguyen3@amaris.com</v>
          </cell>
        </row>
        <row r="1306">
          <cell r="B1306">
            <v>20196</v>
          </cell>
          <cell r="E1306" t="str">
            <v>nphamngoc@amaris.com</v>
          </cell>
        </row>
        <row r="1307">
          <cell r="B1307">
            <v>23282</v>
          </cell>
          <cell r="E1307" t="str">
            <v>lenguyen.huy@amaris.com</v>
          </cell>
        </row>
        <row r="1308">
          <cell r="B1308">
            <v>23633</v>
          </cell>
          <cell r="E1308" t="str">
            <v>minhsang.ha@amaris.com</v>
          </cell>
        </row>
        <row r="1309">
          <cell r="B1309">
            <v>22053</v>
          </cell>
          <cell r="E1309" t="str">
            <v>cnguyen2@mantu.com</v>
          </cell>
        </row>
        <row r="1310">
          <cell r="B1310">
            <v>21982</v>
          </cell>
          <cell r="E1310" t="str">
            <v>phan.thanhhoang@amaris.com</v>
          </cell>
        </row>
        <row r="1311">
          <cell r="B1311">
            <v>25008</v>
          </cell>
          <cell r="E1311" t="str">
            <v>knguyen3@amaris.com</v>
          </cell>
        </row>
        <row r="1312">
          <cell r="B1312">
            <v>37888</v>
          </cell>
          <cell r="E1312" t="str">
            <v>huynhchi.vo@amaris.com</v>
          </cell>
        </row>
        <row r="1313">
          <cell r="B1313">
            <v>27227</v>
          </cell>
          <cell r="E1313" t="str">
            <v>quangtrung.vu@amaris.com</v>
          </cell>
        </row>
        <row r="1314">
          <cell r="B1314">
            <v>22309</v>
          </cell>
          <cell r="E1314" t="str">
            <v>nnguyen12@mantu.com</v>
          </cell>
        </row>
        <row r="1315">
          <cell r="B1315">
            <v>22379</v>
          </cell>
          <cell r="E1315" t="str">
            <v>nguyen.duynghia@amaris.com</v>
          </cell>
        </row>
        <row r="1316">
          <cell r="B1316">
            <v>31778</v>
          </cell>
          <cell r="E1316" t="str">
            <v>thatviet.ton@amaris.com</v>
          </cell>
        </row>
        <row r="1317">
          <cell r="B1317">
            <v>22543</v>
          </cell>
          <cell r="E1317" t="str">
            <v>khuynh@amaris.com</v>
          </cell>
        </row>
        <row r="1318">
          <cell r="B1318">
            <v>29695</v>
          </cell>
          <cell r="E1318" t="str">
            <v>xuanbach.phan@amaris.com</v>
          </cell>
        </row>
        <row r="1319">
          <cell r="B1319">
            <v>24049</v>
          </cell>
          <cell r="E1319" t="str">
            <v>duckhanh.chu@amaris.com</v>
          </cell>
        </row>
        <row r="1320">
          <cell r="B1320">
            <v>23032</v>
          </cell>
          <cell r="E1320" t="str">
            <v>tan.phamnhut@amaris.com</v>
          </cell>
        </row>
        <row r="1321">
          <cell r="B1321">
            <v>28785</v>
          </cell>
          <cell r="E1321" t="str">
            <v>dinhduy.nguyen@amaris.com</v>
          </cell>
        </row>
        <row r="1322">
          <cell r="B1322">
            <v>22897</v>
          </cell>
          <cell r="E1322" t="str">
            <v>mnguyenkim@amaris.com</v>
          </cell>
        </row>
        <row r="1323">
          <cell r="B1323">
            <v>20782</v>
          </cell>
          <cell r="E1323" t="str">
            <v>nguyen.phatnghi@amaris.com</v>
          </cell>
        </row>
        <row r="1324">
          <cell r="B1324">
            <v>20963</v>
          </cell>
          <cell r="E1324" t="str">
            <v>cao.trucduyen@amaris.com</v>
          </cell>
        </row>
        <row r="1325">
          <cell r="B1325">
            <v>35936</v>
          </cell>
          <cell r="E1325" t="str">
            <v>thanhliem.ngo@amaris.com</v>
          </cell>
        </row>
        <row r="1326">
          <cell r="B1326">
            <v>21232</v>
          </cell>
          <cell r="E1326" t="str">
            <v>duy.nguyenhoangkhanh@amaris.com</v>
          </cell>
        </row>
        <row r="1327">
          <cell r="B1327">
            <v>21223</v>
          </cell>
          <cell r="E1327" t="str">
            <v>quocanh.dang@amaris.com</v>
          </cell>
        </row>
        <row r="1328">
          <cell r="B1328">
            <v>21253</v>
          </cell>
          <cell r="E1328" t="str">
            <v>levan.tien@amaris.com</v>
          </cell>
        </row>
        <row r="1329">
          <cell r="B1329">
            <v>21226</v>
          </cell>
          <cell r="E1329" t="str">
            <v>tran.ngocquoc@amaris.com</v>
          </cell>
        </row>
        <row r="1330">
          <cell r="B1330">
            <v>21415</v>
          </cell>
          <cell r="E1330" t="str">
            <v>ledo.khoanguyen@amaris.com</v>
          </cell>
        </row>
        <row r="1331">
          <cell r="B1331">
            <v>23565</v>
          </cell>
          <cell r="E1331" t="str">
            <v>quynhnhi.ho@amaris.com</v>
          </cell>
        </row>
        <row r="1332">
          <cell r="B1332">
            <v>24552</v>
          </cell>
          <cell r="E1332" t="str">
            <v>xuanhoang.bo@amaris.com</v>
          </cell>
        </row>
        <row r="1333">
          <cell r="B1333">
            <v>21095</v>
          </cell>
          <cell r="E1333" t="str">
            <v>ngochien.le@amaris.com</v>
          </cell>
        </row>
        <row r="1334">
          <cell r="B1334">
            <v>21066</v>
          </cell>
          <cell r="E1334" t="str">
            <v>duy.le@arneo.io</v>
          </cell>
        </row>
        <row r="1335">
          <cell r="B1335">
            <v>21191</v>
          </cell>
          <cell r="E1335" t="str">
            <v>myhuyen.pham@amaris.com</v>
          </cell>
        </row>
        <row r="1336">
          <cell r="B1336">
            <v>24852</v>
          </cell>
          <cell r="E1336" t="str">
            <v>minhtu.tran@amaris.com</v>
          </cell>
        </row>
        <row r="1337">
          <cell r="B1337">
            <v>21224</v>
          </cell>
          <cell r="E1337" t="str">
            <v>dpham@mantu.com</v>
          </cell>
        </row>
        <row r="1338">
          <cell r="B1338">
            <v>21463</v>
          </cell>
          <cell r="E1338" t="str">
            <v>phamthai.duong@amaris.com</v>
          </cell>
        </row>
        <row r="1339">
          <cell r="B1339">
            <v>21283</v>
          </cell>
          <cell r="E1339" t="str">
            <v>mnguyen7@mantu.com</v>
          </cell>
        </row>
        <row r="1340">
          <cell r="B1340">
            <v>21305</v>
          </cell>
          <cell r="E1340" t="str">
            <v>quockhanh.phanvu@amaris.com</v>
          </cell>
        </row>
        <row r="1341">
          <cell r="B1341">
            <v>21462</v>
          </cell>
          <cell r="E1341" t="str">
            <v>matan.vinh@amaris.com</v>
          </cell>
        </row>
        <row r="1342">
          <cell r="B1342">
            <v>21468</v>
          </cell>
          <cell r="E1342" t="str">
            <v>huynhthi.tuyetnhi@amaris.com</v>
          </cell>
        </row>
        <row r="1343">
          <cell r="B1343">
            <v>21878</v>
          </cell>
          <cell r="E1343" t="str">
            <v>hongtham.huynhthi@amaris.com</v>
          </cell>
        </row>
        <row r="1344">
          <cell r="B1344">
            <v>21744</v>
          </cell>
          <cell r="E1344" t="str">
            <v>mtrancong@amaris.com</v>
          </cell>
        </row>
        <row r="1345">
          <cell r="B1345">
            <v>24903</v>
          </cell>
          <cell r="E1345" t="str">
            <v>hoanglong.nguyen@amaris.com</v>
          </cell>
        </row>
        <row r="1346">
          <cell r="B1346">
            <v>30828</v>
          </cell>
          <cell r="E1346" t="str">
            <v>hnhi1@amaris.com</v>
          </cell>
        </row>
        <row r="1347">
          <cell r="B1347">
            <v>20284</v>
          </cell>
          <cell r="E1347" t="str">
            <v>le.duydat@amaris.com</v>
          </cell>
        </row>
        <row r="1348">
          <cell r="B1348">
            <v>28375</v>
          </cell>
          <cell r="E1348" t="str">
            <v>huycuong.nguyen@amaris.com</v>
          </cell>
        </row>
        <row r="1349">
          <cell r="B1349">
            <v>20508</v>
          </cell>
          <cell r="E1349" t="str">
            <v>nguyen.tuananh@amaris.com</v>
          </cell>
        </row>
        <row r="1350">
          <cell r="B1350">
            <v>20648</v>
          </cell>
          <cell r="E1350" t="str">
            <v>tran.xuanvu@amaris.com</v>
          </cell>
        </row>
        <row r="1351">
          <cell r="B1351">
            <v>20688</v>
          </cell>
          <cell r="E1351" t="str">
            <v>hongtruong.quy@amaris.com</v>
          </cell>
        </row>
        <row r="1352">
          <cell r="B1352">
            <v>20861</v>
          </cell>
          <cell r="E1352" t="str">
            <v>tductan@amaris.com</v>
          </cell>
        </row>
        <row r="1353">
          <cell r="B1353">
            <v>20781</v>
          </cell>
          <cell r="E1353" t="str">
            <v>quangnguyen.nam@amaris.com</v>
          </cell>
        </row>
        <row r="1354">
          <cell r="B1354">
            <v>21964</v>
          </cell>
          <cell r="E1354" t="str">
            <v>hduong1@mantu.com</v>
          </cell>
        </row>
        <row r="1355">
          <cell r="B1355">
            <v>22992</v>
          </cell>
          <cell r="E1355" t="str">
            <v>huong.trinhthithanh@amaris.com</v>
          </cell>
        </row>
        <row r="1356">
          <cell r="B1356">
            <v>24540</v>
          </cell>
          <cell r="E1356" t="str">
            <v>phuongnam.hoang@amaris.com</v>
          </cell>
        </row>
        <row r="1357">
          <cell r="B1357">
            <v>36711</v>
          </cell>
          <cell r="E1357" t="str">
            <v>thienthanh.nguyen@amaris.com</v>
          </cell>
        </row>
        <row r="1358">
          <cell r="B1358">
            <v>20836</v>
          </cell>
          <cell r="E1358" t="str">
            <v>thanhhang.phamthuy@amaris.com</v>
          </cell>
        </row>
        <row r="1359">
          <cell r="B1359">
            <v>21280</v>
          </cell>
          <cell r="E1359" t="str">
            <v>nguyen.phuocloc@amaris.com</v>
          </cell>
        </row>
        <row r="1360">
          <cell r="B1360">
            <v>21174</v>
          </cell>
          <cell r="E1360" t="str">
            <v>dinhphong.trinh@amaris.com</v>
          </cell>
        </row>
        <row r="1361">
          <cell r="B1361">
            <v>21209</v>
          </cell>
          <cell r="E1361" t="str">
            <v>dang.duongnhat@amaris.com</v>
          </cell>
        </row>
        <row r="1362">
          <cell r="B1362">
            <v>23475</v>
          </cell>
          <cell r="E1362" t="str">
            <v>leanh.tu@amaris.com</v>
          </cell>
        </row>
        <row r="1363">
          <cell r="B1363">
            <v>23176</v>
          </cell>
          <cell r="E1363" t="str">
            <v>xuanduc.tang@amaris.com</v>
          </cell>
        </row>
        <row r="1364">
          <cell r="B1364">
            <v>25240</v>
          </cell>
          <cell r="E1364" t="str">
            <v>thiphuong.vu@amaris.com</v>
          </cell>
        </row>
        <row r="1365">
          <cell r="B1365">
            <v>22969</v>
          </cell>
          <cell r="E1365" t="str">
            <v>thungan.lethi@amaris.com</v>
          </cell>
        </row>
        <row r="1366">
          <cell r="B1366">
            <v>23563</v>
          </cell>
          <cell r="E1366" t="str">
            <v>tma1@amaris.com</v>
          </cell>
        </row>
        <row r="1367">
          <cell r="B1367">
            <v>23423</v>
          </cell>
          <cell r="E1367" t="str">
            <v>vnguyen10@mantu.com</v>
          </cell>
        </row>
        <row r="1368">
          <cell r="B1368">
            <v>23476</v>
          </cell>
          <cell r="E1368" t="str">
            <v>tdo3@mantu.com</v>
          </cell>
        </row>
        <row r="1369">
          <cell r="B1369">
            <v>23406</v>
          </cell>
          <cell r="E1369" t="str">
            <v>phuong.nguyen1@littlebigconnection.com</v>
          </cell>
        </row>
        <row r="1370">
          <cell r="B1370">
            <v>31231</v>
          </cell>
          <cell r="E1370" t="str">
            <v>lnguyenhoaikhanh@mantu.com</v>
          </cell>
        </row>
        <row r="1371">
          <cell r="B1371">
            <v>21407</v>
          </cell>
          <cell r="E1371" t="str">
            <v>le.xuanhieu@amaris.com</v>
          </cell>
        </row>
        <row r="1372">
          <cell r="B1372">
            <v>21443</v>
          </cell>
          <cell r="E1372" t="str">
            <v>ngocminh.pham@amaris.com</v>
          </cell>
        </row>
        <row r="1373">
          <cell r="B1373">
            <v>21323</v>
          </cell>
          <cell r="E1373" t="str">
            <v>hoangduong.phantran@amaris.com</v>
          </cell>
        </row>
        <row r="1374">
          <cell r="B1374">
            <v>21487</v>
          </cell>
          <cell r="E1374" t="str">
            <v>truong.than@amaris.com</v>
          </cell>
        </row>
        <row r="1375">
          <cell r="B1375">
            <v>21582</v>
          </cell>
          <cell r="E1375" t="str">
            <v>tnguyenthithanh@mantu.com</v>
          </cell>
        </row>
        <row r="1376">
          <cell r="B1376">
            <v>21717</v>
          </cell>
          <cell r="E1376" t="str">
            <v>hoanghai.can@amaris.com</v>
          </cell>
        </row>
        <row r="1377">
          <cell r="B1377">
            <v>21635</v>
          </cell>
          <cell r="E1377" t="str">
            <v>kimngan.dangthi@amaris.com</v>
          </cell>
        </row>
        <row r="1378">
          <cell r="B1378">
            <v>27694</v>
          </cell>
          <cell r="E1378" t="str">
            <v>vantrien.dang@amaris.com</v>
          </cell>
        </row>
        <row r="1379">
          <cell r="B1379">
            <v>21659</v>
          </cell>
          <cell r="E1379" t="str">
            <v>minhthu.nguyen@amaris.com</v>
          </cell>
        </row>
        <row r="1380">
          <cell r="B1380">
            <v>21963</v>
          </cell>
          <cell r="E1380" t="str">
            <v>tranthi.maithuong@amaris.com</v>
          </cell>
        </row>
        <row r="1381">
          <cell r="B1381">
            <v>22457</v>
          </cell>
          <cell r="E1381" t="str">
            <v>tthieule@mantu.com</v>
          </cell>
        </row>
        <row r="1382">
          <cell r="B1382">
            <v>21951</v>
          </cell>
          <cell r="E1382" t="str">
            <v>thanhtung.le@amaris.com</v>
          </cell>
        </row>
        <row r="1383">
          <cell r="B1383">
            <v>21966</v>
          </cell>
          <cell r="E1383" t="str">
            <v>ntran3@mantu.com</v>
          </cell>
        </row>
        <row r="1384">
          <cell r="B1384">
            <v>21895</v>
          </cell>
          <cell r="E1384" t="str">
            <v>khiet.nguyen@amaris.com</v>
          </cell>
        </row>
        <row r="1385">
          <cell r="B1385">
            <v>22131</v>
          </cell>
          <cell r="E1385" t="str">
            <v>thuynh6@amaris.com</v>
          </cell>
        </row>
        <row r="1386">
          <cell r="B1386">
            <v>21386</v>
          </cell>
          <cell r="E1386" t="str">
            <v>le.thanhnguyen@amaris.com</v>
          </cell>
        </row>
        <row r="1387">
          <cell r="B1387">
            <v>21605</v>
          </cell>
          <cell r="E1387" t="str">
            <v>tlenguyenthiphuong@mantu.com</v>
          </cell>
        </row>
        <row r="1388">
          <cell r="B1388">
            <v>21604</v>
          </cell>
          <cell r="E1388" t="str">
            <v>kle1@amaris.com</v>
          </cell>
        </row>
        <row r="1389">
          <cell r="B1389">
            <v>28376</v>
          </cell>
          <cell r="E1389" t="str">
            <v>quocnhu.mai@amaris.com</v>
          </cell>
        </row>
        <row r="1390">
          <cell r="B1390">
            <v>21747</v>
          </cell>
          <cell r="E1390" t="str">
            <v>quangsang.cao@amaris.com</v>
          </cell>
        </row>
        <row r="1391">
          <cell r="B1391">
            <v>21857</v>
          </cell>
          <cell r="E1391" t="str">
            <v>nguyen.phucphi@amaris.com</v>
          </cell>
        </row>
        <row r="1392">
          <cell r="B1392">
            <v>21983</v>
          </cell>
          <cell r="E1392" t="str">
            <v>thanhthuan.nguyenvan@amaris.com</v>
          </cell>
        </row>
        <row r="1393">
          <cell r="B1393">
            <v>21921</v>
          </cell>
          <cell r="E1393" t="str">
            <v>dang.anhkiet@amaris.com</v>
          </cell>
        </row>
        <row r="1394">
          <cell r="B1394">
            <v>26822</v>
          </cell>
          <cell r="E1394" t="str">
            <v>hha3@amaris.com</v>
          </cell>
        </row>
        <row r="1395">
          <cell r="B1395">
            <v>22061</v>
          </cell>
          <cell r="E1395" t="str">
            <v>chau.vuthithanh@amaris.com</v>
          </cell>
        </row>
        <row r="1396">
          <cell r="B1396">
            <v>22233</v>
          </cell>
          <cell r="E1396" t="str">
            <v>vu.duyduong@amaris.com</v>
          </cell>
        </row>
        <row r="1397">
          <cell r="B1397">
            <v>23887</v>
          </cell>
          <cell r="E1397" t="str">
            <v>dinhquyen.phan@amaris.com</v>
          </cell>
        </row>
        <row r="1398">
          <cell r="B1398">
            <v>22113</v>
          </cell>
          <cell r="E1398" t="str">
            <v>nguyen.thethanh@amaris.com</v>
          </cell>
        </row>
        <row r="1399">
          <cell r="B1399">
            <v>22254</v>
          </cell>
          <cell r="E1399" t="str">
            <v>hongnguyen.chuong@amaris.com</v>
          </cell>
        </row>
        <row r="1400">
          <cell r="B1400">
            <v>22287</v>
          </cell>
          <cell r="E1400" t="str">
            <v>minhhuy.le@amaris.com</v>
          </cell>
        </row>
        <row r="1401">
          <cell r="B1401">
            <v>22253</v>
          </cell>
          <cell r="E1401" t="str">
            <v>vanninh.nguyen@amaris.com</v>
          </cell>
        </row>
        <row r="1402">
          <cell r="B1402">
            <v>24134</v>
          </cell>
          <cell r="E1402" t="str">
            <v>lehoang.bui@amaris.com</v>
          </cell>
        </row>
        <row r="1403">
          <cell r="B1403">
            <v>22641</v>
          </cell>
          <cell r="E1403" t="str">
            <v>natcha.wattanaassanasena@amaris.com</v>
          </cell>
        </row>
        <row r="1404">
          <cell r="B1404">
            <v>23239</v>
          </cell>
          <cell r="E1404" t="str">
            <v>tuanduc.ngo@amaris.com</v>
          </cell>
        </row>
        <row r="1405">
          <cell r="B1405">
            <v>22842</v>
          </cell>
          <cell r="E1405" t="str">
            <v>unguyen1@amaris.com</v>
          </cell>
        </row>
        <row r="1406">
          <cell r="B1406">
            <v>24299</v>
          </cell>
          <cell r="E1406" t="str">
            <v>tho2@mantu.com</v>
          </cell>
        </row>
        <row r="1407">
          <cell r="B1407">
            <v>23002</v>
          </cell>
          <cell r="E1407" t="str">
            <v>thihue.do@amaris.com</v>
          </cell>
        </row>
        <row r="1408">
          <cell r="B1408">
            <v>22896</v>
          </cell>
          <cell r="E1408" t="str">
            <v>manhquynh.nguyen@amaris.com</v>
          </cell>
        </row>
        <row r="1409">
          <cell r="B1409">
            <v>23558</v>
          </cell>
          <cell r="E1409" t="str">
            <v>tong1@mantu.com</v>
          </cell>
        </row>
        <row r="1410">
          <cell r="B1410">
            <v>23605</v>
          </cell>
          <cell r="E1410" t="str">
            <v>vuphuong.nguyen@amaris.com</v>
          </cell>
        </row>
        <row r="1411">
          <cell r="B1411">
            <v>23748</v>
          </cell>
          <cell r="E1411" t="str">
            <v>minhdung.nguyen@amaris.com</v>
          </cell>
        </row>
        <row r="1412">
          <cell r="B1412">
            <v>23449</v>
          </cell>
          <cell r="E1412" t="str">
            <v>hilmisidek.khairul@amaris.com</v>
          </cell>
        </row>
        <row r="1413">
          <cell r="B1413">
            <v>23796</v>
          </cell>
          <cell r="E1413" t="str">
            <v>tuanhung.lam@amaris.com</v>
          </cell>
        </row>
        <row r="1414">
          <cell r="B1414">
            <v>23837</v>
          </cell>
          <cell r="E1414" t="str">
            <v>conghai.duong@amaris.com</v>
          </cell>
        </row>
        <row r="1415">
          <cell r="B1415">
            <v>24009</v>
          </cell>
          <cell r="E1415" t="str">
            <v>mtran1@mantu.com</v>
          </cell>
        </row>
        <row r="1416">
          <cell r="B1416">
            <v>24021</v>
          </cell>
          <cell r="E1416" t="str">
            <v>nhattai.dao@amaris.com</v>
          </cell>
        </row>
        <row r="1417">
          <cell r="B1417">
            <v>22203</v>
          </cell>
          <cell r="E1417" t="str">
            <v>phuong.leminh@littlebigconnection.com</v>
          </cell>
        </row>
        <row r="1418">
          <cell r="B1418">
            <v>32405</v>
          </cell>
          <cell r="E1418" t="str">
            <v>phuongnam.pham@amaris.com</v>
          </cell>
        </row>
        <row r="1419">
          <cell r="B1419">
            <v>23700</v>
          </cell>
          <cell r="E1419" t="str">
            <v>duchuy.do@amaris.com</v>
          </cell>
        </row>
        <row r="1420">
          <cell r="B1420">
            <v>22830</v>
          </cell>
          <cell r="E1420" t="str">
            <v>mnguyen9@mantu.com</v>
          </cell>
        </row>
        <row r="1421">
          <cell r="B1421">
            <v>23896</v>
          </cell>
          <cell r="E1421" t="str">
            <v>nguyen.vu1@amaris.com</v>
          </cell>
        </row>
        <row r="1422">
          <cell r="B1422">
            <v>23461</v>
          </cell>
          <cell r="E1422" t="str">
            <v>thanhson.nguyen@amaris.com</v>
          </cell>
        </row>
        <row r="1423">
          <cell r="B1423">
            <v>22782</v>
          </cell>
          <cell r="E1423" t="str">
            <v>tnguyen24@mantu.com</v>
          </cell>
        </row>
        <row r="1424">
          <cell r="B1424">
            <v>22798</v>
          </cell>
          <cell r="E1424" t="str">
            <v>tchung@mantu.com</v>
          </cell>
        </row>
        <row r="1425">
          <cell r="B1425">
            <v>22769</v>
          </cell>
          <cell r="E1425" t="str">
            <v>thienhieu.nguyen@amaris.com</v>
          </cell>
        </row>
        <row r="1426">
          <cell r="B1426">
            <v>22951</v>
          </cell>
          <cell r="E1426" t="str">
            <v>chien.tran@littlebigconnection.com</v>
          </cell>
        </row>
        <row r="1427">
          <cell r="B1427">
            <v>23783</v>
          </cell>
          <cell r="E1427" t="str">
            <v>phuonggiang.nguyenbinh@amaris.com</v>
          </cell>
        </row>
        <row r="1428">
          <cell r="B1428">
            <v>23312</v>
          </cell>
          <cell r="E1428" t="str">
            <v>binh.nguyenquang@amaris.com</v>
          </cell>
        </row>
        <row r="1429">
          <cell r="B1429">
            <v>23795</v>
          </cell>
          <cell r="E1429" t="str">
            <v>nguyenthuy.le@amaris.com</v>
          </cell>
        </row>
        <row r="1430">
          <cell r="B1430">
            <v>23901</v>
          </cell>
          <cell r="E1430" t="str">
            <v>anita.kosuru@amaris.com</v>
          </cell>
        </row>
        <row r="1431">
          <cell r="B1431">
            <v>23666</v>
          </cell>
          <cell r="E1431" t="str">
            <v>ngocnguyen.cao@amaris.com</v>
          </cell>
        </row>
        <row r="1432">
          <cell r="B1432">
            <v>23496</v>
          </cell>
          <cell r="E1432" t="str">
            <v>kimchi.tathi@amaris.com</v>
          </cell>
        </row>
        <row r="1433">
          <cell r="B1433">
            <v>21955</v>
          </cell>
          <cell r="E1433" t="str">
            <v>nguyetha.nguyenthi@amaris.com</v>
          </cell>
        </row>
        <row r="1434">
          <cell r="B1434">
            <v>21954</v>
          </cell>
          <cell r="E1434" t="str">
            <v>nguyen.tanthanh@amaris.com</v>
          </cell>
        </row>
        <row r="1435">
          <cell r="B1435">
            <v>22032</v>
          </cell>
          <cell r="E1435" t="str">
            <v>hle7@amaris.com</v>
          </cell>
        </row>
        <row r="1436">
          <cell r="B1436">
            <v>22213</v>
          </cell>
          <cell r="E1436" t="str">
            <v>long.lekim@amaris.com</v>
          </cell>
        </row>
        <row r="1437">
          <cell r="B1437">
            <v>22277</v>
          </cell>
          <cell r="E1437" t="str">
            <v>tluong1@amaris.com</v>
          </cell>
        </row>
        <row r="1438">
          <cell r="B1438">
            <v>22251</v>
          </cell>
          <cell r="E1438" t="str">
            <v>thienthuan.nguyen@amaris.com</v>
          </cell>
        </row>
        <row r="1439">
          <cell r="B1439">
            <v>22587</v>
          </cell>
          <cell r="E1439" t="str">
            <v>dnguyen17@amaris.com</v>
          </cell>
        </row>
        <row r="1440">
          <cell r="B1440">
            <v>22419</v>
          </cell>
          <cell r="E1440" t="str">
            <v>hoainam.nguyenhuu@amaris.com</v>
          </cell>
        </row>
        <row r="1441">
          <cell r="B1441">
            <v>22988</v>
          </cell>
          <cell r="E1441" t="str">
            <v>honghanh.lethi@amaris.com</v>
          </cell>
        </row>
        <row r="1442">
          <cell r="B1442">
            <v>23038</v>
          </cell>
          <cell r="E1442" t="str">
            <v>my.phanthipha@amaris.com</v>
          </cell>
        </row>
        <row r="1443">
          <cell r="B1443">
            <v>24155</v>
          </cell>
          <cell r="E1443" t="str">
            <v>tlamare@amaris.com</v>
          </cell>
        </row>
        <row r="1444">
          <cell r="B1444">
            <v>23593</v>
          </cell>
          <cell r="E1444" t="str">
            <v>tiendung.le@amaris.com</v>
          </cell>
        </row>
        <row r="1445">
          <cell r="B1445">
            <v>23604</v>
          </cell>
          <cell r="E1445" t="str">
            <v>thanhphuoc.le@amaris.com</v>
          </cell>
        </row>
        <row r="1446">
          <cell r="B1446">
            <v>23702</v>
          </cell>
          <cell r="E1446" t="str">
            <v>bhuynh@mantu.com</v>
          </cell>
        </row>
        <row r="1447">
          <cell r="B1447">
            <v>23860</v>
          </cell>
          <cell r="E1447" t="str">
            <v>quochuy.phu@amaris.com</v>
          </cell>
        </row>
        <row r="1448">
          <cell r="B1448">
            <v>24093</v>
          </cell>
          <cell r="E1448" t="str">
            <v>rnguyen@mantu.com</v>
          </cell>
        </row>
        <row r="1449">
          <cell r="B1449">
            <v>24022</v>
          </cell>
          <cell r="E1449" t="str">
            <v>quangthien.nguyen@amaris.com</v>
          </cell>
        </row>
        <row r="1450">
          <cell r="B1450">
            <v>23928</v>
          </cell>
          <cell r="E1450" t="str">
            <v>quangtu.truong@amaris.com</v>
          </cell>
        </row>
        <row r="1451">
          <cell r="B1451">
            <v>23894</v>
          </cell>
          <cell r="E1451" t="str">
            <v>nguyen.minhquan@amaris.com</v>
          </cell>
        </row>
        <row r="1452">
          <cell r="B1452">
            <v>23935</v>
          </cell>
          <cell r="E1452" t="str">
            <v>dluong@mantu.com</v>
          </cell>
        </row>
        <row r="1453">
          <cell r="B1453">
            <v>24046</v>
          </cell>
          <cell r="E1453" t="str">
            <v>duchieu.nguyen@amaris.com</v>
          </cell>
        </row>
        <row r="1454">
          <cell r="B1454">
            <v>23871</v>
          </cell>
          <cell r="E1454" t="str">
            <v>reddy.puttaparthi@littlebigconnection.com</v>
          </cell>
        </row>
        <row r="1455">
          <cell r="B1455">
            <v>24066</v>
          </cell>
          <cell r="E1455" t="str">
            <v>tuanphong.ngotran@amaris.com</v>
          </cell>
        </row>
        <row r="1456">
          <cell r="B1456">
            <v>24291</v>
          </cell>
          <cell r="E1456" t="str">
            <v>knguyentrantrung@mantu.com</v>
          </cell>
        </row>
        <row r="1457">
          <cell r="B1457">
            <v>23747</v>
          </cell>
          <cell r="E1457" t="str">
            <v>ttran23@mantu.com</v>
          </cell>
        </row>
        <row r="1458">
          <cell r="B1458">
            <v>23969</v>
          </cell>
          <cell r="E1458" t="str">
            <v>thanhdinh.giang@amaris.com</v>
          </cell>
        </row>
        <row r="1459">
          <cell r="B1459">
            <v>23819</v>
          </cell>
          <cell r="E1459" t="str">
            <v>nha.vodinh@amaris.com</v>
          </cell>
        </row>
        <row r="1460">
          <cell r="B1460">
            <v>23720</v>
          </cell>
          <cell r="E1460" t="str">
            <v>hiepluc.nguyen@amaris.com</v>
          </cell>
        </row>
        <row r="1461">
          <cell r="B1461">
            <v>24869</v>
          </cell>
          <cell r="E1461" t="str">
            <v>nnguyen13@mantu.com</v>
          </cell>
        </row>
        <row r="1462">
          <cell r="B1462">
            <v>26210</v>
          </cell>
          <cell r="E1462" t="str">
            <v>vantai.nguyen@amaris.com</v>
          </cell>
        </row>
        <row r="1463">
          <cell r="B1463">
            <v>23913</v>
          </cell>
          <cell r="E1463" t="str">
            <v>quang.phungtran@amaris.com</v>
          </cell>
        </row>
        <row r="1464">
          <cell r="B1464">
            <v>24118</v>
          </cell>
          <cell r="E1464" t="str">
            <v>ktrinhngoc@mantu.com</v>
          </cell>
        </row>
        <row r="1465">
          <cell r="B1465">
            <v>22610</v>
          </cell>
          <cell r="E1465" t="str">
            <v>vnguyen9@mantu.com</v>
          </cell>
        </row>
        <row r="1466">
          <cell r="B1466">
            <v>24306</v>
          </cell>
          <cell r="E1466" t="str">
            <v>hoangnam.vodai@amaris.com</v>
          </cell>
        </row>
        <row r="1467">
          <cell r="B1467">
            <v>22875</v>
          </cell>
          <cell r="E1467" t="str">
            <v>quocanh.do@amaris.com</v>
          </cell>
        </row>
        <row r="1468">
          <cell r="B1468">
            <v>22709</v>
          </cell>
          <cell r="E1468" t="str">
            <v>nguyencao.anhtuan@amaris.com</v>
          </cell>
        </row>
        <row r="1469">
          <cell r="B1469">
            <v>22865</v>
          </cell>
          <cell r="E1469" t="str">
            <v>ly.buimaiquynh@amaris.com</v>
          </cell>
        </row>
        <row r="1470">
          <cell r="B1470">
            <v>28731</v>
          </cell>
          <cell r="E1470" t="str">
            <v>tuanhien.nguyen@amaris.com</v>
          </cell>
        </row>
        <row r="1471">
          <cell r="B1471">
            <v>23884</v>
          </cell>
          <cell r="E1471" t="str">
            <v>marcusjoshua.so@amaris.com</v>
          </cell>
        </row>
        <row r="1472">
          <cell r="B1472">
            <v>23863</v>
          </cell>
          <cell r="E1472" t="str">
            <v>truong.vuhuu@amaris.com</v>
          </cell>
        </row>
        <row r="1473">
          <cell r="B1473">
            <v>23912</v>
          </cell>
          <cell r="E1473" t="str">
            <v>thanhpham.cuong@amaris.com</v>
          </cell>
        </row>
        <row r="1474">
          <cell r="B1474">
            <v>23937</v>
          </cell>
          <cell r="E1474" t="str">
            <v>tle13@mantu.com</v>
          </cell>
        </row>
        <row r="1475">
          <cell r="B1475">
            <v>23942</v>
          </cell>
          <cell r="E1475" t="str">
            <v>xuanhoa.vo@amaris.com</v>
          </cell>
        </row>
        <row r="1476">
          <cell r="B1476">
            <v>24393</v>
          </cell>
          <cell r="E1476" t="str">
            <v>tngo4@amaris.com</v>
          </cell>
        </row>
        <row r="1477">
          <cell r="B1477">
            <v>23966</v>
          </cell>
          <cell r="E1477" t="str">
            <v>huutung.le@amaris.com</v>
          </cell>
        </row>
        <row r="1478">
          <cell r="B1478">
            <v>24044</v>
          </cell>
          <cell r="E1478" t="str">
            <v>nluu@mantu.com</v>
          </cell>
        </row>
        <row r="1479">
          <cell r="B1479">
            <v>24495</v>
          </cell>
          <cell r="E1479" t="str">
            <v>dpham1@mantu.com</v>
          </cell>
        </row>
        <row r="1480">
          <cell r="B1480">
            <v>24247</v>
          </cell>
          <cell r="E1480" t="str">
            <v>tmai1@mantu.com</v>
          </cell>
        </row>
        <row r="1481">
          <cell r="B1481">
            <v>31757</v>
          </cell>
          <cell r="E1481" t="str">
            <v>dinhthang.le@amaris.com</v>
          </cell>
        </row>
        <row r="1482">
          <cell r="B1482">
            <v>24554</v>
          </cell>
          <cell r="E1482" t="str">
            <v>hongtrang.dinhthi@amaris.com</v>
          </cell>
        </row>
        <row r="1483">
          <cell r="B1483">
            <v>28956</v>
          </cell>
          <cell r="E1483" t="str">
            <v>tuananh.pham1@amaris.com</v>
          </cell>
        </row>
        <row r="1484">
          <cell r="B1484">
            <v>24625</v>
          </cell>
          <cell r="E1484" t="str">
            <v>haimien.nguyen@amaris.com</v>
          </cell>
        </row>
        <row r="1485">
          <cell r="B1485">
            <v>24797</v>
          </cell>
          <cell r="E1485" t="str">
            <v>vinam.nhan@amaris.com</v>
          </cell>
        </row>
        <row r="1486">
          <cell r="B1486">
            <v>24746</v>
          </cell>
          <cell r="E1486" t="str">
            <v>quocoai.nguyen@amaris.com</v>
          </cell>
        </row>
        <row r="1487">
          <cell r="B1487">
            <v>25414</v>
          </cell>
          <cell r="E1487" t="str">
            <v>rachid.handouch@amaris.com</v>
          </cell>
        </row>
        <row r="1488">
          <cell r="B1488">
            <v>24992</v>
          </cell>
          <cell r="E1488" t="str">
            <v>minhtu.truong@amaris.com</v>
          </cell>
        </row>
        <row r="1489">
          <cell r="B1489">
            <v>25176</v>
          </cell>
          <cell r="E1489" t="str">
            <v>lnguyen6@amaris.com</v>
          </cell>
        </row>
        <row r="1490">
          <cell r="B1490">
            <v>24887</v>
          </cell>
          <cell r="E1490" t="str">
            <v>mbuitrang@mantu.com</v>
          </cell>
        </row>
        <row r="1491">
          <cell r="B1491">
            <v>25084</v>
          </cell>
          <cell r="E1491" t="str">
            <v>trongnhan.quang@amaris.com</v>
          </cell>
        </row>
        <row r="1492">
          <cell r="B1492">
            <v>25081</v>
          </cell>
          <cell r="E1492" t="str">
            <v>vanphong.ngo@amaris.com</v>
          </cell>
        </row>
        <row r="1493">
          <cell r="B1493">
            <v>37351</v>
          </cell>
          <cell r="E1493" t="str">
            <v>anhdac.nguyen@amaris.com</v>
          </cell>
        </row>
        <row r="1494">
          <cell r="B1494">
            <v>25080</v>
          </cell>
          <cell r="E1494" t="str">
            <v>nguyenkhang.le@amaris.com</v>
          </cell>
        </row>
        <row r="1495">
          <cell r="B1495">
            <v>23838</v>
          </cell>
          <cell r="E1495" t="str">
            <v>daibao.diep@amaris.com</v>
          </cell>
        </row>
        <row r="1496">
          <cell r="B1496">
            <v>23987</v>
          </cell>
          <cell r="E1496" t="str">
            <v>viet.nguyen1@amaris.com</v>
          </cell>
        </row>
        <row r="1497">
          <cell r="B1497">
            <v>23859</v>
          </cell>
          <cell r="E1497" t="str">
            <v>xingjie.zhang@amaris.com</v>
          </cell>
        </row>
        <row r="1498">
          <cell r="B1498">
            <v>24193</v>
          </cell>
          <cell r="E1498" t="str">
            <v>vtran4@mantu.com</v>
          </cell>
        </row>
        <row r="1499">
          <cell r="B1499">
            <v>23967</v>
          </cell>
          <cell r="E1499" t="str">
            <v>tbuithithanh@mantu.com</v>
          </cell>
        </row>
        <row r="1500">
          <cell r="B1500">
            <v>23991</v>
          </cell>
          <cell r="E1500" t="str">
            <v>dinhthi.hong@amaris.com</v>
          </cell>
        </row>
        <row r="1501">
          <cell r="B1501">
            <v>24067</v>
          </cell>
          <cell r="E1501" t="str">
            <v>tle14@mantu.com</v>
          </cell>
        </row>
        <row r="1502">
          <cell r="B1502">
            <v>24001</v>
          </cell>
          <cell r="E1502" t="str">
            <v>thanhloc.nguyen@amaris.com</v>
          </cell>
        </row>
        <row r="1503">
          <cell r="B1503">
            <v>24109</v>
          </cell>
          <cell r="E1503" t="str">
            <v>lanchi.nguyenthi@amaris.com</v>
          </cell>
        </row>
        <row r="1504">
          <cell r="B1504">
            <v>24319</v>
          </cell>
          <cell r="E1504" t="str">
            <v>binh.pham@arneo.io</v>
          </cell>
        </row>
        <row r="1505">
          <cell r="B1505">
            <v>24235</v>
          </cell>
          <cell r="E1505" t="str">
            <v>minhtruc.nguyen@amaris.com</v>
          </cell>
        </row>
        <row r="1506">
          <cell r="B1506">
            <v>24130</v>
          </cell>
          <cell r="E1506" t="str">
            <v>qle1@mantu.com</v>
          </cell>
        </row>
        <row r="1507">
          <cell r="B1507">
            <v>24539</v>
          </cell>
          <cell r="E1507" t="str">
            <v>tnguyen49@mantu.com</v>
          </cell>
        </row>
        <row r="1508">
          <cell r="B1508">
            <v>37422</v>
          </cell>
          <cell r="E1508" t="str">
            <v>chienhao.cao@amaris.com</v>
          </cell>
        </row>
        <row r="1509">
          <cell r="B1509">
            <v>24671</v>
          </cell>
          <cell r="E1509" t="str">
            <v>thanhquang.tran@amaris.com</v>
          </cell>
        </row>
        <row r="1510">
          <cell r="B1510">
            <v>24459</v>
          </cell>
          <cell r="E1510" t="str">
            <v>pdang@mantu.com</v>
          </cell>
        </row>
        <row r="1511">
          <cell r="B1511">
            <v>29651</v>
          </cell>
          <cell r="E1511" t="str">
            <v>ducthanh.nguyen@amaris.com</v>
          </cell>
        </row>
        <row r="1512">
          <cell r="B1512">
            <v>27961</v>
          </cell>
          <cell r="E1512" t="str">
            <v>minhman.nguyen@amaris.com</v>
          </cell>
        </row>
        <row r="1513">
          <cell r="B1513">
            <v>23326</v>
          </cell>
          <cell r="E1513" t="str">
            <v>maitrang.buithi@amaris.com</v>
          </cell>
        </row>
        <row r="1514">
          <cell r="B1514">
            <v>23230</v>
          </cell>
          <cell r="E1514" t="str">
            <v>vanhue.nguyen@amaris.com</v>
          </cell>
        </row>
        <row r="1515">
          <cell r="B1515">
            <v>23437</v>
          </cell>
          <cell r="E1515" t="str">
            <v>minhduc.pham@amaris.com</v>
          </cell>
        </row>
        <row r="1516">
          <cell r="B1516">
            <v>28590</v>
          </cell>
          <cell r="E1516" t="str">
            <v>lvo2@mantu.com</v>
          </cell>
        </row>
        <row r="1517">
          <cell r="B1517">
            <v>23377</v>
          </cell>
          <cell r="E1517" t="str">
            <v>tringuyen.tham@amaris.com</v>
          </cell>
        </row>
        <row r="1518">
          <cell r="B1518">
            <v>23378</v>
          </cell>
          <cell r="E1518" t="str">
            <v>ptran1@mantu.com</v>
          </cell>
        </row>
        <row r="1519">
          <cell r="B1519">
            <v>23499</v>
          </cell>
          <cell r="E1519" t="str">
            <v>lehai.tran@amaris.com</v>
          </cell>
        </row>
        <row r="1520">
          <cell r="B1520">
            <v>23895</v>
          </cell>
          <cell r="E1520" t="str">
            <v>chaithanyalakshmi.vangala@amaris.com</v>
          </cell>
        </row>
        <row r="1521">
          <cell r="B1521">
            <v>24597</v>
          </cell>
          <cell r="E1521" t="str">
            <v>trunghien.ho@amaris.com</v>
          </cell>
        </row>
        <row r="1522">
          <cell r="B1522">
            <v>24465</v>
          </cell>
          <cell r="E1522" t="str">
            <v>khanhlinh.tran@amaris.com</v>
          </cell>
        </row>
        <row r="1523">
          <cell r="B1523">
            <v>24243</v>
          </cell>
          <cell r="E1523" t="str">
            <v>kha.dangminh@amaris.com</v>
          </cell>
        </row>
        <row r="1524">
          <cell r="B1524">
            <v>25234</v>
          </cell>
          <cell r="E1524" t="str">
            <v>khacngoc.cao@amaris.com</v>
          </cell>
        </row>
        <row r="1525">
          <cell r="B1525">
            <v>24809</v>
          </cell>
          <cell r="E1525" t="str">
            <v>trongnguyen.than@amaris.com</v>
          </cell>
        </row>
        <row r="1526">
          <cell r="B1526">
            <v>24786</v>
          </cell>
          <cell r="E1526" t="str">
            <v>tnguyen50@mantu.com</v>
          </cell>
        </row>
        <row r="1527">
          <cell r="B1527">
            <v>24657</v>
          </cell>
          <cell r="E1527" t="str">
            <v>xuanhuy.dinh@amaris.com</v>
          </cell>
        </row>
        <row r="1528">
          <cell r="B1528">
            <v>24876</v>
          </cell>
          <cell r="E1528" t="str">
            <v>mpham2@mantu.com</v>
          </cell>
        </row>
        <row r="1529">
          <cell r="B1529">
            <v>24802</v>
          </cell>
          <cell r="E1529" t="str">
            <v>tuananh.nguyenhuynh@amaris.com</v>
          </cell>
        </row>
        <row r="1530">
          <cell r="B1530">
            <v>24705</v>
          </cell>
          <cell r="E1530" t="str">
            <v>ndo1@mantu.com</v>
          </cell>
        </row>
        <row r="1531">
          <cell r="B1531">
            <v>24904</v>
          </cell>
          <cell r="E1531" t="str">
            <v>dinhhung.hoang@amaris.com</v>
          </cell>
        </row>
        <row r="1532">
          <cell r="B1532">
            <v>24943</v>
          </cell>
          <cell r="E1532" t="str">
            <v>vietanh.do@amaris.com</v>
          </cell>
        </row>
        <row r="1533">
          <cell r="B1533">
            <v>25077</v>
          </cell>
          <cell r="E1533" t="str">
            <v>lduongthitu@mantu.com</v>
          </cell>
        </row>
        <row r="1534">
          <cell r="B1534">
            <v>25061</v>
          </cell>
          <cell r="E1534" t="str">
            <v>hoangphuc.nguyen@amaris.com</v>
          </cell>
        </row>
        <row r="1535">
          <cell r="B1535">
            <v>36984</v>
          </cell>
          <cell r="E1535" t="str">
            <v>cnguyen@mantu.com</v>
          </cell>
        </row>
        <row r="1536">
          <cell r="B1536">
            <v>25363</v>
          </cell>
          <cell r="E1536" t="str">
            <v>yenchi.nguyen@amaris.com</v>
          </cell>
        </row>
        <row r="1537">
          <cell r="B1537">
            <v>29186</v>
          </cell>
          <cell r="E1537" t="str">
            <v>uhonguyenhong@amaris.com</v>
          </cell>
        </row>
        <row r="1538">
          <cell r="B1538">
            <v>25359</v>
          </cell>
          <cell r="E1538" t="str">
            <v>dtran5@mantu.com</v>
          </cell>
        </row>
        <row r="1539">
          <cell r="B1539">
            <v>31983</v>
          </cell>
          <cell r="E1539" t="str">
            <v>ngoctoan.nguyen@amaris.com</v>
          </cell>
        </row>
        <row r="1540">
          <cell r="B1540">
            <v>35119</v>
          </cell>
          <cell r="E1540" t="str">
            <v>phuong.vu@amaris.com</v>
          </cell>
        </row>
        <row r="1541">
          <cell r="B1541">
            <v>25235</v>
          </cell>
          <cell r="E1541" t="str">
            <v>thoang4@mantu.com</v>
          </cell>
        </row>
        <row r="1542">
          <cell r="B1542">
            <v>25373</v>
          </cell>
          <cell r="E1542" t="str">
            <v>minhhung.tran@amaris.com</v>
          </cell>
        </row>
        <row r="1543">
          <cell r="B1543">
            <v>25473</v>
          </cell>
          <cell r="E1543" t="str">
            <v>mtranthi@mantu.com</v>
          </cell>
        </row>
        <row r="1544">
          <cell r="B1544">
            <v>24324</v>
          </cell>
          <cell r="E1544" t="str">
            <v>tientien.nguyenthi@amaris.com</v>
          </cell>
        </row>
        <row r="1545">
          <cell r="B1545">
            <v>24340</v>
          </cell>
          <cell r="E1545" t="str">
            <v>danganh.nguyen@amaris.com</v>
          </cell>
        </row>
        <row r="1546">
          <cell r="B1546">
            <v>24496</v>
          </cell>
          <cell r="E1546" t="str">
            <v>mhoang4@mantu.com</v>
          </cell>
        </row>
        <row r="1547">
          <cell r="B1547">
            <v>24526</v>
          </cell>
          <cell r="E1547" t="str">
            <v>ltran3@mantu.com</v>
          </cell>
        </row>
        <row r="1548">
          <cell r="B1548">
            <v>37989</v>
          </cell>
          <cell r="E1548" t="str">
            <v>namanh.nguyen@amaris.com</v>
          </cell>
        </row>
        <row r="1549">
          <cell r="B1549">
            <v>31933</v>
          </cell>
          <cell r="E1549" t="str">
            <v>quangkhanh.trinh@amaris.com</v>
          </cell>
        </row>
        <row r="1550">
          <cell r="B1550">
            <v>24491</v>
          </cell>
          <cell r="E1550" t="str">
            <v>huynhdoan.viet@amaris.com</v>
          </cell>
        </row>
        <row r="1551">
          <cell r="B1551">
            <v>25907</v>
          </cell>
          <cell r="E1551" t="str">
            <v>vanhuy.ho@amaris.com</v>
          </cell>
        </row>
        <row r="1552">
          <cell r="B1552">
            <v>25522</v>
          </cell>
          <cell r="E1552" t="str">
            <v>hpham3@mantu.com</v>
          </cell>
        </row>
        <row r="1553">
          <cell r="B1553">
            <v>24805</v>
          </cell>
          <cell r="E1553" t="str">
            <v>nnam@mantu.com</v>
          </cell>
        </row>
        <row r="1554">
          <cell r="B1554">
            <v>36219</v>
          </cell>
          <cell r="E1554" t="str">
            <v>dogia.phan@amaris.com</v>
          </cell>
        </row>
        <row r="1555">
          <cell r="B1555">
            <v>25082</v>
          </cell>
          <cell r="E1555" t="str">
            <v>hoangviet.tranvu@amaris.com</v>
          </cell>
        </row>
        <row r="1556">
          <cell r="B1556">
            <v>25089</v>
          </cell>
          <cell r="E1556" t="str">
            <v>vanle.nguyen@amaris.com</v>
          </cell>
        </row>
        <row r="1557">
          <cell r="B1557">
            <v>25125</v>
          </cell>
          <cell r="E1557" t="str">
            <v>ngoctoan.tran@amaris.com</v>
          </cell>
        </row>
        <row r="1558">
          <cell r="B1558">
            <v>32818</v>
          </cell>
          <cell r="E1558" t="str">
            <v>trongdien.vo@amaris.com</v>
          </cell>
        </row>
        <row r="1559">
          <cell r="B1559">
            <v>25491</v>
          </cell>
          <cell r="E1559" t="str">
            <v>pto1@mantu.com</v>
          </cell>
        </row>
        <row r="1560">
          <cell r="B1560">
            <v>33664</v>
          </cell>
          <cell r="E1560" t="str">
            <v>ankhang.luudang@amaris.com</v>
          </cell>
        </row>
        <row r="1561">
          <cell r="B1561">
            <v>25177</v>
          </cell>
          <cell r="E1561" t="str">
            <v>thanhsang.phan@amaris.com</v>
          </cell>
        </row>
        <row r="1562">
          <cell r="B1562">
            <v>26180</v>
          </cell>
          <cell r="E1562" t="str">
            <v>mylinh.truongthi@amaris.com</v>
          </cell>
        </row>
        <row r="1563">
          <cell r="B1563">
            <v>25290</v>
          </cell>
          <cell r="E1563" t="str">
            <v>tphan2@mantu.com</v>
          </cell>
        </row>
        <row r="1564">
          <cell r="B1564">
            <v>25276</v>
          </cell>
          <cell r="E1564" t="str">
            <v>hvu5@mantu.com</v>
          </cell>
        </row>
        <row r="1565">
          <cell r="B1565">
            <v>25751</v>
          </cell>
          <cell r="E1565" t="str">
            <v>hinchung.chan@amaris.com</v>
          </cell>
        </row>
        <row r="1566">
          <cell r="B1566">
            <v>26209</v>
          </cell>
          <cell r="E1566" t="str">
            <v>dinhhop.pham@amaris.com</v>
          </cell>
        </row>
        <row r="1567">
          <cell r="B1567">
            <v>25410</v>
          </cell>
          <cell r="E1567" t="str">
            <v>quanghai.nguyen@amaris.com</v>
          </cell>
        </row>
        <row r="1568">
          <cell r="B1568">
            <v>37846</v>
          </cell>
          <cell r="E1568" t="str">
            <v>ducthien.nguyen@amaris.com</v>
          </cell>
        </row>
        <row r="1569">
          <cell r="B1569">
            <v>25490</v>
          </cell>
          <cell r="E1569" t="str">
            <v>ttran24@mantu.com</v>
          </cell>
        </row>
        <row r="1570">
          <cell r="B1570">
            <v>25651</v>
          </cell>
          <cell r="E1570" t="str">
            <v>hnguyen18@mantu.com</v>
          </cell>
        </row>
        <row r="1571">
          <cell r="B1571">
            <v>25575</v>
          </cell>
          <cell r="E1571" t="str">
            <v>hle8@mantu.com</v>
          </cell>
        </row>
        <row r="1572">
          <cell r="B1572">
            <v>26726</v>
          </cell>
          <cell r="E1572" t="str">
            <v>kvu2@mantu.com</v>
          </cell>
        </row>
        <row r="1573">
          <cell r="B1573">
            <v>25706</v>
          </cell>
          <cell r="E1573" t="str">
            <v>tdang3@mantu.com</v>
          </cell>
        </row>
        <row r="1574">
          <cell r="B1574">
            <v>36114</v>
          </cell>
          <cell r="E1574" t="str">
            <v>ngoctrang.tran@amaris.com</v>
          </cell>
        </row>
        <row r="1575">
          <cell r="B1575">
            <v>25813</v>
          </cell>
          <cell r="E1575" t="str">
            <v>hong.chen@amaris.com</v>
          </cell>
        </row>
        <row r="1576">
          <cell r="B1576">
            <v>26037</v>
          </cell>
          <cell r="E1576" t="str">
            <v>tbui2@amaris.com</v>
          </cell>
        </row>
        <row r="1577">
          <cell r="B1577">
            <v>26137</v>
          </cell>
          <cell r="E1577" t="str">
            <v>hle9@amaris.com</v>
          </cell>
        </row>
        <row r="1578">
          <cell r="B1578">
            <v>26399</v>
          </cell>
          <cell r="E1578" t="str">
            <v>tdo4@amaris.com</v>
          </cell>
        </row>
        <row r="1579">
          <cell r="B1579">
            <v>27250</v>
          </cell>
          <cell r="E1579" t="str">
            <v>hphung@mantu.com</v>
          </cell>
        </row>
        <row r="1580">
          <cell r="B1580">
            <v>37927</v>
          </cell>
          <cell r="E1580" t="str">
            <v>hoangtuan.nguyen1@amaris.com</v>
          </cell>
        </row>
        <row r="1581">
          <cell r="B1581">
            <v>26440</v>
          </cell>
          <cell r="E1581" t="str">
            <v>songtoan.vu@amaris.com</v>
          </cell>
        </row>
        <row r="1582">
          <cell r="B1582">
            <v>26548</v>
          </cell>
          <cell r="E1582" t="str">
            <v>tandat.nguyen@littlebigconnection.com</v>
          </cell>
        </row>
        <row r="1583">
          <cell r="B1583">
            <v>26450</v>
          </cell>
          <cell r="E1583" t="str">
            <v>pcaothi@mantu.com</v>
          </cell>
        </row>
        <row r="1584">
          <cell r="B1584">
            <v>23466</v>
          </cell>
          <cell r="E1584" t="str">
            <v>qnguyen10@mantu.com</v>
          </cell>
        </row>
        <row r="1585">
          <cell r="B1585">
            <v>23739</v>
          </cell>
          <cell r="E1585" t="str">
            <v>trungchi.nguyen@amaris.com</v>
          </cell>
        </row>
        <row r="1586">
          <cell r="B1586">
            <v>23770</v>
          </cell>
          <cell r="E1586" t="str">
            <v>knguyentuan@mantu.com</v>
          </cell>
        </row>
        <row r="1587">
          <cell r="B1587">
            <v>23744</v>
          </cell>
          <cell r="E1587" t="str">
            <v>tnguyen48@amaris.com</v>
          </cell>
        </row>
        <row r="1588">
          <cell r="B1588">
            <v>24012</v>
          </cell>
          <cell r="E1588" t="str">
            <v>mtran2@mantu.com</v>
          </cell>
        </row>
        <row r="1589">
          <cell r="B1589">
            <v>23807</v>
          </cell>
          <cell r="E1589" t="str">
            <v>hha2@mantu.com</v>
          </cell>
        </row>
        <row r="1590">
          <cell r="B1590">
            <v>23911</v>
          </cell>
          <cell r="E1590" t="str">
            <v>mhoang3@mantu.com</v>
          </cell>
        </row>
        <row r="1591">
          <cell r="B1591">
            <v>23862</v>
          </cell>
          <cell r="E1591" t="str">
            <v>ldang@amaris.com</v>
          </cell>
        </row>
        <row r="1592">
          <cell r="B1592">
            <v>23968</v>
          </cell>
          <cell r="E1592" t="str">
            <v>anh.dangquoc@amaris.com</v>
          </cell>
        </row>
        <row r="1593">
          <cell r="B1593">
            <v>24438</v>
          </cell>
          <cell r="E1593" t="str">
            <v>monica.vo@littlebigconnection.com</v>
          </cell>
        </row>
        <row r="1594">
          <cell r="B1594">
            <v>23919</v>
          </cell>
          <cell r="E1594" t="str">
            <v>trucduy.nguyen@amaris.com</v>
          </cell>
        </row>
        <row r="1595">
          <cell r="B1595">
            <v>25476</v>
          </cell>
          <cell r="E1595" t="str">
            <v>tta2@mantu.com</v>
          </cell>
        </row>
        <row r="1596">
          <cell r="B1596">
            <v>24383</v>
          </cell>
          <cell r="E1596" t="str">
            <v>hoangminh.dang@amaris.com</v>
          </cell>
        </row>
        <row r="1597">
          <cell r="B1597">
            <v>25650</v>
          </cell>
          <cell r="E1597" t="str">
            <v>thehieu.ngo@sevencircles.com</v>
          </cell>
        </row>
        <row r="1598">
          <cell r="B1598">
            <v>24489</v>
          </cell>
          <cell r="E1598" t="str">
            <v>nhatle.nguyenthi@amaris.com</v>
          </cell>
        </row>
        <row r="1599">
          <cell r="B1599">
            <v>25167</v>
          </cell>
          <cell r="E1599" t="str">
            <v>dle2@mantu.com</v>
          </cell>
        </row>
        <row r="1600">
          <cell r="B1600">
            <v>25440</v>
          </cell>
          <cell r="E1600" t="str">
            <v>nluu1@mantu.com</v>
          </cell>
        </row>
        <row r="1601">
          <cell r="B1601">
            <v>26248</v>
          </cell>
          <cell r="E1601" t="str">
            <v>adam.ali@amaris.com</v>
          </cell>
        </row>
        <row r="1602">
          <cell r="B1602">
            <v>25620</v>
          </cell>
          <cell r="E1602" t="str">
            <v>hainam.huynhthe@amaris.com</v>
          </cell>
        </row>
        <row r="1603">
          <cell r="B1603">
            <v>26593</v>
          </cell>
          <cell r="E1603" t="str">
            <v>vanquang.nguyen@amaris.com</v>
          </cell>
        </row>
        <row r="1604">
          <cell r="B1604">
            <v>26373</v>
          </cell>
          <cell r="E1604" t="str">
            <v>thinhu.dao@amaris.com</v>
          </cell>
        </row>
        <row r="1605">
          <cell r="B1605">
            <v>25741</v>
          </cell>
          <cell r="E1605" t="str">
            <v>htran4@amaris.com</v>
          </cell>
        </row>
        <row r="1606">
          <cell r="B1606">
            <v>25974</v>
          </cell>
          <cell r="E1606" t="str">
            <v>htran5@mantu.com</v>
          </cell>
        </row>
        <row r="1607">
          <cell r="B1607">
            <v>25621</v>
          </cell>
          <cell r="E1607" t="str">
            <v>qdiep@mantu.com</v>
          </cell>
        </row>
        <row r="1608">
          <cell r="B1608">
            <v>27697</v>
          </cell>
          <cell r="E1608" t="str">
            <v>duytan.nguyen@amaris.com</v>
          </cell>
        </row>
        <row r="1609">
          <cell r="B1609">
            <v>26872</v>
          </cell>
          <cell r="E1609" t="str">
            <v>nguyenhanhdung.dinh@amaris.com</v>
          </cell>
        </row>
        <row r="1610">
          <cell r="B1610">
            <v>25649</v>
          </cell>
          <cell r="E1610" t="str">
            <v>quocviet.ngo@amaris.com</v>
          </cell>
        </row>
        <row r="1611">
          <cell r="B1611">
            <v>25631</v>
          </cell>
          <cell r="E1611" t="str">
            <v>maynguyen@amaris.com</v>
          </cell>
        </row>
        <row r="1612">
          <cell r="B1612">
            <v>28380</v>
          </cell>
          <cell r="E1612" t="str">
            <v>giabao.tran@amaris.com</v>
          </cell>
        </row>
        <row r="1613">
          <cell r="B1613">
            <v>26263</v>
          </cell>
          <cell r="E1613" t="str">
            <v>an.tang1@amaris.com</v>
          </cell>
        </row>
        <row r="1614">
          <cell r="B1614">
            <v>26089</v>
          </cell>
          <cell r="E1614" t="str">
            <v>tnguyen51@mantu.com</v>
          </cell>
        </row>
        <row r="1615">
          <cell r="B1615">
            <v>26097</v>
          </cell>
          <cell r="E1615" t="str">
            <v>quocbinh.nguyen@amaris.com</v>
          </cell>
        </row>
        <row r="1616">
          <cell r="B1616">
            <v>26286</v>
          </cell>
          <cell r="E1616" t="str">
            <v>minhngon.huynh@amaris.com</v>
          </cell>
        </row>
        <row r="1617">
          <cell r="B1617">
            <v>26442</v>
          </cell>
          <cell r="E1617" t="str">
            <v>aphan1@mantu.com</v>
          </cell>
        </row>
        <row r="1618">
          <cell r="B1618">
            <v>26249</v>
          </cell>
          <cell r="E1618" t="str">
            <v>tnguyen52@mantu.com</v>
          </cell>
        </row>
        <row r="1619">
          <cell r="B1619">
            <v>27025</v>
          </cell>
          <cell r="E1619" t="str">
            <v>minhngoc.nguyen@amaris.com</v>
          </cell>
        </row>
        <row r="1620">
          <cell r="B1620">
            <v>26439</v>
          </cell>
          <cell r="E1620" t="str">
            <v>tnguyen53@amaris.com</v>
          </cell>
        </row>
        <row r="1621">
          <cell r="B1621">
            <v>26745</v>
          </cell>
          <cell r="E1621" t="str">
            <v>helmi.mohamedyusof@amaris.com</v>
          </cell>
        </row>
        <row r="1622">
          <cell r="B1622">
            <v>26607</v>
          </cell>
          <cell r="E1622" t="str">
            <v>ttran26@mantu.com</v>
          </cell>
        </row>
        <row r="1623">
          <cell r="B1623">
            <v>26603</v>
          </cell>
          <cell r="E1623" t="str">
            <v>hle10@mantu.com</v>
          </cell>
        </row>
        <row r="1624">
          <cell r="B1624">
            <v>28597</v>
          </cell>
          <cell r="E1624" t="str">
            <v>dtran6@amaris.com</v>
          </cell>
        </row>
        <row r="1625">
          <cell r="B1625">
            <v>26499</v>
          </cell>
          <cell r="E1625" t="str">
            <v>hnguyenquy@mantu.com</v>
          </cell>
        </row>
        <row r="1626">
          <cell r="B1626">
            <v>26462</v>
          </cell>
          <cell r="E1626" t="str">
            <v>ldang1@amaris.com</v>
          </cell>
        </row>
        <row r="1627">
          <cell r="B1627">
            <v>26608</v>
          </cell>
          <cell r="E1627" t="str">
            <v>tnguyen54@mantu.com</v>
          </cell>
        </row>
        <row r="1628">
          <cell r="B1628">
            <v>26634</v>
          </cell>
          <cell r="E1628" t="str">
            <v>nnguyen15@mantu.com</v>
          </cell>
        </row>
        <row r="1629">
          <cell r="B1629">
            <v>26699</v>
          </cell>
          <cell r="E1629" t="str">
            <v>quangtin.tran@amaris.com</v>
          </cell>
        </row>
        <row r="1630">
          <cell r="B1630">
            <v>34675</v>
          </cell>
          <cell r="E1630" t="str">
            <v>congdanh.bui@amaris.com</v>
          </cell>
        </row>
        <row r="1631">
          <cell r="B1631">
            <v>32657</v>
          </cell>
          <cell r="E1631" t="str">
            <v>nhut.leminh@amaris.com</v>
          </cell>
        </row>
        <row r="1632">
          <cell r="B1632">
            <v>24940</v>
          </cell>
          <cell r="E1632" t="str">
            <v>nphan1@mantu.com</v>
          </cell>
        </row>
        <row r="1633">
          <cell r="B1633">
            <v>24916</v>
          </cell>
          <cell r="E1633" t="str">
            <v>tanthanh.tran@amaris.com</v>
          </cell>
        </row>
        <row r="1634">
          <cell r="B1634">
            <v>25063</v>
          </cell>
          <cell r="E1634" t="str">
            <v>lvo1@mantu.com</v>
          </cell>
        </row>
        <row r="1635">
          <cell r="B1635">
            <v>25083</v>
          </cell>
          <cell r="E1635" t="str">
            <v>danghai.pham@amaris.com</v>
          </cell>
        </row>
        <row r="1636">
          <cell r="B1636">
            <v>25014</v>
          </cell>
          <cell r="E1636" t="str">
            <v>quanghuy.lethanh@amaris.com</v>
          </cell>
        </row>
        <row r="1637">
          <cell r="B1637">
            <v>24924</v>
          </cell>
          <cell r="E1637" t="str">
            <v>ngoctien.pham@amaris.com</v>
          </cell>
        </row>
        <row r="1638">
          <cell r="B1638">
            <v>25091</v>
          </cell>
          <cell r="E1638" t="str">
            <v>hongdao.son@amaris.com</v>
          </cell>
        </row>
        <row r="1639">
          <cell r="B1639">
            <v>25112</v>
          </cell>
          <cell r="E1639" t="str">
            <v>ngocthinh.vu@amaris.com</v>
          </cell>
        </row>
        <row r="1640">
          <cell r="B1640">
            <v>24979</v>
          </cell>
          <cell r="E1640" t="str">
            <v>ngocthao.hoang@amaris.com</v>
          </cell>
        </row>
        <row r="1641">
          <cell r="B1641">
            <v>25085</v>
          </cell>
          <cell r="E1641" t="str">
            <v>minhduc.le@amaris.com</v>
          </cell>
        </row>
        <row r="1642">
          <cell r="B1642">
            <v>25360</v>
          </cell>
          <cell r="E1642" t="str">
            <v>tdinh@mantu.com</v>
          </cell>
        </row>
        <row r="1643">
          <cell r="B1643">
            <v>29658</v>
          </cell>
          <cell r="E1643" t="str">
            <v>ryan.garcia@amaris.com</v>
          </cell>
        </row>
        <row r="1644">
          <cell r="B1644">
            <v>25424</v>
          </cell>
          <cell r="E1644" t="str">
            <v>quochuy.nguyen@amaris.com</v>
          </cell>
        </row>
        <row r="1645">
          <cell r="B1645">
            <v>37511</v>
          </cell>
          <cell r="E1645" t="str">
            <v>thien.nguyenhoang@amaris.com</v>
          </cell>
        </row>
        <row r="1646">
          <cell r="B1646">
            <v>28598</v>
          </cell>
          <cell r="E1646" t="str">
            <v>mle2@amaris.com</v>
          </cell>
        </row>
        <row r="1647">
          <cell r="B1647">
            <v>26276</v>
          </cell>
          <cell r="E1647" t="str">
            <v>tlai1@amaris.com</v>
          </cell>
        </row>
        <row r="1648">
          <cell r="B1648">
            <v>33572</v>
          </cell>
          <cell r="E1648" t="str">
            <v>anhtuan.nguyen@amaris.com</v>
          </cell>
        </row>
        <row r="1649">
          <cell r="B1649">
            <v>26087</v>
          </cell>
          <cell r="E1649" t="str">
            <v>qnguyen11@mantu.com</v>
          </cell>
        </row>
        <row r="1650">
          <cell r="B1650">
            <v>26461</v>
          </cell>
          <cell r="E1650" t="str">
            <v>mnguyen10@amaris.com</v>
          </cell>
        </row>
        <row r="1651">
          <cell r="B1651">
            <v>35398</v>
          </cell>
          <cell r="E1651" t="str">
            <v>binhduong.do@amaris.com</v>
          </cell>
        </row>
        <row r="1652">
          <cell r="B1652">
            <v>26490</v>
          </cell>
          <cell r="E1652" t="str">
            <v>willy.lookokyong@amaris.com</v>
          </cell>
        </row>
        <row r="1653">
          <cell r="B1653">
            <v>26412</v>
          </cell>
          <cell r="E1653" t="str">
            <v>quockhai.tran@amaris.com</v>
          </cell>
        </row>
        <row r="1654">
          <cell r="B1654">
            <v>27791</v>
          </cell>
          <cell r="E1654" t="str">
            <v>tle17@amaris.com</v>
          </cell>
        </row>
        <row r="1655">
          <cell r="B1655">
            <v>30140</v>
          </cell>
          <cell r="E1655" t="str">
            <v>dbui@mantu.com</v>
          </cell>
        </row>
        <row r="1656">
          <cell r="B1656">
            <v>36300</v>
          </cell>
          <cell r="E1656" t="str">
            <v>anh.hoang@amaris.com</v>
          </cell>
        </row>
        <row r="1657">
          <cell r="B1657">
            <v>26875</v>
          </cell>
          <cell r="E1657" t="str">
            <v>minh.do1@amaris.com</v>
          </cell>
        </row>
        <row r="1658">
          <cell r="B1658">
            <v>27254</v>
          </cell>
          <cell r="E1658" t="str">
            <v>thanhson.doan@amaris.com</v>
          </cell>
        </row>
        <row r="1659">
          <cell r="B1659">
            <v>27350</v>
          </cell>
          <cell r="E1659" t="str">
            <v>nmai1@mantu.com</v>
          </cell>
        </row>
        <row r="1660">
          <cell r="B1660">
            <v>35968</v>
          </cell>
          <cell r="E1660" t="str">
            <v>dangkhoa.doan@amaris.com</v>
          </cell>
        </row>
        <row r="1661">
          <cell r="B1661">
            <v>33735</v>
          </cell>
          <cell r="E1661" t="str">
            <v>bret.cheung@amaris.com</v>
          </cell>
        </row>
        <row r="1662">
          <cell r="B1662">
            <v>27572</v>
          </cell>
          <cell r="E1662" t="str">
            <v>phuong.trankimyphuong@amaris.com</v>
          </cell>
        </row>
        <row r="1663">
          <cell r="B1663">
            <v>28082</v>
          </cell>
          <cell r="E1663" t="str">
            <v>tienhoang.nguyen@amaris.com</v>
          </cell>
        </row>
        <row r="1664">
          <cell r="B1664">
            <v>27585</v>
          </cell>
          <cell r="E1664" t="str">
            <v>hoang.thien@amaris.com</v>
          </cell>
        </row>
        <row r="1665">
          <cell r="B1665">
            <v>27520</v>
          </cell>
          <cell r="E1665" t="str">
            <v>huynhson.nguyen@amaris.com</v>
          </cell>
        </row>
        <row r="1666">
          <cell r="B1666">
            <v>28410</v>
          </cell>
          <cell r="E1666" t="str">
            <v>vanthinh.tran@amaris.com</v>
          </cell>
        </row>
        <row r="1667">
          <cell r="B1667">
            <v>28038</v>
          </cell>
          <cell r="E1667" t="str">
            <v>mphan2@mantu.com</v>
          </cell>
        </row>
        <row r="1668">
          <cell r="B1668">
            <v>28915</v>
          </cell>
          <cell r="E1668" t="str">
            <v>tphan3@amaris.com</v>
          </cell>
        </row>
        <row r="1669">
          <cell r="B1669">
            <v>34998</v>
          </cell>
          <cell r="E1669" t="str">
            <v>thihoa.vuong@amaris.com</v>
          </cell>
        </row>
        <row r="1670">
          <cell r="B1670">
            <v>28165</v>
          </cell>
          <cell r="E1670" t="str">
            <v>thienhai.nguyen@amaris.com</v>
          </cell>
        </row>
        <row r="1671">
          <cell r="B1671">
            <v>26452</v>
          </cell>
          <cell r="E1671" t="str">
            <v>ttran25@mantu.com</v>
          </cell>
        </row>
        <row r="1672">
          <cell r="B1672">
            <v>25839</v>
          </cell>
          <cell r="E1672" t="str">
            <v>toan.phamvan@amaris.com</v>
          </cell>
        </row>
        <row r="1673">
          <cell r="B1673">
            <v>26196</v>
          </cell>
          <cell r="E1673" t="str">
            <v>anguyen6@mantu.com</v>
          </cell>
        </row>
        <row r="1674">
          <cell r="B1674">
            <v>34743</v>
          </cell>
          <cell r="E1674" t="str">
            <v>duyduc.nguyenhuynh@amaris.com</v>
          </cell>
        </row>
        <row r="1675">
          <cell r="B1675">
            <v>26360</v>
          </cell>
          <cell r="E1675" t="str">
            <v>natchira.netrak@amaris.com</v>
          </cell>
        </row>
        <row r="1676">
          <cell r="B1676">
            <v>26226</v>
          </cell>
          <cell r="E1676" t="str">
            <v>hdang1@mantu.com</v>
          </cell>
        </row>
        <row r="1677">
          <cell r="B1677">
            <v>26451</v>
          </cell>
          <cell r="E1677" t="str">
            <v>nnguyen14@mantu.com</v>
          </cell>
        </row>
        <row r="1678">
          <cell r="B1678">
            <v>26441</v>
          </cell>
          <cell r="E1678" t="str">
            <v>thivan.tran@amaris.com</v>
          </cell>
        </row>
        <row r="1679">
          <cell r="B1679">
            <v>26609</v>
          </cell>
          <cell r="E1679" t="str">
            <v>tvo9@mantu.com</v>
          </cell>
        </row>
        <row r="1680">
          <cell r="B1680">
            <v>26577</v>
          </cell>
          <cell r="E1680" t="str">
            <v>dle3@amaris.com</v>
          </cell>
        </row>
        <row r="1681">
          <cell r="B1681">
            <v>26453</v>
          </cell>
          <cell r="E1681" t="str">
            <v>hnguyen19@mantu.com</v>
          </cell>
        </row>
        <row r="1682">
          <cell r="B1682">
            <v>26602</v>
          </cell>
          <cell r="E1682" t="str">
            <v>tnhiep@mantu.com</v>
          </cell>
        </row>
        <row r="1683">
          <cell r="B1683">
            <v>26604</v>
          </cell>
          <cell r="E1683" t="str">
            <v>thoang5@mantu.com</v>
          </cell>
        </row>
        <row r="1684">
          <cell r="B1684">
            <v>26871</v>
          </cell>
          <cell r="E1684" t="str">
            <v>aphan2@mantu.com</v>
          </cell>
        </row>
        <row r="1685">
          <cell r="B1685">
            <v>26684</v>
          </cell>
          <cell r="E1685" t="str">
            <v>trihung.nguyen@amaris.com</v>
          </cell>
        </row>
        <row r="1686">
          <cell r="B1686">
            <v>27615</v>
          </cell>
          <cell r="E1686" t="str">
            <v>qnguyen12@amaris.com</v>
          </cell>
        </row>
        <row r="1687">
          <cell r="B1687">
            <v>26862</v>
          </cell>
          <cell r="E1687" t="str">
            <v>cpham1@mantu.com</v>
          </cell>
        </row>
        <row r="1688">
          <cell r="B1688">
            <v>31018</v>
          </cell>
          <cell r="E1688" t="str">
            <v>ndo2@mantu.com</v>
          </cell>
        </row>
        <row r="1689">
          <cell r="B1689">
            <v>27162</v>
          </cell>
          <cell r="E1689" t="str">
            <v>thienlong.ly@amaris.com</v>
          </cell>
        </row>
        <row r="1690">
          <cell r="B1690">
            <v>28838</v>
          </cell>
          <cell r="E1690" t="str">
            <v>vanminh.tran@amaris.com</v>
          </cell>
        </row>
        <row r="1691">
          <cell r="B1691">
            <v>31326</v>
          </cell>
          <cell r="E1691" t="str">
            <v>thanhdat.nguyen@amaris.com</v>
          </cell>
        </row>
        <row r="1692">
          <cell r="B1692">
            <v>27132</v>
          </cell>
          <cell r="E1692" t="str">
            <v>ngoc.nguyen1@amaris.com</v>
          </cell>
        </row>
        <row r="1693">
          <cell r="B1693">
            <v>32450</v>
          </cell>
          <cell r="E1693" t="str">
            <v>gtran@mantu.com</v>
          </cell>
        </row>
        <row r="1694">
          <cell r="B1694">
            <v>32075</v>
          </cell>
          <cell r="E1694" t="str">
            <v>xuandinh.le@amaris.com</v>
          </cell>
        </row>
        <row r="1695">
          <cell r="B1695">
            <v>27571</v>
          </cell>
          <cell r="E1695" t="str">
            <v>mnguyen11@mantu.com</v>
          </cell>
        </row>
        <row r="1696">
          <cell r="B1696">
            <v>27565</v>
          </cell>
          <cell r="E1696" t="str">
            <v>tannghia.nguyen@amaris.com</v>
          </cell>
        </row>
        <row r="1697">
          <cell r="B1697">
            <v>27553</v>
          </cell>
          <cell r="E1697" t="str">
            <v>minhhieu.vo@amaris.com</v>
          </cell>
        </row>
        <row r="1698">
          <cell r="B1698">
            <v>29009</v>
          </cell>
          <cell r="E1698" t="str">
            <v>vantien.cao@amaris.com</v>
          </cell>
        </row>
        <row r="1699">
          <cell r="B1699">
            <v>27764</v>
          </cell>
          <cell r="E1699" t="str">
            <v>hoangminh.nguyen@amaris.com</v>
          </cell>
        </row>
        <row r="1700">
          <cell r="B1700">
            <v>26448</v>
          </cell>
          <cell r="E1700" t="str">
            <v>lan.dinh@amaris.com</v>
          </cell>
        </row>
        <row r="1701">
          <cell r="B1701">
            <v>26776</v>
          </cell>
          <cell r="E1701" t="str">
            <v>thucquynh.hoangvu@hrmsconsulting.com</v>
          </cell>
        </row>
        <row r="1702">
          <cell r="B1702">
            <v>26610</v>
          </cell>
          <cell r="E1702" t="str">
            <v>knguyen5@mantu.com</v>
          </cell>
        </row>
        <row r="1703">
          <cell r="B1703">
            <v>34652</v>
          </cell>
          <cell r="E1703" t="str">
            <v>mpham@mantu.com</v>
          </cell>
        </row>
        <row r="1704">
          <cell r="B1704">
            <v>36035</v>
          </cell>
          <cell r="E1704" t="str">
            <v>thanhphong.ho@amaris.com</v>
          </cell>
        </row>
        <row r="1705">
          <cell r="B1705">
            <v>26611</v>
          </cell>
          <cell r="E1705" t="str">
            <v>vle4@mantu.com</v>
          </cell>
        </row>
        <row r="1706">
          <cell r="B1706">
            <v>27364</v>
          </cell>
          <cell r="E1706" t="str">
            <v>claire.bae@amaris.com</v>
          </cell>
        </row>
        <row r="1707">
          <cell r="B1707">
            <v>26989</v>
          </cell>
          <cell r="E1707" t="str">
            <v>nhatninh.truong@amaris.com</v>
          </cell>
        </row>
        <row r="1708">
          <cell r="B1708">
            <v>28039</v>
          </cell>
          <cell r="E1708" t="str">
            <v>wenyu.qi@amaris.com</v>
          </cell>
        </row>
        <row r="1709">
          <cell r="B1709">
            <v>34722</v>
          </cell>
          <cell r="E1709" t="str">
            <v>hoangvu.ly@amaris.com</v>
          </cell>
        </row>
        <row r="1710">
          <cell r="B1710">
            <v>28602</v>
          </cell>
          <cell r="E1710" t="str">
            <v>dinhtu.vo@amaris.com</v>
          </cell>
        </row>
        <row r="1711">
          <cell r="B1711">
            <v>29218</v>
          </cell>
          <cell r="E1711" t="str">
            <v>pvantai@mantu.com</v>
          </cell>
        </row>
        <row r="1712">
          <cell r="B1712">
            <v>28728</v>
          </cell>
          <cell r="E1712" t="str">
            <v>minhkhoi.nguyen@amaris.com</v>
          </cell>
        </row>
        <row r="1713">
          <cell r="B1713">
            <v>30656</v>
          </cell>
          <cell r="E1713" t="str">
            <v>lmaianh@amaris.com</v>
          </cell>
        </row>
        <row r="1714">
          <cell r="B1714">
            <v>28784</v>
          </cell>
          <cell r="E1714" t="str">
            <v>vutoan.le@amaris.com</v>
          </cell>
        </row>
        <row r="1715">
          <cell r="B1715">
            <v>29173</v>
          </cell>
          <cell r="E1715" t="str">
            <v>thanhnhan.phan@amaris.com</v>
          </cell>
        </row>
        <row r="1716">
          <cell r="B1716">
            <v>27641</v>
          </cell>
          <cell r="E1716" t="str">
            <v>duy.nguyen@littlebigconnection.com</v>
          </cell>
        </row>
        <row r="1717">
          <cell r="B1717">
            <v>29198</v>
          </cell>
          <cell r="E1717" t="str">
            <v>hongdanh.le@amaris.com</v>
          </cell>
        </row>
        <row r="1718">
          <cell r="B1718">
            <v>27962</v>
          </cell>
          <cell r="E1718" t="str">
            <v>quangsong.nguyen@amaris.com</v>
          </cell>
        </row>
        <row r="1719">
          <cell r="B1719">
            <v>28025</v>
          </cell>
          <cell r="E1719" t="str">
            <v>tle18@mantu.com</v>
          </cell>
        </row>
        <row r="1720">
          <cell r="B1720">
            <v>28651</v>
          </cell>
          <cell r="E1720" t="str">
            <v>nhattan.ly@amaris.com</v>
          </cell>
        </row>
        <row r="1721">
          <cell r="B1721">
            <v>27976</v>
          </cell>
          <cell r="E1721" t="str">
            <v>giahuy.vo@amaris.com</v>
          </cell>
        </row>
        <row r="1722">
          <cell r="B1722">
            <v>30026</v>
          </cell>
          <cell r="E1722" t="str">
            <v>cuc.nguyenkim@amaris.com</v>
          </cell>
        </row>
        <row r="1723">
          <cell r="B1723">
            <v>28225</v>
          </cell>
          <cell r="E1723" t="str">
            <v>thitrang.phan@amaris.com</v>
          </cell>
        </row>
        <row r="1724">
          <cell r="B1724">
            <v>26852</v>
          </cell>
          <cell r="E1724" t="str">
            <v>dangkhoa.nguyen@amaris.com</v>
          </cell>
        </row>
        <row r="1725">
          <cell r="B1725">
            <v>26993</v>
          </cell>
          <cell r="E1725" t="str">
            <v>hoangviet.vo@amaris.com</v>
          </cell>
        </row>
        <row r="1726">
          <cell r="B1726">
            <v>26724</v>
          </cell>
          <cell r="E1726" t="str">
            <v>vitrung.trinh@amaris.com</v>
          </cell>
        </row>
        <row r="1727">
          <cell r="B1727">
            <v>26810</v>
          </cell>
          <cell r="E1727" t="str">
            <v>ttran27@mantu.com</v>
          </cell>
        </row>
        <row r="1728">
          <cell r="B1728">
            <v>26794</v>
          </cell>
          <cell r="E1728" t="str">
            <v>tnguyen57@mantu.com</v>
          </cell>
        </row>
        <row r="1729">
          <cell r="B1729">
            <v>26721</v>
          </cell>
          <cell r="E1729" t="str">
            <v>ngocthanh.pham@amaris.com</v>
          </cell>
        </row>
        <row r="1730">
          <cell r="B1730">
            <v>26725</v>
          </cell>
          <cell r="E1730" t="str">
            <v>nhatquang.le@amaris.com</v>
          </cell>
        </row>
        <row r="1731">
          <cell r="B1731">
            <v>27174</v>
          </cell>
          <cell r="E1731" t="str">
            <v>hoangtu.la@amaris.com</v>
          </cell>
        </row>
        <row r="1732">
          <cell r="B1732">
            <v>27011</v>
          </cell>
          <cell r="E1732" t="str">
            <v>tranbaolinh.nguyen@amaris.com</v>
          </cell>
        </row>
        <row r="1733">
          <cell r="B1733">
            <v>27146</v>
          </cell>
          <cell r="E1733" t="str">
            <v>nhatnguyen.nguyen@amaris.com</v>
          </cell>
        </row>
        <row r="1734">
          <cell r="B1734">
            <v>27362</v>
          </cell>
          <cell r="E1734" t="str">
            <v>htran6@mantu.com</v>
          </cell>
        </row>
        <row r="1735">
          <cell r="B1735">
            <v>27173</v>
          </cell>
          <cell r="E1735" t="str">
            <v>ducmanh.do@amaris.com</v>
          </cell>
        </row>
        <row r="1736">
          <cell r="B1736">
            <v>27440</v>
          </cell>
          <cell r="E1736" t="str">
            <v>nghiahiep.nguyenhuu@amaris.com</v>
          </cell>
        </row>
        <row r="1737">
          <cell r="B1737">
            <v>28152</v>
          </cell>
          <cell r="E1737" t="str">
            <v>hnguyen20@mantu.com</v>
          </cell>
        </row>
        <row r="1738">
          <cell r="B1738">
            <v>27435</v>
          </cell>
          <cell r="E1738" t="str">
            <v>hoanglong.nguyen1@amaris.com</v>
          </cell>
        </row>
        <row r="1739">
          <cell r="B1739">
            <v>27494</v>
          </cell>
          <cell r="E1739" t="str">
            <v>dangkhoa.nguyen1@amaris.com</v>
          </cell>
        </row>
        <row r="1740">
          <cell r="B1740">
            <v>33760</v>
          </cell>
          <cell r="E1740" t="str">
            <v>tuansanh.dau@amaris.com</v>
          </cell>
        </row>
        <row r="1741">
          <cell r="B1741">
            <v>29264</v>
          </cell>
          <cell r="E1741" t="str">
            <v>thanapala.selvan@amaris.com</v>
          </cell>
        </row>
        <row r="1742">
          <cell r="B1742">
            <v>37088</v>
          </cell>
          <cell r="E1742" t="str">
            <v>vunguyen.ho@amaris.com</v>
          </cell>
        </row>
        <row r="1743">
          <cell r="B1743">
            <v>30835</v>
          </cell>
          <cell r="E1743" t="str">
            <v>qtran5@mantu.com</v>
          </cell>
        </row>
        <row r="1744">
          <cell r="B1744">
            <v>30105</v>
          </cell>
          <cell r="E1744" t="str">
            <v>pha1@amaris.com</v>
          </cell>
        </row>
        <row r="1745">
          <cell r="B1745">
            <v>30130</v>
          </cell>
          <cell r="E1745" t="str">
            <v>qlevan@amaris.com</v>
          </cell>
        </row>
        <row r="1746">
          <cell r="B1746">
            <v>30128</v>
          </cell>
          <cell r="E1746" t="str">
            <v>qnguyen13@amaris.com</v>
          </cell>
        </row>
        <row r="1747">
          <cell r="B1747">
            <v>30358</v>
          </cell>
          <cell r="E1747" t="str">
            <v>ben.chung@amaris.com</v>
          </cell>
        </row>
        <row r="1748">
          <cell r="B1748">
            <v>36014</v>
          </cell>
          <cell r="E1748" t="str">
            <v>quangnien.nguyen@amaris.com</v>
          </cell>
        </row>
        <row r="1749">
          <cell r="B1749">
            <v>37148</v>
          </cell>
          <cell r="E1749" t="str">
            <v>ngocthuy.pham@amaris.com</v>
          </cell>
        </row>
        <row r="1750">
          <cell r="B1750">
            <v>31468</v>
          </cell>
          <cell r="E1750" t="str">
            <v>dangvy.tran@amaris.com</v>
          </cell>
        </row>
        <row r="1751">
          <cell r="B1751">
            <v>30017</v>
          </cell>
          <cell r="E1751" t="str">
            <v>thien.tao@amaris.com</v>
          </cell>
        </row>
        <row r="1752">
          <cell r="B1752">
            <v>27683</v>
          </cell>
          <cell r="E1752" t="str">
            <v>hdoan1@mantu.com</v>
          </cell>
        </row>
        <row r="1753">
          <cell r="B1753">
            <v>27732</v>
          </cell>
          <cell r="E1753" t="str">
            <v>phucnguyen.khang@amaris.com</v>
          </cell>
        </row>
        <row r="1754">
          <cell r="B1754">
            <v>27775</v>
          </cell>
          <cell r="E1754" t="str">
            <v>tlytran@mantu.com</v>
          </cell>
        </row>
        <row r="1755">
          <cell r="B1755">
            <v>27335</v>
          </cell>
          <cell r="E1755" t="str">
            <v>kphan2@mantu.com</v>
          </cell>
        </row>
        <row r="1756">
          <cell r="B1756">
            <v>27542</v>
          </cell>
          <cell r="E1756" t="str">
            <v>ramkumar.ganesan@amaris.com</v>
          </cell>
        </row>
        <row r="1757">
          <cell r="B1757">
            <v>27493</v>
          </cell>
          <cell r="E1757" t="str">
            <v>trunghieu.pham@amaris.com</v>
          </cell>
        </row>
        <row r="1758">
          <cell r="B1758">
            <v>27663</v>
          </cell>
          <cell r="E1758" t="str">
            <v>nhathuy.vo@amaris.com</v>
          </cell>
        </row>
        <row r="1759">
          <cell r="B1759">
            <v>27704</v>
          </cell>
          <cell r="E1759" t="str">
            <v>minhman.vo@amaris.com</v>
          </cell>
        </row>
        <row r="1760">
          <cell r="B1760">
            <v>28944</v>
          </cell>
          <cell r="E1760" t="str">
            <v>kpham@mantu.com</v>
          </cell>
        </row>
        <row r="1761">
          <cell r="B1761">
            <v>27865</v>
          </cell>
          <cell r="E1761" t="str">
            <v>diephuy.tran@amaris.com</v>
          </cell>
        </row>
        <row r="1762">
          <cell r="B1762">
            <v>27774</v>
          </cell>
          <cell r="E1762" t="str">
            <v>tongnha.bui@amaris.com</v>
          </cell>
        </row>
        <row r="1763">
          <cell r="B1763">
            <v>32004</v>
          </cell>
          <cell r="E1763" t="str">
            <v>dnguyen18@amaris.com</v>
          </cell>
        </row>
        <row r="1764">
          <cell r="B1764">
            <v>28080</v>
          </cell>
          <cell r="E1764" t="str">
            <v>tle19@mantu.com</v>
          </cell>
        </row>
        <row r="1765">
          <cell r="B1765">
            <v>37445</v>
          </cell>
          <cell r="E1765" t="str">
            <v>thedao.nguyen@amaris.com</v>
          </cell>
        </row>
        <row r="1766">
          <cell r="B1766">
            <v>28213</v>
          </cell>
          <cell r="E1766" t="str">
            <v>huutu.nguyen@amaris.com</v>
          </cell>
        </row>
        <row r="1767">
          <cell r="B1767">
            <v>32631</v>
          </cell>
          <cell r="E1767" t="str">
            <v>hoangan.tran@amaris.com</v>
          </cell>
        </row>
        <row r="1768">
          <cell r="B1768">
            <v>28357</v>
          </cell>
          <cell r="E1768" t="str">
            <v>dangthien.nguyen@amaris.com</v>
          </cell>
        </row>
        <row r="1769">
          <cell r="B1769">
            <v>32389</v>
          </cell>
          <cell r="E1769" t="str">
            <v>tnguyen5@mantu.com</v>
          </cell>
        </row>
        <row r="1770">
          <cell r="B1770">
            <v>28392</v>
          </cell>
          <cell r="E1770" t="str">
            <v>quochuy.vu@amaris.com</v>
          </cell>
        </row>
        <row r="1771">
          <cell r="B1771">
            <v>31001</v>
          </cell>
          <cell r="E1771" t="str">
            <v>hoangminh.nguyen1@amaris.com</v>
          </cell>
        </row>
        <row r="1772">
          <cell r="B1772">
            <v>34444</v>
          </cell>
          <cell r="E1772" t="str">
            <v>haitrieu.dang@amaris.com</v>
          </cell>
        </row>
        <row r="1773">
          <cell r="B1773">
            <v>30559</v>
          </cell>
          <cell r="E1773" t="str">
            <v>tdoan2@mantu.com</v>
          </cell>
        </row>
        <row r="1774">
          <cell r="B1774">
            <v>30482</v>
          </cell>
          <cell r="E1774" t="str">
            <v>khanhlinh.dang1@amaris.com</v>
          </cell>
        </row>
        <row r="1775">
          <cell r="B1775">
            <v>31749</v>
          </cell>
          <cell r="E1775" t="str">
            <v>hnguyen8@amaris.com</v>
          </cell>
        </row>
        <row r="1776">
          <cell r="B1776">
            <v>30600</v>
          </cell>
          <cell r="E1776" t="str">
            <v>huutai.nguyen@amaris.com</v>
          </cell>
        </row>
        <row r="1777">
          <cell r="B1777">
            <v>31984</v>
          </cell>
          <cell r="E1777" t="str">
            <v>quocviet.truong@amaris.com</v>
          </cell>
        </row>
        <row r="1778">
          <cell r="B1778">
            <v>28312</v>
          </cell>
          <cell r="E1778" t="str">
            <v>bhoang@mantu.com</v>
          </cell>
        </row>
        <row r="1779">
          <cell r="B1779">
            <v>28361</v>
          </cell>
          <cell r="E1779" t="str">
            <v>vythong.vuong@amaris.com</v>
          </cell>
        </row>
        <row r="1780">
          <cell r="B1780">
            <v>28377</v>
          </cell>
          <cell r="E1780" t="str">
            <v>htin1@mantu.com</v>
          </cell>
        </row>
        <row r="1781">
          <cell r="B1781">
            <v>28338</v>
          </cell>
          <cell r="E1781" t="str">
            <v>lnguyen7@mantu.com</v>
          </cell>
        </row>
        <row r="1782">
          <cell r="B1782">
            <v>29750</v>
          </cell>
          <cell r="E1782" t="str">
            <v>kevin.jeune@amaris.com</v>
          </cell>
        </row>
        <row r="1783">
          <cell r="B1783">
            <v>28599</v>
          </cell>
          <cell r="E1783" t="str">
            <v>mtao@amaris.com</v>
          </cell>
        </row>
        <row r="1784">
          <cell r="B1784">
            <v>31710</v>
          </cell>
          <cell r="E1784" t="str">
            <v>mdang1@mantu.com</v>
          </cell>
        </row>
        <row r="1785">
          <cell r="B1785">
            <v>28662</v>
          </cell>
          <cell r="E1785" t="str">
            <v>vantuan.than@amaris.com</v>
          </cell>
        </row>
        <row r="1786">
          <cell r="B1786">
            <v>29137</v>
          </cell>
          <cell r="E1786" t="str">
            <v>kimcong.nguyen@amaris.com</v>
          </cell>
        </row>
        <row r="1787">
          <cell r="B1787">
            <v>32435</v>
          </cell>
          <cell r="E1787" t="str">
            <v>sang.truongvan@amaris.com</v>
          </cell>
        </row>
        <row r="1788">
          <cell r="B1788">
            <v>28613</v>
          </cell>
          <cell r="E1788" t="str">
            <v>cyril.gallerand@amaris.com</v>
          </cell>
        </row>
        <row r="1789">
          <cell r="B1789">
            <v>28957</v>
          </cell>
          <cell r="E1789" t="str">
            <v>klam1@amaris.com</v>
          </cell>
        </row>
        <row r="1790">
          <cell r="B1790">
            <v>29931</v>
          </cell>
          <cell r="E1790" t="str">
            <v>quoctrung.ngo@amaris.com</v>
          </cell>
        </row>
        <row r="1791">
          <cell r="B1791">
            <v>29076</v>
          </cell>
          <cell r="E1791" t="str">
            <v>thehiep.nguyen@amaris.com</v>
          </cell>
        </row>
        <row r="1792">
          <cell r="B1792">
            <v>29436</v>
          </cell>
          <cell r="E1792" t="str">
            <v>lphan@mantu.com</v>
          </cell>
        </row>
        <row r="1793">
          <cell r="B1793">
            <v>31873</v>
          </cell>
          <cell r="E1793" t="str">
            <v>thanhhuy.tang@amaris.com</v>
          </cell>
        </row>
        <row r="1794">
          <cell r="B1794">
            <v>28015</v>
          </cell>
          <cell r="E1794" t="str">
            <v>trongnghia.huynh@amaris.com</v>
          </cell>
        </row>
        <row r="1795">
          <cell r="B1795">
            <v>27948</v>
          </cell>
          <cell r="E1795" t="str">
            <v>hogia.dinh@amaris.com</v>
          </cell>
        </row>
        <row r="1796">
          <cell r="B1796">
            <v>29253</v>
          </cell>
          <cell r="E1796" t="str">
            <v>ngoclinh.le@amaris.com</v>
          </cell>
        </row>
        <row r="1797">
          <cell r="B1797">
            <v>28146</v>
          </cell>
          <cell r="E1797" t="str">
            <v>hoangthinh.thai@amaris.com</v>
          </cell>
        </row>
        <row r="1798">
          <cell r="B1798">
            <v>29038</v>
          </cell>
          <cell r="E1798" t="str">
            <v>thaihien.luong@amaris.com</v>
          </cell>
        </row>
        <row r="1799">
          <cell r="B1799">
            <v>28296</v>
          </cell>
          <cell r="E1799" t="str">
            <v>qmai@amaris.com</v>
          </cell>
        </row>
        <row r="1800">
          <cell r="B1800">
            <v>28299</v>
          </cell>
          <cell r="E1800" t="str">
            <v>tha3@mantu.com</v>
          </cell>
        </row>
        <row r="1801">
          <cell r="B1801">
            <v>28491</v>
          </cell>
          <cell r="E1801" t="str">
            <v>atran4@mantu.com</v>
          </cell>
        </row>
        <row r="1802">
          <cell r="B1802">
            <v>28437</v>
          </cell>
          <cell r="E1802" t="str">
            <v>minhsang.dao@amaris.com</v>
          </cell>
        </row>
        <row r="1803">
          <cell r="B1803">
            <v>28782</v>
          </cell>
          <cell r="E1803" t="str">
            <v>tuongduy.vo@amaris.com</v>
          </cell>
        </row>
        <row r="1804">
          <cell r="B1804">
            <v>35117</v>
          </cell>
          <cell r="E1804" t="str">
            <v>nhuhai.phan@amaris.com</v>
          </cell>
        </row>
        <row r="1805">
          <cell r="B1805">
            <v>28560</v>
          </cell>
          <cell r="E1805" t="str">
            <v>huuthinh.nguyen@amaris.com</v>
          </cell>
        </row>
        <row r="1806">
          <cell r="B1806">
            <v>28734</v>
          </cell>
          <cell r="E1806" t="str">
            <v>congdanh.le@amaris.com</v>
          </cell>
        </row>
        <row r="1807">
          <cell r="B1807">
            <v>28770</v>
          </cell>
          <cell r="E1807" t="str">
            <v>vanbac.nguyen@amaris.com</v>
          </cell>
        </row>
        <row r="1808">
          <cell r="B1808">
            <v>28892</v>
          </cell>
          <cell r="E1808" t="str">
            <v>nnguyen16@mantu.com</v>
          </cell>
        </row>
        <row r="1809">
          <cell r="B1809">
            <v>37281</v>
          </cell>
          <cell r="E1809" t="str">
            <v>hoanganh.truonghuy@amaris.com</v>
          </cell>
        </row>
        <row r="1810">
          <cell r="B1810">
            <v>29012</v>
          </cell>
          <cell r="E1810" t="str">
            <v>thutrang.dang@amaris.com</v>
          </cell>
        </row>
        <row r="1811">
          <cell r="B1811">
            <v>28929</v>
          </cell>
          <cell r="E1811" t="str">
            <v>tantai.tran@amaris.com</v>
          </cell>
        </row>
        <row r="1812">
          <cell r="B1812">
            <v>36381</v>
          </cell>
          <cell r="E1812" t="str">
            <v>thuyanh.pham@amaris.com</v>
          </cell>
        </row>
        <row r="1813">
          <cell r="B1813">
            <v>35937</v>
          </cell>
          <cell r="E1813" t="str">
            <v>hnguyen5@mantu.com</v>
          </cell>
        </row>
        <row r="1814">
          <cell r="B1814">
            <v>29558</v>
          </cell>
          <cell r="E1814" t="str">
            <v>dangkhoa.pham@amaris.com</v>
          </cell>
        </row>
        <row r="1815">
          <cell r="B1815">
            <v>29656</v>
          </cell>
          <cell r="E1815" t="str">
            <v>phuong.nguyenthiquynh@amaris.com</v>
          </cell>
        </row>
        <row r="1816">
          <cell r="B1816">
            <v>37889</v>
          </cell>
          <cell r="E1816" t="str">
            <v>quangtrung.do@amaris.com</v>
          </cell>
        </row>
        <row r="1817">
          <cell r="B1817">
            <v>31805</v>
          </cell>
          <cell r="E1817" t="str">
            <v>my.tran@amaris.com</v>
          </cell>
        </row>
        <row r="1818">
          <cell r="B1818">
            <v>35683</v>
          </cell>
          <cell r="E1818" t="str">
            <v>minhduy.chau@amaris.com</v>
          </cell>
        </row>
        <row r="1819">
          <cell r="B1819">
            <v>31276</v>
          </cell>
          <cell r="E1819" t="str">
            <v>phannguyen.thanhduy@amaris.com</v>
          </cell>
        </row>
        <row r="1820">
          <cell r="B1820">
            <v>33865</v>
          </cell>
          <cell r="E1820" t="str">
            <v>npham@amaris.com</v>
          </cell>
        </row>
        <row r="1821">
          <cell r="B1821">
            <v>35788</v>
          </cell>
          <cell r="E1821" t="str">
            <v>tnguyen10@mantu.com</v>
          </cell>
        </row>
        <row r="1822">
          <cell r="B1822">
            <v>31483</v>
          </cell>
          <cell r="E1822" t="str">
            <v>thithuy.le@amaris.com</v>
          </cell>
        </row>
        <row r="1823">
          <cell r="B1823">
            <v>31627</v>
          </cell>
          <cell r="E1823" t="str">
            <v>congkhanh.huynh@amaris.com</v>
          </cell>
        </row>
        <row r="1824">
          <cell r="B1824">
            <v>35654</v>
          </cell>
          <cell r="E1824" t="str">
            <v>nnguyen2@mantu.com</v>
          </cell>
        </row>
        <row r="1825">
          <cell r="B1825">
            <v>32008</v>
          </cell>
          <cell r="E1825" t="str">
            <v>hhuynhngoc@mantu.com</v>
          </cell>
        </row>
        <row r="1826">
          <cell r="B1826">
            <v>31568</v>
          </cell>
          <cell r="E1826" t="str">
            <v>tnguyen59@mantu.com</v>
          </cell>
        </row>
        <row r="1827">
          <cell r="B1827">
            <v>31647</v>
          </cell>
          <cell r="E1827" t="str">
            <v>vanvinh.nguyen1@amaris.com</v>
          </cell>
        </row>
        <row r="1828">
          <cell r="B1828">
            <v>31634</v>
          </cell>
          <cell r="E1828" t="str">
            <v>nhuynh@mantu.com</v>
          </cell>
        </row>
        <row r="1829">
          <cell r="B1829">
            <v>32770</v>
          </cell>
          <cell r="E1829" t="str">
            <v>huunghia.dinh@amaris.com</v>
          </cell>
        </row>
        <row r="1830">
          <cell r="B1830">
            <v>31853</v>
          </cell>
          <cell r="E1830" t="str">
            <v>tnguyenbichbao@mantu.com</v>
          </cell>
        </row>
        <row r="1831">
          <cell r="B1831">
            <v>33347</v>
          </cell>
          <cell r="E1831" t="str">
            <v>tdinh1@mantu.com</v>
          </cell>
        </row>
        <row r="1832">
          <cell r="B1832">
            <v>32006</v>
          </cell>
          <cell r="E1832" t="str">
            <v>dnguyenminh@mantu.com</v>
          </cell>
        </row>
        <row r="1833">
          <cell r="B1833">
            <v>29693</v>
          </cell>
          <cell r="E1833" t="str">
            <v>hanh.nguyen1@littlebigconnection.com</v>
          </cell>
        </row>
        <row r="1834">
          <cell r="B1834">
            <v>33233</v>
          </cell>
          <cell r="E1834" t="str">
            <v>giabao.pham@littlebigconnection.com</v>
          </cell>
        </row>
        <row r="1835">
          <cell r="B1835">
            <v>37601</v>
          </cell>
          <cell r="E1835" t="str">
            <v>duyphong.nguyen@amaris.com</v>
          </cell>
        </row>
        <row r="1836">
          <cell r="B1836">
            <v>30469</v>
          </cell>
          <cell r="E1836" t="str">
            <v>oliver.tandayu@amaris.com</v>
          </cell>
        </row>
        <row r="1837">
          <cell r="B1837">
            <v>34583</v>
          </cell>
          <cell r="E1837" t="str">
            <v>donhat.pham@amaris.com</v>
          </cell>
        </row>
        <row r="1838">
          <cell r="B1838">
            <v>33542</v>
          </cell>
          <cell r="E1838" t="str">
            <v>utran@mantu.com</v>
          </cell>
        </row>
        <row r="1839">
          <cell r="B1839">
            <v>30657</v>
          </cell>
          <cell r="E1839" t="str">
            <v>hoanggiang.le@amaris.com</v>
          </cell>
        </row>
        <row r="1840">
          <cell r="B1840">
            <v>37843</v>
          </cell>
          <cell r="E1840" t="str">
            <v>tienthinh.le@amaris.com</v>
          </cell>
        </row>
        <row r="1841">
          <cell r="B1841">
            <v>28423</v>
          </cell>
          <cell r="E1841" t="str">
            <v>hoainhu.nguyen@amaris.com</v>
          </cell>
        </row>
        <row r="1842">
          <cell r="B1842">
            <v>34900</v>
          </cell>
          <cell r="E1842" t="str">
            <v>dinhtan.tran@amaris.com</v>
          </cell>
        </row>
        <row r="1843">
          <cell r="B1843">
            <v>28362</v>
          </cell>
          <cell r="E1843" t="str">
            <v>tpham10@amaris.com</v>
          </cell>
        </row>
        <row r="1844">
          <cell r="B1844">
            <v>28676</v>
          </cell>
          <cell r="E1844" t="str">
            <v>xiaoyan.ma@amaris.com</v>
          </cell>
        </row>
        <row r="1845">
          <cell r="B1845">
            <v>28534</v>
          </cell>
          <cell r="E1845" t="str">
            <v>mnguyen12@mantu.com</v>
          </cell>
        </row>
        <row r="1846">
          <cell r="B1846">
            <v>28600</v>
          </cell>
          <cell r="E1846" t="str">
            <v>ptruongthi@amaris.com</v>
          </cell>
        </row>
        <row r="1847">
          <cell r="B1847">
            <v>28516</v>
          </cell>
          <cell r="E1847" t="str">
            <v>minhuoc.pham@amaris.com</v>
          </cell>
        </row>
        <row r="1848">
          <cell r="B1848">
            <v>29263</v>
          </cell>
          <cell r="E1848" t="str">
            <v>qphan@mantu.com</v>
          </cell>
        </row>
        <row r="1849">
          <cell r="B1849">
            <v>28874</v>
          </cell>
          <cell r="E1849" t="str">
            <v>bahoang.vo@amaris.com</v>
          </cell>
        </row>
        <row r="1850">
          <cell r="B1850">
            <v>28789</v>
          </cell>
          <cell r="E1850" t="str">
            <v>qtrinh1@littlebigconnection.com</v>
          </cell>
        </row>
        <row r="1851">
          <cell r="B1851">
            <v>28925</v>
          </cell>
          <cell r="E1851" t="str">
            <v>dacchien.nguyen@amaris.com</v>
          </cell>
        </row>
        <row r="1852">
          <cell r="B1852">
            <v>28745</v>
          </cell>
          <cell r="E1852" t="str">
            <v>david.chioda@amaris.com</v>
          </cell>
        </row>
        <row r="1853">
          <cell r="B1853">
            <v>29044</v>
          </cell>
          <cell r="E1853" t="str">
            <v>viettrong.tieu@amaris.com</v>
          </cell>
        </row>
        <row r="1854">
          <cell r="B1854">
            <v>29067</v>
          </cell>
          <cell r="E1854" t="str">
            <v>tnguyen58@amaris.com</v>
          </cell>
        </row>
        <row r="1855">
          <cell r="B1855">
            <v>29110</v>
          </cell>
          <cell r="E1855" t="str">
            <v>beibei.lin@amaris.com</v>
          </cell>
        </row>
        <row r="1856">
          <cell r="B1856">
            <v>32119</v>
          </cell>
          <cell r="E1856" t="str">
            <v>dinhchuong.nguyen@amaris.com</v>
          </cell>
        </row>
        <row r="1857">
          <cell r="B1857">
            <v>34788</v>
          </cell>
          <cell r="E1857" t="str">
            <v>nguyen.phamhuukhoi@amaris.com</v>
          </cell>
        </row>
        <row r="1858">
          <cell r="B1858">
            <v>36629</v>
          </cell>
          <cell r="E1858" t="str">
            <v>pthaian@amaris.com</v>
          </cell>
        </row>
        <row r="1859">
          <cell r="B1859">
            <v>34165</v>
          </cell>
          <cell r="E1859" t="str">
            <v>dhuynh@mantu.com</v>
          </cell>
        </row>
        <row r="1860">
          <cell r="B1860">
            <v>33003</v>
          </cell>
          <cell r="E1860" t="str">
            <v>xuandat.hoang@amaris.com</v>
          </cell>
        </row>
        <row r="1861">
          <cell r="B1861">
            <v>34584</v>
          </cell>
          <cell r="E1861" t="str">
            <v>vanvuong.vo@amaris.com</v>
          </cell>
        </row>
        <row r="1862">
          <cell r="B1862">
            <v>29646</v>
          </cell>
          <cell r="E1862" t="str">
            <v>vietbinh.vo@amaris.com</v>
          </cell>
        </row>
        <row r="1863">
          <cell r="B1863">
            <v>29645</v>
          </cell>
          <cell r="E1863" t="str">
            <v>michael.lam@amaris.com</v>
          </cell>
        </row>
        <row r="1864">
          <cell r="B1864">
            <v>33139</v>
          </cell>
          <cell r="E1864" t="str">
            <v>khanhthinh.phan@amaris.com</v>
          </cell>
        </row>
        <row r="1865">
          <cell r="B1865">
            <v>31377</v>
          </cell>
          <cell r="E1865" t="str">
            <v>nhoanglamtam@amaris.com</v>
          </cell>
        </row>
        <row r="1866">
          <cell r="B1866">
            <v>32048</v>
          </cell>
          <cell r="E1866" t="str">
            <v>htran@mantu.com</v>
          </cell>
        </row>
        <row r="1867">
          <cell r="B1867">
            <v>32215</v>
          </cell>
          <cell r="E1867" t="str">
            <v>an.nguyenthanh@amaris.com</v>
          </cell>
        </row>
        <row r="1868">
          <cell r="B1868">
            <v>32172</v>
          </cell>
          <cell r="E1868" t="str">
            <v>quynh.lengocnhu@amaris.com</v>
          </cell>
        </row>
        <row r="1869">
          <cell r="B1869">
            <v>32587</v>
          </cell>
          <cell r="E1869" t="str">
            <v>thithanh.truong@amaris.com</v>
          </cell>
        </row>
        <row r="1870">
          <cell r="B1870">
            <v>32673</v>
          </cell>
          <cell r="E1870" t="str">
            <v>ntrinhnguyet@mantu.com</v>
          </cell>
        </row>
        <row r="1871">
          <cell r="B1871">
            <v>32893</v>
          </cell>
          <cell r="E1871" t="str">
            <v>vi.tranhakieu@amaris.com</v>
          </cell>
        </row>
        <row r="1872">
          <cell r="B1872">
            <v>32733</v>
          </cell>
          <cell r="E1872" t="str">
            <v>hoanghai.nguyen@amaris.com</v>
          </cell>
        </row>
        <row r="1873">
          <cell r="B1873">
            <v>34937</v>
          </cell>
          <cell r="E1873" t="str">
            <v>thanhtrung.nguyen@amaris.com</v>
          </cell>
        </row>
        <row r="1874">
          <cell r="B1874">
            <v>33282</v>
          </cell>
          <cell r="E1874" t="str">
            <v>ttran7@amaris.com</v>
          </cell>
        </row>
        <row r="1875">
          <cell r="B1875">
            <v>34337</v>
          </cell>
          <cell r="E1875" t="str">
            <v>tnguyen9@mantu.com</v>
          </cell>
        </row>
        <row r="1876">
          <cell r="B1876">
            <v>33344</v>
          </cell>
          <cell r="E1876" t="str">
            <v>ho.vanvinh@amaris.com</v>
          </cell>
        </row>
        <row r="1877">
          <cell r="B1877">
            <v>35480</v>
          </cell>
          <cell r="E1877" t="str">
            <v>thanhduc.le@amaris.com</v>
          </cell>
        </row>
        <row r="1878">
          <cell r="B1878">
            <v>33727</v>
          </cell>
          <cell r="E1878" t="str">
            <v>tnguyen7@mantu.com</v>
          </cell>
        </row>
        <row r="1879">
          <cell r="B1879">
            <v>33492</v>
          </cell>
          <cell r="E1879" t="str">
            <v>nle1@mantu.com</v>
          </cell>
        </row>
        <row r="1880">
          <cell r="B1880">
            <v>32109</v>
          </cell>
          <cell r="E1880" t="str">
            <v>thanhtu.dao@amaris.com</v>
          </cell>
        </row>
        <row r="1881">
          <cell r="B1881">
            <v>30855</v>
          </cell>
          <cell r="E1881" t="str">
            <v>leminh.chau@amaris.com</v>
          </cell>
        </row>
        <row r="1882">
          <cell r="B1882">
            <v>30955</v>
          </cell>
          <cell r="E1882" t="str">
            <v>tmaianh@mantu.com</v>
          </cell>
        </row>
        <row r="1883">
          <cell r="B1883">
            <v>34883</v>
          </cell>
          <cell r="E1883" t="str">
            <v>tranminh.dang@amaris.com</v>
          </cell>
        </row>
        <row r="1884">
          <cell r="B1884">
            <v>31422</v>
          </cell>
          <cell r="E1884" t="str">
            <v>khai.phananh@amaris.com</v>
          </cell>
        </row>
        <row r="1885">
          <cell r="B1885">
            <v>31277</v>
          </cell>
          <cell r="E1885" t="str">
            <v>quangvinh.nguyenduc@amaris.com</v>
          </cell>
        </row>
        <row r="1886">
          <cell r="B1886">
            <v>31075</v>
          </cell>
          <cell r="E1886" t="str">
            <v>kimvan.hoang@amaris.com</v>
          </cell>
        </row>
        <row r="1887">
          <cell r="B1887">
            <v>31376</v>
          </cell>
          <cell r="E1887" t="str">
            <v>tlengocuyen@amaris.com</v>
          </cell>
        </row>
        <row r="1888">
          <cell r="B1888">
            <v>31373</v>
          </cell>
          <cell r="E1888" t="str">
            <v>anguyenhoangkhanh@amaris.com</v>
          </cell>
        </row>
        <row r="1889">
          <cell r="B1889">
            <v>33744</v>
          </cell>
          <cell r="E1889" t="str">
            <v>huuthanh.tran@amaris.com</v>
          </cell>
        </row>
        <row r="1890">
          <cell r="B1890">
            <v>31932</v>
          </cell>
          <cell r="E1890" t="str">
            <v>hongle.tran@amaris.com</v>
          </cell>
        </row>
        <row r="1891">
          <cell r="B1891">
            <v>31230</v>
          </cell>
          <cell r="E1891" t="str">
            <v>thinguyet.nong@amaris.com</v>
          </cell>
        </row>
        <row r="1892">
          <cell r="B1892">
            <v>31324</v>
          </cell>
          <cell r="E1892" t="str">
            <v>daiduong.tran@amaris.com</v>
          </cell>
        </row>
        <row r="1893">
          <cell r="B1893">
            <v>31374</v>
          </cell>
          <cell r="E1893" t="str">
            <v>blam@mantu.com</v>
          </cell>
        </row>
        <row r="1894">
          <cell r="B1894">
            <v>31077</v>
          </cell>
          <cell r="E1894" t="str">
            <v>lewis.law@amaris.com</v>
          </cell>
        </row>
        <row r="1895">
          <cell r="B1895">
            <v>35803</v>
          </cell>
          <cell r="E1895" t="str">
            <v>daithang.nguyen@amaris.com</v>
          </cell>
        </row>
        <row r="1896">
          <cell r="B1896">
            <v>29650</v>
          </cell>
          <cell r="E1896" t="str">
            <v>nguyennhat.luong@amaris.com</v>
          </cell>
        </row>
        <row r="1897">
          <cell r="B1897">
            <v>29816</v>
          </cell>
          <cell r="E1897" t="str">
            <v>hduongtranminh@amaris.com</v>
          </cell>
        </row>
        <row r="1898">
          <cell r="B1898">
            <v>29834</v>
          </cell>
          <cell r="E1898" t="str">
            <v>ltran4@amaris.com</v>
          </cell>
        </row>
        <row r="1899">
          <cell r="B1899">
            <v>30471</v>
          </cell>
          <cell r="E1899" t="str">
            <v>cristina.dalupan@amaris.com</v>
          </cell>
        </row>
        <row r="1900">
          <cell r="B1900">
            <v>32307</v>
          </cell>
          <cell r="E1900" t="str">
            <v>bernard.lui@amaris.com</v>
          </cell>
        </row>
        <row r="1901">
          <cell r="B1901">
            <v>30129</v>
          </cell>
          <cell r="E1901" t="str">
            <v>htrandinh1@amaris.com</v>
          </cell>
        </row>
        <row r="1902">
          <cell r="B1902">
            <v>29884</v>
          </cell>
          <cell r="E1902" t="str">
            <v>praful.chambhare@amaris.com</v>
          </cell>
        </row>
        <row r="1903">
          <cell r="B1903">
            <v>37772</v>
          </cell>
          <cell r="E1903" t="str">
            <v>tle8@amaris.com</v>
          </cell>
        </row>
        <row r="1904">
          <cell r="B1904">
            <v>33782</v>
          </cell>
          <cell r="E1904" t="str">
            <v>dle@mantu.com</v>
          </cell>
        </row>
        <row r="1905">
          <cell r="B1905">
            <v>36024</v>
          </cell>
          <cell r="E1905" t="str">
            <v>nvu2@mantu.com</v>
          </cell>
        </row>
        <row r="1906">
          <cell r="B1906">
            <v>34087</v>
          </cell>
          <cell r="E1906" t="str">
            <v>lnguyenthiquynh@mantu.com</v>
          </cell>
        </row>
        <row r="1907">
          <cell r="B1907">
            <v>37354</v>
          </cell>
          <cell r="E1907" t="str">
            <v>kimgia.nguyen@amaris.com</v>
          </cell>
        </row>
        <row r="1908">
          <cell r="B1908">
            <v>34071</v>
          </cell>
          <cell r="E1908" t="str">
            <v>thithanh.le1@amaris.com</v>
          </cell>
        </row>
        <row r="1909">
          <cell r="B1909">
            <v>34245</v>
          </cell>
          <cell r="E1909" t="str">
            <v>viethoang.tran@amaris.com</v>
          </cell>
        </row>
        <row r="1910">
          <cell r="B1910">
            <v>33781</v>
          </cell>
          <cell r="E1910" t="str">
            <v>ndao@mantu.com</v>
          </cell>
        </row>
        <row r="1911">
          <cell r="B1911">
            <v>35385</v>
          </cell>
          <cell r="E1911" t="str">
            <v>phamkhanh.tran@amaris.com</v>
          </cell>
        </row>
        <row r="1912">
          <cell r="B1912">
            <v>31894</v>
          </cell>
          <cell r="E1912" t="str">
            <v>huyhoang.nguyen@amaris.com</v>
          </cell>
        </row>
        <row r="1913">
          <cell r="B1913">
            <v>30949</v>
          </cell>
          <cell r="E1913" t="str">
            <v>huudang.nguyen@amaris.com</v>
          </cell>
        </row>
        <row r="1914">
          <cell r="B1914">
            <v>30782</v>
          </cell>
          <cell r="E1914" t="str">
            <v>mbui1@mantu.com</v>
          </cell>
        </row>
        <row r="1915">
          <cell r="B1915">
            <v>33672</v>
          </cell>
          <cell r="E1915" t="str">
            <v>tmai2@mantu.com</v>
          </cell>
        </row>
        <row r="1916">
          <cell r="B1916">
            <v>31375</v>
          </cell>
          <cell r="E1916" t="str">
            <v>cvodinhque@amaris.com</v>
          </cell>
        </row>
        <row r="1917">
          <cell r="B1917">
            <v>31513</v>
          </cell>
          <cell r="E1917" t="str">
            <v>harrison.li@amaris.com</v>
          </cell>
        </row>
        <row r="1918">
          <cell r="B1918">
            <v>31367</v>
          </cell>
          <cell r="E1918" t="str">
            <v>hiepdai.ngo@amaris.com</v>
          </cell>
        </row>
        <row r="1919">
          <cell r="B1919">
            <v>31753</v>
          </cell>
          <cell r="E1919" t="str">
            <v>haibinh.dang@amaris.com</v>
          </cell>
        </row>
        <row r="1920">
          <cell r="B1920">
            <v>31800</v>
          </cell>
          <cell r="E1920" t="str">
            <v>xuantoan.nguyen@amaris.com</v>
          </cell>
        </row>
        <row r="1921">
          <cell r="B1921">
            <v>32062</v>
          </cell>
          <cell r="E1921" t="str">
            <v>ntran@mantu.com</v>
          </cell>
        </row>
        <row r="1922">
          <cell r="B1922">
            <v>32041</v>
          </cell>
          <cell r="E1922" t="str">
            <v>tnguyen4@mantu.com</v>
          </cell>
        </row>
        <row r="1923">
          <cell r="B1923">
            <v>32197</v>
          </cell>
          <cell r="E1923" t="str">
            <v>nina.burnet@mantu.com</v>
          </cell>
        </row>
        <row r="1924">
          <cell r="B1924">
            <v>34319</v>
          </cell>
          <cell r="E1924" t="str">
            <v>binhnam.mai@amaris.com</v>
          </cell>
        </row>
        <row r="1925">
          <cell r="B1925">
            <v>30536</v>
          </cell>
          <cell r="E1925" t="str">
            <v>thucnhan.dao@amaris.com</v>
          </cell>
        </row>
        <row r="1926">
          <cell r="B1926">
            <v>34995</v>
          </cell>
          <cell r="E1926" t="str">
            <v>duchuy.bui@amaris.com</v>
          </cell>
        </row>
        <row r="1927">
          <cell r="B1927">
            <v>31622</v>
          </cell>
          <cell r="E1927" t="str">
            <v>huynhtuyet.nguyen@amaris.com</v>
          </cell>
        </row>
        <row r="1928">
          <cell r="B1928">
            <v>30996</v>
          </cell>
          <cell r="E1928" t="str">
            <v>leman.nguyen@amaris.com</v>
          </cell>
        </row>
        <row r="1929">
          <cell r="B1929">
            <v>32494</v>
          </cell>
          <cell r="E1929" t="str">
            <v>minhduc.nguyen@amaris.com</v>
          </cell>
        </row>
        <row r="1930">
          <cell r="B1930">
            <v>31610</v>
          </cell>
          <cell r="E1930" t="str">
            <v>hieu.tranvu@amaris.com</v>
          </cell>
        </row>
        <row r="1931">
          <cell r="B1931">
            <v>31372</v>
          </cell>
          <cell r="E1931" t="str">
            <v>hnguyen21@amaris.com</v>
          </cell>
        </row>
        <row r="1932">
          <cell r="B1932">
            <v>31574</v>
          </cell>
          <cell r="E1932" t="str">
            <v>ganbaatar.nyamjargal@amaris.com</v>
          </cell>
        </row>
        <row r="1933">
          <cell r="B1933">
            <v>31327</v>
          </cell>
          <cell r="E1933" t="str">
            <v>huynhminh.le@amaris.com</v>
          </cell>
        </row>
        <row r="1934">
          <cell r="B1934">
            <v>31366</v>
          </cell>
          <cell r="E1934" t="str">
            <v>thithanh.le@amaris.com</v>
          </cell>
        </row>
        <row r="1935">
          <cell r="B1935">
            <v>31392</v>
          </cell>
          <cell r="E1935" t="str">
            <v>nphan2@mantu.com</v>
          </cell>
        </row>
        <row r="1936">
          <cell r="B1936">
            <v>31403</v>
          </cell>
          <cell r="E1936" t="str">
            <v>hhuong@mantu.com</v>
          </cell>
        </row>
        <row r="1937">
          <cell r="B1937">
            <v>33357</v>
          </cell>
          <cell r="E1937" t="str">
            <v>pphamhoang@mantu.com</v>
          </cell>
        </row>
        <row r="1938">
          <cell r="B1938">
            <v>37509</v>
          </cell>
          <cell r="E1938" t="str">
            <v>huunghia.pham@amaris.com</v>
          </cell>
        </row>
        <row r="1939">
          <cell r="B1939">
            <v>33343</v>
          </cell>
          <cell r="E1939" t="str">
            <v>diep.lethingoc@amaris.com</v>
          </cell>
        </row>
        <row r="1940">
          <cell r="B1940">
            <v>35789</v>
          </cell>
          <cell r="E1940" t="str">
            <v>minh.hoang@amaris.com</v>
          </cell>
        </row>
        <row r="1941">
          <cell r="B1941">
            <v>35146</v>
          </cell>
          <cell r="E1941" t="str">
            <v>thingoc.nguyen@amaris.com</v>
          </cell>
        </row>
        <row r="1942">
          <cell r="B1942">
            <v>34275</v>
          </cell>
          <cell r="E1942" t="str">
            <v>hoangha.nguyen@amaris.com</v>
          </cell>
        </row>
        <row r="1943">
          <cell r="B1943">
            <v>35651</v>
          </cell>
          <cell r="E1943" t="str">
            <v>lvu@amaris.com</v>
          </cell>
        </row>
        <row r="1944">
          <cell r="B1944">
            <v>34274</v>
          </cell>
          <cell r="E1944" t="str">
            <v>tranthuy.lu@amaris.com</v>
          </cell>
        </row>
        <row r="1945">
          <cell r="B1945">
            <v>34622</v>
          </cell>
          <cell r="E1945" t="str">
            <v>vietson.dang@amaris.com</v>
          </cell>
        </row>
        <row r="1946">
          <cell r="B1946">
            <v>34282</v>
          </cell>
          <cell r="E1946" t="str">
            <v>nluong@epoka.fr</v>
          </cell>
        </row>
        <row r="1947">
          <cell r="B1947">
            <v>34520</v>
          </cell>
          <cell r="E1947" t="str">
            <v>congduc.vu@amaris.com</v>
          </cell>
        </row>
        <row r="1948">
          <cell r="B1948">
            <v>34541</v>
          </cell>
          <cell r="E1948" t="str">
            <v>anhtuan.nguyen1@amaris.com</v>
          </cell>
        </row>
        <row r="1949">
          <cell r="B1949">
            <v>31442</v>
          </cell>
          <cell r="E1949" t="str">
            <v>truongphu.phan@amaris.com</v>
          </cell>
        </row>
        <row r="1950">
          <cell r="B1950">
            <v>34589</v>
          </cell>
          <cell r="E1950" t="str">
            <v>mkhuu@amaris.com</v>
          </cell>
        </row>
        <row r="1951">
          <cell r="B1951">
            <v>31708</v>
          </cell>
          <cell r="E1951" t="str">
            <v>anhdoan.khoa@amaris.com</v>
          </cell>
        </row>
        <row r="1952">
          <cell r="B1952">
            <v>31533</v>
          </cell>
          <cell r="E1952" t="str">
            <v>kimlong.buinguyen@amaris.com</v>
          </cell>
        </row>
        <row r="1953">
          <cell r="B1953">
            <v>31593</v>
          </cell>
          <cell r="E1953" t="str">
            <v>nguyen.phuong2@amaris.com</v>
          </cell>
        </row>
        <row r="1954">
          <cell r="B1954">
            <v>34933</v>
          </cell>
          <cell r="E1954" t="str">
            <v>chausy.le@amaris.com</v>
          </cell>
        </row>
        <row r="1955">
          <cell r="B1955">
            <v>31806</v>
          </cell>
          <cell r="E1955" t="str">
            <v>dinhtu.le1@amaris.com</v>
          </cell>
        </row>
        <row r="1956">
          <cell r="B1956">
            <v>32007</v>
          </cell>
          <cell r="E1956" t="str">
            <v>mtrannhat@mantu.com</v>
          </cell>
        </row>
        <row r="1957">
          <cell r="B1957">
            <v>35574</v>
          </cell>
          <cell r="E1957" t="str">
            <v>tuanthanh.tran@amaris.com</v>
          </cell>
        </row>
        <row r="1958">
          <cell r="B1958">
            <v>34364</v>
          </cell>
          <cell r="E1958" t="str">
            <v>hnguyen2@mantu.com</v>
          </cell>
        </row>
        <row r="1959">
          <cell r="B1959">
            <v>36768</v>
          </cell>
          <cell r="E1959" t="str">
            <v>quangdung.nguyenpham@amaris.com</v>
          </cell>
        </row>
        <row r="1960">
          <cell r="B1960">
            <v>32872</v>
          </cell>
          <cell r="E1960" t="str">
            <v>thingoc.luong@amaris.com</v>
          </cell>
        </row>
        <row r="1961">
          <cell r="B1961">
            <v>32762</v>
          </cell>
          <cell r="E1961" t="str">
            <v>tungduy.phan@amaris.com</v>
          </cell>
        </row>
        <row r="1962">
          <cell r="B1962">
            <v>33349</v>
          </cell>
          <cell r="E1962" t="str">
            <v>mynguyen10@amaris.com</v>
          </cell>
        </row>
        <row r="1963">
          <cell r="B1963">
            <v>33216</v>
          </cell>
          <cell r="E1963" t="str">
            <v>dung.bui@littlebigconnection.com</v>
          </cell>
        </row>
        <row r="1964">
          <cell r="B1964">
            <v>33342</v>
          </cell>
          <cell r="E1964" t="str">
            <v>tantri.duong@amaris.com</v>
          </cell>
        </row>
        <row r="1965">
          <cell r="B1965">
            <v>32912</v>
          </cell>
          <cell r="E1965" t="str">
            <v>baokhang.ha@amaris.com</v>
          </cell>
        </row>
        <row r="1966">
          <cell r="B1966">
            <v>32833</v>
          </cell>
          <cell r="E1966" t="str">
            <v>dinhlam.tran@amaris.com</v>
          </cell>
        </row>
        <row r="1967">
          <cell r="B1967">
            <v>36109</v>
          </cell>
          <cell r="E1967" t="str">
            <v>duyduc.dang@amaris.com</v>
          </cell>
        </row>
        <row r="1968">
          <cell r="B1968">
            <v>37851</v>
          </cell>
          <cell r="E1968" t="str">
            <v>nhuvien.nguyen@amaris.com</v>
          </cell>
        </row>
        <row r="1969">
          <cell r="B1969">
            <v>33345</v>
          </cell>
          <cell r="E1969" t="str">
            <v>hnguyen12@mantu.com</v>
          </cell>
        </row>
        <row r="1970">
          <cell r="B1970">
            <v>33334</v>
          </cell>
          <cell r="E1970" t="str">
            <v>minhduc.tran@amaris.com</v>
          </cell>
        </row>
        <row r="1971">
          <cell r="B1971">
            <v>33302</v>
          </cell>
          <cell r="E1971" t="str">
            <v>anhien@amaris.com</v>
          </cell>
        </row>
        <row r="1972">
          <cell r="B1972">
            <v>36853</v>
          </cell>
          <cell r="E1972" t="str">
            <v>ducthanh.van@amaris.com</v>
          </cell>
        </row>
        <row r="1973">
          <cell r="B1973">
            <v>33832</v>
          </cell>
          <cell r="E1973" t="str">
            <v>lnguyen1@mantu.com</v>
          </cell>
        </row>
        <row r="1974">
          <cell r="B1974">
            <v>37508</v>
          </cell>
          <cell r="E1974" t="str">
            <v>minhquan.dang@amaris.com</v>
          </cell>
        </row>
        <row r="1975">
          <cell r="B1975">
            <v>33767</v>
          </cell>
          <cell r="E1975" t="str">
            <v>nnguyen1@mantu.com</v>
          </cell>
        </row>
        <row r="1976">
          <cell r="B1976">
            <v>33665</v>
          </cell>
          <cell r="E1976" t="str">
            <v>nguyen.truongduy@amaris.com</v>
          </cell>
        </row>
        <row r="1977">
          <cell r="B1977">
            <v>33813</v>
          </cell>
          <cell r="E1977" t="str">
            <v>phamthi.phan@littlebigconnection.com</v>
          </cell>
        </row>
        <row r="1978">
          <cell r="B1978">
            <v>35079</v>
          </cell>
          <cell r="E1978" t="str">
            <v>congduoc.le@amaris.com</v>
          </cell>
        </row>
        <row r="1979">
          <cell r="B1979">
            <v>37623</v>
          </cell>
          <cell r="E1979" t="str">
            <v>lamchi.ly@amaris.com</v>
          </cell>
        </row>
        <row r="1980">
          <cell r="B1980">
            <v>37520</v>
          </cell>
          <cell r="E1980" t="str">
            <v>vdinh@mantu.com</v>
          </cell>
        </row>
        <row r="1981">
          <cell r="B1981">
            <v>33807</v>
          </cell>
          <cell r="E1981" t="str">
            <v>duy.nguyencong@amaris.com</v>
          </cell>
        </row>
        <row r="1982">
          <cell r="B1982">
            <v>31752</v>
          </cell>
          <cell r="E1982" t="str">
            <v>duchuy.phamnguyen@amaris.com</v>
          </cell>
        </row>
        <row r="1983">
          <cell r="B1983">
            <v>31640</v>
          </cell>
          <cell r="E1983" t="str">
            <v>chaonan.li@amaris.com</v>
          </cell>
        </row>
        <row r="1984">
          <cell r="B1984">
            <v>35900</v>
          </cell>
          <cell r="E1984" t="str">
            <v>hla@amaris.com</v>
          </cell>
        </row>
        <row r="1985">
          <cell r="B1985">
            <v>34889</v>
          </cell>
          <cell r="E1985" t="str">
            <v>trongtri.huynh@amaris.com</v>
          </cell>
        </row>
        <row r="1986">
          <cell r="B1986">
            <v>35573</v>
          </cell>
          <cell r="E1986" t="str">
            <v>linda.boukhoulda@amaris.com</v>
          </cell>
        </row>
        <row r="1987">
          <cell r="B1987">
            <v>32449</v>
          </cell>
          <cell r="E1987" t="str">
            <v>tohuynh.tien@amaris.com</v>
          </cell>
        </row>
        <row r="1988">
          <cell r="B1988">
            <v>34685</v>
          </cell>
          <cell r="E1988" t="str">
            <v>huuvinh.huynh@amaris.com</v>
          </cell>
        </row>
        <row r="1989">
          <cell r="B1989">
            <v>34886</v>
          </cell>
          <cell r="E1989" t="str">
            <v>cbui@mantu.com</v>
          </cell>
        </row>
        <row r="1990">
          <cell r="B1990">
            <v>34887</v>
          </cell>
          <cell r="E1990" t="str">
            <v>duy.tranquoc@amaris.com</v>
          </cell>
        </row>
        <row r="1991">
          <cell r="B1991">
            <v>35066</v>
          </cell>
          <cell r="E1991" t="str">
            <v>hotuongchinh@amaris.com</v>
          </cell>
        </row>
        <row r="1992">
          <cell r="B1992">
            <v>35069</v>
          </cell>
          <cell r="E1992" t="str">
            <v>hoabinh.nguyen@amaris.com</v>
          </cell>
        </row>
        <row r="1993">
          <cell r="B1993">
            <v>36477</v>
          </cell>
          <cell r="E1993" t="str">
            <v>ngoctuan.nguyen@amaris.com</v>
          </cell>
        </row>
        <row r="1994">
          <cell r="B1994">
            <v>35659</v>
          </cell>
          <cell r="E1994" t="str">
            <v>ngoctran.tathi@amaris.com</v>
          </cell>
        </row>
        <row r="1995">
          <cell r="B1995">
            <v>35370</v>
          </cell>
          <cell r="E1995" t="str">
            <v>thiyen.cao@amaris.com</v>
          </cell>
        </row>
        <row r="1996">
          <cell r="B1996">
            <v>35106</v>
          </cell>
          <cell r="E1996" t="str">
            <v>thiviet.nguyen@amaris.com</v>
          </cell>
        </row>
        <row r="1997">
          <cell r="B1997">
            <v>35895</v>
          </cell>
          <cell r="E1997" t="str">
            <v>mnguyen9@amaris.com</v>
          </cell>
        </row>
        <row r="1998">
          <cell r="B1998">
            <v>35604</v>
          </cell>
          <cell r="E1998" t="str">
            <v>hoangthai.chu@amaris.com</v>
          </cell>
        </row>
        <row r="1999">
          <cell r="B1999">
            <v>35560</v>
          </cell>
          <cell r="E1999" t="str">
            <v>quoclinh.tran@amaris.com</v>
          </cell>
        </row>
        <row r="2000">
          <cell r="B2000">
            <v>35824</v>
          </cell>
          <cell r="E2000" t="str">
            <v>hle1@amaris.com</v>
          </cell>
        </row>
        <row r="2001">
          <cell r="B2001">
            <v>35569</v>
          </cell>
          <cell r="E2001" t="str">
            <v>gduquesnay.ext@mantu.com</v>
          </cell>
        </row>
        <row r="2002">
          <cell r="B2002">
            <v>35959</v>
          </cell>
          <cell r="E2002" t="str">
            <v>quanghuy.nguyen@amaris.com</v>
          </cell>
        </row>
        <row r="2003">
          <cell r="B2003">
            <v>35666</v>
          </cell>
          <cell r="E2003" t="str">
            <v>nhuhien.tranngoc@amaris.com</v>
          </cell>
        </row>
        <row r="2004">
          <cell r="B2004">
            <v>37497</v>
          </cell>
          <cell r="E2004" t="str">
            <v>tiendat.pham@amaris.com</v>
          </cell>
        </row>
        <row r="2005">
          <cell r="B2005">
            <v>37887</v>
          </cell>
          <cell r="E2005" t="str">
            <v>thanhnam.nguyenhuu@amaris.com</v>
          </cell>
        </row>
        <row r="2006">
          <cell r="B2006">
            <v>33411</v>
          </cell>
          <cell r="E2006" t="str">
            <v>sivaganesh.lakshmanan@amaris.com</v>
          </cell>
        </row>
        <row r="2007">
          <cell r="B2007">
            <v>33432</v>
          </cell>
          <cell r="E2007" t="str">
            <v>tnguyen6@mantu.com</v>
          </cell>
        </row>
        <row r="2008">
          <cell r="B2008">
            <v>33490</v>
          </cell>
          <cell r="E2008" t="str">
            <v>thientrang.doan@amaris.com</v>
          </cell>
        </row>
        <row r="2009">
          <cell r="B2009">
            <v>33568</v>
          </cell>
          <cell r="E2009" t="str">
            <v>thanhdat.phan@amaris.com</v>
          </cell>
        </row>
        <row r="2010">
          <cell r="B2010">
            <v>33785</v>
          </cell>
          <cell r="E2010" t="str">
            <v>mngo@mantu.com</v>
          </cell>
        </row>
        <row r="2011">
          <cell r="B2011">
            <v>33784</v>
          </cell>
          <cell r="E2011" t="str">
            <v>ntran1@mantu.com</v>
          </cell>
        </row>
        <row r="2012">
          <cell r="B2012">
            <v>34400</v>
          </cell>
          <cell r="E2012" t="str">
            <v>youngho.kim.ext@amaris.com</v>
          </cell>
        </row>
        <row r="2013">
          <cell r="B2013">
            <v>34261</v>
          </cell>
          <cell r="E2013" t="str">
            <v>ngoctrong.vothi@amaris.com</v>
          </cell>
        </row>
        <row r="2014">
          <cell r="B2014">
            <v>34839</v>
          </cell>
          <cell r="E2014" t="str">
            <v>tta@mantu.com</v>
          </cell>
        </row>
        <row r="2015">
          <cell r="B2015">
            <v>34340</v>
          </cell>
          <cell r="E2015" t="str">
            <v>knguyen1@mantu.com</v>
          </cell>
        </row>
        <row r="2016">
          <cell r="B2016">
            <v>34680</v>
          </cell>
          <cell r="E2016" t="str">
            <v>quynh.pham@amaris.com</v>
          </cell>
        </row>
        <row r="2017">
          <cell r="B2017">
            <v>35264</v>
          </cell>
          <cell r="E2017" t="str">
            <v>duytung.pham@amaris.com</v>
          </cell>
        </row>
        <row r="2018">
          <cell r="B2018">
            <v>34411</v>
          </cell>
          <cell r="E2018" t="str">
            <v>tienhuynh.nguyen@amaris.com</v>
          </cell>
        </row>
        <row r="2019">
          <cell r="B2019">
            <v>34427</v>
          </cell>
          <cell r="E2019" t="str">
            <v>vancuong.nguyen@amaris.com</v>
          </cell>
        </row>
        <row r="2020">
          <cell r="B2020">
            <v>34884</v>
          </cell>
          <cell r="E2020" t="str">
            <v>thientuu.chau@amaris.com</v>
          </cell>
        </row>
        <row r="2021">
          <cell r="B2021">
            <v>34621</v>
          </cell>
          <cell r="E2021" t="str">
            <v>qtonnu@amaris.com</v>
          </cell>
        </row>
        <row r="2022">
          <cell r="B2022">
            <v>34885</v>
          </cell>
          <cell r="E2022" t="str">
            <v>phoang@mantu.com</v>
          </cell>
        </row>
        <row r="2023">
          <cell r="B2023">
            <v>34840</v>
          </cell>
          <cell r="E2023" t="str">
            <v>hnguyen3@mantu.com</v>
          </cell>
        </row>
        <row r="2024">
          <cell r="B2024">
            <v>35022</v>
          </cell>
          <cell r="E2024" t="str">
            <v>andi.phan@amaris.com</v>
          </cell>
        </row>
        <row r="2025">
          <cell r="B2025">
            <v>37839</v>
          </cell>
          <cell r="E2025" t="str">
            <v>triet.huynhminh@amaris.com</v>
          </cell>
        </row>
        <row r="2026">
          <cell r="B2026">
            <v>36384</v>
          </cell>
          <cell r="E2026" t="str">
            <v>anhkhoa.nguyen@amaris.com</v>
          </cell>
        </row>
        <row r="2027">
          <cell r="B2027">
            <v>35960</v>
          </cell>
          <cell r="E2027" t="str">
            <v>leduc.nguyen@amaris.com</v>
          </cell>
        </row>
        <row r="2028">
          <cell r="B2028">
            <v>32038</v>
          </cell>
          <cell r="E2028" t="str">
            <v>hoangquoc.le@amaris.com</v>
          </cell>
        </row>
        <row r="2029">
          <cell r="B2029">
            <v>32047</v>
          </cell>
          <cell r="E2029" t="str">
            <v>lnguyen@mantu.com</v>
          </cell>
        </row>
        <row r="2030">
          <cell r="B2030">
            <v>31982</v>
          </cell>
          <cell r="E2030" t="str">
            <v>trungnghia.cao@amaris.com</v>
          </cell>
        </row>
        <row r="2031">
          <cell r="B2031">
            <v>35394</v>
          </cell>
          <cell r="E2031" t="str">
            <v>phuocan.nguyen@amaris.com</v>
          </cell>
        </row>
        <row r="2032">
          <cell r="B2032">
            <v>32426</v>
          </cell>
          <cell r="E2032" t="str">
            <v>nle6@amaris.com</v>
          </cell>
        </row>
        <row r="2033">
          <cell r="B2033">
            <v>32427</v>
          </cell>
          <cell r="E2033" t="str">
            <v>duynguyen.thai@amaris.com</v>
          </cell>
        </row>
        <row r="2034">
          <cell r="B2034">
            <v>32632</v>
          </cell>
          <cell r="E2034" t="str">
            <v>tantai.pham@amaris.com</v>
          </cell>
        </row>
        <row r="2035">
          <cell r="B2035">
            <v>33413</v>
          </cell>
          <cell r="E2035" t="str">
            <v>tunglam.ngo@amaris.com</v>
          </cell>
        </row>
        <row r="2036">
          <cell r="B2036">
            <v>36752</v>
          </cell>
          <cell r="E2036" t="str">
            <v>mle@mantu.com</v>
          </cell>
        </row>
        <row r="2037">
          <cell r="B2037">
            <v>36651</v>
          </cell>
          <cell r="E2037" t="str">
            <v>tienmanh.nguyen@amaris.com</v>
          </cell>
        </row>
        <row r="2038">
          <cell r="B2038">
            <v>36249</v>
          </cell>
          <cell r="E2038" t="str">
            <v>anhquan.nguyen@amaris.com</v>
          </cell>
        </row>
        <row r="2039">
          <cell r="B2039">
            <v>37668</v>
          </cell>
          <cell r="E2039" t="str">
            <v>vanquang.phan@amaris.com</v>
          </cell>
        </row>
        <row r="2040">
          <cell r="B2040">
            <v>36382</v>
          </cell>
          <cell r="E2040" t="str">
            <v>minhtan.le@amaris.com</v>
          </cell>
        </row>
        <row r="2041">
          <cell r="B2041">
            <v>37249</v>
          </cell>
          <cell r="E2041" t="str">
            <v>minhtan.tran1@amaris.com</v>
          </cell>
        </row>
        <row r="2042">
          <cell r="B2042">
            <v>37352</v>
          </cell>
          <cell r="E2042" t="str">
            <v>huuvinh.pham@amaris.com</v>
          </cell>
        </row>
        <row r="2043">
          <cell r="B2043">
            <v>36627</v>
          </cell>
          <cell r="E2043" t="str">
            <v>anhthu.nguyenle@amaris.com</v>
          </cell>
        </row>
        <row r="2044">
          <cell r="B2044">
            <v>37280</v>
          </cell>
          <cell r="E2044" t="str">
            <v>vinhkhiem.nguyen@amaris.com</v>
          </cell>
        </row>
        <row r="2045">
          <cell r="B2045">
            <v>36924</v>
          </cell>
          <cell r="E2045" t="str">
            <v>npham@mantu.com</v>
          </cell>
        </row>
        <row r="2046">
          <cell r="B2046">
            <v>37383</v>
          </cell>
          <cell r="E2046" t="str">
            <v>duan.nguyen@amaris.com</v>
          </cell>
        </row>
        <row r="2047">
          <cell r="B2047">
            <v>36928</v>
          </cell>
          <cell r="E2047" t="str">
            <v>tle5@mantu.com</v>
          </cell>
        </row>
        <row r="2048">
          <cell r="B2048">
            <v>37382</v>
          </cell>
          <cell r="E2048" t="str">
            <v>linh.ha@amaris.com</v>
          </cell>
        </row>
        <row r="2049">
          <cell r="B2049">
            <v>37077</v>
          </cell>
          <cell r="E2049" t="str">
            <v>lananh.tangthi@amaris.com</v>
          </cell>
        </row>
        <row r="2050">
          <cell r="B2050">
            <v>37593</v>
          </cell>
          <cell r="E2050" t="str">
            <v>dinhanh.hoang@amaris.com</v>
          </cell>
        </row>
        <row r="2051">
          <cell r="B2051">
            <v>37145</v>
          </cell>
          <cell r="E2051" t="str">
            <v>dnguyen@mantu.com</v>
          </cell>
        </row>
        <row r="2052">
          <cell r="B2052">
            <v>37355</v>
          </cell>
          <cell r="E2052" t="str">
            <v>quocnhat.dang@amaris.com</v>
          </cell>
        </row>
        <row r="2053">
          <cell r="B2053">
            <v>34246</v>
          </cell>
          <cell r="E2053" t="str">
            <v>khanhduy.be@amaris.com</v>
          </cell>
        </row>
        <row r="2054">
          <cell r="B2054">
            <v>34432</v>
          </cell>
          <cell r="E2054" t="str">
            <v>kimnha.dao@amaris.com</v>
          </cell>
        </row>
        <row r="2055">
          <cell r="B2055">
            <v>37688</v>
          </cell>
          <cell r="E2055" t="str">
            <v>tnguyen28@amaris.com</v>
          </cell>
        </row>
        <row r="2056">
          <cell r="B2056">
            <v>35446</v>
          </cell>
          <cell r="E2056" t="str">
            <v>hoangchi.luong@amaris.com</v>
          </cell>
        </row>
        <row r="2057">
          <cell r="B2057">
            <v>34815</v>
          </cell>
          <cell r="E2057" t="str">
            <v>phuocson.le@amaris.com</v>
          </cell>
        </row>
        <row r="2058">
          <cell r="B2058">
            <v>34380</v>
          </cell>
          <cell r="E2058" t="str">
            <v>vanhao.le@amaris.com</v>
          </cell>
        </row>
        <row r="2059">
          <cell r="B2059">
            <v>36061</v>
          </cell>
          <cell r="E2059" t="str">
            <v>fbayon@amaris.com</v>
          </cell>
        </row>
        <row r="2060">
          <cell r="B2060">
            <v>37131</v>
          </cell>
          <cell r="E2060" t="str">
            <v>tanhoang.nguyen1@amaris.com</v>
          </cell>
        </row>
        <row r="2061">
          <cell r="B2061">
            <v>34814</v>
          </cell>
          <cell r="E2061" t="str">
            <v>thiquynh.nguyen@amaris.com</v>
          </cell>
        </row>
        <row r="2062">
          <cell r="B2062">
            <v>35287</v>
          </cell>
          <cell r="E2062" t="str">
            <v>ngocmy.ha@amaris.com</v>
          </cell>
        </row>
        <row r="2063">
          <cell r="B2063">
            <v>34559</v>
          </cell>
          <cell r="E2063" t="str">
            <v>quoctrung.kieu@amaris.com</v>
          </cell>
        </row>
        <row r="2064">
          <cell r="B2064">
            <v>34616</v>
          </cell>
          <cell r="E2064" t="str">
            <v>xvo@mantu.com</v>
          </cell>
        </row>
        <row r="2065">
          <cell r="B2065">
            <v>34816</v>
          </cell>
          <cell r="E2065" t="str">
            <v>nhamquy.tran@amaris.com</v>
          </cell>
        </row>
        <row r="2066">
          <cell r="B2066">
            <v>34686</v>
          </cell>
          <cell r="E2066" t="str">
            <v>thikhanh.nguyen@amaris.com</v>
          </cell>
        </row>
        <row r="2067">
          <cell r="B2067">
            <v>35145</v>
          </cell>
          <cell r="E2067" t="str">
            <v>tle4@mantu.com</v>
          </cell>
        </row>
        <row r="2068">
          <cell r="B2068">
            <v>35588</v>
          </cell>
          <cell r="E2068" t="str">
            <v>vuanh.do@amaris.com</v>
          </cell>
        </row>
        <row r="2069">
          <cell r="B2069">
            <v>36242</v>
          </cell>
          <cell r="E2069" t="str">
            <v>quochung.phung@amaris.com</v>
          </cell>
        </row>
        <row r="2070">
          <cell r="B2070">
            <v>36218</v>
          </cell>
          <cell r="E2070" t="str">
            <v>trucanh@amaris.com</v>
          </cell>
        </row>
        <row r="2071">
          <cell r="B2071">
            <v>35993</v>
          </cell>
          <cell r="E2071" t="str">
            <v>kiet.doan@amaris.com</v>
          </cell>
        </row>
        <row r="2072">
          <cell r="B2072">
            <v>35997</v>
          </cell>
          <cell r="E2072" t="str">
            <v>paul.xu@amaris.com</v>
          </cell>
        </row>
        <row r="2073">
          <cell r="B2073">
            <v>35998</v>
          </cell>
          <cell r="E2073" t="str">
            <v>reveedran.arumugam@amaris.com</v>
          </cell>
        </row>
        <row r="2074">
          <cell r="B2074">
            <v>37857</v>
          </cell>
          <cell r="E2074" t="str">
            <v>minhtri.do@amaris.com</v>
          </cell>
        </row>
        <row r="2075">
          <cell r="B2075">
            <v>37361</v>
          </cell>
          <cell r="E2075" t="str">
            <v>nguyenngoc.nguyensy@amaris.com</v>
          </cell>
        </row>
        <row r="2076">
          <cell r="B2076">
            <v>36789</v>
          </cell>
          <cell r="E2076" t="str">
            <v>vanthanh.khuat@amaris.com</v>
          </cell>
        </row>
        <row r="2077">
          <cell r="B2077">
            <v>33138</v>
          </cell>
          <cell r="E2077" t="str">
            <v>tronghieu.nguyen@amaris.com</v>
          </cell>
        </row>
        <row r="2078">
          <cell r="B2078">
            <v>35436</v>
          </cell>
          <cell r="E2078" t="str">
            <v>tnguyen25@amaris.com</v>
          </cell>
        </row>
        <row r="2079">
          <cell r="B2079">
            <v>37958</v>
          </cell>
          <cell r="E2079" t="str">
            <v>manhquyen.khong@amaris.com</v>
          </cell>
        </row>
        <row r="2080">
          <cell r="B2080">
            <v>34522</v>
          </cell>
          <cell r="E2080" t="str">
            <v>dvo1@mantu.com</v>
          </cell>
        </row>
        <row r="2081">
          <cell r="B2081">
            <v>33783</v>
          </cell>
          <cell r="E2081" t="str">
            <v>qvolieumy@mantu.com</v>
          </cell>
        </row>
        <row r="2082">
          <cell r="B2082">
            <v>37766</v>
          </cell>
          <cell r="E2082" t="str">
            <v>hpham1@amaris.com</v>
          </cell>
        </row>
        <row r="2083">
          <cell r="B2083">
            <v>36187</v>
          </cell>
          <cell r="E2083" t="str">
            <v>duynhat.nguyen@amaris.com</v>
          </cell>
        </row>
        <row r="2084">
          <cell r="B2084">
            <v>33689</v>
          </cell>
          <cell r="E2084" t="str">
            <v>lpham1@amaris.com</v>
          </cell>
        </row>
        <row r="2085">
          <cell r="B2085">
            <v>33701</v>
          </cell>
          <cell r="E2085" t="str">
            <v>do.tranvan@amaris.com</v>
          </cell>
        </row>
        <row r="2086">
          <cell r="B2086">
            <v>37929</v>
          </cell>
          <cell r="E2086" t="str">
            <v>lethanh.nguyen@amaris.com</v>
          </cell>
        </row>
        <row r="2087">
          <cell r="B2087">
            <v>33848</v>
          </cell>
          <cell r="E2087" t="str">
            <v>trungkien.pham@amaris.com</v>
          </cell>
        </row>
        <row r="2088">
          <cell r="B2088">
            <v>34205</v>
          </cell>
          <cell r="E2088" t="str">
            <v>hdau@mantu.com</v>
          </cell>
        </row>
        <row r="2089">
          <cell r="B2089">
            <v>34192</v>
          </cell>
          <cell r="E2089" t="str">
            <v>tnguyen24@amaris.com</v>
          </cell>
        </row>
        <row r="2090">
          <cell r="B2090">
            <v>37594</v>
          </cell>
          <cell r="E2090" t="str">
            <v>duynguyen.vongoc@amaris.com</v>
          </cell>
        </row>
        <row r="2091">
          <cell r="B2091">
            <v>35516</v>
          </cell>
          <cell r="E2091" t="str">
            <v>huuphuoc.tran@amaris.com</v>
          </cell>
        </row>
        <row r="2092">
          <cell r="B2092">
            <v>35331</v>
          </cell>
          <cell r="E2092" t="str">
            <v>trungtin.thai@amaris.com</v>
          </cell>
        </row>
        <row r="2093">
          <cell r="B2093">
            <v>35357</v>
          </cell>
          <cell r="E2093" t="str">
            <v>danish.tilija@amaris.com</v>
          </cell>
        </row>
        <row r="2094">
          <cell r="B2094">
            <v>35733</v>
          </cell>
          <cell r="E2094" t="str">
            <v>thanhviet.dinh@amaris.com</v>
          </cell>
        </row>
        <row r="2095">
          <cell r="B2095">
            <v>37858</v>
          </cell>
          <cell r="E2095" t="str">
            <v>trannhat.nguyen@amaris.com</v>
          </cell>
        </row>
        <row r="2096">
          <cell r="B2096">
            <v>35488</v>
          </cell>
          <cell r="E2096" t="str">
            <v>thu.ha@amaris.com</v>
          </cell>
        </row>
        <row r="2097">
          <cell r="B2097">
            <v>36243</v>
          </cell>
          <cell r="E2097" t="str">
            <v>phuonghang.lethi@amaris.com</v>
          </cell>
        </row>
        <row r="2098">
          <cell r="B2098">
            <v>37466</v>
          </cell>
          <cell r="E2098" t="str">
            <v>huuphuc.le@amaris.com</v>
          </cell>
        </row>
        <row r="2099">
          <cell r="B2099">
            <v>36630</v>
          </cell>
          <cell r="E2099" t="str">
            <v>hdo1@amaris.com</v>
          </cell>
        </row>
        <row r="2100">
          <cell r="B2100">
            <v>37304</v>
          </cell>
          <cell r="E2100" t="str">
            <v>tuuyen.dinhthi@amaris.com</v>
          </cell>
        </row>
        <row r="2101">
          <cell r="B2101">
            <v>37420</v>
          </cell>
          <cell r="E2101" t="str">
            <v>phuonglinh.hathi@amaris.com</v>
          </cell>
        </row>
        <row r="2102">
          <cell r="B2102">
            <v>37519</v>
          </cell>
          <cell r="E2102" t="str">
            <v>ndo3@mantu.com</v>
          </cell>
        </row>
        <row r="2103">
          <cell r="B2103">
            <v>37624</v>
          </cell>
          <cell r="E2103" t="str">
            <v>huuvinh.nguyen@amaris.com</v>
          </cell>
        </row>
        <row r="2104">
          <cell r="B2104">
            <v>37477</v>
          </cell>
          <cell r="E2104" t="str">
            <v>minhtrung.ngo@amaris.com</v>
          </cell>
        </row>
        <row r="2105">
          <cell r="B2105">
            <v>37493</v>
          </cell>
          <cell r="E2105" t="str">
            <v>ngocanh.cai@amaris.com</v>
          </cell>
        </row>
        <row r="2106">
          <cell r="B2106">
            <v>37931</v>
          </cell>
          <cell r="E2106" t="str">
            <v>tanthanh.ngo@amaris.com</v>
          </cell>
        </row>
        <row r="2107">
          <cell r="B2107">
            <v>37797</v>
          </cell>
          <cell r="E2107" t="str">
            <v>ttran9@amaris.com</v>
          </cell>
        </row>
        <row r="2108">
          <cell r="B2108">
            <v>37768</v>
          </cell>
          <cell r="E2108" t="str">
            <v>hnguyen13@amaris.com</v>
          </cell>
        </row>
        <row r="2109">
          <cell r="B2109">
            <v>37852</v>
          </cell>
          <cell r="E2109" t="str">
            <v>hnguyen6@mantu.com</v>
          </cell>
        </row>
        <row r="2110">
          <cell r="B2110">
            <v>37798</v>
          </cell>
          <cell r="E2110" t="str">
            <v>tluong1@mantu.com</v>
          </cell>
        </row>
        <row r="2111">
          <cell r="B2111">
            <v>37856</v>
          </cell>
          <cell r="E2111" t="str">
            <v>huytri.nguyen@amaris.com</v>
          </cell>
        </row>
        <row r="2112">
          <cell r="B2112">
            <v>37769</v>
          </cell>
          <cell r="E2112" t="str">
            <v>tnguyen38@amaris.com</v>
          </cell>
        </row>
        <row r="2113">
          <cell r="B2113">
            <v>37955</v>
          </cell>
          <cell r="E2113" t="str">
            <v>nguyenhao.ly@amaris.com</v>
          </cell>
        </row>
        <row r="2114">
          <cell r="B2114">
            <v>34293</v>
          </cell>
          <cell r="E2114" t="str">
            <v>tanhoang.nguyen@amaris.com</v>
          </cell>
        </row>
        <row r="2115">
          <cell r="B2115">
            <v>34640</v>
          </cell>
          <cell r="E2115" t="str">
            <v>haithanh.nguyenquoc@amaris.com</v>
          </cell>
        </row>
        <row r="2116">
          <cell r="B2116">
            <v>34794</v>
          </cell>
          <cell r="E2116" t="str">
            <v>tramngan.tranthi@amaris.com</v>
          </cell>
        </row>
        <row r="2117">
          <cell r="B2117">
            <v>35606</v>
          </cell>
          <cell r="E2117" t="str">
            <v>cathai.le@amaris.com</v>
          </cell>
        </row>
        <row r="2118">
          <cell r="B2118">
            <v>35011</v>
          </cell>
          <cell r="E2118" t="str">
            <v>truonghuu.huynh@amaris.com</v>
          </cell>
        </row>
        <row r="2119">
          <cell r="B2119">
            <v>35580</v>
          </cell>
          <cell r="E2119" t="str">
            <v>hungvuong.ngo@amaris.com</v>
          </cell>
        </row>
        <row r="2120">
          <cell r="B2120">
            <v>35969</v>
          </cell>
          <cell r="E2120" t="str">
            <v>daiduong.phan@amaris.com</v>
          </cell>
        </row>
        <row r="2121">
          <cell r="B2121">
            <v>35286</v>
          </cell>
          <cell r="E2121" t="str">
            <v>ngocminh.le@amaris.com</v>
          </cell>
        </row>
        <row r="2122">
          <cell r="B2122">
            <v>35810</v>
          </cell>
          <cell r="E2122" t="str">
            <v>thanhphuc.nguyenhuynh@amaris.com</v>
          </cell>
        </row>
        <row r="2123">
          <cell r="B2123">
            <v>37635</v>
          </cell>
          <cell r="E2123" t="str">
            <v>phucloi.nguyen@amaris.com</v>
          </cell>
        </row>
        <row r="2124">
          <cell r="B2124">
            <v>36118</v>
          </cell>
          <cell r="E2124" t="str">
            <v>ncao@mantu.com</v>
          </cell>
        </row>
        <row r="2125">
          <cell r="B2125">
            <v>35965</v>
          </cell>
          <cell r="E2125" t="str">
            <v>baongoc.nguyen@amaris.com</v>
          </cell>
        </row>
        <row r="2126">
          <cell r="B2126">
            <v>35979</v>
          </cell>
          <cell r="E2126" t="str">
            <v>cao.minh@amaris.com</v>
          </cell>
        </row>
        <row r="2127">
          <cell r="B2127">
            <v>35995</v>
          </cell>
          <cell r="E2127" t="str">
            <v>kawin.chuangyanyong@amaris.com</v>
          </cell>
        </row>
        <row r="2128">
          <cell r="B2128">
            <v>35999</v>
          </cell>
          <cell r="E2128" t="str">
            <v>viraj.karangutkar@amaris.com</v>
          </cell>
        </row>
        <row r="2129">
          <cell r="B2129">
            <v>37097</v>
          </cell>
          <cell r="E2129" t="str">
            <v>pnguyen4@amaris.com</v>
          </cell>
        </row>
        <row r="2130">
          <cell r="B2130">
            <v>36626</v>
          </cell>
          <cell r="E2130" t="str">
            <v>huungan.mai@amaris.com</v>
          </cell>
        </row>
        <row r="2131">
          <cell r="B2131">
            <v>37058</v>
          </cell>
          <cell r="E2131" t="str">
            <v>minhthuan.le@amaris.com</v>
          </cell>
        </row>
        <row r="2132">
          <cell r="B2132">
            <v>36988</v>
          </cell>
          <cell r="E2132" t="str">
            <v>hoaisang.cao@amaris.com</v>
          </cell>
        </row>
        <row r="2133">
          <cell r="B2133">
            <v>36852</v>
          </cell>
          <cell r="E2133" t="str">
            <v>suraj.suresh.ext@amaris.com</v>
          </cell>
        </row>
        <row r="2134">
          <cell r="B2134">
            <v>37298</v>
          </cell>
          <cell r="E2134" t="str">
            <v>khanhgia.chung@amaris.com</v>
          </cell>
        </row>
        <row r="2135">
          <cell r="B2135">
            <v>37094</v>
          </cell>
          <cell r="E2135" t="str">
            <v>nnguyen9@amaris.com</v>
          </cell>
        </row>
        <row r="2136">
          <cell r="B2136">
            <v>37510</v>
          </cell>
          <cell r="E2136" t="str">
            <v>chihau.nguyen@amaris.com</v>
          </cell>
        </row>
        <row r="2137">
          <cell r="B2137">
            <v>37507</v>
          </cell>
          <cell r="E2137" t="str">
            <v>nnguyen3@mantu.com</v>
          </cell>
        </row>
        <row r="2138">
          <cell r="B2138">
            <v>37771</v>
          </cell>
          <cell r="E2138" t="str">
            <v>xle@amaris.com</v>
          </cell>
        </row>
        <row r="2139">
          <cell r="B2139">
            <v>35996</v>
          </cell>
          <cell r="E2139" t="str">
            <v>zandro.marudo@amaris.com</v>
          </cell>
        </row>
        <row r="2140">
          <cell r="B2140">
            <v>35991</v>
          </cell>
          <cell r="E2140" t="str">
            <v>nicholas.franklin@amaris.com</v>
          </cell>
        </row>
        <row r="2141">
          <cell r="B2141">
            <v>35994</v>
          </cell>
          <cell r="E2141" t="str">
            <v>aasif.ansari@amaris.com</v>
          </cell>
        </row>
        <row r="2142">
          <cell r="B2142">
            <v>36769</v>
          </cell>
          <cell r="E2142" t="str">
            <v>tiendat.tran@amaris.com</v>
          </cell>
        </row>
        <row r="2143">
          <cell r="B2143">
            <v>36843</v>
          </cell>
          <cell r="E2143" t="str">
            <v>cpham2@mantu.com</v>
          </cell>
        </row>
        <row r="2144">
          <cell r="B2144">
            <v>37640</v>
          </cell>
          <cell r="E2144" t="str">
            <v>minhnhat.dang@amaris.com</v>
          </cell>
        </row>
        <row r="2145">
          <cell r="B2145">
            <v>37598</v>
          </cell>
          <cell r="E2145" t="str">
            <v>haithien.nguyen@amaris.com</v>
          </cell>
        </row>
        <row r="2146">
          <cell r="B2146">
            <v>37305</v>
          </cell>
          <cell r="E2146" t="str">
            <v>minhkhanh.doan@amaris.com</v>
          </cell>
        </row>
        <row r="2147">
          <cell r="B2147">
            <v>37419</v>
          </cell>
          <cell r="E2147" t="str">
            <v>ngochan.trantruong@amaris.com</v>
          </cell>
        </row>
        <row r="2148">
          <cell r="B2148">
            <v>37555</v>
          </cell>
          <cell r="E2148" t="str">
            <v>phucanh.nguyen@amaris.com</v>
          </cell>
        </row>
        <row r="2149">
          <cell r="B2149">
            <v>37335</v>
          </cell>
          <cell r="E2149" t="str">
            <v>oliver.susara@amaris.com</v>
          </cell>
        </row>
        <row r="2150">
          <cell r="B2150">
            <v>37922</v>
          </cell>
          <cell r="E2150" t="str">
            <v>hdang1@amaris.com</v>
          </cell>
        </row>
        <row r="2151">
          <cell r="B2151">
            <v>37911</v>
          </cell>
          <cell r="E2151" t="str">
            <v>thienan.phan@amaris.com</v>
          </cell>
        </row>
        <row r="2152">
          <cell r="B2152">
            <v>38004</v>
          </cell>
          <cell r="E2152" t="str">
            <v>hoaitrinh.do@amaris.com</v>
          </cell>
        </row>
        <row r="2153">
          <cell r="B2153">
            <v>36770</v>
          </cell>
          <cell r="E2153" t="str">
            <v>hoangminh.ngo@amaris.com</v>
          </cell>
        </row>
        <row r="2154">
          <cell r="B2154">
            <v>36677</v>
          </cell>
          <cell r="E2154" t="str">
            <v>chitam.nguyenle@amaris.com</v>
          </cell>
        </row>
        <row r="2155">
          <cell r="B2155">
            <v>36767</v>
          </cell>
          <cell r="E2155" t="str">
            <v>nhutminh.nguyen@amaris.com</v>
          </cell>
        </row>
        <row r="2156">
          <cell r="B2156">
            <v>37660</v>
          </cell>
          <cell r="E2156" t="str">
            <v>quangtrinh.ha@amaris.com</v>
          </cell>
        </row>
        <row r="2157">
          <cell r="B2157">
            <v>36992</v>
          </cell>
          <cell r="E2157" t="str">
            <v>thaian.phamthuy@amaris.com</v>
          </cell>
        </row>
        <row r="2158">
          <cell r="B2158">
            <v>37289</v>
          </cell>
          <cell r="E2158" t="str">
            <v>yhong@mantu.com</v>
          </cell>
        </row>
        <row r="2159">
          <cell r="B2159">
            <v>37959</v>
          </cell>
          <cell r="E2159" t="str">
            <v>tuankhoa.tran@amaris.com</v>
          </cell>
        </row>
        <row r="2160">
          <cell r="B2160">
            <v>37306</v>
          </cell>
          <cell r="E2160" t="str">
            <v>phucthinh.tran@amaris.com</v>
          </cell>
        </row>
        <row r="2161">
          <cell r="B2161">
            <v>37442</v>
          </cell>
          <cell r="E2161" t="str">
            <v>thanhduy.chau@amaris.com</v>
          </cell>
        </row>
        <row r="2162">
          <cell r="B2162">
            <v>37418</v>
          </cell>
          <cell r="E2162" t="str">
            <v>anhtuan.nguyen2@amaris.com</v>
          </cell>
        </row>
        <row r="2163">
          <cell r="B2163">
            <v>37709</v>
          </cell>
          <cell r="E2163" t="str">
            <v>anhquoc.pham@amaris.com</v>
          </cell>
        </row>
        <row r="2164">
          <cell r="B2164">
            <v>37815</v>
          </cell>
          <cell r="E2164" t="str">
            <v>utrinhlethao@mantu.com</v>
          </cell>
        </row>
        <row r="2165">
          <cell r="B2165">
            <v>37796</v>
          </cell>
          <cell r="E2165" t="str">
            <v>tpham2@amaris.com</v>
          </cell>
        </row>
        <row r="2166">
          <cell r="B2166">
            <v>37799</v>
          </cell>
          <cell r="E2166" t="str">
            <v>mbui3@mantu.com</v>
          </cell>
        </row>
        <row r="2167">
          <cell r="B2167">
            <v>37907</v>
          </cell>
          <cell r="E2167" t="str">
            <v>ttran16@amaris.com</v>
          </cell>
        </row>
        <row r="2168">
          <cell r="B2168">
            <v>37711</v>
          </cell>
          <cell r="E2168" t="str">
            <v>hanh.nguyenngochong@amaris.com</v>
          </cell>
        </row>
        <row r="2169">
          <cell r="B2169">
            <v>37920</v>
          </cell>
          <cell r="E2169" t="str">
            <v>qtran5@amaris.com</v>
          </cell>
        </row>
        <row r="2170">
          <cell r="B2170">
            <v>37767</v>
          </cell>
          <cell r="E2170" t="str">
            <v>tvo4@amaris.com</v>
          </cell>
        </row>
        <row r="2171">
          <cell r="B2171">
            <v>37893</v>
          </cell>
          <cell r="E2171" t="str">
            <v>tienthuan.luong@amaris.com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56.696810300928" createdVersion="8" refreshedVersion="8" minRefreshableVersion="3" recordCount="273" xr:uid="{AB1483C8-9731-4C46-85B9-B83F5CDC5F47}">
  <cacheSource type="worksheet">
    <worksheetSource ref="A1:T274" sheet="Room"/>
  </cacheSource>
  <cacheFields count="20">
    <cacheField name="Name" numFmtId="0">
      <sharedItems containsBlank="1" count="274">
        <s v="Pham Khanh Linh TRAN"/>
        <s v="Do Thuy Tien PHAM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Hong Chuong NGUYEN"/>
        <s v="Nguyễn Lê Thành"/>
        <s v="Ngoc Tuan NGUYEN"/>
        <s v="Thanh Nhan PHAN"/>
        <s v="Xuan Dat HOANG"/>
        <s v="Hong Son DAO"/>
        <s v="Thanh Son NGUYEN"/>
        <s v="Thanh Phuoc LE"/>
        <s v="Le Man Dat NGUYEN"/>
        <s v="Thanh Loc NGUYEN"/>
        <s v="Van Thanh Danh KHUAT"/>
        <s v="Huu Vinh NGUYEN"/>
        <s v="Kim Cong NGUYEN"/>
        <s v="Trung Nghia NGUYEN"/>
        <s v="Trung Hieu PHAM"/>
        <s v="Quang Nien NGUYEN"/>
        <s v="Cong Danh BUI"/>
        <s v="Huynh Chi Tin VO"/>
        <s v="Quang Trung DO"/>
        <s v="Van Trien DANG"/>
        <s v="Cong Khanh HUYNH"/>
        <s v="Thanh Dat NGUYEN"/>
        <s v="Song Toan VU"/>
        <s v="Quang Tin TRAN"/>
        <s v="Vo Tuong Duy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Thi Thanh Huong LE"/>
        <s v="Phuong Hang LE THI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Nam Kha LE"/>
        <s v="Tan Hoang NGUYEN"/>
        <s v="Bao Khang HA"/>
        <s v="Thanh Duy CHAU"/>
        <s v="Van Tien CAO"/>
        <s v="Phuong VU"/>
        <s v="Minh Tan TRAN"/>
        <s v="Xuan Thuong TRINH"/>
        <s v="Van Hieu NGUYEN"/>
        <s v="Kim Gia Huy NGUYEN"/>
        <s v="Thanh Xuan BUI"/>
        <s v="Van Tinh PHAM"/>
        <s v="Thi Phuong Thao VU"/>
        <s v="Thi Nguyet NONG"/>
        <s v="Thi Viet Trinh NGUYEN"/>
        <s v="Khanh Gia CHUNG"/>
        <s v="Ngoc Trang Dai TRAN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Vu Phuong NGUYEN"/>
        <s v="Chau Sy Dat LE"/>
        <s v="Hai Thien NGUYEN"/>
        <s v="Huu Khoi Nguyen PHAM"/>
        <s v="Phuoc Son LE"/>
        <s v="Thanh Tung LE"/>
        <s v="Vu Duy DINH"/>
        <s v="Tung Lam NGO"/>
        <s v="Chi Tam NGUYEN LE"/>
        <s v="TRUONG Van Sang"/>
        <s v="Thi Quynh Phuong NGUYEN"/>
        <s v="Ngoc Khanh Linh DANG"/>
        <s v="Trần Quỳnh Anh"/>
        <s v="NGUYEN Bao Ngoc"/>
        <s v="Tran Thuy Linh LU"/>
        <s v="Kim Anh DO"/>
        <s v="Dang Khoa PHAM"/>
        <s v="Huu Thanh Tam TRAN"/>
        <s v="Nghi Lam PHAM"/>
        <s v="Viet Hoang TRAN"/>
        <s v="Duy Nguyen VO NGOC"/>
        <s v="Anh Khoa NGUYEN"/>
        <s v="Chi Hau NGUYEN"/>
        <s v="Dai Duong PHAN"/>
        <s v="Dinh Anh Quoc HOANG"/>
        <s v="Dinh Lam TRAN"/>
        <s v="Duc Quy NGUYEN"/>
        <s v="Thai Ly NGUYEN"/>
        <s v="Thi Khanh NGUYEN"/>
        <s v="Thi Hue DO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Phuong Thao HA"/>
        <s v="Thanh Hang VU"/>
        <s v="The Trinh NGUYEN"/>
        <s v="Thuy My Hao LA"/>
        <s v="Thi Ha My TRAN"/>
        <s v="Thi Minh Phuong NGUYEN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Lan Vy LE"/>
        <s v="NGUYEN Vu Phuong Uyen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m/>
        <s v="Thi Hoa VUONG" u="1"/>
        <s v="Do Gia Huy PHAN" u="1"/>
      </sharedItems>
    </cacheField>
    <cacheField name="Are you planning to join the company trip?" numFmtId="0">
      <sharedItems containsBlank="1" count="2">
        <s v="Yes, count me in!"/>
        <m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/>
    </cacheField>
    <cacheField name="Anything else we should know?" numFmtId="0">
      <sharedItems containsBlank="1"/>
    </cacheField>
    <cacheField name="Gov" numFmtId="0">
      <sharedItems containsBlank="1" containsMixedTypes="1" containsNumber="1" containsInteger="1" minValue="76777" maxValue="76777"/>
    </cacheField>
    <cacheField name="Dep" numFmtId="0">
      <sharedItems containsBlank="1"/>
    </cacheField>
    <cacheField name="N+1" numFmtId="0">
      <sharedItems containsBlank="1"/>
    </cacheField>
    <cacheField name="Status" numFmtId="0">
      <sharedItems containsBlank="1"/>
    </cacheField>
    <cacheField name="With Fam" numFmtId="0">
      <sharedItems containsBlank="1"/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tring="0" containsBlank="1" containsNumber="1" containsInteger="1" minValue="0" maxValue="3"/>
    </cacheField>
    <cacheField name="Total Hc" numFmtId="0">
      <sharedItems containsString="0" containsBlank="1" containsNumber="1" containsInteger="1" minValue="1" maxValue="4"/>
    </cacheField>
    <cacheField name="Bus No." numFmtId="0">
      <sharedItems containsBlank="1" containsMixedTypes="1" containsNumber="1" containsInteger="1" minValue="1" maxValue="8" count="10">
        <n v="1"/>
        <n v="2"/>
        <n v="3"/>
        <n v="4"/>
        <s v="Own transport"/>
        <n v="7"/>
        <n v="8"/>
        <n v="5"/>
        <n v="6"/>
        <m/>
      </sharedItems>
    </cacheField>
    <cacheField name="Room No." numFmtId="0">
      <sharedItems containsString="0" containsBlank="1" containsNumber="1" containsInteger="1" minValue="1" maxValue="145" count="1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m/>
        <n v="91" u="1"/>
        <n v="145" u="1"/>
      </sharedItems>
    </cacheField>
    <cacheField name="Gen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56.699450115739" createdVersion="8" refreshedVersion="8" minRefreshableVersion="3" recordCount="286" xr:uid="{E3B0F7FB-6673-4755-B82A-D3109BB7A9AE}">
  <cacheSource type="worksheet">
    <worksheetSource ref="A1:T1048576" sheet="Room"/>
  </cacheSource>
  <cacheFields count="20">
    <cacheField name="Name" numFmtId="0">
      <sharedItems containsBlank="1" count="274">
        <s v="Pham Khanh Linh TRAN"/>
        <s v="Do Thuy Tien PHAM"/>
        <s v="Hoang Ha Quyen NGUYEN"/>
        <s v="Thien Trang DOAN"/>
        <s v="Minh Thuan LE"/>
        <s v="Van Thanh Thuan NGUYEN"/>
        <s v="Duc Minh CAO"/>
        <s v="Hoang Tu LA"/>
        <s v="Trung Nghia CAO"/>
        <s v="Van Do TRAN"/>
        <s v="Quang Trinh HA"/>
        <s v="Binh Nam MAI"/>
        <s v="Ngô Tấn Thành"/>
        <s v="Hong Chuong NGUYEN"/>
        <s v="Nguyễn Lê Thành"/>
        <s v="Ngoc Tuan NGUYEN"/>
        <s v="Thanh Nhan PHAN"/>
        <s v="Xuan Dat HOANG"/>
        <s v="Hong Son DAO"/>
        <s v="Thanh Son NGUYEN"/>
        <s v="Thanh Phuoc LE"/>
        <s v="Le Man Dat NGUYEN"/>
        <s v="Thanh Loc NGUYEN"/>
        <s v="Van Thanh Danh KHUAT"/>
        <s v="Huu Vinh NGUYEN"/>
        <s v="Kim Cong NGUYEN"/>
        <s v="Trung Nghia NGUYEN"/>
        <s v="Trung Hieu PHAM"/>
        <s v="Quang Nien NGUYEN"/>
        <s v="Cong Danh BUI"/>
        <s v="Huynh Chi Tin VO"/>
        <s v="Quang Trung DO"/>
        <s v="Van Trien DANG"/>
        <s v="Cong Khanh HUYNH"/>
        <s v="Thanh Dat NGUYEN"/>
        <s v="Song Toan VU"/>
        <s v="Quang Tin TRAN"/>
        <s v="Vo Tuong Duy"/>
        <s v="Ngoc Thanh PHAM"/>
        <s v="Xuan Vu TRAN"/>
        <s v="Nhu Hai Luu PHAN"/>
        <s v="Hoai Sang CAO"/>
        <s v="Huynh Duy Duc NGUYEN"/>
        <s v="Quoc Linh TRAN"/>
        <s v="Van Hao LE"/>
        <s v="Minh Phuoc NGUYEN"/>
        <s v="Duy Nhat NGUYEN"/>
        <s v="Huu Ngan MAI"/>
        <s v="Minh Quan DANG"/>
        <s v="Huu Nghia PHAM"/>
        <s v="Duy Phong NGUYEN"/>
        <s v="Tuan Thanh TRAN"/>
        <s v="Huy Tri NGUYEN"/>
        <s v="Thanh Duc LE"/>
        <s v="Tran Nhat Duc NGUYEN"/>
        <s v="Minh Tri DO"/>
        <s v="Tien Manh NGUYEN"/>
        <s v="Quoc Trung KIEU"/>
        <s v="DINH Thanh Viet"/>
        <s v="Chi Cuong HUYNH"/>
        <s v="Thi Thanh Huong LE"/>
        <s v="Phuong Hang LE THI"/>
        <s v="Thi Tram Ngan TRAN"/>
        <s v="Ngoc My HA"/>
        <s v="Ngoc Thuy Trang PHAM"/>
        <s v="Thai An PHAM THUY"/>
        <s v="Tu Uyen DINH THI"/>
        <s v="Ngoc Tran TA THI"/>
        <s v="Tri Hung NGUYEN"/>
        <s v="Hoang Tuan Anh NGUYEN"/>
        <s v="That Viet Anh TON"/>
        <s v="Truong An NGUYEN"/>
        <s v="Nam Kha LE"/>
        <s v="Tan Hoang NGUYEN"/>
        <s v="Bao Khang HA"/>
        <s v="Thanh Duy CHAU"/>
        <s v="Van Tien CAO"/>
        <s v="Phuong VU"/>
        <s v="Minh Tan TRAN"/>
        <s v="Xuan Thuong TRINH"/>
        <s v="Van Hieu NGUYEN"/>
        <s v="Kim Gia Huy NGUYEN"/>
        <s v="Thanh Xuan BUI"/>
        <s v="Van Tinh PHAM"/>
        <s v="Thi Phuong Thao VU"/>
        <s v="Thi Nguyet NONG"/>
        <s v="Thi Viet Trinh NGUYEN"/>
        <s v="Khanh Gia CHUNG"/>
        <s v="Ngoc Trang Dai TRAN"/>
        <s v="Thanh Trung NGUYEN"/>
        <s v="Nguyen Ngoc NGUYEN SY"/>
        <s v="Anh Quoc PHAM"/>
        <s v="Hai Binh DANG"/>
        <s v="Trung Tin THAI"/>
        <s v="Nhat DANG MINH"/>
        <s v="Trung Kien PHAM"/>
        <s v="Chien Hao CAO"/>
        <s v="Do Nhat Minh PHAM"/>
        <s v="Duy Hanh LE"/>
        <s v="Huu Thinh NGUYEN"/>
        <s v="Duc Thanh VAN"/>
        <s v="Duan NGUYEN LE"/>
        <s v="Hoang Long NGUYEN"/>
        <s v="Tan Hoang - Bi NGUYEN"/>
        <s v="Thai Hien LUONG"/>
        <s v="Van Ket VO"/>
        <s v="Vu Phuong NGUYEN"/>
        <s v="Chau Sy Dat LE"/>
        <s v="Hai Thien NGUYEN"/>
        <s v="Huu Khoi Nguyen PHAM"/>
        <s v="Phuoc Son LE"/>
        <s v="Thanh Tung LE"/>
        <s v="Vu Duy DINH"/>
        <s v="Tung Lam NGO"/>
        <s v="Chi Tam NGUYEN LE"/>
        <s v="TRUONG Van Sang"/>
        <s v="Thi Quynh Phuong NGUYEN"/>
        <s v="Ngoc Khanh Linh DANG"/>
        <s v="Trần Quỳnh Anh"/>
        <s v="NGUYEN Bao Ngoc"/>
        <s v="Tran Thuy Linh LU"/>
        <s v="Kim Anh DO"/>
        <s v="Dang Khoa PHAM"/>
        <s v="Huu Thanh Tam TRAN"/>
        <s v="Nghi Lam PHAM"/>
        <s v="Viet Hoang TRAN"/>
        <s v="Duy Nguyen VO NGOC"/>
        <s v="Anh Khoa NGUYEN"/>
        <s v="Chi Hau NGUYEN"/>
        <s v="Dai Duong PHAN"/>
        <s v="Dinh Anh Quoc HOANG"/>
        <s v="Dinh Lam TRAN"/>
        <s v="Duc Quy NGUYEN"/>
        <s v="Thai Ly NGUYEN"/>
        <s v="Thi Khanh NGUYEN"/>
        <s v="Thi Hue DO"/>
        <s v="Huynh Nhat Tan TRAN"/>
        <s v="Cong Tuan VAN"/>
        <s v="Nham Quy TRAN"/>
        <s v="Thanh Tai NGUYEN"/>
        <s v="Anh Tuan - Tl NGUYEN"/>
        <s v="Huy Hoang NGUYEN"/>
        <s v="Cong Quan PHAM"/>
        <s v="Huu Phuc LE"/>
        <s v="Quoc Hai Thanh NGUYEN"/>
        <s v="Quoc Hung PHUNG"/>
        <s v="Ngoc Quoc TRAN"/>
        <s v="Tien Huynh NGUYEN"/>
        <s v="Minh Quang TRAN"/>
        <s v="Van Tai PHAM"/>
        <s v="Tuan Khoi NGUYEN"/>
        <s v="Thuc Hao NGUYEN"/>
        <s v="Thi My Tam - Cindy LE"/>
        <s v="Le Kim Ngan NGUYEN"/>
        <s v="Minh Thu DANG"/>
        <s v="Le Bao Tram - Rachel DOAN"/>
        <s v="Thi Quynh Lien NGUYEN"/>
        <s v="Bao Tram CAO"/>
        <s v="Nguyen Hong Uyen HO"/>
        <s v="Phuong Thao HA"/>
        <s v="Thanh Hang VU"/>
        <s v="The Trinh NGUYEN"/>
        <s v="Thuy My Hao LA"/>
        <s v="Thi Ha My TRAN"/>
        <s v="Thi Minh Phuong NGUYEN"/>
        <s v="Thi Mai Anh LE"/>
        <s v="Kim Nha DAO"/>
        <s v="Hieu Minh DO"/>
        <s v="NGUYEN Tien Nam"/>
        <s v="Trung Hieu NGUYEN"/>
        <s v="Hoang Le Nguyen VINH"/>
        <s v="Ngoc Nam NGO"/>
        <s v="Anh Dung Cuong PHAN"/>
        <s v="Chau Giang NGUYEN"/>
        <s v="Uyen TRINH LE THAO"/>
        <s v="Yen Xuan HONG"/>
        <s v="Thi Tram Anh LUONG"/>
        <s v="Thi Tu Quyen LE"/>
        <s v="Ha Nhi NGUYEN"/>
        <s v="Tran Phuong Nga VO"/>
        <s v="Thi Thanh Thao NGUYEN"/>
        <s v="Hoang Mai Quyen PHAM"/>
        <s v="Ho Ngoc Tran NGUYEN"/>
        <s v="Quynh Mai NGUYEN"/>
        <s v="Thi Phuong Thao TRUONG"/>
        <s v="Lan Vy LE"/>
        <s v="NGUYEN Vu Phuong Uyen"/>
        <s v="Hoang Thanh Thanh NGUYEN"/>
        <s v="Lam Tam Nhu HOANG"/>
        <s v="Dinh Que Chau VO"/>
        <s v="Bao Quyen LAM"/>
        <s v="Ngoc Khanh LE"/>
        <s v="Ngoc Phuong Uyen TRAN"/>
        <s v="Tran Phuong Phuong NGUYEN"/>
        <s v="Khanh Linh PHAN"/>
        <s v="Tue Quan DIEP"/>
        <s v="Dang Quang LE"/>
        <s v="The Anh NGUYEN"/>
        <s v="Trung Kien NGUYEN"/>
        <s v="Huu Phuc - Tony TRAN"/>
        <s v="Hoang Phuc PHAM"/>
        <s v="Quang Hung BUI"/>
        <s v="Xuan Tung LE"/>
        <s v="Minh Nhat BUI"/>
        <s v="Geoffrey DUTERTRE"/>
        <s v="Arthur CAMARET"/>
        <s v="Nguyen Phuong DO"/>
        <s v="Hoang Dung LE"/>
        <s v="Chee Kiat LIM"/>
        <s v="Clément GUIGUEN"/>
        <s v="Xuan Quang PHAN"/>
        <s v="Bao An HOANG"/>
        <s v="Dinh Tien Dung NGUYEN"/>
        <s v="Truong Tho DANG"/>
        <s v="Tu NGUYEN ANH"/>
        <s v="Triet HUYNH MINH"/>
        <s v="Ho Bao Thy LE"/>
        <s v="Tuong Khuyen LE"/>
        <s v="Le Khanh Chi PHAM"/>
        <s v="Tran Thao Vy PHAM"/>
        <s v="Ho Khanh Vy NGUYEN"/>
        <s v="Dang Thuy Duong NGUYEN"/>
        <s v="Thi Anh Thu TRAN"/>
        <s v="Nguyen Tu Nhi HONG"/>
        <s v="Thai An PHAM"/>
        <s v="Hoang Bich Tran NGUYEN"/>
        <s v="Linh Chau PHAN"/>
        <s v="Le Minh Trang NGUYEN"/>
        <s v="Thi Anh Minh TRAN"/>
        <s v="Thu Hong NGUYEN"/>
        <s v="Thi Thanh Nhan NGUYEN"/>
        <s v="Thi Minh Phuong TRAN"/>
        <s v="Kieu Anh HOANG"/>
        <s v="Phuong Thao NGUYEN"/>
        <s v="Ngoc Nguyen Ngan - Emily NGUYEN"/>
        <s v="Hoai Nhu Y NGUYEN"/>
        <s v="Diem Thien Nga - Micky HUYNH"/>
        <s v="Thi Lanh HO"/>
        <s v="Thuy Phuong - Kaitlyn LE"/>
        <s v="Trinh Quynh Nhu NGO"/>
        <s v="Clémence LIN"/>
        <s v="Thi My Hanh TA"/>
        <s v="Ngoc Thao My NGUYEN"/>
        <s v="Thanh Huong HA"/>
        <s v="Nhat Minh TRAN"/>
        <s v="Ngoc Hoa HUYNH"/>
        <s v="Thi Ha Trang NGUYEN"/>
        <s v="Nguyen Trong Tuan PHAM"/>
        <s v="Tien Khoi DINH"/>
        <s v="Duy Phuong NGUYEN"/>
        <s v="Phu Loc HOANG"/>
        <s v="Anh Quan PHAN"/>
        <s v="Cuong BUI"/>
        <s v="Minh Tuan PHAM"/>
        <s v="Hoang Vu NGO"/>
        <s v="Dinh Van LE"/>
        <s v="Ba Nghi HUYNH"/>
        <s v="Hoang Duy NGUYEN"/>
        <s v="Tuan Anh NGUYEN"/>
        <s v="Guillaume DUQUESNAY"/>
        <s v="Van Cop HUYNH"/>
        <s v="Hoang Minh NGUYEN"/>
        <s v="Hai Nam NGUYEN"/>
        <s v="Trung Thong HOANG"/>
        <s v="Dai Che Phuong TAI"/>
        <s v="Phu Qui CHAU"/>
        <s v="Ngoc Huy LE"/>
        <s v="Truong Thi NGUYEN"/>
        <s v="Khac Duy NGUYEN"/>
        <s v="Thai Hung TRAN"/>
        <s v="Thanh Hoang NGUYEN"/>
        <m/>
        <s v="Do Gia Huy PHAN" u="1"/>
        <s v="Thi Hoa VUONG" u="1"/>
      </sharedItems>
    </cacheField>
    <cacheField name="Are you planning to join the company trip?" numFmtId="0">
      <sharedItems containsBlank="1" count="3">
        <s v="Yes, count me in!"/>
        <m/>
        <s v="Sorry, I won’t be able to join this time." u="1"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/>
    </cacheField>
    <cacheField name="Anything else we should know?" numFmtId="0">
      <sharedItems containsBlank="1"/>
    </cacheField>
    <cacheField name="Gov" numFmtId="0">
      <sharedItems containsBlank="1" containsMixedTypes="1" containsNumber="1" containsInteger="1" minValue="76777" maxValue="76777"/>
    </cacheField>
    <cacheField name="Dep" numFmtId="0">
      <sharedItems containsBlank="1"/>
    </cacheField>
    <cacheField name="N+1" numFmtId="0">
      <sharedItems containsBlank="1"/>
    </cacheField>
    <cacheField name="Status" numFmtId="0">
      <sharedItems containsBlank="1"/>
    </cacheField>
    <cacheField name="With Fam" numFmtId="0">
      <sharedItems containsBlank="1" count="3">
        <s v="No"/>
        <s v="Yes"/>
        <m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tring="0" containsBlank="1" containsNumber="1" containsInteger="1" minValue="0" maxValue="3"/>
    </cacheField>
    <cacheField name="Total Hc" numFmtId="0">
      <sharedItems containsString="0" containsBlank="1" containsNumber="1" containsInteger="1" minValue="1" maxValue="4"/>
    </cacheField>
    <cacheField name="Bus No." numFmtId="0">
      <sharedItems containsBlank="1" containsMixedTypes="1" containsNumber="1" containsInteger="1" minValue="1" maxValue="8" count="10">
        <n v="1"/>
        <n v="2"/>
        <n v="3"/>
        <n v="4"/>
        <s v="Own transport"/>
        <n v="7"/>
        <n v="8"/>
        <n v="5"/>
        <n v="6"/>
        <m/>
      </sharedItems>
    </cacheField>
    <cacheField name="Room No." numFmtId="0">
      <sharedItems containsString="0" containsBlank="1" containsNumber="1" containsInteger="1" minValue="1" maxValue="145" count="1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m/>
        <n v="91" u="1"/>
        <n v="145" u="1"/>
      </sharedItems>
    </cacheField>
    <cacheField name="Gender" numFmtId="0">
      <sharedItems containsBlank="1" count="3">
        <s v="Female"/>
        <s v="Male               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57.83634814815" createdVersion="8" refreshedVersion="8" minRefreshableVersion="3" recordCount="271" xr:uid="{4CAD68C6-51C6-4241-831E-A357592816C9}">
  <cacheSource type="worksheet">
    <worksheetSource ref="A1:S272" sheet="Update"/>
  </cacheSource>
  <cacheFields count="19">
    <cacheField name="Name" numFmtId="0">
      <sharedItems/>
    </cacheField>
    <cacheField name="Are you planning to join the company trip?" numFmtId="0">
      <sharedItems/>
    </cacheField>
    <cacheField name="Please enter your ID/Passport number." numFmtId="0">
      <sharedItems/>
    </cacheField>
    <cacheField name="Please enter your phone number (just in case we need to get in touch)" numFmtId="0">
      <sharedItems/>
    </cacheField>
    <cacheField name="Are you bringing any partner or family members along? " numFmtId="0">
      <sharedItems/>
    </cacheField>
    <cacheField name="If yes, please provide the details for each guest below" numFmtId="0">
      <sharedItems containsBlank="1"/>
    </cacheField>
    <cacheField name="How do you plan to travel to the trip location?" numFmtId="0">
      <sharedItems/>
    </cacheField>
    <cacheField name="Anything else we should know?" numFmtId="0">
      <sharedItems containsBlank="1"/>
    </cacheField>
    <cacheField name="Gov" numFmtId="0">
      <sharedItems containsMixedTypes="1" containsNumber="1" containsInteger="1" minValue="76777" maxValue="76777"/>
    </cacheField>
    <cacheField name="Dep" numFmtId="0">
      <sharedItems/>
    </cacheField>
    <cacheField name="N+1" numFmtId="0">
      <sharedItems/>
    </cacheField>
    <cacheField name="Status" numFmtId="0">
      <sharedItems/>
    </cacheField>
    <cacheField name="With Fam" numFmtId="0">
      <sharedItems count="2">
        <s v="No"/>
        <s v="Yes"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emiMixedTypes="0" containsString="0" containsNumber="1" containsInteger="1" minValue="0" maxValue="3"/>
    </cacheField>
    <cacheField name="Total Hc" numFmtId="0">
      <sharedItems containsSemiMixedTypes="0" containsString="0" containsNumber="1" containsInteger="1" minValue="1" maxValue="4"/>
    </cacheField>
    <cacheField name="Bus No." numFmtId="0">
      <sharedItems containsMixedTypes="1" containsNumber="1" containsInteger="1" minValue="1" maxValue="8"/>
    </cacheField>
    <cacheField name="Room No." numFmtId="0">
      <sharedItems containsSemiMixedTypes="0" containsString="0" containsNumber="1" containsInteger="1" minValue="1" maxValue="144" count="143">
        <n v="45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73"/>
        <n v="85"/>
        <n v="88"/>
        <n v="90"/>
        <n v="17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18"/>
        <n v="19"/>
        <n v="87"/>
        <n v="86"/>
        <n v="35"/>
        <n v="36"/>
        <n v="58"/>
        <n v="37"/>
        <n v="38"/>
        <n v="39"/>
        <n v="40"/>
        <n v="57"/>
        <n v="41"/>
        <n v="42"/>
        <n v="43"/>
        <n v="44"/>
        <n v="61"/>
        <n v="71"/>
        <n v="72"/>
        <n v="74"/>
        <n v="75"/>
        <n v="76"/>
        <n v="46"/>
        <n v="47"/>
        <n v="48"/>
        <n v="49"/>
        <n v="50"/>
        <n v="51"/>
        <n v="52"/>
        <n v="53"/>
        <n v="54"/>
        <n v="56"/>
        <n v="55"/>
        <n v="59"/>
        <n v="60"/>
        <n v="62"/>
        <n v="69"/>
        <n v="68"/>
        <n v="70"/>
        <n v="89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65"/>
        <n v="66"/>
        <n v="67"/>
        <n v="63"/>
        <n v="64"/>
        <n v="79"/>
        <n v="80"/>
        <n v="81"/>
        <n v="82"/>
        <n v="83"/>
        <n v="84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77"/>
        <n v="78"/>
        <n v="92"/>
        <n v="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an Vy" refreshedDate="46162.802654398147" createdVersion="8" refreshedVersion="8" minRefreshableVersion="3" recordCount="331" xr:uid="{CFCA5F36-BB0E-44A4-AA52-FAE825DA89D4}">
  <cacheSource type="worksheet">
    <worksheetSource name="OfficeForms.Table"/>
  </cacheSource>
  <cacheFields count="29">
    <cacheField name="Id" numFmtId="0">
      <sharedItems containsString="0" containsBlank="1" containsNumber="1" containsInteger="1" minValue="1" maxValue="328"/>
    </cacheField>
    <cacheField name="Start time" numFmtId="0">
      <sharedItems containsNonDate="0" containsDate="1" containsString="0" containsBlank="1" minDate="2026-04-21T17:23:25" maxDate="2026-05-07T13:19:38"/>
    </cacheField>
    <cacheField name="Completion time" numFmtId="0">
      <sharedItems containsNonDate="0" containsDate="1" containsString="0" containsBlank="1" minDate="2026-04-21T17:23:34" maxDate="2026-05-07T13:21:30"/>
    </cacheField>
    <cacheField name="Email" numFmtId="0">
      <sharedItems containsBlank="1" count="332">
        <s v="phamkhanh.tran@amaris.com"/>
        <s v="thuytien.phamdo@amaris.com"/>
        <s v="hoangha.nguyen@amaris.com"/>
        <s v="thientrang.doan@amaris.com"/>
        <s v="uhonguyenhong@amaris.com"/>
        <s v="pha1@amaris.com"/>
        <s v="hvu3@amaris.com"/>
        <s v="cao.minh@amaris.com"/>
        <s v="hoangtu.la@amaris.com"/>
        <s v="trungnghia.cao@amaris.com"/>
        <s v="minhthuan.le@amaris.com"/>
        <s v="thanhthuan.nguyenvan@amaris.com"/>
        <s v="do.tranvan@amaris.com"/>
        <s v="quangtrinh.ha@amaris.com"/>
        <s v="tanthanh.ngo@amaris.com"/>
        <s v="binhnam.mai@amaris.com"/>
        <s v="hongnguyen.chuong@amaris.com"/>
        <s v="lethanh.nguyen@amaris.com"/>
        <s v="kimcong.nguyen@amaris.com"/>
        <s v="ngoctuan.nguyen@amaris.com"/>
        <s v="thanhnhan.phan@amaris.com"/>
        <s v="trungnghia.nguyen@amaris.com"/>
        <s v="leman.nguyen@amaris.com"/>
        <s v="thanhloc.nguyen@amaris.com"/>
        <s v="huuvinh.nguyen@amaris.com"/>
        <s v="hongdao.son@amaris.com"/>
        <s v="xuandat.hoang@amaris.com"/>
        <s v="trunghieu.pham@amaris.com"/>
        <s v="thanhson.nguyen@amaris.com"/>
        <s v="nguyen.tai3@amaris.com"/>
        <s v="vanthanh.khuat@amaris.com"/>
        <s v="quangnien.nguyen@amaris.com"/>
        <s v="thanhphuoc.le@amaris.com"/>
        <s v="nnguyen9@amaris.com"/>
        <s v="congdanh.bui@amaris.com"/>
        <s v="huynhchi.vo@amaris.com"/>
        <s v="quangtrung.do@amaris.com"/>
        <s v="vantrien.dang@amaris.com"/>
        <s v="thanhdat.nguyen@amaris.com"/>
        <s v="songtoan.vu@amaris.com"/>
        <s v="quangtin.tran@amaris.com"/>
        <s v="tuongduy.vo@amaris.com"/>
        <s v="ngocthanh.pham@amaris.com"/>
        <s v="congkhanh.huynh@amaris.com"/>
        <s v="tran.xuanvu@amaris.com"/>
        <s v="thithanh.le@amaris.com"/>
        <s v="phuonghang.lethi@amaris.com"/>
        <s v="nhuhai.phan@amaris.com"/>
        <s v="tramngan.tranthi@amaris.com"/>
        <s v="hoaisang.cao@amaris.com"/>
        <s v="ngocmy.ha@amaris.com"/>
        <s v="duyduc.nguyenhuynh@amaris.com"/>
        <s v="quoclinh.tran@amaris.com"/>
        <s v="vanhao.le@amaris.com"/>
        <s v="nguyen.minhphuoc@amaris.com"/>
        <s v="duynhat.nguyen@amaris.com"/>
        <s v="huungan.mai@amaris.com"/>
        <s v="minhquan.dang@amaris.com"/>
        <s v="huunghia.pham@amaris.com"/>
        <s v="ngocthuy.pham@amaris.com"/>
        <s v="duyphong.nguyen@amaris.com"/>
        <s v="tuuyen.dinhthi@amaris.com"/>
        <s v="tuanthanh.tran@amaris.com"/>
        <s v="huytri.nguyen@amaris.com"/>
        <s v="thanhduc.le@amaris.com"/>
        <s v="ngoctran.tathi@amaris.com"/>
        <s v="trannhat.nguyen@amaris.com"/>
        <s v="minhtri.do@amaris.com"/>
        <s v="tienmanh.nguyen@amaris.com"/>
        <s v="thaian.phamthuy@amaris.com"/>
        <s v="quoctrung.kieu@amaris.com"/>
        <s v="thanhviet.dinh@amaris.com"/>
        <s v="huynhchi.cuong@amaris.com"/>
        <s v="hla@amaris.com"/>
        <s v="tnguyen39@amaris.com"/>
        <s v="thinguyet.nong@amaris.com"/>
        <s v="trihung.nguyen@amaris.com"/>
        <s v="thatviet.ton@amaris.com"/>
        <s v="antruong.nguyen@amaris.com"/>
        <s v="hoangtuan.nguyen@amaris.com"/>
        <s v="my.tran@amaris.com"/>
        <s v="namkha.le@amaris.com"/>
        <s v="thiviet.nguyen@amaris.com"/>
        <s v="tanhoang.nguyen@amaris.com"/>
        <s v="baokhang.ha@amaris.com"/>
        <s v="thanhduy.chau@amaris.com"/>
        <s v="khanhgia.chung@amaris.com"/>
        <s v="vantien.cao@amaris.com"/>
        <s v="phuong.vu@amaris.com"/>
        <s v="ngoctrang.tran@amaris.com"/>
        <s v="minhtan.tran1@amaris.com"/>
        <s v="nguyen.tuananh@amaris.com"/>
        <s v="nhamquy.tran@amaris.com"/>
        <s v="thuong.trinhxuan@amaris.com"/>
        <s v="nguyen.huyhoang@amaris.com"/>
        <s v="vanhieu.nguyen@amaris.com"/>
        <s v="kimgia.nguyen@amaris.com"/>
        <s v="congquan.pham@amaris.com"/>
        <s v="thanhxuan.bui@amaris.com"/>
        <s v="thiphuong.vu@amaris.com"/>
        <s v="vantinh.pham@amaris.com"/>
        <s v="tuan.vancong@amaris.com"/>
        <s v="thanhtrung.nguyen@amaris.com"/>
        <s v="nguyenngoc.nguyensy@amaris.com"/>
        <s v="anhquoc.pham@amaris.com"/>
        <s v="haibinh.dang@amaris.com"/>
        <s v="trungtin.thai@amaris.com"/>
        <s v="minhnhat.dang@amaris.com"/>
        <s v="kimnha.dao@amaris.com"/>
        <s v="pnguyen4@amaris.com"/>
        <s v="chienhao.cao@amaris.com"/>
        <s v="donhat.pham@amaris.com"/>
        <s v="duyhanh.le@amaris.com"/>
        <s v="huuthinh.nguyen@amaris.com"/>
        <s v="phuong.nguyenthiquynh@amaris.com"/>
        <s v="ducthanh.van@amaris.com"/>
        <s v="duan.nguyen@amaris.com"/>
        <s v="hoanglong.nguyen1@amaris.com"/>
        <s v="tanhoang.nguyen1@amaris.com"/>
        <s v="haithien.nguyen@amaris.com"/>
        <s v="nguyen.phamhuukhoi@amaris.com"/>
        <s v="nhattan.tranhuynh@amaris.com"/>
        <s v="khanhlinh.dangngoc@amaris.com"/>
        <s v="phuocson.le@amaris.com"/>
        <s v="thanhtung.le@amaris.com"/>
        <s v="vuduy.dinh@amaris.com"/>
        <s v="tunglam.ngo@amaris.com"/>
        <s v="chitam.nguyenle@amaris.com"/>
        <s v="qtran5@amaris.com"/>
        <s v="sang.truongvan@amaris.com"/>
        <s v="baongoc.nguyen@amaris.com"/>
        <s v="pham.trungkien@amaris.com"/>
        <s v="thaihien.luong@amaris.com"/>
        <s v="ket.vovan@amaris.com"/>
        <s v="vuphuong.nguyen@amaris.com"/>
        <s v="nducquy@amaris.com"/>
        <s v="sxia@mantu.com"/>
        <s v="lle@mantu.com"/>
        <s v="hpham1@amaris.com"/>
        <s v="xle@amaris.com"/>
        <s v="hnguyen13@amaris.com"/>
        <s v="tvo4@amaris.com"/>
        <s v="tnguyen38@amaris.com"/>
        <s v="tle8@amaris.com"/>
        <s v="dle3@amaris.com"/>
        <s v="qnguyen13@amaris.com"/>
        <s v="ptruongthi@amaris.com"/>
        <s v="mbui3@mantu.com"/>
        <s v="knguyen8@mantu.com"/>
        <s v="pnguyen7@mantu.com"/>
        <s v="gdutertre@mantu.com"/>
        <s v="ppham@mantu.com"/>
        <s v="hnguyen6@mantu.com"/>
        <s v="qdiep@mantu.com"/>
        <s v="nle1@mantu.com"/>
        <s v="hnguyen21@amaris.com"/>
        <s v="yhong@mantu.com"/>
        <s v="kphan1@amaris.com"/>
        <s v="htran4@amaris.com"/>
        <s v="tluong1@mantu.com"/>
        <s v="nphuonguyen@mantu.com"/>
        <s v="utran@mantu.com"/>
        <s v="cnguyen@mantu.com"/>
        <s v="cvodinhque@amaris.com"/>
        <s v="nhoanglamtam@amaris.com"/>
        <s v="utrinhlethao@mantu.com"/>
        <s v="tnguyen38@mantu.com"/>
        <s v="blam@mantu.com"/>
        <s v="bhung@mantu.com"/>
        <s v="gduquesnay.ext@mantu.com"/>
        <s v="hhuynhngoc@mantu.com"/>
        <s v="chuynh@mantu.com"/>
        <s v="hnguyen2@mantu.com"/>
        <s v="tnguyen6@mantu.com"/>
        <s v="hha2@mantu.com"/>
        <s v="hnguyen3@mantu.com"/>
        <s v="thoang5@mantu.com"/>
        <s v="ctaidai@mantu.com"/>
        <s v="pchau@mantu.com"/>
        <s v="mtrannhat@mantu.com"/>
        <s v="le.huy@mantu.com"/>
        <s v="tnguyen9@mantu.com"/>
        <s v="knguyen1@mantu.com"/>
        <s v="hnguyen4@mantu.com"/>
        <s v="tnguyen25@mantu.com"/>
        <s v="dle2@mantu.com"/>
        <s v="bhuynh@mantu.com"/>
        <s v="mpham@mantu.com"/>
        <s v="htran1@mantu.com"/>
        <s v="tta@mantu.com"/>
        <s v="tnguyen44@mantu.com"/>
        <s v="aphan2@mantu.com"/>
        <s v="cbui@mantu.com"/>
        <s v="pnguyenduy@mantu.com"/>
        <s v="nnguyen3@mantu.com"/>
        <s v="phoang@mantu.com"/>
        <s v="npham@mantu.com"/>
        <s v="tdinh1@mantu.com"/>
        <s v="tho2@mantu.com"/>
        <s v="tngo@mantu.com"/>
        <s v="clin1@amaris.com"/>
        <s v="kpham@mantu.com"/>
        <s v="thikhanh.nguyen@amaris.com"/>
        <s v="tran.ngocquoc@amaris.com"/>
        <s v="thihue.do@amaris.com"/>
        <s v="tienhuynh.nguyen@amaris.com"/>
        <s v="tranthuy.lu@amaris.com"/>
        <s v="mdang1@mantu.com"/>
        <s v="qtran5@mantu.com"/>
        <s v="pvantai@mantu.com"/>
        <s v="tnguyen10@mantu.com"/>
        <s v="nhao@mantu.com"/>
        <s v="tle19@mantu.com"/>
        <s v="dinhanh.hoang@amaris.com"/>
        <s v="dinhlam.tran@amaris.com"/>
        <s v="chihau.nguyen@amaris.com"/>
        <s v="daiduong.phan@amaris.com"/>
        <s v="duynguyen.vongoc@amaris.com"/>
        <s v="lmaianh@amaris.com"/>
        <s v="lnguyenthiquynh@mantu.com"/>
        <s v="nnguyen16@mantu.com"/>
        <s v="tdoan2@mantu.com"/>
        <s v="bcao@mantu.com"/>
        <s v="anhkhoa.nguyen@amaris.com"/>
        <s v="nghilam.pham@amaris.com"/>
        <s v="viethoang.tran@amaris.com"/>
        <s v="dangkhoa.pham@amaris.com"/>
        <s v="kimanh.do@amaris.com"/>
        <s v="huuthanh.tran@amaris.com"/>
        <s v="nly@amaris.com"/>
        <s v="tnguyen28@amaris.com"/>
        <s v="phuongthao.nguyen@amaris.com"/>
        <s v="nnguyen15@mantu.com"/>
        <s v="mtranthi@mantu.com"/>
        <s v="qphan@mantu.com"/>
        <s v="anh.hoang@amaris.com"/>
        <s v="triet.huynhminh@amaris.com"/>
        <s v="dnguyen@mantu.com"/>
        <s v="tdang3@mantu.com"/>
        <s v="bhoang@mantu.com"/>
        <s v="klim@mantu.com"/>
        <s v="hoainhu.nguyen@amaris.com"/>
        <s v="tle4@mantu.com"/>
        <s v="nhuynh@mantu.com"/>
        <s v="cguiguen@amaris.com"/>
        <s v="ndo3@mantu.com"/>
        <s v="tminh@amaris.com"/>
        <s v="tnguyen57@mantu.com"/>
        <s v="nnhan@amaris.com"/>
        <s v="lphan@mantu.com"/>
        <s v="tnguyen24@amaris.com"/>
        <s v="vnguyen5@amaris.com"/>
        <s v="ttran9@amaris.com"/>
        <s v="acamaret@amaris.com"/>
        <s v="tnguyen56@amaris.com"/>
        <s v="dnguyen18@amaris.com"/>
        <s v="hnhi1@amaris.com"/>
        <s v="pthaian@amaris.com"/>
        <s v="lpham1@amaris.com"/>
        <s v="hle1@amaris.com"/>
        <s v="tpham2@amaris.com"/>
        <s v="hdo1@amaris.com"/>
        <s v="lnguyen@mantu.com"/>
        <s v="bleho@mantu.com"/>
        <s v="tle31@mantu.com"/>
        <s v="hvinh@mantu.com"/>
        <s v="tdinh@mantu.com"/>
        <s v="nnam@mantu.com"/>
        <s v="vle2@mantu.com"/>
        <s v="kphan2@mantu.com"/>
        <s v="aphan1@mantu.com"/>
        <s v="haithanh.nguyenquoc@amaris.com"/>
        <s v="thiyen.cao@amaris.com"/>
        <s v="truong.vuhuu@amaris.com"/>
        <s v="thihoa.vuong@amaris.com"/>
        <s v="hha3@amaris.com"/>
        <s v="quocanh.dang@amaris.com"/>
        <s v="anh.dangquoc@amaris.com"/>
        <s v="huuphuc.le@amaris.com"/>
        <s v="hogia.dinh@amaris.com"/>
        <s v="hanh.nguyenngochong@amaris.com"/>
        <s v="thanhphong.ho@amaris.com"/>
        <s v="thanhphuc.nguyenhuynh@amaris.com"/>
        <s v="dvohuynh@mantu.com"/>
        <s v="khuynh@amaris.com"/>
        <s v="hoangquoc.le@amaris.com"/>
        <s v="hoanghai.nguyen@amaris.com"/>
        <s v="dogia.phan@amaris.com"/>
        <s v="quangvinh.nguyenduc@amaris.com"/>
        <s v="bang.ngo@littlebigconnection.com"/>
        <s v="mle2@amaris.com"/>
        <s v="vdung@amaris.com"/>
        <s v="hlenguyen@mantu.com"/>
        <s v="tho@mantu.com"/>
        <s v="thoang@mantu.com"/>
        <s v="huutung.le@amaris.com"/>
        <s v="hoang.thien@amaris.com"/>
        <s v="ho.vanvinh@amaris.com"/>
        <s v="diep.lethingoc@amaris.com"/>
        <s v="haitrieu.dang@amaris.com"/>
        <s v="nvu2@mantu.com"/>
        <s v="ndao@mantu.com"/>
        <s v="thanhnam.nguyenhuu@amaris.com"/>
        <s v="lamchi.ly@amaris.com"/>
        <s v="lnguyen1@mantu.com"/>
        <s v="hdoan1@mantu.com"/>
        <s v="phucthinh.tran@amaris.com"/>
        <s v="hngo1@mantu.com"/>
        <s v="binhduong.do@amaris.com"/>
        <s v="phucanh.nguyen@amaris.com"/>
        <s v="pham.yenduyen@amaris.com"/>
        <s v="chausy.le@amaris.com"/>
        <s v="anhtuan.nguyen@amaris.com"/>
        <s v="bahoang.vo@amaris.com"/>
        <s v="toan.phamvan@amaris.com"/>
        <s v="tle18@mantu.com"/>
        <s v="dnguyen15@mantu.com"/>
        <s v="TBD"/>
        <s v="quochung.phung@amaris.com"/>
        <s v="nhuvien.nguyen@amaris.com"/>
        <s v="huuvinh.pham@amaris.com"/>
        <s v="thiquynh.nguyen@amaris.com"/>
        <s v="tiendat.pham@amaris.com"/>
        <s v="nle6@amaris.com"/>
        <s v="tluong@mantu.com"/>
        <s v="hoangduy.pham@amaris.com"/>
        <s v="duchuy.phamnguyen@amaris.com"/>
        <s v="tienthinh.le@amaris.com"/>
        <s v="bngocminh@mantu.com"/>
        <s v="hoaitrinh.do@amaris.com"/>
        <s v="tienthuan.luong@amaris.com"/>
        <m u="1"/>
      </sharedItems>
    </cacheField>
    <cacheField name="Name" numFmtId="0">
      <sharedItems count="334">
        <s v="Pham Khanh Linh TRAN"/>
        <s v="Do Thuy Tien PHAM"/>
        <s v="Hoang Ha Quyen NGUYEN"/>
        <s v="Thien Trang DOAN"/>
        <s v="Nguyen Hong Uyen HO"/>
        <s v="Phuong Thao HA"/>
        <s v="Thanh Hang VU"/>
        <s v="Duc Minh CAO"/>
        <s v="Hoang Tu LA"/>
        <s v="Trung Nghia CAO"/>
        <s v="Minh Thuan LE"/>
        <s v="Van Thanh Thuan NGUYEN"/>
        <s v="Van Do TRAN"/>
        <s v="Quang Trinh HA"/>
        <s v="Ngô Tấn Thành"/>
        <s v="Binh Nam MAI"/>
        <s v="Hong Chuong NGUYEN"/>
        <s v="Nguyễn Lê Thành"/>
        <s v="Kim Cong NGUYEN"/>
        <s v="Ngoc Tuan NGUYEN"/>
        <s v="Thanh Nhan PHAN"/>
        <s v="Trung Nghia NGUYEN"/>
        <s v="Le Man Dat NGUYEN"/>
        <s v="Thanh Loc NGUYEN"/>
        <s v="Huu Vinh NGUYEN"/>
        <s v="Hong Son DAO"/>
        <s v="Xuan Dat HOANG"/>
        <s v="Trung Hieu PHAM"/>
        <s v="Thanh Son NGUYEN"/>
        <s v="Thanh Tai NGUYEN"/>
        <s v="Van Thanh Danh KHUAT"/>
        <s v="Quang Nien NGUYEN"/>
        <s v="Thanh Phuoc LE"/>
        <s v="NGUYEN Tien Nam"/>
        <s v="Cong Danh BUI"/>
        <s v="Huynh Chi Tin VO"/>
        <s v="Quang Trung DO"/>
        <s v="Van Trien DANG"/>
        <s v="Thanh Dat NGUYEN"/>
        <s v="Song Toan VU"/>
        <s v="Quang Tin TRAN"/>
        <s v="Vo Tuong Duy"/>
        <s v="Ngoc Thanh PHAM"/>
        <s v="Cong Khanh HUYNH"/>
        <s v="Xuan Vu TRAN"/>
        <s v="Thi Thanh Huong LE"/>
        <s v="Phuong Hang LE THI"/>
        <s v="Nhu Hai Luu PHAN"/>
        <s v="Thi Tram Ngan TRAN"/>
        <s v="Hoai Sang CAO"/>
        <s v="Ngoc My HA"/>
        <s v="Huynh Duy Duc NGUYEN"/>
        <s v="Quoc Linh TRAN"/>
        <s v="Van Hao LE"/>
        <s v="Minh Phuoc NGUYEN"/>
        <s v="Duy Nhat NGUYEN"/>
        <s v="Huu Ngan MAI"/>
        <s v="Minh Quan DANG"/>
        <s v="Huu Nghia PHAM"/>
        <s v="Ngoc Thuy Trang PHAM"/>
        <s v="Duy Phong NGUYEN"/>
        <s v="Tu Uyen DINH THI"/>
        <s v="Tuan Thanh TRAN"/>
        <s v="Huy Tri NGUYEN"/>
        <s v="Thanh Duc LE"/>
        <s v="Ngoc Tran TA THI"/>
        <s v="Tran Nhat Duc NGUYEN"/>
        <s v="Minh Tri DO"/>
        <s v="Tien Manh NGUYEN"/>
        <s v="Thai An PHAM THUY"/>
        <s v="Quoc Trung KIEU"/>
        <s v="DINH Thanh Viet"/>
        <s v="Chi Cuong HUYNH"/>
        <s v="Thuy My Hao LA"/>
        <s v="The Trinh NGUYEN"/>
        <s v="Thi Nguyet NONG"/>
        <s v="Tri Hung NGUYEN"/>
        <s v="That Viet Anh TON"/>
        <s v="Truong An NGUYEN"/>
        <s v="Hoang Tuan Anh NGUYEN"/>
        <s v="Thi Ha My TRAN"/>
        <s v="Nam Kha LE"/>
        <s v="Thi Viet Trinh NGUYEN"/>
        <s v="Tan Hoang NGUYEN"/>
        <s v="Bao Khang HA"/>
        <s v="Thanh Duy CHAU"/>
        <s v="Khanh Gia CHUNG"/>
        <s v="Van Tien CAO"/>
        <s v="Phuong VU"/>
        <s v="Ngoc Trang Dai TRAN"/>
        <s v="Minh Tan TRAN"/>
        <s v="Anh Tuan - Tl NGUYEN"/>
        <s v="Nham Quy TRAN"/>
        <s v="Xuan Thuong TRINH"/>
        <s v="Huy Hoang NGUYEN"/>
        <s v="Van Hieu NGUYEN"/>
        <s v="Kim Gia Huy NGUYEN"/>
        <s v="Cong Quan PHAM"/>
        <s v="Thanh Xuan BUI"/>
        <s v="Thi Phuong Thao VU"/>
        <s v="Van Tinh PHAM"/>
        <s v="Cong Tuan VAN"/>
        <s v="Thanh Trung NGUYEN"/>
        <s v="Nguyen Ngoc NGUYEN SY"/>
        <s v="Anh Quoc PHAM"/>
        <s v="Hai Binh DANG"/>
        <s v="Trung Tin THAI"/>
        <s v="Nhat DANG MINH"/>
        <s v="Kim Nha DAO"/>
        <s v="Thi Minh Phuong NGUYEN"/>
        <s v="Chien Hao CAO"/>
        <s v="Do Nhat Minh PHAM"/>
        <s v="Duy Hanh LE"/>
        <s v="Huu Thinh NGUYEN"/>
        <s v="Thi Quynh Phuong NGUYEN"/>
        <s v="Duc Thanh VAN"/>
        <s v="Duan NGUYEN LE"/>
        <s v="Hoang Long NGUYEN"/>
        <s v="Tan Hoang - Bi NGUYEN"/>
        <s v="Hai Thien NGUYEN"/>
        <s v="Huu Khoi Nguyen PHAM"/>
        <s v="Huynh Nhat Tan TRAN"/>
        <s v="Ngoc Khanh Linh DANG"/>
        <s v="Phuoc Son LE"/>
        <s v="Thanh Tung LE"/>
        <s v="Vu Duy DINH"/>
        <s v="Tung Lam NGO"/>
        <s v="Chi Tam NGUYEN LE"/>
        <s v="Trần Quỳnh Anh"/>
        <s v="TRUONG Van Sang"/>
        <s v="NGUYEN Bao Ngoc"/>
        <s v="Trung Kien PHAM"/>
        <s v="Thai Hien LUONG"/>
        <s v="Van Ket VO"/>
        <s v="Vu Phuong NGUYEN"/>
        <s v="Duc Quy NGUYEN"/>
        <s v="Shuang XIA"/>
        <s v="Lan Vy LE"/>
        <s v="Hoang Mai Quyen PHAM"/>
        <s v="Xuan Tung LE"/>
        <s v="Ho Ngoc Tran NGUYEN"/>
        <s v="Tran Phuong Nga VO"/>
        <s v="Thi Thanh Thao NGUYEN"/>
        <s v="Thi Tu Quyen LE"/>
        <s v="Dang Quang LE"/>
        <s v="Quynh Mai NGUYEN"/>
        <s v="Thi Phuong Thao TRUONG"/>
        <s v="Minh Nhat BUI"/>
        <s v="Trung Kien NGUYEN"/>
        <s v="Tran Phuong Phuong NGUYEN"/>
        <s v="Geoffrey DUTERTRE"/>
        <s v="Hoang Phuc PHAM"/>
        <s v="Ha Nhi NGUYEN"/>
        <s v="Tue Quan DIEP"/>
        <s v="Ngoc Khanh LE"/>
        <s v="Hoang Thanh Thanh NGUYEN"/>
        <s v="Yen Xuan HONG"/>
        <s v="Khanh Linh PHAN"/>
        <s v="Huu Phuc - Tony TRAN"/>
        <s v="Thi Tram Anh LUONG"/>
        <s v="NGUYEN Vu Phuong Uyen"/>
        <s v="Ngoc Phuong Uyen TRAN"/>
        <s v="Chau Giang NGUYEN"/>
        <s v="Dinh Que Chau VO"/>
        <s v="Lam Tam Nhu HOANG"/>
        <s v="Uyen TRINH LE THAO"/>
        <s v="The Anh NGUYEN"/>
        <s v="Bao Quyen LAM"/>
        <s v="Quang Hung BUI"/>
        <s v="Guillaume DUQUESNAY"/>
        <s v="Ngoc Hoa HUYNH"/>
        <s v="Van Cop HUYNH"/>
        <s v="Hoang Minh NGUYEN"/>
        <s v="Thi Ha Trang NGUYEN"/>
        <s v="Thanh Huong HA"/>
        <s v="Hai Nam NGUYEN"/>
        <s v="Trung Thong HOANG"/>
        <s v="Dai Che Phuong TAI"/>
        <s v="Phu Qui CHAU"/>
        <s v="Nhat Minh TRAN"/>
        <s v="Ngoc Huy LE"/>
        <s v="Truong Thi NGUYEN"/>
        <s v="Khac Duy NGUYEN"/>
        <s v="Hoang Duy NGUYEN"/>
        <s v="Tuan Anh NGUYEN"/>
        <s v="Dinh Van LE"/>
        <s v="Ba Nghi HUYNH"/>
        <s v="Minh Tuan PHAM"/>
        <s v="Thai Hung TRAN"/>
        <s v="Thi My Hanh TA"/>
        <s v="Thanh Hoang NGUYEN"/>
        <s v="Anh Quan PHAN"/>
        <s v="Cuong BUI"/>
        <s v="Duy Phuong NGUYEN"/>
        <s v="Ngoc Thao My NGUYEN"/>
        <s v="Phu Loc HOANG"/>
        <s v="Nguyen Trong Tuan PHAM"/>
        <s v="Tien Khoi DINH"/>
        <s v="Thi Lanh HO"/>
        <s v="Trinh Quynh Nhu NGO"/>
        <s v="Clémence LIN"/>
        <s v="Khanh PHAM"/>
        <s v="Thi Khanh NGUYEN"/>
        <s v="Ngoc Quoc TRAN"/>
        <s v="Thi Hue DO"/>
        <s v="Tien Huynh NGUYEN"/>
        <s v="Tran Thuy Linh LU"/>
        <s v="Minh Thu DANG"/>
        <s v="Minh Quang TRAN"/>
        <s v="Van Tai PHAM"/>
        <s v="Tuan Khoi NGUYEN"/>
        <s v="Thuc Hao NGUYEN"/>
        <s v="Thi My Tam - Cindy LE"/>
        <s v="Dinh Anh Quoc HOANG"/>
        <s v="Dinh Lam TRAN"/>
        <s v="Chi Hau NGUYEN"/>
        <s v="Dai Duong PHAN"/>
        <s v="Duy Nguyen VO NGOC"/>
        <s v="Thi Mai Anh LE"/>
        <s v="Thi Quynh Lien NGUYEN"/>
        <s v="Le Kim Ngan NGUYEN"/>
        <s v="Le Bao Tram - Rachel DOAN"/>
        <s v="Bao Tram CAO"/>
        <s v="Anh Khoa NGUYEN"/>
        <s v="Nghi Lam PHAM"/>
        <s v="Viet Hoang TRAN"/>
        <s v="Dang Khoa PHAM"/>
        <s v="Kim Anh DO"/>
        <s v="Huu Thanh Tam TRAN"/>
        <s v="Thai Ly NGUYEN"/>
        <s v="Tu NGUYEN ANH"/>
        <s v="Phuong Thao NGUYEN"/>
        <s v="Ngoc Nguyen Ngan - Emily NGUYEN"/>
        <s v="Thi Minh Phuong TRAN"/>
        <s v="Xuan Quang PHAN"/>
        <s v="Kieu Anh HOANG"/>
        <s v="Triet HUYNH MINH"/>
        <s v="Dinh Tien Dung NGUYEN"/>
        <s v="Truong Tho DANG"/>
        <s v="Bao An HOANG"/>
        <s v="Chee Kiat LIM"/>
        <s v="Hoai Nhu Y NGUYEN"/>
        <s v="Thuy Phuong - Kaitlyn LE"/>
        <s v="Diem Thien Nga - Micky HUYNH"/>
        <s v="Clément GUIGUEN"/>
        <s v="Nguyen Phuong DO"/>
        <s v="Thi Anh Minh TRAN"/>
        <s v="Thu Hong NGUYEN"/>
        <s v="Thi Thanh Nhan NGUYEN"/>
        <s v="Linh Chau PHAN"/>
        <s v="Trung Hieu NGUYEN"/>
        <s v="Ho Khanh Vy NGUYEN"/>
        <s v="Thi Anh Thu TRAN"/>
        <s v="Arthur CAMARET"/>
        <s v="Hoang Bich Tran NGUYEN"/>
        <s v="Dang Thuy Duong NGUYEN"/>
        <s v="Nguyen Tu Nhi HONG"/>
        <s v="Thai An PHAM"/>
        <s v="Le Khanh Chi PHAM"/>
        <s v="Hoang Dung LE"/>
        <s v="Tran Thao Vy PHAM"/>
        <s v="Hieu Minh DO"/>
        <s v="Le Minh Trang NGUYEN"/>
        <s v="Ho Bao Thy LE"/>
        <s v="Tuong Khuyen LE"/>
        <s v="Hoang Le Nguyen VINH"/>
        <s v="Thi Ngoc Thuy DINH"/>
        <s v="Ngoc Nam NGO"/>
        <s v="Van Khanh LE"/>
        <s v="Thi Kieu Tien PHAN"/>
        <s v="Anh Dung Cuong PHAN"/>
        <s v="Quoc Hai Thanh NGUYEN"/>
        <s v="Thi Yen Khoa CAO"/>
        <s v="Huu Truong VU"/>
        <s v="Thi Hoa VUONG"/>
        <s v="Huyen Trang HA"/>
        <s v="Quoc Anh - Qc DANG"/>
        <s v="Quoc Anh DANG"/>
        <s v="Huu Phuc LE"/>
        <s v="Ho Gia Nguyen DINH"/>
        <s v="Hanh NGUYEN NGOC HONG"/>
        <s v="Thanh Phong HO"/>
        <s v="Thanh Phuc NGUYEN HUYNH"/>
        <s v="Huynh Duc Huy VO"/>
        <s v="Minh Khoi HUYNH"/>
        <s v="Hoang Quoc Bao LE"/>
        <s v="Hoang Hai NGUYEN"/>
        <s v="Do Gia Huy PHAN"/>
        <s v="Duc Quang Vinh NGUYEN"/>
        <s v="Nguyen Bang NGO"/>
        <s v="Minh Nghi LE"/>
        <s v="Thi Thuy Dung VU"/>
        <s v="Phuong LE NGUYEN HOANG"/>
        <s v="Tuan Huy HO"/>
        <s v="Vinh Thang HOANG"/>
        <s v="Huu Tung LE"/>
        <s v="Thien HOANG"/>
        <s v="Van Vinh HO"/>
        <s v="Thi Ngoc Diep LE"/>
        <s v="Hai Trieu DANG"/>
        <s v="Ngoc Bao Han VU"/>
        <s v="Ngoc Gia Thoai DAO"/>
        <s v="Thanh Nam NGUYEN HUU"/>
        <s v="Lam Chi Khang LY"/>
        <s v="Luu Bao NGUYEN"/>
        <s v="Hoang Minh DOAN"/>
        <s v="Phuc Thinh TRAN"/>
        <s v="Hoang Vu NGO"/>
        <s v="Binh Duong DO"/>
        <s v="Phuc Anh Khoi NGUYEN"/>
        <s v="Yen Duyen PHAM"/>
        <s v="Chau Sy Dat LE"/>
        <s v="Anh Tuan NGUYEN"/>
        <s v="Ba Hoang Viet VO"/>
        <s v="Van Toan PHAM"/>
        <s v="Thi Ngoc Mai LE"/>
        <s v="Duc Tung NGUYEN"/>
        <s v="Nguyễn Hoàng Tuấn"/>
        <s v="Quoc Hung PHUNG"/>
        <s v="Nhu Vien NGUYEN"/>
        <s v="Huu Vinh PHAM"/>
        <s v="Thi Quynh Nhu NGUYEN"/>
        <s v="Tien Dat PHAM"/>
        <s v="Nguyen Nhat Anh LE"/>
        <s v="Thuan Thanh LUONG"/>
        <s v="Hoang Duy Duc PHAM"/>
        <s v="Nguyen Duc Huy PHAM"/>
        <s v="LE Tien Thinh"/>
        <s v="BUI Thi Ngoc Minh"/>
        <s v="DO Hoai Trinh"/>
        <s v="Tien Thuan Hai Luong"/>
        <s v="BUI Quang Hung" u="1"/>
        <s v="Võ Tường Duy" u="1"/>
        <s v="Trương Văn Sang" u="1"/>
      </sharedItems>
    </cacheField>
    <cacheField name="Are you planning to join the company trip?" numFmtId="0">
      <sharedItems containsBlank="1" count="3">
        <s v="Yes, count me in!"/>
        <s v="Sorry, I won’t be able to join this time."/>
        <m u="1"/>
      </sharedItems>
    </cacheField>
    <cacheField name="Please enter your ID/Passport number." numFmtId="0">
      <sharedItems containsBlank="1"/>
    </cacheField>
    <cacheField name="Please enter your phone number (just in case we need to get in touch)" numFmtId="0">
      <sharedItems containsBlank="1"/>
    </cacheField>
    <cacheField name="Are you bringing any partner or family members along? " numFmtId="0">
      <sharedItems containsBlank="1"/>
    </cacheField>
    <cacheField name="If yes, please provide the details for each guest below" numFmtId="0">
      <sharedItems containsBlank="1"/>
    </cacheField>
    <cacheField name="How do you plan to travel to the trip location?" numFmtId="0">
      <sharedItems containsBlank="1" count="4">
        <s v="I’ll take the company bus"/>
        <m/>
        <s v="I’ll arrange my own transportation"/>
        <s v=""/>
      </sharedItems>
    </cacheField>
    <cacheField name="Anything else we should know?" numFmtId="0">
      <sharedItems containsBlank="1"/>
    </cacheField>
    <cacheField name="Gov" numFmtId="0">
      <sharedItems count="13">
        <s v="Amaris Consulting"/>
        <s v="Not joining"/>
        <s v="Administrative &amp; Finance"/>
        <s v="Real Estate and Support Services"/>
        <s v="Information Technology"/>
        <s v="Human Resources"/>
        <s v="ACT"/>
        <s v="Performance Management"/>
        <s v="Recruitment"/>
        <s v="Marketing &amp; Conversation"/>
        <e v="#REF!"/>
        <e v="#N/A" u="1"/>
        <s v="New Hire" u="1"/>
      </sharedItems>
    </cacheField>
    <cacheField name="Dep" numFmtId="0">
      <sharedItems count="34">
        <s v="Consultants"/>
        <s v="Managers"/>
        <s v="Directors"/>
        <s v="Not joining"/>
        <s v="Delivery"/>
        <s v="Financial Business Controlling"/>
        <s v="Group &amp; Corporate Controlling"/>
        <s v="Operational Finance"/>
        <s v="Finance Operations"/>
        <s v="Office Facillity Management"/>
        <s v="Group Accounting"/>
        <s v="Engineering &amp; Architecture"/>
        <s v="Quality Control"/>
        <s v="Software Engineering"/>
        <s v="Agile Center"/>
        <s v="Software Architecture"/>
        <s v="Product Management"/>
        <s v="Presales"/>
        <s v="Compensation &amp; Benefits"/>
        <s v="People Operations"/>
        <s v="Payroll Solutions"/>
        <s v="People Analytics"/>
        <s v="User Experience"/>
        <s v="Telephony"/>
        <s v="ACT Sales &amp; Pre-sales"/>
        <s v="Help Desk"/>
        <s v="System &amp; Network"/>
        <s v="Operational Controlling"/>
        <s v="Corporate Acquisition"/>
        <s v="Consulting Talent Acquisition"/>
        <s v="Design"/>
        <e v="#N/A"/>
        <s v="DevOps" u="1"/>
        <s v="New Hire" u="1"/>
      </sharedItems>
    </cacheField>
    <cacheField name="N+1" numFmtId="0">
      <sharedItems count="74">
        <s v="HA Phuong Thao"/>
        <s v="HO Nguyen Hong Uyen"/>
        <s v="NGUYEN Thai Ly"/>
        <s v="THEVELIN Chloe"/>
        <s v="NGUYEN Tien Nam"/>
        <s v="HOANG Thien"/>
        <s v="HUYNH Chi Cuong"/>
        <s v="LA Thuy My Hao"/>
        <s v="Not joining"/>
        <s v="NGUYEN The Trinh"/>
        <s v="VU Thanh Hang"/>
        <s v="NGUYEN Hoang Tuan Anh"/>
        <s v="TRAN Thi Ha My"/>
        <s v="HUYNH Minh Khoi"/>
        <s v="NGUYEN Duc Quy"/>
        <s v="NGUYEN Thi Minh Phuong"/>
        <s v="ALSHABANI Anas"/>
        <s v="BUI Quang Hung"/>
        <s v="BUI Thi Ngoc Minh"/>
        <s v="CATEL Agnès"/>
        <s v="CHECROUN Juliette"/>
        <s v="DE LACOMBE Romain"/>
        <s v="DUTERTRE Geoffrey"/>
        <s v="HERNANDEZ Laurine"/>
        <s v="NGUYEN The Anh"/>
        <s v="NGUYEN Vu Phuong Uyen"/>
        <s v="PHAM Hoang Phuc"/>
        <s v="PHAN Thi Ha Trang"/>
        <s v="RAVAIOLI Filippo"/>
        <s v="SEMERADT Corinne"/>
        <s v="VO Xuan Hung"/>
        <s v="XIA Shuang"/>
        <s v="BUZZACARO Alain"/>
        <s v="DUQUESNAY Guillaume"/>
        <s v="HUYNH Anh Tam"/>
        <s v="HUYNH Van Cop"/>
        <s v="IVAN Alex Constantin"/>
        <s v="LIM Chee Kiat"/>
        <s v="MATYSIAK Hervé"/>
        <s v="NGUYEN Anh Tuan - Richard"/>
        <s v="PHAM Bao Chung"/>
        <s v="PHAN Anh Dung Cuong"/>
        <s v="RAHMANI Rihab"/>
        <s v="CAMARET Arthur"/>
        <s v="CAP Kim Hoang"/>
        <s v="CAO Bao Tram"/>
        <s v="COMAS Mireille"/>
        <s v="NGUYEN Thai Bao"/>
        <s v="NGUYEN Thuc Hao"/>
        <s v="RAYNAUD Claire"/>
        <s v="NGUYEN Trung Hieu"/>
        <s v="VETTUKAD Amit"/>
        <s v="MAI Tan Ha"/>
        <s v="MAVANI Amit"/>
        <s v="NGO Ngoc Nam"/>
        <s v="SIOUDI Mohamed Amine"/>
        <s v="BUC Thomas"/>
        <s v="CARRILLO GIRONA Marina"/>
        <s v="GALLOT Brice"/>
        <s v="GUILLOTON Eve"/>
        <s v="HONG Nguyen Tu Nhi"/>
        <s v="JOLLIOT Marie-Benoîte"/>
        <s v="NGUYEN Ho Khanh Vy"/>
        <s v="NGUYEN Hoang Bich Tran"/>
        <s v="PHAM Thai An"/>
        <s v="PHAN Linh Chau"/>
        <s v="SANTANA Zulema"/>
        <s v="MATEI Aurel-George"/>
        <s v="GUÉRET Thomas"/>
        <e v="#N/A"/>
        <s v="NGUYEN Tran Phuong Phuong" u="1"/>
        <s v="NGUYEN Duc Tung" u="1"/>
        <s v="New Hire" u="1"/>
        <s v="TEIXEIRA Rui" u="1"/>
      </sharedItems>
    </cacheField>
    <cacheField name="Status" numFmtId="0">
      <sharedItems/>
    </cacheField>
    <cacheField name="With Fam" numFmtId="0">
      <sharedItems count="2">
        <s v="No"/>
        <s v="Yes"/>
      </sharedItems>
    </cacheField>
    <cacheField name="C Fam" numFmtId="0">
      <sharedItems containsString="0" containsBlank="1" containsNumber="1" containsInteger="1" minValue="0" maxValue="2"/>
    </cacheField>
    <cacheField name="A Fam" numFmtId="0">
      <sharedItems containsString="0" containsBlank="1" containsNumber="1" containsInteger="1" minValue="0" maxValue="1"/>
    </cacheField>
    <cacheField name="Fam Q" numFmtId="0">
      <sharedItems containsSemiMixedTypes="0" containsString="0" containsNumber="1" containsInteger="1" minValue="0" maxValue="3"/>
    </cacheField>
    <cacheField name="Total Hc" numFmtId="0">
      <sharedItems containsSemiMixedTypes="0" containsString="0" containsNumber="1" containsInteger="1" minValue="1" maxValue="4"/>
    </cacheField>
    <cacheField name="Bus No." numFmtId="0">
      <sharedItems containsString="0" containsBlank="1" containsNumber="1" containsInteger="1" minValue="1" maxValue="9" count="10">
        <n v="1"/>
        <n v="8"/>
        <n v="2"/>
        <m/>
        <n v="3"/>
        <n v="4"/>
        <n v="7"/>
        <n v="5"/>
        <n v="6"/>
        <n v="9" u="1"/>
      </sharedItems>
    </cacheField>
    <cacheField name="Room No." numFmtId="0">
      <sharedItems containsString="0" containsBlank="1" containsNumber="1" containsInteger="1" minValue="0" maxValue="146" count="148">
        <n v="45"/>
        <n v="1"/>
        <n v="2"/>
        <n v="85"/>
        <n v="88"/>
        <n v="4"/>
        <n v="5"/>
        <n v="3"/>
        <n v="6"/>
        <n v="7"/>
        <n v="8"/>
        <n v="13"/>
        <n v="9"/>
        <n v="14"/>
        <n v="11"/>
        <n v="12"/>
        <n v="10"/>
        <n v="73"/>
        <n v="15"/>
        <n v="110"/>
        <n v="16"/>
        <n v="65"/>
        <n v="66"/>
        <n v="67"/>
        <n v="20"/>
        <n v="17"/>
        <n v="31"/>
        <n v="21"/>
        <n v="32"/>
        <n v="22"/>
        <n v="23"/>
        <m/>
        <n v="24"/>
        <n v="25"/>
        <n v="33"/>
        <n v="26"/>
        <n v="34"/>
        <n v="27"/>
        <n v="28"/>
        <n v="29"/>
        <n v="30"/>
        <n v="86"/>
        <n v="87"/>
        <n v="35"/>
        <n v="36"/>
        <n v="61"/>
        <n v="58"/>
        <n v="44"/>
        <n v="37"/>
        <n v="38"/>
        <n v="39"/>
        <n v="40"/>
        <n v="74"/>
        <n v="72"/>
        <n v="57"/>
        <n v="75"/>
        <n v="41"/>
        <n v="76"/>
        <n v="42"/>
        <n v="43"/>
        <n v="71"/>
        <n v="46"/>
        <n v="47"/>
        <n v="48"/>
        <n v="89"/>
        <n v="50"/>
        <n v="51"/>
        <n v="60"/>
        <n v="52"/>
        <n v="53"/>
        <n v="56"/>
        <n v="55"/>
        <n v="70"/>
        <n v="62"/>
        <n v="59"/>
        <n v="69"/>
        <n v="49"/>
        <n v="54"/>
        <n v="68"/>
        <n v="101"/>
        <n v="98"/>
        <n v="109"/>
        <n v="97"/>
        <n v="96"/>
        <n v="106"/>
        <n v="99"/>
        <n v="107"/>
        <n v="104"/>
        <n v="108"/>
        <n v="105"/>
        <n v="103"/>
        <n v="125"/>
        <n v="95"/>
        <n v="100"/>
        <n v="94"/>
        <n v="102"/>
        <n v="138"/>
        <n v="131"/>
        <n v="139"/>
        <n v="130"/>
        <n v="140"/>
        <n v="141"/>
        <n v="142"/>
        <n v="137"/>
        <n v="136"/>
        <n v="135"/>
        <n v="143"/>
        <n v="129"/>
        <n v="144"/>
        <n v="134"/>
        <n v="133"/>
        <n v="132"/>
        <n v="127"/>
        <n v="128"/>
        <n v="79"/>
        <n v="83"/>
        <n v="80"/>
        <n v="81"/>
        <n v="82"/>
        <n v="19"/>
        <n v="18"/>
        <n v="84"/>
        <n v="64"/>
        <n v="63"/>
        <n v="115"/>
        <n v="124"/>
        <n v="113"/>
        <n v="114"/>
        <n v="92"/>
        <n v="112"/>
        <n v="126"/>
        <n v="111"/>
        <n v="123"/>
        <n v="122"/>
        <n v="90"/>
        <n v="118"/>
        <n v="119"/>
        <n v="121"/>
        <n v="120"/>
        <n v="117"/>
        <n v="116"/>
        <n v="93"/>
        <n v="78"/>
        <n v="77"/>
        <n v="91"/>
        <n v="146" u="1"/>
        <n v="145" u="1"/>
        <n v="0" u="1"/>
      </sharedItems>
    </cacheField>
    <cacheField name="Allergic Notice" numFmtId="0">
      <sharedItems containsNonDate="0" containsString="0" containsBlank="1"/>
    </cacheField>
    <cacheField name="Room Notice" numFmtId="0">
      <sharedItems containsNonDate="0" containsString="0" containsBlank="1"/>
    </cacheField>
    <cacheField name="Other Notice" numFmtId="0">
      <sharedItems containsNonDate="0" containsString="0" containsBlank="1"/>
    </cacheField>
    <cacheField name="Extra" numFmtId="0">
      <sharedItems containsNonDate="0" containsString="0" containsBlank="1"/>
    </cacheField>
    <cacheField name="Gender" numFmtId="0">
      <sharedItems containsMixedTypes="1" containsNumber="1" containsInteger="1" minValue="0" maxValue="0" count="4">
        <s v="Female"/>
        <s v="Male"/>
        <s v="Male                "/>
        <n v="0" u="1"/>
      </sharedItems>
    </cacheField>
    <cacheField name="Room Type" numFmtId="0">
      <sharedItems containsMixedTypes="1" containsNumber="1" containsInteger="1" minValue="0" maxValue="0" count="3">
        <s v="DBL"/>
        <s v="TWN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x v="0"/>
    <x v="0"/>
    <s v="044199002375"/>
    <s v="0823387274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0"/>
    <s v="Female"/>
  </r>
  <r>
    <x v="1"/>
    <x v="0"/>
    <s v="070194001945"/>
    <s v="039674443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0"/>
    <s v="Female"/>
  </r>
  <r>
    <x v="2"/>
    <x v="0"/>
    <s v="077300001719"/>
    <s v="096896304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"/>
    <s v="Female"/>
  </r>
  <r>
    <x v="3"/>
    <x v="0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s v="No"/>
    <n v="0"/>
    <n v="0"/>
    <n v="0"/>
    <n v="1"/>
    <x v="0"/>
    <x v="1"/>
    <s v="Female"/>
  </r>
  <r>
    <x v="4"/>
    <x v="0"/>
    <s v="086099002987"/>
    <s v="0968933873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2"/>
    <s v="Male                "/>
  </r>
  <r>
    <x v="5"/>
    <x v="0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s v="No"/>
    <n v="0"/>
    <n v="0"/>
    <n v="0"/>
    <n v="1"/>
    <x v="0"/>
    <x v="2"/>
    <s v="Male                "/>
  </r>
  <r>
    <x v="6"/>
    <x v="0"/>
    <s v="080202010719"/>
    <s v="0942198738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3"/>
    <s v="Male                "/>
  </r>
  <r>
    <x v="7"/>
    <x v="0"/>
    <s v="083097005277"/>
    <s v="0386788883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3"/>
    <s v="Male                "/>
  </r>
  <r>
    <x v="8"/>
    <x v="0"/>
    <s v="051094000961"/>
    <s v="0938945445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4"/>
    <s v="Male                "/>
  </r>
  <r>
    <x v="9"/>
    <x v="0"/>
    <s v="089097020361"/>
    <s v="0967513840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4"/>
    <s v="Male                "/>
  </r>
  <r>
    <x v="10"/>
    <x v="0"/>
    <s v="087099016549"/>
    <s v="0826759579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5"/>
    <s v="Male                "/>
  </r>
  <r>
    <x v="11"/>
    <x v="0"/>
    <s v="044099000541"/>
    <s v="0948527910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5"/>
    <s v="Male                "/>
  </r>
  <r>
    <x v="12"/>
    <x v="0"/>
    <s v="089200015516"/>
    <s v="+84 329 382 782"/>
    <s v="No"/>
    <m/>
    <s v="I’ll take the company bus"/>
    <s v="Team chị My"/>
    <s v="Amaris Consulting"/>
    <s v="Consultants"/>
    <s v="HA Phuong Thao"/>
    <s v="In"/>
    <s v="No"/>
    <n v="0"/>
    <n v="0"/>
    <n v="0"/>
    <n v="1"/>
    <x v="0"/>
    <x v="6"/>
    <s v="Male                "/>
  </r>
  <r>
    <x v="13"/>
    <x v="0"/>
    <s v="083084008265"/>
    <s v="0989600669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6"/>
    <s v="Male                "/>
  </r>
  <r>
    <x v="14"/>
    <x v="0"/>
    <s v="062201003205"/>
    <s v="+84 931 182 688"/>
    <s v="No"/>
    <m/>
    <s v="I’ll take the company bus"/>
    <m/>
    <s v="Amaris Consulting"/>
    <s v="Consultants"/>
    <s v="HA Phuong Thao"/>
    <s v="In"/>
    <s v="No"/>
    <n v="0"/>
    <n v="0"/>
    <n v="0"/>
    <n v="1"/>
    <x v="0"/>
    <x v="7"/>
    <s v="Male                "/>
  </r>
  <r>
    <x v="15"/>
    <x v="0"/>
    <s v="051099011537"/>
    <s v="097372424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7"/>
    <s v="Male                "/>
  </r>
  <r>
    <x v="16"/>
    <x v="0"/>
    <s v="079096015213"/>
    <s v="0392357076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8"/>
    <s v="Male                "/>
  </r>
  <r>
    <x v="17"/>
    <x v="0"/>
    <s v="066201016152"/>
    <s v="0393688714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8"/>
    <s v="Male                "/>
  </r>
  <r>
    <x v="18"/>
    <x v="0"/>
    <s v="075200024308"/>
    <s v="0938316793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9"/>
    <s v="Male                "/>
  </r>
  <r>
    <x v="19"/>
    <x v="0"/>
    <s v="051098005098"/>
    <s v="039249731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9"/>
    <s v="Male                "/>
  </r>
  <r>
    <x v="20"/>
    <x v="0"/>
    <s v="068096007001"/>
    <s v="0357556867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0"/>
    <s v="Male                "/>
  </r>
  <r>
    <x v="21"/>
    <x v="0"/>
    <s v=" 086200001291"/>
    <s v="033780425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0"/>
    <s v="Male                "/>
  </r>
  <r>
    <x v="22"/>
    <x v="0"/>
    <s v="046097000064"/>
    <s v="0333515756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1"/>
    <s v="Male                "/>
  </r>
  <r>
    <x v="23"/>
    <x v="0"/>
    <s v="077203004018"/>
    <s v="0971007831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1"/>
    <s v="Male                "/>
  </r>
  <r>
    <x v="24"/>
    <x v="0"/>
    <s v="089200019968"/>
    <s v="0974086701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2"/>
    <s v="Male                "/>
  </r>
  <r>
    <x v="25"/>
    <x v="0"/>
    <s v="030080017185"/>
    <s v="0988143980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2"/>
    <s v="Male                "/>
  </r>
  <r>
    <x v="26"/>
    <x v="0"/>
    <s v="072094005258"/>
    <s v="0354219319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3"/>
    <s v="Male                "/>
  </r>
  <r>
    <x v="27"/>
    <x v="0"/>
    <s v="079099030686"/>
    <s v="0933284515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3"/>
    <s v="Male                "/>
  </r>
  <r>
    <x v="28"/>
    <x v="0"/>
    <s v="058201000239"/>
    <s v="0855586358"/>
    <s v="No"/>
    <m/>
    <s v="I’ll take the company bus"/>
    <m/>
    <s v="Amaris Consulting"/>
    <s v="Consultants"/>
    <s v="HO Nguyen Hong Uyen"/>
    <s v="In"/>
    <s v="No"/>
    <n v="0"/>
    <n v="0"/>
    <n v="0"/>
    <n v="1"/>
    <x v="0"/>
    <x v="14"/>
    <s v="Male                "/>
  </r>
  <r>
    <x v="29"/>
    <x v="0"/>
    <s v="079201014939"/>
    <s v="0902891404"/>
    <s v="No"/>
    <m/>
    <s v="I’ll take the company bus"/>
    <s v="Motion sickness pills"/>
    <s v="Amaris Consulting"/>
    <s v="Consultants"/>
    <s v="NGUYEN Tien Nam"/>
    <s v="In"/>
    <s v="No"/>
    <n v="0"/>
    <n v="0"/>
    <n v="0"/>
    <n v="1"/>
    <x v="0"/>
    <x v="14"/>
    <s v="Male                "/>
  </r>
  <r>
    <x v="30"/>
    <x v="0"/>
    <s v="079095022758"/>
    <s v="0777104166"/>
    <s v="No"/>
    <m/>
    <s v="I’ll take the company bus"/>
    <m/>
    <s v="Amaris Consulting"/>
    <s v="Consultants"/>
    <s v="NGUYEN Tien Nam"/>
    <s v="In"/>
    <s v="No"/>
    <n v="0"/>
    <n v="0"/>
    <n v="0"/>
    <n v="1"/>
    <x v="0"/>
    <x v="15"/>
    <s v="Male                "/>
  </r>
  <r>
    <x v="31"/>
    <x v="0"/>
    <s v="064200012749"/>
    <s v="0396402696"/>
    <s v="No"/>
    <m/>
    <s v="I’ll take the company bus"/>
    <m/>
    <s v="Amaris Consulting"/>
    <s v="Consultants"/>
    <s v="NGUYEN Tien Nam"/>
    <s v="In"/>
    <s v="No"/>
    <n v="0"/>
    <n v="0"/>
    <n v="0"/>
    <n v="1"/>
    <x v="0"/>
    <x v="15"/>
    <s v="Male                "/>
  </r>
  <r>
    <x v="32"/>
    <x v="0"/>
    <s v="068097008720"/>
    <s v="0981212098"/>
    <s v="No"/>
    <m/>
    <s v="I’ll take the company bus"/>
    <m/>
    <s v="Amaris Consulting"/>
    <s v="Consultants"/>
    <s v="HOANG Thien"/>
    <s v="In"/>
    <s v="No"/>
    <n v="0"/>
    <n v="0"/>
    <n v="0"/>
    <n v="1"/>
    <x v="1"/>
    <x v="16"/>
    <s v="Male                "/>
  </r>
  <r>
    <x v="33"/>
    <x v="0"/>
    <s v="087201004021"/>
    <s v="0777905219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6"/>
    <s v="Male                "/>
  </r>
  <r>
    <x v="34"/>
    <x v="0"/>
    <s v="075096016711"/>
    <s v="0932980033"/>
    <s v="No"/>
    <m/>
    <s v="I’ll take the company bus"/>
    <m/>
    <s v="Amaris Consulting"/>
    <s v="Consultants"/>
    <s v="HOANG Thien"/>
    <s v="In"/>
    <s v="No"/>
    <n v="0"/>
    <n v="0"/>
    <n v="0"/>
    <n v="1"/>
    <x v="1"/>
    <x v="17"/>
    <s v="Male                "/>
  </r>
  <r>
    <x v="35"/>
    <x v="0"/>
    <s v="048095001773"/>
    <s v="0335353685"/>
    <s v="No"/>
    <m/>
    <s v="I’ll take the company bus"/>
    <m/>
    <s v="Amaris Consulting"/>
    <s v="Consultants"/>
    <s v="HOANG Thien"/>
    <s v="In"/>
    <s v="No"/>
    <n v="0"/>
    <n v="0"/>
    <n v="0"/>
    <n v="1"/>
    <x v="1"/>
    <x v="17"/>
    <s v="Male                "/>
  </r>
  <r>
    <x v="36"/>
    <x v="0"/>
    <s v="058095001270"/>
    <s v="0349687204"/>
    <s v="No"/>
    <m/>
    <s v="I’ll take the company bus"/>
    <m/>
    <s v="Amaris Consulting"/>
    <s v="Consultants"/>
    <s v="HOANG Thien"/>
    <s v="In"/>
    <s v="No"/>
    <n v="0"/>
    <n v="0"/>
    <n v="0"/>
    <n v="1"/>
    <x v="1"/>
    <x v="18"/>
    <s v="Male                "/>
  </r>
  <r>
    <x v="37"/>
    <x v="0"/>
    <s v="079200028676"/>
    <s v="0397974403"/>
    <s v="No"/>
    <m/>
    <s v="I’ll take the company bus"/>
    <m/>
    <s v="Amaris Consulting"/>
    <s v="Consultants"/>
    <s v="HOANG Thien"/>
    <s v="In (Exit confirmed)"/>
    <s v="No"/>
    <m/>
    <m/>
    <n v="0"/>
    <n v="1"/>
    <x v="1"/>
    <x v="18"/>
    <s v="Male                "/>
  </r>
  <r>
    <x v="38"/>
    <x v="0"/>
    <s v="060094011465"/>
    <s v="0333950268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9"/>
    <s v="Male                "/>
  </r>
  <r>
    <x v="39"/>
    <x v="0"/>
    <s v="046098001181"/>
    <s v="0327360123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19"/>
    <s v="Male                "/>
  </r>
  <r>
    <x v="40"/>
    <x v="0"/>
    <s v="060099011492"/>
    <s v="037973809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0"/>
    <s v="Male                "/>
  </r>
  <r>
    <x v="41"/>
    <x v="0"/>
    <s v="095203009143"/>
    <s v="0944552050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0"/>
    <s v="Male                "/>
  </r>
  <r>
    <x v="42"/>
    <x v="0"/>
    <s v="064201016123"/>
    <s v="097940941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1"/>
    <s v="Male                "/>
  </r>
  <r>
    <x v="43"/>
    <x v="0"/>
    <s v="096099005690"/>
    <s v="0379218610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1"/>
    <s v="Male                "/>
  </r>
  <r>
    <x v="44"/>
    <x v="0"/>
    <s v="089097008685"/>
    <s v="037846257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2"/>
    <s v="Male                "/>
  </r>
  <r>
    <x v="45"/>
    <x v="0"/>
    <s v="079094018368"/>
    <s v="093768699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2"/>
    <s v="Male                "/>
  </r>
  <r>
    <x v="46"/>
    <x v="0"/>
    <s v="072200007361"/>
    <s v="096752445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3"/>
    <s v="Male                "/>
  </r>
  <r>
    <x v="47"/>
    <x v="0"/>
    <s v="049202002958"/>
    <s v="0343734096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3"/>
    <s v="Male                "/>
  </r>
  <r>
    <x v="48"/>
    <x v="0"/>
    <s v="089201001783"/>
    <s v="094196774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4"/>
    <s v="Male                "/>
  </r>
  <r>
    <x v="49"/>
    <x v="0"/>
    <s v="064098000457"/>
    <s v="0363543388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4"/>
    <s v="Male                "/>
  </r>
  <r>
    <x v="50"/>
    <x v="0"/>
    <s v="049200016142"/>
    <s v="0396428796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5"/>
    <s v="Male                "/>
  </r>
  <r>
    <x v="51"/>
    <x v="0"/>
    <s v="042200003160"/>
    <s v="097185031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5"/>
    <s v="Male                "/>
  </r>
  <r>
    <x v="52"/>
    <x v="0"/>
    <s v="079203015788"/>
    <s v="096369824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6"/>
    <s v="Male                "/>
  </r>
  <r>
    <x v="53"/>
    <x v="0"/>
    <s v="079200038775"/>
    <s v="033931013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6"/>
    <s v="Male                "/>
  </r>
  <r>
    <x v="54"/>
    <x v="0"/>
    <s v="056200011360"/>
    <s v="086988581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7"/>
    <s v="Male                "/>
  </r>
  <r>
    <x v="55"/>
    <x v="0"/>
    <s v="minhtri.do@amaris.com"/>
    <s v="093591946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7"/>
    <s v="Male                "/>
  </r>
  <r>
    <x v="56"/>
    <x v="0"/>
    <s v="252203000013"/>
    <s v="082962287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8"/>
    <s v="Male                "/>
  </r>
  <r>
    <x v="57"/>
    <x v="0"/>
    <s v="079200044816"/>
    <s v="093253578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8"/>
    <s v="Male                "/>
  </r>
  <r>
    <x v="58"/>
    <x v="0"/>
    <s v="052200005034"/>
    <s v="+84 377130331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29"/>
    <s v="Male                "/>
  </r>
  <r>
    <x v="59"/>
    <x v="0"/>
    <s v="079095014706"/>
    <s v="0937251707"/>
    <s v="No"/>
    <m/>
    <s v="I’ll take the company bus"/>
    <s v="Dị ứng cồn"/>
    <s v="Amaris Consulting"/>
    <s v="Consultants"/>
    <s v="NGUYEN The Trinh"/>
    <s v="In"/>
    <s v="No"/>
    <n v="0"/>
    <n v="0"/>
    <n v="0"/>
    <n v="1"/>
    <x v="1"/>
    <x v="29"/>
    <s v="Male                "/>
  </r>
  <r>
    <x v="60"/>
    <x v="0"/>
    <s v="079302009777"/>
    <s v="0703264721"/>
    <s v="No"/>
    <m/>
    <s v="I’ll take the company bus"/>
    <m/>
    <s v="Amaris Consulting"/>
    <s v="Consultants"/>
    <s v="HUYNH Chi Cuong"/>
    <s v="In"/>
    <s v="No"/>
    <n v="0"/>
    <n v="0"/>
    <n v="0"/>
    <n v="1"/>
    <x v="1"/>
    <x v="30"/>
    <s v="Female"/>
  </r>
  <r>
    <x v="61"/>
    <x v="0"/>
    <s v="079186021679"/>
    <s v="086687672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0"/>
    <s v="Female"/>
  </r>
  <r>
    <x v="62"/>
    <x v="0"/>
    <s v="087300002383"/>
    <s v="0939053112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1"/>
    <s v="Female"/>
  </r>
  <r>
    <x v="63"/>
    <x v="0"/>
    <s v="082300007349"/>
    <s v="088874525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1"/>
    <s v="Female"/>
  </r>
  <r>
    <x v="64"/>
    <x v="0"/>
    <s v="079300022868"/>
    <s v="0707653589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2"/>
    <s v="Female"/>
  </r>
  <r>
    <x v="65"/>
    <x v="0"/>
    <s v="095304000976"/>
    <s v="0913854054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2"/>
    <s v="Female"/>
  </r>
  <r>
    <x v="66"/>
    <x v="0"/>
    <s v="070302002356"/>
    <s v="0383899275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3"/>
    <s v="Female"/>
  </r>
  <r>
    <x v="67"/>
    <x v="0"/>
    <s v="089196003991"/>
    <s v="0369040747"/>
    <s v="No"/>
    <m/>
    <s v="I’ll take the company bus"/>
    <m/>
    <s v="Amaris Consulting"/>
    <s v="Consultants"/>
    <s v="LA Thuy My Hao"/>
    <s v="In"/>
    <s v="No"/>
    <n v="0"/>
    <n v="0"/>
    <n v="0"/>
    <n v="1"/>
    <x v="1"/>
    <x v="33"/>
    <s v="Female"/>
  </r>
  <r>
    <x v="68"/>
    <x v="0"/>
    <s v="040099011473"/>
    <s v="0946650045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4"/>
    <s v="Male                "/>
  </r>
  <r>
    <x v="69"/>
    <x v="0"/>
    <s v="079096034588"/>
    <s v="0938282487"/>
    <s v="No"/>
    <m/>
    <s v="I’ll take the company bus"/>
    <m/>
    <s v="Amaris Consulting"/>
    <s v="Consultants"/>
    <s v="NGUYEN The Trinh"/>
    <s v="In"/>
    <s v="No"/>
    <n v="0"/>
    <n v="0"/>
    <n v="0"/>
    <n v="1"/>
    <x v="2"/>
    <x v="34"/>
    <s v="Male                "/>
  </r>
  <r>
    <x v="70"/>
    <x v="0"/>
    <s v="079096027174"/>
    <s v="0934297931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5"/>
    <s v="Male                "/>
  </r>
  <r>
    <x v="71"/>
    <x v="0"/>
    <s v="075095021646"/>
    <s v="0352680918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35"/>
    <s v="Male                "/>
  </r>
  <r>
    <x v="72"/>
    <x v="0"/>
    <s v="052097015080"/>
    <s v="0776756952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6"/>
    <s v="Male                "/>
  </r>
  <r>
    <x v="73"/>
    <x v="0"/>
    <s v="051202007406"/>
    <s v="0345717796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6"/>
    <s v="Male                "/>
  </r>
  <r>
    <x v="74"/>
    <x v="0"/>
    <s v="091201012114"/>
    <s v="0762922184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7"/>
    <s v="Male                "/>
  </r>
  <r>
    <x v="75"/>
    <x v="0"/>
    <s v="079098003185"/>
    <s v="087929596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7"/>
    <s v="Male                "/>
  </r>
  <r>
    <x v="76"/>
    <x v="0"/>
    <s v="067098004566"/>
    <s v="0584106886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8"/>
    <s v="Male                "/>
  </r>
  <r>
    <x v="77"/>
    <x v="0"/>
    <s v="089096021770"/>
    <s v="0962359719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8"/>
    <s v="Male                "/>
  </r>
  <r>
    <x v="78"/>
    <x v="0"/>
    <s v="082097013452"/>
    <s v="033254802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9"/>
    <s v="Male                "/>
  </r>
  <r>
    <x v="79"/>
    <x v="0"/>
    <s v="049092003884"/>
    <s v="097371834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39"/>
    <s v="Male                "/>
  </r>
  <r>
    <x v="80"/>
    <x v="0"/>
    <s v="052096015341"/>
    <s v="0397459642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0"/>
    <s v="Male                "/>
  </r>
  <r>
    <x v="81"/>
    <x v="0"/>
    <s v="079099027044"/>
    <s v="033561805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0"/>
    <s v="Male                "/>
  </r>
  <r>
    <x v="82"/>
    <x v="0"/>
    <s v="075090010849"/>
    <s v="0778836595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1"/>
    <s v="Male                "/>
  </r>
  <r>
    <x v="83"/>
    <x v="0"/>
    <s v="052092015218"/>
    <s v="0346726479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1"/>
    <s v="Male                "/>
  </r>
  <r>
    <x v="84"/>
    <x v="0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s v="Yes"/>
    <n v="0"/>
    <n v="1"/>
    <n v="1"/>
    <n v="2"/>
    <x v="2"/>
    <x v="42"/>
    <s v="Female"/>
  </r>
  <r>
    <x v="85"/>
    <x v="0"/>
    <s v="091301010042"/>
    <s v="0768811159"/>
    <s v="No"/>
    <m/>
    <s v="I’ll take the company bus"/>
    <m/>
    <s v="Amaris Consulting"/>
    <s v="Consultants"/>
    <s v="NGUYEN Hoang Tuan Anh"/>
    <s v="In"/>
    <s v="No"/>
    <n v="0"/>
    <n v="0"/>
    <n v="0"/>
    <n v="1"/>
    <x v="2"/>
    <x v="43"/>
    <s v="Female"/>
  </r>
  <r>
    <x v="86"/>
    <x v="0"/>
    <s v="075193013225"/>
    <s v="0356055190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3"/>
    <s v="Female"/>
  </r>
  <r>
    <x v="87"/>
    <x v="0"/>
    <s v="079301006935"/>
    <s v="0779911643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4"/>
    <s v="Female"/>
  </r>
  <r>
    <x v="88"/>
    <x v="0"/>
    <s v="084197000010"/>
    <s v="0936610147"/>
    <s v="No"/>
    <m/>
    <s v="I’ll take the company bus"/>
    <m/>
    <s v="Amaris Consulting"/>
    <s v="Consultants"/>
    <s v="TRAN Thi Ha My"/>
    <s v="In"/>
    <s v="No"/>
    <n v="0"/>
    <n v="0"/>
    <n v="0"/>
    <n v="1"/>
    <x v="2"/>
    <x v="44"/>
    <s v="Female"/>
  </r>
  <r>
    <x v="89"/>
    <x v="0"/>
    <s v="031202004177"/>
    <s v="088689567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5"/>
    <s v="Male                "/>
  </r>
  <r>
    <x v="90"/>
    <x v="0"/>
    <s v="079202021638"/>
    <s v="089933744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5"/>
    <s v="Male                "/>
  </r>
  <r>
    <x v="91"/>
    <x v="0"/>
    <s v="079201003742"/>
    <s v="0896116155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6"/>
    <s v="Male                "/>
  </r>
  <r>
    <x v="92"/>
    <x v="0"/>
    <s v="031202010766"/>
    <s v="0981412159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6"/>
    <s v="Male                "/>
  </r>
  <r>
    <x v="93"/>
    <x v="0"/>
    <s v="064201004428"/>
    <s v="0337399029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7"/>
    <s v="Male                "/>
  </r>
  <r>
    <x v="94"/>
    <x v="0"/>
    <s v="048203001699"/>
    <s v="0905054228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47"/>
    <s v="Male                "/>
  </r>
  <r>
    <x v="95"/>
    <x v="0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s v="Yes"/>
    <n v="0"/>
    <n v="1"/>
    <n v="1"/>
    <n v="2"/>
    <x v="3"/>
    <x v="48"/>
    <s v="Male                "/>
  </r>
  <r>
    <x v="96"/>
    <x v="0"/>
    <s v="066200009584"/>
    <s v="076429052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49"/>
    <s v="Male                "/>
  </r>
  <r>
    <x v="97"/>
    <x v="0"/>
    <s v="079099034668"/>
    <s v="090665985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49"/>
    <s v="Male                "/>
  </r>
  <r>
    <x v="98"/>
    <x v="0"/>
    <s v="079090028751"/>
    <s v="0937308357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0"/>
    <s v="Male                "/>
  </r>
  <r>
    <x v="99"/>
    <x v="0"/>
    <s v="066096004066"/>
    <s v="0868415847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0"/>
    <s v="Male                "/>
  </r>
  <r>
    <x v="100"/>
    <x v="0"/>
    <s v="079090038513"/>
    <s v="035615421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1"/>
    <s v="Male                "/>
  </r>
  <r>
    <x v="101"/>
    <x v="0"/>
    <s v="080096010523"/>
    <s v="0966441600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1"/>
    <s v="Male                "/>
  </r>
  <r>
    <x v="102"/>
    <x v="0"/>
    <s v="056098000238"/>
    <s v="0392707949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2"/>
    <s v="Male                "/>
  </r>
  <r>
    <x v="103"/>
    <x v="0"/>
    <s v="079203011720"/>
    <s v="0938080935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2"/>
    <s v="Male                "/>
  </r>
  <r>
    <x v="104"/>
    <x v="0"/>
    <s v="048087005724"/>
    <s v="0968678149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3"/>
    <s v="Male                "/>
  </r>
  <r>
    <x v="105"/>
    <x v="0"/>
    <s v="051091012099"/>
    <s v="0902898110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3"/>
    <s v="Male                "/>
  </r>
  <r>
    <x v="106"/>
    <x v="0"/>
    <s v="086096004777"/>
    <s v="0705731919"/>
    <s v="No"/>
    <m/>
    <s v="I’ll take the company bus"/>
    <m/>
    <s v="Amaris Consulting"/>
    <s v="Consultants"/>
    <s v="NGUYEN Duc Quy"/>
    <s v="In"/>
    <s v="No"/>
    <n v="0"/>
    <n v="0"/>
    <n v="0"/>
    <n v="1"/>
    <x v="3"/>
    <x v="54"/>
    <s v="Male                "/>
  </r>
  <r>
    <x v="107"/>
    <x v="0"/>
    <s v="082093010991"/>
    <s v="0345864246"/>
    <s v="No"/>
    <m/>
    <s v="I’ll arrange my own transportation"/>
    <m/>
    <s v="Amaris Consulting"/>
    <s v="Consultants"/>
    <s v="TRAN Thi Ha My"/>
    <s v="In"/>
    <s v="No"/>
    <n v="0"/>
    <n v="0"/>
    <n v="0"/>
    <n v="1"/>
    <x v="4"/>
    <x v="54"/>
    <s v="Male                "/>
  </r>
  <r>
    <x v="108"/>
    <x v="0"/>
    <s v="37598"/>
    <s v="0385094422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5"/>
    <s v="Male                "/>
  </r>
  <r>
    <x v="109"/>
    <x v="0"/>
    <s v="068201006525"/>
    <s v="090872564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5"/>
    <s v="Male                "/>
  </r>
  <r>
    <x v="110"/>
    <x v="0"/>
    <s v="045091003975"/>
    <s v="0915004496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6"/>
    <s v="Male                "/>
  </r>
  <r>
    <x v="111"/>
    <x v="0"/>
    <s v="091095009127"/>
    <s v="0988438042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6"/>
    <s v="Male                "/>
  </r>
  <r>
    <x v="112"/>
    <x v="0"/>
    <s v="068087004573"/>
    <s v="0938112129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7"/>
    <s v="Male                "/>
  </r>
  <r>
    <x v="113"/>
    <x v="0"/>
    <s v="001203015512"/>
    <s v="0397810603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7"/>
    <s v="Male                "/>
  </r>
  <r>
    <x v="114"/>
    <x v="0"/>
    <s v="080201013658"/>
    <s v="0847827897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8"/>
    <s v="Male                "/>
  </r>
  <r>
    <x v="115"/>
    <x v="0"/>
    <s v="066098009860"/>
    <s v="+8437627523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8"/>
    <s v="Male                "/>
  </r>
  <r>
    <x v="116"/>
    <x v="0"/>
    <s v="079196001003"/>
    <s v="0931173302"/>
    <s v="No"/>
    <m/>
    <s v="I’ll take the company bus"/>
    <m/>
    <s v="Amaris Consulting"/>
    <s v="Consultants"/>
    <s v="NGUYEN Thi Minh Phuong"/>
    <s v="In"/>
    <s v="No"/>
    <n v="0"/>
    <n v="0"/>
    <n v="0"/>
    <n v="1"/>
    <x v="3"/>
    <x v="59"/>
    <s v="Female"/>
  </r>
  <r>
    <x v="117"/>
    <x v="0"/>
    <s v="079197010801"/>
    <s v="0704954529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59"/>
    <s v="Female"/>
  </r>
  <r>
    <x v="118"/>
    <x v="0"/>
    <s v="001196042675"/>
    <s v="+84 583 032 919"/>
    <s v="No"/>
    <m/>
    <s v="I’ll take the company bus"/>
    <s v="Team chị My"/>
    <s v="Amaris Consulting"/>
    <s v="Consultants"/>
    <s v="TRAN Thi Ha My"/>
    <s v="In"/>
    <s v="No"/>
    <n v="0"/>
    <n v="0"/>
    <n v="0"/>
    <n v="1"/>
    <x v="3"/>
    <x v="60"/>
    <s v="Female"/>
  </r>
  <r>
    <x v="119"/>
    <x v="0"/>
    <s v="080196014207"/>
    <s v="+84348592628"/>
    <s v="No"/>
    <m/>
    <s v="I’ll take the company bus"/>
    <m/>
    <s v="Amaris Consulting"/>
    <s v="Consultants"/>
    <s v="TRAN Thi Ha My"/>
    <s v="In"/>
    <s v="No"/>
    <n v="0"/>
    <n v="0"/>
    <n v="0"/>
    <n v="1"/>
    <x v="3"/>
    <x v="60"/>
    <s v="Female"/>
  </r>
  <r>
    <x v="120"/>
    <x v="0"/>
    <s v="079198003401"/>
    <s v="0397430707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1"/>
    <s v="Female"/>
  </r>
  <r>
    <x v="121"/>
    <x v="0"/>
    <s v="079192033623"/>
    <s v="0903747427"/>
    <s v="No"/>
    <m/>
    <s v="I’ll take the company bus"/>
    <s v="Dị ứng Hải sản, phô mai, sữa "/>
    <s v="Amaris Consulting"/>
    <s v="Consultants"/>
    <s v="NGUYEN Thai Ly"/>
    <s v="In"/>
    <s v="No"/>
    <n v="0"/>
    <n v="0"/>
    <n v="0"/>
    <n v="1"/>
    <x v="5"/>
    <x v="61"/>
    <s v="Female"/>
  </r>
  <r>
    <x v="122"/>
    <x v="0"/>
    <s v="079094014846"/>
    <s v="0338330044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2"/>
    <s v="Male                "/>
  </r>
  <r>
    <x v="123"/>
    <x v="0"/>
    <s v="045099007148"/>
    <s v="0335533732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2"/>
    <s v="Male                "/>
  </r>
  <r>
    <x v="124"/>
    <x v="0"/>
    <s v="075096010782"/>
    <s v="0985788540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3"/>
    <s v="Male                "/>
  </r>
  <r>
    <x v="125"/>
    <x v="0"/>
    <s v="001201015108"/>
    <s v="0328005399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3"/>
    <s v="Male                "/>
  </r>
  <r>
    <x v="126"/>
    <x v="0"/>
    <s v="079201007186"/>
    <s v="0919990145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4"/>
    <s v="Male                "/>
  </r>
  <r>
    <x v="127"/>
    <x v="0"/>
    <s v="079085028522"/>
    <s v="0909988822"/>
    <s v="No"/>
    <m/>
    <s v="I’ll take the company bus"/>
    <m/>
    <s v="Amaris Consulting"/>
    <s v="Consultants"/>
    <s v="NGUYEN Thai Ly"/>
    <s v="In"/>
    <s v="No"/>
    <n v="0"/>
    <n v="0"/>
    <n v="0"/>
    <n v="1"/>
    <x v="5"/>
    <x v="64"/>
    <s v="Male                "/>
  </r>
  <r>
    <x v="128"/>
    <x v="0"/>
    <s v="086203010658"/>
    <s v="0799549878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5"/>
    <s v="Male                "/>
  </r>
  <r>
    <x v="129"/>
    <x v="0"/>
    <s v="052201013763"/>
    <s v="0398324011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5"/>
    <s v="Male                "/>
  </r>
  <r>
    <x v="130"/>
    <x v="0"/>
    <s v="079202006608"/>
    <s v="0983941396"/>
    <s v="No"/>
    <m/>
    <s v="I’ll take the company bus"/>
    <m/>
    <s v="Amaris Consulting"/>
    <s v="Consultants"/>
    <s v="LA Thuy My Hao"/>
    <s v="In"/>
    <s v="No"/>
    <n v="0"/>
    <n v="0"/>
    <n v="0"/>
    <n v="1"/>
    <x v="5"/>
    <x v="66"/>
    <s v="Male                "/>
  </r>
  <r>
    <x v="131"/>
    <x v="0"/>
    <s v="066200002973"/>
    <s v="0769781003"/>
    <s v="No"/>
    <m/>
    <s v="I’ll take the company bus"/>
    <s v="I have a mild seafood allergy"/>
    <s v="Amaris Consulting"/>
    <s v="Consultants"/>
    <s v="LA Thuy My Hao"/>
    <s v="In"/>
    <s v="No"/>
    <n v="0"/>
    <n v="0"/>
    <n v="0"/>
    <n v="1"/>
    <x v="5"/>
    <x v="66"/>
    <s v="Male                "/>
  </r>
  <r>
    <x v="132"/>
    <x v="0"/>
    <s v="079093005091"/>
    <s v="0906793262"/>
    <s v="No"/>
    <m/>
    <s v="I’ll take the company bus"/>
    <m/>
    <s v="Amaris Consulting"/>
    <s v="Managers"/>
    <s v="VU Thanh Hang"/>
    <s v="In"/>
    <s v="No"/>
    <n v="0"/>
    <n v="0"/>
    <n v="0"/>
    <n v="1"/>
    <x v="3"/>
    <x v="67"/>
    <s v="Male                "/>
  </r>
  <r>
    <x v="133"/>
    <x v="0"/>
    <s v="048195006450"/>
    <s v="0943149780"/>
    <s v="No"/>
    <m/>
    <s v="I’ll take the company bus"/>
    <m/>
    <s v="Amaris Consulting"/>
    <s v="Managers"/>
    <s v="VU Thanh Hang"/>
    <s v="In"/>
    <s v="No"/>
    <n v="0"/>
    <n v="0"/>
    <n v="0"/>
    <n v="1"/>
    <x v="5"/>
    <x v="67"/>
    <s v="Female"/>
  </r>
  <r>
    <x v="134"/>
    <x v="0"/>
    <s v="082196012509"/>
    <s v="0793830996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8"/>
    <s v="Female"/>
  </r>
  <r>
    <x v="135"/>
    <x v="0"/>
    <s v="096197008684"/>
    <s v="0971732462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68"/>
    <s v="Female"/>
  </r>
  <r>
    <x v="136"/>
    <x v="0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s v="Yes"/>
    <n v="0"/>
    <n v="1"/>
    <n v="1"/>
    <n v="2"/>
    <x v="3"/>
    <x v="69"/>
    <s v="Male                "/>
  </r>
  <r>
    <x v="137"/>
    <x v="0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s v="Yes"/>
    <n v="0"/>
    <n v="1"/>
    <n v="1"/>
    <n v="2"/>
    <x v="2"/>
    <x v="70"/>
    <s v="Male                "/>
  </r>
  <r>
    <x v="138"/>
    <x v="0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s v="Yes"/>
    <n v="0"/>
    <n v="1"/>
    <n v="1"/>
    <n v="2"/>
    <x v="2"/>
    <x v="71"/>
    <s v="Male                "/>
  </r>
  <r>
    <x v="139"/>
    <x v="0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s v="Yes"/>
    <n v="1"/>
    <n v="1"/>
    <n v="2"/>
    <n v="3"/>
    <x v="0"/>
    <x v="72"/>
    <s v="Male                "/>
  </r>
  <r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s v="Yes"/>
    <n v="2"/>
    <n v="1"/>
    <n v="3"/>
    <n v="4"/>
    <x v="2"/>
    <x v="73"/>
    <s v="Male                "/>
  </r>
  <r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s v="Yes"/>
    <n v="2"/>
    <n v="1"/>
    <n v="3"/>
    <n v="4"/>
    <x v="2"/>
    <x v="74"/>
    <s v="Male                "/>
  </r>
  <r>
    <x v="142"/>
    <x v="0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s v="Yes"/>
    <n v="1"/>
    <n v="1"/>
    <n v="2"/>
    <n v="3"/>
    <x v="2"/>
    <x v="75"/>
    <s v="Male                "/>
  </r>
  <r>
    <x v="143"/>
    <x v="0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s v="Yes"/>
    <n v="0"/>
    <n v="1"/>
    <n v="1"/>
    <n v="2"/>
    <x v="4"/>
    <x v="76"/>
    <s v="Male                "/>
  </r>
  <r>
    <x v="144"/>
    <x v="0"/>
    <s v="079204009259"/>
    <s v="0834132707"/>
    <s v="No"/>
    <m/>
    <s v="I’ll arrange my own transportation"/>
    <m/>
    <s v="Amaris Consulting"/>
    <s v="Consultants"/>
    <s v="HOANG Thien"/>
    <s v="In"/>
    <s v="No"/>
    <n v="0"/>
    <n v="0"/>
    <n v="0"/>
    <n v="1"/>
    <x v="4"/>
    <x v="77"/>
    <s v="Male                "/>
  </r>
  <r>
    <x v="145"/>
    <x v="0"/>
    <s v="079200004309"/>
    <s v="0963357143"/>
    <s v="No"/>
    <m/>
    <s v="I’ll arrange my own transportation"/>
    <m/>
    <s v="Amaris Consulting"/>
    <s v="Consultants"/>
    <s v="LA Thuy My Hao"/>
    <s v="In"/>
    <s v="No"/>
    <n v="0"/>
    <n v="0"/>
    <n v="0"/>
    <n v="1"/>
    <x v="4"/>
    <x v="77"/>
    <s v="Male                "/>
  </r>
  <r>
    <x v="146"/>
    <x v="0"/>
    <s v="048097003639"/>
    <s v="0799010869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78"/>
    <s v="Male                "/>
  </r>
  <r>
    <x v="147"/>
    <x v="0"/>
    <s v="067094005805"/>
    <s v="0976551265"/>
    <s v="No"/>
    <m/>
    <s v="I’ll take the company bus"/>
    <m/>
    <s v="Amaris Consulting"/>
    <s v="Consultants"/>
    <s v="TRAN Thi Ha My"/>
    <s v="In"/>
    <s v="No"/>
    <n v="0"/>
    <n v="0"/>
    <n v="0"/>
    <n v="1"/>
    <x v="5"/>
    <x v="78"/>
    <s v="Male                "/>
  </r>
  <r>
    <x v="148"/>
    <x v="0"/>
    <s v="075203000646"/>
    <s v="0986245303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79"/>
    <s v="Male                "/>
  </r>
  <r>
    <x v="149"/>
    <x v="0"/>
    <s v="079201011530"/>
    <s v="0965654937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79"/>
    <s v="Male                "/>
  </r>
  <r>
    <x v="150"/>
    <x v="0"/>
    <s v="079203008685"/>
    <s v="0776932589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80"/>
    <s v="Male                "/>
  </r>
  <r>
    <x v="151"/>
    <x v="0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s v="No"/>
    <n v="0"/>
    <n v="0"/>
    <n v="0"/>
    <n v="1"/>
    <x v="5"/>
    <x v="80"/>
    <s v="Male                "/>
  </r>
  <r>
    <x v="152"/>
    <x v="0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s v="No"/>
    <n v="0"/>
    <n v="0"/>
    <n v="0"/>
    <n v="1"/>
    <x v="5"/>
    <x v="81"/>
    <s v="Female"/>
  </r>
  <r>
    <x v="153"/>
    <x v="0"/>
    <s v="077199007614"/>
    <s v="0778819618"/>
    <s v="No"/>
    <m/>
    <s v="I’ll take the company bus"/>
    <m/>
    <s v="Human Resources"/>
    <s v="People Operations"/>
    <s v="NGUYEN Thuc Hao"/>
    <s v="In"/>
    <s v="No"/>
    <n v="0"/>
    <n v="0"/>
    <n v="0"/>
    <n v="1"/>
    <x v="5"/>
    <x v="81"/>
    <s v="Female"/>
  </r>
  <r>
    <x v="154"/>
    <x v="0"/>
    <s v="077302000543"/>
    <s v="0931231740"/>
    <s v="No"/>
    <m/>
    <s v="I’ll take the company bus"/>
    <m/>
    <s v="Human Resources"/>
    <s v="Compensation &amp; Benefits"/>
    <s v="CAP Kim Hoang"/>
    <s v="In"/>
    <s v="No"/>
    <n v="0"/>
    <n v="0"/>
    <n v="0"/>
    <n v="1"/>
    <x v="5"/>
    <x v="82"/>
    <s v="Female"/>
  </r>
  <r>
    <x v="155"/>
    <x v="0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s v="No"/>
    <n v="0"/>
    <n v="0"/>
    <n v="0"/>
    <n v="1"/>
    <x v="5"/>
    <x v="82"/>
    <s v="Female"/>
  </r>
  <r>
    <x v="156"/>
    <x v="0"/>
    <s v="064301004400"/>
    <s v="0961910015"/>
    <s v="No"/>
    <m/>
    <s v="I’ll take the company bus"/>
    <m/>
    <s v="Human Resources"/>
    <s v="People Analytics"/>
    <s v="NGUYEN Thai Bao"/>
    <s v="In"/>
    <s v="No"/>
    <n v="0"/>
    <n v="0"/>
    <n v="0"/>
    <n v="1"/>
    <x v="5"/>
    <x v="83"/>
    <s v="Female"/>
  </r>
  <r>
    <x v="157"/>
    <x v="0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s v="No"/>
    <n v="0"/>
    <n v="0"/>
    <n v="0"/>
    <n v="1"/>
    <x v="5"/>
    <x v="83"/>
    <s v="Female"/>
  </r>
  <r>
    <x v="158"/>
    <x v="0"/>
    <s v="079197003545"/>
    <s v="0901936418"/>
    <s v="No"/>
    <m/>
    <s v="I’ll take the company bus"/>
    <m/>
    <s v="Amaris Consulting"/>
    <s v="Managers"/>
    <s v="NGUYEN Thai Ly"/>
    <s v="In"/>
    <s v="No"/>
    <n v="0"/>
    <n v="0"/>
    <n v="0"/>
    <n v="1"/>
    <x v="0"/>
    <x v="84"/>
    <s v="Female"/>
  </r>
  <r>
    <x v="159"/>
    <x v="0"/>
    <s v="079197023976"/>
    <s v="0909324150"/>
    <s v="No"/>
    <m/>
    <s v="I’ll take the company bus"/>
    <m/>
    <s v="Amaris Consulting"/>
    <s v="Managers"/>
    <s v="NGUYEN Thai Ly"/>
    <s v="In"/>
    <s v="No"/>
    <n v="0"/>
    <n v="0"/>
    <n v="0"/>
    <n v="1"/>
    <x v="0"/>
    <x v="84"/>
    <s v="Female"/>
  </r>
  <r>
    <x v="160"/>
    <x v="0"/>
    <s v="001188049157"/>
    <s v="0901401929"/>
    <s v="No"/>
    <m/>
    <s v="I’ll take the company bus"/>
    <m/>
    <s v="Amaris Consulting"/>
    <s v="Directors"/>
    <s v="THEVELIN Chloe"/>
    <s v="In"/>
    <s v="No"/>
    <n v="0"/>
    <n v="0"/>
    <n v="0"/>
    <n v="1"/>
    <x v="0"/>
    <x v="85"/>
    <s v="Female"/>
  </r>
  <r>
    <x v="161"/>
    <x v="0"/>
    <s v="049192000750"/>
    <s v="0983068421"/>
    <s v="No"/>
    <m/>
    <s v="I’ll take the company bus"/>
    <m/>
    <s v="Amaris Consulting"/>
    <s v="Delivery"/>
    <s v="VU Thanh Hang"/>
    <s v="In"/>
    <s v="No"/>
    <n v="0"/>
    <n v="0"/>
    <n v="0"/>
    <n v="1"/>
    <x v="2"/>
    <x v="85"/>
    <s v="Female"/>
  </r>
  <r>
    <x v="162"/>
    <x v="0"/>
    <s v="087190011453"/>
    <s v="0375225989"/>
    <s v="No"/>
    <m/>
    <s v="I’ll take the company bus"/>
    <m/>
    <s v="Amaris Consulting"/>
    <s v="Delivery"/>
    <s v="NGUYEN The Trinh"/>
    <s v="In"/>
    <s v="No"/>
    <n v="0"/>
    <n v="0"/>
    <n v="0"/>
    <n v="1"/>
    <x v="1"/>
    <x v="86"/>
    <s v="Female"/>
  </r>
  <r>
    <x v="163"/>
    <x v="0"/>
    <s v="040195009694"/>
    <s v="0966272279"/>
    <s v="No"/>
    <m/>
    <s v="I’ll take the company bus"/>
    <m/>
    <s v="Amaris Consulting"/>
    <s v="Delivery"/>
    <s v="NGUYEN The Trinh"/>
    <s v="In"/>
    <s v="No"/>
    <n v="0"/>
    <n v="0"/>
    <n v="0"/>
    <n v="1"/>
    <x v="2"/>
    <x v="86"/>
    <s v="Female"/>
  </r>
  <r>
    <x v="164"/>
    <x v="0"/>
    <s v="008193007229"/>
    <s v="0559852579"/>
    <s v="No"/>
    <m/>
    <s v="I’ll take the company bus"/>
    <m/>
    <n v="76777"/>
    <s v="Managers"/>
    <s v="NGUYEN Duc Quy"/>
    <s v="In"/>
    <s v="No"/>
    <n v="0"/>
    <n v="0"/>
    <n v="0"/>
    <n v="1"/>
    <x v="3"/>
    <x v="87"/>
    <s v="Female"/>
  </r>
  <r>
    <x v="165"/>
    <x v="0"/>
    <s v="031198014430"/>
    <s v="0901857690"/>
    <s v="No"/>
    <m/>
    <s v="I’ll take the company bus"/>
    <m/>
    <s v="Amaris Consulting"/>
    <s v="Managers"/>
    <s v="NGUYEN Duc Quy"/>
    <s v="In"/>
    <s v="No"/>
    <n v="0"/>
    <n v="0"/>
    <n v="0"/>
    <n v="1"/>
    <x v="5"/>
    <x v="87"/>
    <s v="Female"/>
  </r>
  <r>
    <x v="166"/>
    <x v="0"/>
    <s v="079300041083"/>
    <s v="0778605436"/>
    <s v="No"/>
    <m/>
    <s v="I’ll take the company bus"/>
    <m/>
    <s v="Amaris Consulting"/>
    <s v="Consultants"/>
    <s v="HUYNH Minh Khoi"/>
    <s v="In"/>
    <s v="No"/>
    <n v="0"/>
    <n v="0"/>
    <n v="0"/>
    <n v="1"/>
    <x v="3"/>
    <x v="88"/>
    <s v="Female"/>
  </r>
  <r>
    <x v="167"/>
    <x v="0"/>
    <s v="049303014137"/>
    <s v="+84868772661"/>
    <s v="No"/>
    <m/>
    <s v="I’ll take the company bus"/>
    <m/>
    <s v="Amaris Consulting"/>
    <s v="Consulting Talent Acquisition"/>
    <s v="PHAM Thai An"/>
    <s v="In"/>
    <s v="No"/>
    <n v="0"/>
    <n v="0"/>
    <n v="0"/>
    <n v="1"/>
    <x v="6"/>
    <x v="88"/>
    <s v="Female"/>
  </r>
  <r>
    <x v="168"/>
    <x v="0"/>
    <s v="077097008033"/>
    <s v="0979040971"/>
    <s v="No"/>
    <m/>
    <s v="I’ll take the company bus"/>
    <m/>
    <s v="Amaris Consulting"/>
    <s v="Managers"/>
    <s v="NGUYEN Thai Ly"/>
    <s v="In"/>
    <s v="No"/>
    <n v="0"/>
    <n v="0"/>
    <n v="0"/>
    <n v="1"/>
    <x v="0"/>
    <x v="89"/>
    <s v="Male                "/>
  </r>
  <r>
    <x v="169"/>
    <x v="0"/>
    <s v="079076006834"/>
    <s v="0913676060"/>
    <s v="No"/>
    <m/>
    <s v="I’ll take the company bus"/>
    <m/>
    <s v="Amaris Consulting"/>
    <s v="Delivery"/>
    <s v="GALLOT Brice"/>
    <s v="In"/>
    <s v="No"/>
    <n v="0"/>
    <n v="0"/>
    <n v="0"/>
    <n v="1"/>
    <x v="6"/>
    <x v="89"/>
    <s v="Male                "/>
  </r>
  <r>
    <x v="170"/>
    <x v="0"/>
    <s v="079093042207"/>
    <s v="0937756145"/>
    <s v="No"/>
    <m/>
    <s v="I’ll arrange my own transportation"/>
    <m/>
    <s v="Information Technology"/>
    <s v="System &amp; Network"/>
    <s v="SIOUDI Mohamed Amine"/>
    <s v="In"/>
    <s v="No"/>
    <n v="0"/>
    <n v="0"/>
    <n v="0"/>
    <n v="1"/>
    <x v="4"/>
    <x v="90"/>
    <s v="Male                "/>
  </r>
  <r>
    <x v="171"/>
    <x v="0"/>
    <s v="079091022899"/>
    <s v="0987646085"/>
    <s v="No"/>
    <m/>
    <s v="I’ll arrange my own transportation"/>
    <m/>
    <s v="Information Technology"/>
    <s v="Help Desk"/>
    <s v="MATEI Aurel-George"/>
    <s v="In"/>
    <s v="No"/>
    <n v="0"/>
    <n v="0"/>
    <n v="0"/>
    <n v="1"/>
    <x v="4"/>
    <x v="90"/>
    <s v="Male                "/>
  </r>
  <r>
    <x v="172"/>
    <x v="0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s v="Yes"/>
    <n v="1"/>
    <n v="1"/>
    <n v="2"/>
    <n v="3"/>
    <x v="4"/>
    <x v="91"/>
    <s v="Male                "/>
  </r>
  <r>
    <x v="173"/>
    <x v="0"/>
    <s v="079302023454"/>
    <s v="0902912836"/>
    <s v="No"/>
    <m/>
    <s v="I’ll take the company bus"/>
    <m/>
    <s v="Administrative &amp; Finance"/>
    <s v="Financial Business Controlling"/>
    <s v="PHAN Thi Ha Trang"/>
    <s v="In"/>
    <s v="No"/>
    <n v="0"/>
    <n v="0"/>
    <n v="0"/>
    <n v="1"/>
    <x v="7"/>
    <x v="92"/>
    <s v="Female"/>
  </r>
  <r>
    <x v="174"/>
    <x v="0"/>
    <s v="095304000809"/>
    <s v="0941219254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92"/>
    <s v="Female"/>
  </r>
  <r>
    <x v="175"/>
    <x v="0"/>
    <s v="095190000250"/>
    <s v="0934831283"/>
    <s v="No"/>
    <m/>
    <s v="I’ll take the company bus"/>
    <m/>
    <s v="Real Estate and Support Services"/>
    <s v="Office Facillity Management"/>
    <s v="NGUYEN The Trinh"/>
    <s v="In"/>
    <s v="No"/>
    <n v="0"/>
    <n v="0"/>
    <n v="0"/>
    <n v="1"/>
    <x v="7"/>
    <x v="93"/>
    <s v="Female"/>
  </r>
  <r>
    <x v="176"/>
    <x v="0"/>
    <s v="066304003315"/>
    <s v="0345814997"/>
    <s v="No"/>
    <m/>
    <s v="I’ll take the company bus"/>
    <m/>
    <s v="Administrative &amp; Finance"/>
    <s v="Group Accounting"/>
    <s v="NGUYEN Vu Phuong Uyen"/>
    <s v="In"/>
    <s v="No"/>
    <n v="0"/>
    <n v="0"/>
    <n v="0"/>
    <n v="1"/>
    <x v="7"/>
    <x v="93"/>
    <s v="Female"/>
  </r>
  <r>
    <x v="177"/>
    <x v="0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s v="No"/>
    <n v="0"/>
    <n v="0"/>
    <n v="0"/>
    <n v="1"/>
    <x v="7"/>
    <x v="94"/>
    <s v="Female"/>
  </r>
  <r>
    <x v="178"/>
    <x v="0"/>
    <s v="048198002437"/>
    <s v="0335767961"/>
    <s v="No"/>
    <m/>
    <s v="I’ll take the company bus"/>
    <m/>
    <s v="Administrative &amp; Finance"/>
    <s v="Operational Finance"/>
    <s v="DUTERTRE Geoffrey"/>
    <s v="In"/>
    <s v="No"/>
    <n v="0"/>
    <n v="0"/>
    <n v="0"/>
    <n v="1"/>
    <x v="7"/>
    <x v="94"/>
    <s v="Female"/>
  </r>
  <r>
    <x v="179"/>
    <x v="0"/>
    <s v="066304009657"/>
    <s v="0917810796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5"/>
    <s v="Female"/>
  </r>
  <r>
    <x v="180"/>
    <x v="0"/>
    <s v="077304002316"/>
    <s v="0971917272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5"/>
    <s v="Female"/>
  </r>
  <r>
    <x v="181"/>
    <x v="0"/>
    <s v="079304008486"/>
    <s v="0933557924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6"/>
    <s v="Female"/>
  </r>
  <r>
    <x v="182"/>
    <x v="0"/>
    <s v="077304005352"/>
    <s v="0917827457"/>
    <s v="No"/>
    <m/>
    <s v="I’ll take the company bus"/>
    <m/>
    <s v="Administrative &amp; Finance"/>
    <s v="Financial Business Controlling"/>
    <s v="BUI Quang Hung"/>
    <s v="In"/>
    <s v="No"/>
    <n v="0"/>
    <n v="0"/>
    <n v="0"/>
    <n v="1"/>
    <x v="7"/>
    <x v="96"/>
    <s v="Female"/>
  </r>
  <r>
    <x v="183"/>
    <x v="0"/>
    <s v="079302030108"/>
    <s v="0868120502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97"/>
    <s v="Female"/>
  </r>
  <r>
    <x v="184"/>
    <x v="0"/>
    <s v="034300013120"/>
    <s v="0986555347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97"/>
    <s v="Female"/>
  </r>
  <r>
    <x v="185"/>
    <x v="0"/>
    <s v="051198007784"/>
    <s v="0356703207"/>
    <s v="No"/>
    <m/>
    <s v="I’ll take the company bus"/>
    <m/>
    <s v="Administrative &amp; Finance"/>
    <s v="Financial Business Controlling"/>
    <s v="ALSHABANI Anas"/>
    <s v="In"/>
    <s v="No"/>
    <n v="0"/>
    <n v="0"/>
    <n v="0"/>
    <n v="1"/>
    <x v="7"/>
    <x v="98"/>
    <s v="Female"/>
  </r>
  <r>
    <x v="186"/>
    <x v="0"/>
    <s v="079195029833"/>
    <s v="0765217394"/>
    <s v="No"/>
    <m/>
    <s v="I’ll take the company bus"/>
    <m/>
    <s v="Administrative &amp; Finance"/>
    <s v="Group Accounting"/>
    <s v="PHAM Hoang Phuc"/>
    <s v="In"/>
    <s v="No"/>
    <n v="0"/>
    <n v="0"/>
    <n v="0"/>
    <n v="1"/>
    <x v="7"/>
    <x v="98"/>
    <s v="Female"/>
  </r>
  <r>
    <x v="187"/>
    <x v="0"/>
    <s v="045302005235"/>
    <s v="0824988225"/>
    <s v="No"/>
    <m/>
    <s v="I’ll take the company bus"/>
    <m/>
    <s v="Administrative &amp; Finance"/>
    <s v="Financial Business Controlling"/>
    <s v="NGUYEN The Anh"/>
    <s v="In"/>
    <s v="No"/>
    <n v="0"/>
    <n v="0"/>
    <n v="0"/>
    <n v="1"/>
    <x v="7"/>
    <x v="99"/>
    <s v="Female"/>
  </r>
  <r>
    <x v="188"/>
    <x v="0"/>
    <s v="066303001193"/>
    <s v="0971993024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99"/>
    <s v="Female"/>
  </r>
  <r>
    <x v="189"/>
    <x v="0"/>
    <s v="079303023390"/>
    <s v="0828740008"/>
    <s v="No"/>
    <m/>
    <s v="I’ll take the company bus"/>
    <m/>
    <s v="Administrative &amp; Finance"/>
    <s v="Financial Business Controlling"/>
    <s v="RAVAIOLI Filippo"/>
    <s v="In"/>
    <s v="No"/>
    <n v="0"/>
    <n v="0"/>
    <n v="0"/>
    <n v="1"/>
    <x v="7"/>
    <x v="100"/>
    <s v="Female"/>
  </r>
  <r>
    <x v="190"/>
    <x v="0"/>
    <s v="052303001134"/>
    <s v="0394301209"/>
    <s v="No"/>
    <m/>
    <s v="I’ll take the company bus"/>
    <m/>
    <s v="Administrative &amp; Finance"/>
    <s v="Financial Business Controlling"/>
    <s v="VO Xuan Hung"/>
    <s v="In"/>
    <s v="No"/>
    <n v="0"/>
    <n v="0"/>
    <n v="0"/>
    <n v="1"/>
    <x v="7"/>
    <x v="100"/>
    <s v="Female"/>
  </r>
  <r>
    <x v="191"/>
    <x v="0"/>
    <s v="031303000776"/>
    <s v="0393991003"/>
    <s v="No"/>
    <m/>
    <s v="I’ll take the company bus"/>
    <m/>
    <s v="Administrative &amp; Finance"/>
    <s v="Financial Business Controlling"/>
    <s v="NGUYEN The Anh"/>
    <s v="In"/>
    <s v="No"/>
    <n v="0"/>
    <n v="0"/>
    <n v="0"/>
    <n v="1"/>
    <x v="7"/>
    <x v="101"/>
    <s v="Female"/>
  </r>
  <r>
    <x v="192"/>
    <x v="0"/>
    <s v="060303007588"/>
    <s v="0835255477"/>
    <s v="No"/>
    <m/>
    <s v="I’ll take the company bus"/>
    <m/>
    <s v="Administrative &amp; Finance"/>
    <s v="Financial Business Controlling"/>
    <s v="PHAN Thi Ha Trang"/>
    <s v="In"/>
    <s v="No"/>
    <n v="0"/>
    <n v="0"/>
    <n v="0"/>
    <n v="1"/>
    <x v="7"/>
    <x v="101"/>
    <s v="Female"/>
  </r>
  <r>
    <x v="193"/>
    <x v="0"/>
    <s v="077198000661"/>
    <s v="0933655795"/>
    <s v="No"/>
    <m/>
    <s v="I’ll take the company bus"/>
    <m/>
    <s v="Administrative &amp; Finance"/>
    <s v="Financial Business Controlling"/>
    <s v="CHECROUN Juliette"/>
    <s v="In"/>
    <s v="No"/>
    <n v="0"/>
    <n v="0"/>
    <n v="0"/>
    <n v="1"/>
    <x v="7"/>
    <x v="102"/>
    <s v="Female"/>
  </r>
  <r>
    <x v="194"/>
    <x v="0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s v="No"/>
    <n v="0"/>
    <n v="0"/>
    <n v="0"/>
    <n v="1"/>
    <x v="7"/>
    <x v="102"/>
    <s v="Female"/>
  </r>
  <r>
    <x v="195"/>
    <x v="0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s v="Yes"/>
    <n v="0"/>
    <n v="1"/>
    <n v="1"/>
    <n v="2"/>
    <x v="7"/>
    <x v="103"/>
    <s v="Female"/>
  </r>
  <r>
    <x v="196"/>
    <x v="0"/>
    <s v="060099008043"/>
    <s v="0933726329"/>
    <s v="No"/>
    <m/>
    <s v="I’ll take the company bus"/>
    <m/>
    <s v="Administrative &amp; Finance"/>
    <s v="Group &amp; Corporate Controlling"/>
    <s v="BUI Thi Ngoc Minh"/>
    <s v="In"/>
    <s v="No"/>
    <n v="0"/>
    <n v="0"/>
    <n v="0"/>
    <n v="1"/>
    <x v="7"/>
    <x v="104"/>
    <s v="Male                "/>
  </r>
  <r>
    <x v="197"/>
    <x v="0"/>
    <s v="070093006594"/>
    <s v="0909321830"/>
    <s v="No"/>
    <m/>
    <s v="I’ll take the company bus"/>
    <m/>
    <s v="Administrative &amp; Finance"/>
    <s v="Finance Operations"/>
    <s v="SEMERADT Corinne"/>
    <s v="In"/>
    <s v="No"/>
    <n v="0"/>
    <n v="0"/>
    <n v="0"/>
    <n v="1"/>
    <x v="7"/>
    <x v="104"/>
    <s v="Male                "/>
  </r>
  <r>
    <x v="198"/>
    <x v="0"/>
    <s v="077097003655"/>
    <s v="0355327017"/>
    <s v="No"/>
    <m/>
    <s v="I’ll take the company bus"/>
    <m/>
    <s v="Administrative &amp; Finance"/>
    <s v="Group &amp; Corporate Controlling"/>
    <s v="CATEL Agnès"/>
    <s v="In"/>
    <s v="No"/>
    <n v="0"/>
    <n v="0"/>
    <n v="0"/>
    <n v="1"/>
    <x v="7"/>
    <x v="105"/>
    <s v="Male                "/>
  </r>
  <r>
    <x v="199"/>
    <x v="0"/>
    <s v="079096020132"/>
    <s v="0917923778"/>
    <s v="No"/>
    <m/>
    <s v="I’ll take the company bus"/>
    <m/>
    <s v="Administrative &amp; Finance"/>
    <s v="Group Accounting"/>
    <s v="NGUYEN Vu Phuong Uyen"/>
    <s v="In"/>
    <s v="No"/>
    <n v="0"/>
    <n v="0"/>
    <n v="0"/>
    <n v="1"/>
    <x v="7"/>
    <x v="105"/>
    <s v="Male                "/>
  </r>
  <r>
    <x v="200"/>
    <x v="0"/>
    <s v="079086003000"/>
    <s v="0903177922"/>
    <s v="No"/>
    <m/>
    <s v="I’ll take the company bus"/>
    <m/>
    <s v="Administrative &amp; Finance"/>
    <s v="Finance Operations"/>
    <s v="DE LACOMBE Romain"/>
    <s v="In"/>
    <s v="No"/>
    <n v="0"/>
    <n v="0"/>
    <n v="0"/>
    <n v="1"/>
    <x v="7"/>
    <x v="106"/>
    <s v="Male                "/>
  </r>
  <r>
    <x v="201"/>
    <x v="0"/>
    <s v="074092001617"/>
    <s v="0944234096"/>
    <s v="No"/>
    <m/>
    <s v="I’ll take the company bus"/>
    <m/>
    <s v="Administrative &amp; Finance"/>
    <s v="Finance Operations"/>
    <s v="XIA Shuang"/>
    <s v="In"/>
    <s v="No"/>
    <n v="0"/>
    <n v="0"/>
    <n v="0"/>
    <n v="1"/>
    <x v="7"/>
    <x v="106"/>
    <s v="Male                "/>
  </r>
  <r>
    <x v="202"/>
    <x v="0"/>
    <s v="054204000568"/>
    <s v="0377887851"/>
    <s v="No"/>
    <m/>
    <s v="I’ll take the company bus"/>
    <s v="No spicy"/>
    <s v="Administrative &amp; Finance"/>
    <s v="Financial Business Controlling"/>
    <s v="BUI Quang Hung"/>
    <s v="In"/>
    <s v="No"/>
    <n v="0"/>
    <n v="0"/>
    <n v="0"/>
    <n v="1"/>
    <x v="7"/>
    <x v="107"/>
    <s v="Male                "/>
  </r>
  <r>
    <x v="203"/>
    <x v="0"/>
    <s v="'079202030875"/>
    <s v="'0902788713"/>
    <s v="No"/>
    <m/>
    <s v="I’ll take the company bus"/>
    <m/>
    <s v="Administrative &amp; Finance"/>
    <s v="Financial Business Controlling"/>
    <s v="BUI Thi Ngoc Minh"/>
    <s v="In"/>
    <s v="No"/>
    <n v="0"/>
    <n v="0"/>
    <n v="0"/>
    <n v="1"/>
    <x v="7"/>
    <x v="107"/>
    <s v="Male                "/>
  </r>
  <r>
    <x v="204"/>
    <x v="0"/>
    <s v="25HD56242"/>
    <s v="0902411648"/>
    <s v="No"/>
    <m/>
    <s v="I’ll take the company bus"/>
    <m/>
    <s v="Administrative &amp; Finance"/>
    <s v="Operational Finance"/>
    <s v="DE LACOMBE Romain"/>
    <s v="In"/>
    <s v="No"/>
    <n v="0"/>
    <n v="0"/>
    <n v="0"/>
    <n v="1"/>
    <x v="7"/>
    <x v="108"/>
    <s v="Male                "/>
  </r>
  <r>
    <x v="205"/>
    <x v="0"/>
    <s v="22IK50629"/>
    <s v="0902612360"/>
    <s v="No"/>
    <m/>
    <s v="I’ll take the company bus"/>
    <m/>
    <s v="Amaris Consulting"/>
    <s v="Presales"/>
    <s v="JOLLIOT Marie-Benoîte"/>
    <s v="In"/>
    <s v="No"/>
    <n v="0"/>
    <n v="0"/>
    <n v="0"/>
    <n v="1"/>
    <x v="6"/>
    <x v="108"/>
    <s v="Male                "/>
  </r>
  <r>
    <x v="206"/>
    <x v="0"/>
    <s v="079202015216"/>
    <s v="0812900824"/>
    <s v="No"/>
    <m/>
    <s v="I’ll take the company bus"/>
    <m/>
    <s v="Information Technology"/>
    <s v="Product Management"/>
    <s v="LIM Chee Kiat"/>
    <s v="In"/>
    <s v="No"/>
    <n v="0"/>
    <n v="0"/>
    <n v="0"/>
    <n v="1"/>
    <x v="6"/>
    <x v="109"/>
    <s v="Male                "/>
  </r>
  <r>
    <x v="207"/>
    <x v="0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s v="No"/>
    <n v="0"/>
    <n v="0"/>
    <n v="0"/>
    <n v="1"/>
    <x v="6"/>
    <x v="109"/>
    <s v="Male                "/>
  </r>
  <r>
    <x v="208"/>
    <x v="0"/>
    <s v="079097016581"/>
    <s v="0942229030"/>
    <s v="No"/>
    <m/>
    <s v="I’ll take the company bus"/>
    <m/>
    <s v="Information Technology"/>
    <s v="Product Management"/>
    <s v="DUQUESNAY Guillaume"/>
    <s v="In"/>
    <s v="No"/>
    <n v="0"/>
    <n v="0"/>
    <n v="0"/>
    <n v="1"/>
    <x v="6"/>
    <x v="110"/>
    <s v="Male                "/>
  </r>
  <r>
    <x v="209"/>
    <x v="0"/>
    <s v="17EH77400"/>
    <s v="+33679194344"/>
    <s v="No"/>
    <m/>
    <s v="I’ll take the company bus"/>
    <m/>
    <s v="Information Technology"/>
    <s v="Product Management"/>
    <s v="LIM Chee Kiat"/>
    <s v="In"/>
    <s v="No"/>
    <n v="0"/>
    <n v="0"/>
    <n v="0"/>
    <n v="1"/>
    <x v="6"/>
    <x v="110"/>
    <s v="Male                "/>
  </r>
  <r>
    <x v="210"/>
    <x v="0"/>
    <s v="051202007260"/>
    <s v="0943527674"/>
    <s v="No"/>
    <m/>
    <s v="I’ll take the company bus"/>
    <m/>
    <s v="Information Technology"/>
    <s v="Telephony"/>
    <s v="MAI Tan Ha"/>
    <s v="In"/>
    <s v="No"/>
    <n v="0"/>
    <n v="0"/>
    <n v="0"/>
    <n v="1"/>
    <x v="6"/>
    <x v="111"/>
    <s v="Male                "/>
  </r>
  <r>
    <x v="211"/>
    <x v="0"/>
    <s v="075200000345"/>
    <s v="0339526385"/>
    <s v="No"/>
    <m/>
    <s v="I’ll take the company bus"/>
    <m/>
    <s v="Information Technology"/>
    <s v="System &amp; Network"/>
    <s v="SIOUDI Mohamed Amine"/>
    <s v="In"/>
    <s v="No"/>
    <n v="0"/>
    <n v="0"/>
    <n v="0"/>
    <n v="1"/>
    <x v="6"/>
    <x v="111"/>
    <s v="Male                "/>
  </r>
  <r>
    <x v="212"/>
    <x v="0"/>
    <s v="079203005175"/>
    <s v="0968412361"/>
    <s v="No"/>
    <m/>
    <s v="I’ll take the company bus"/>
    <m/>
    <s v="Information Technology"/>
    <s v="Help Desk"/>
    <s v="NGO Ngoc Nam"/>
    <s v="In"/>
    <s v="No"/>
    <n v="0"/>
    <n v="0"/>
    <n v="0"/>
    <n v="1"/>
    <x v="6"/>
    <x v="112"/>
    <s v="Male                "/>
  </r>
  <r>
    <x v="213"/>
    <x v="0"/>
    <s v="074093002317"/>
    <s v="0906 406 613 "/>
    <s v="No"/>
    <m/>
    <s v="I’ll take the company bus"/>
    <m/>
    <s v="Information Technology"/>
    <s v="Help Desk"/>
    <s v="NGO Ngoc Nam"/>
    <s v="In"/>
    <s v="No"/>
    <n v="0"/>
    <n v="0"/>
    <n v="0"/>
    <n v="1"/>
    <x v="6"/>
    <x v="112"/>
    <s v="Male                "/>
  </r>
  <r>
    <x v="214"/>
    <x v="0"/>
    <s v="056079000075"/>
    <s v="0974674081"/>
    <s v="No"/>
    <m/>
    <s v="I’ll take the company bus"/>
    <m/>
    <s v="Amaris Consulting"/>
    <s v="Delivery"/>
    <s v="NGUYEN Trung Hieu"/>
    <s v="In"/>
    <s v="No"/>
    <n v="0"/>
    <n v="0"/>
    <n v="0"/>
    <n v="1"/>
    <x v="6"/>
    <x v="113"/>
    <s v="Male                "/>
  </r>
  <r>
    <x v="215"/>
    <x v="0"/>
    <s v="079202019928"/>
    <s v="0898313181"/>
    <s v="No"/>
    <m/>
    <s v="I’ll take the company bus"/>
    <m/>
    <s v="ACT"/>
    <s v="ACT Sales &amp; Pre-sales"/>
    <s v="MAVANI Amit"/>
    <s v="In"/>
    <s v="No"/>
    <n v="0"/>
    <n v="0"/>
    <n v="0"/>
    <n v="1"/>
    <x v="6"/>
    <x v="113"/>
    <s v="Male                "/>
  </r>
  <r>
    <x v="216"/>
    <x v="0"/>
    <s v="079193009931"/>
    <s v="0909083103"/>
    <s v="No"/>
    <m/>
    <s v="I’ll take the company bus"/>
    <m/>
    <s v="Marketing &amp; Conversation"/>
    <s v="Design"/>
    <s v="SANTANA Zulema"/>
    <s v="In"/>
    <s v="No"/>
    <n v="0"/>
    <n v="0"/>
    <n v="0"/>
    <n v="1"/>
    <x v="6"/>
    <x v="114"/>
    <s v="Female"/>
  </r>
  <r>
    <x v="217"/>
    <x v="0"/>
    <s v="079193040594"/>
    <s v="0931439977"/>
    <s v="No"/>
    <m/>
    <s v="I’ll take the company bus"/>
    <m/>
    <s v="Marketing &amp; Conversation"/>
    <s v="Design"/>
    <s v="SANTANA Zulema"/>
    <s v="In"/>
    <s v="No"/>
    <n v="0"/>
    <n v="0"/>
    <n v="0"/>
    <n v="1"/>
    <x v="6"/>
    <x v="114"/>
    <s v="Female"/>
  </r>
  <r>
    <x v="218"/>
    <x v="0"/>
    <s v="079 303 003 034"/>
    <s v="0903 175 838"/>
    <s v="No"/>
    <m/>
    <s v="I’ll take the company bus"/>
    <m/>
    <s v="Amaris Consulting"/>
    <s v="Consulting Talent Acquisition"/>
    <s v="NGUYEN Hoang Bich Tran"/>
    <s v="In"/>
    <s v="No"/>
    <n v="0"/>
    <n v="0"/>
    <n v="0"/>
    <n v="1"/>
    <x v="6"/>
    <x v="115"/>
    <s v="Female"/>
  </r>
  <r>
    <x v="219"/>
    <x v="0"/>
    <s v="064304011457"/>
    <s v="0905435679"/>
    <s v="No"/>
    <m/>
    <s v="I’ll take the company bus"/>
    <m/>
    <s v="Amaris Consulting"/>
    <s v="Consulting Talent Acquisition"/>
    <s v="NGUYEN Hoang Bich Tran"/>
    <s v="In"/>
    <s v="No"/>
    <n v="0"/>
    <n v="0"/>
    <n v="0"/>
    <n v="1"/>
    <x v="6"/>
    <x v="115"/>
    <s v="Female"/>
  </r>
  <r>
    <x v="220"/>
    <x v="0"/>
    <s v="082196015477"/>
    <s v="0984016140"/>
    <s v="No"/>
    <m/>
    <s v="I’ll take the company bus"/>
    <m/>
    <s v="Amaris Consulting"/>
    <s v="Consulting Talent Acquisition"/>
    <s v="GUILLOTON Eve"/>
    <s v="In"/>
    <s v="No"/>
    <n v="0"/>
    <n v="0"/>
    <n v="0"/>
    <n v="1"/>
    <x v="6"/>
    <x v="116"/>
    <s v="Female"/>
  </r>
  <r>
    <x v="221"/>
    <x v="0"/>
    <s v="079302019770"/>
    <s v="0708319701"/>
    <s v="No"/>
    <m/>
    <s v="I’ll take the company bus"/>
    <m/>
    <s v="Amaris Consulting"/>
    <s v="Consulting Talent Acquisition"/>
    <s v="NGUYEN Ho Khanh Vy"/>
    <s v="In"/>
    <s v="No"/>
    <n v="0"/>
    <n v="0"/>
    <n v="0"/>
    <n v="1"/>
    <x v="6"/>
    <x v="116"/>
    <s v="Female"/>
  </r>
  <r>
    <x v="222"/>
    <x v="0"/>
    <s v="079301005911"/>
    <s v="0327649437"/>
    <s v="No"/>
    <m/>
    <s v="I’ll take the company bus"/>
    <m/>
    <s v="Amaris Consulting"/>
    <s v="Consulting Talent Acquisition"/>
    <s v="HONG Nguyen Tu Nhi"/>
    <s v="In"/>
    <s v="No"/>
    <n v="0"/>
    <n v="0"/>
    <n v="0"/>
    <n v="1"/>
    <x v="6"/>
    <x v="117"/>
    <s v="Female"/>
  </r>
  <r>
    <x v="223"/>
    <x v="0"/>
    <s v="079198027964"/>
    <s v="0374428877"/>
    <s v="No"/>
    <m/>
    <s v="I’ll take the company bus"/>
    <m/>
    <s v="Amaris Consulting"/>
    <s v="Consulting Talent Acquisition"/>
    <s v="NGUYEN Ho Khanh Vy"/>
    <s v="In"/>
    <s v="No"/>
    <n v="0"/>
    <n v="0"/>
    <n v="0"/>
    <n v="1"/>
    <x v="6"/>
    <x v="117"/>
    <s v="Female"/>
  </r>
  <r>
    <x v="224"/>
    <x v="0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s v="Yes"/>
    <n v="0"/>
    <n v="1"/>
    <n v="1"/>
    <n v="2"/>
    <x v="6"/>
    <x v="118"/>
    <s v="Female"/>
  </r>
  <r>
    <x v="225"/>
    <x v="0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s v="Yes"/>
    <n v="0"/>
    <n v="1"/>
    <n v="1"/>
    <n v="2"/>
    <x v="6"/>
    <x v="119"/>
    <s v="Female"/>
  </r>
  <r>
    <x v="226"/>
    <x v="0"/>
    <s v="068300004128"/>
    <s v="+84 389420759 "/>
    <s v="No"/>
    <m/>
    <s v="I’ll take the company bus"/>
    <m/>
    <s v="Recruitment"/>
    <s v="Corporate Acquisition"/>
    <s v="CARRILLO GIRONA Marina"/>
    <s v="In"/>
    <s v="No"/>
    <n v="0"/>
    <n v="0"/>
    <n v="0"/>
    <n v="1"/>
    <x v="6"/>
    <x v="120"/>
    <s v="Female"/>
  </r>
  <r>
    <x v="227"/>
    <x v="0"/>
    <s v="037303000012"/>
    <s v="0961760721"/>
    <s v="No"/>
    <m/>
    <s v="I’ll take the company bus"/>
    <m/>
    <s v="Recruitment"/>
    <s v="Corporate Acquisition"/>
    <s v="PHAN Linh Chau"/>
    <s v="In"/>
    <s v="No"/>
    <n v="0"/>
    <n v="0"/>
    <n v="0"/>
    <n v="1"/>
    <x v="6"/>
    <x v="120"/>
    <s v="Female"/>
  </r>
  <r>
    <x v="228"/>
    <x v="0"/>
    <s v="077197001261"/>
    <s v="0785670597"/>
    <s v="No"/>
    <m/>
    <s v="I’ll take the company bus"/>
    <m/>
    <s v="Performance Management"/>
    <s v="Operational Controlling"/>
    <s v="BUC Thomas"/>
    <s v="In"/>
    <s v="No"/>
    <n v="0"/>
    <n v="0"/>
    <n v="0"/>
    <n v="1"/>
    <x v="6"/>
    <x v="121"/>
    <s v="Female"/>
  </r>
  <r>
    <x v="229"/>
    <x v="0"/>
    <s v="074301006998"/>
    <s v="0967486292"/>
    <s v="No"/>
    <m/>
    <s v="I’ll take the company bus"/>
    <m/>
    <s v="Performance Management"/>
    <s v="Operational Controlling"/>
    <s v="BUC Thomas"/>
    <s v="In"/>
    <s v="No"/>
    <n v="0"/>
    <n v="0"/>
    <n v="0"/>
    <n v="1"/>
    <x v="6"/>
    <x v="121"/>
    <s v="Female"/>
  </r>
  <r>
    <x v="230"/>
    <x v="0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s v="No"/>
    <n v="0"/>
    <n v="0"/>
    <n v="0"/>
    <n v="1"/>
    <x v="6"/>
    <x v="121"/>
    <s v="Female"/>
  </r>
  <r>
    <x v="231"/>
    <x v="0"/>
    <s v="075184001102"/>
    <s v="0945745944"/>
    <s v="No"/>
    <m/>
    <s v="I’ll take the company bus"/>
    <m/>
    <s v="Information Technology"/>
    <s v="Telephony"/>
    <s v="MAI Tan Ha"/>
    <s v="In"/>
    <s v="No"/>
    <n v="0"/>
    <n v="0"/>
    <n v="0"/>
    <n v="1"/>
    <x v="6"/>
    <x v="122"/>
    <s v="Female"/>
  </r>
  <r>
    <x v="232"/>
    <x v="0"/>
    <s v="079199035294"/>
    <s v="84899286919"/>
    <s v="No"/>
    <m/>
    <s v="I’ll take the company bus"/>
    <m/>
    <s v="ACT"/>
    <s v="ACT Sales &amp; Pre-sales"/>
    <s v="MAVANI Amit"/>
    <s v="In"/>
    <s v="No"/>
    <n v="0"/>
    <n v="0"/>
    <n v="0"/>
    <n v="1"/>
    <x v="6"/>
    <x v="122"/>
    <s v="Female"/>
  </r>
  <r>
    <x v="233"/>
    <x v="0"/>
    <s v="079197000483"/>
    <s v="0909915834"/>
    <s v="No"/>
    <m/>
    <s v="I’ll take the company bus"/>
    <m/>
    <s v="Amaris Consulting"/>
    <s v="Consultants"/>
    <s v="VETTUKAD Amit"/>
    <s v="In"/>
    <s v="No"/>
    <n v="0"/>
    <n v="0"/>
    <n v="0"/>
    <n v="1"/>
    <x v="6"/>
    <x v="123"/>
    <s v="Female"/>
  </r>
  <r>
    <x v="234"/>
    <x v="0"/>
    <s v="079197014206"/>
    <s v="0839022665"/>
    <s v="No"/>
    <m/>
    <s v="I’ll take the company bus"/>
    <m/>
    <s v="Information Technology"/>
    <s v="User Experience"/>
    <s v="LIM Chee Kiat"/>
    <s v="In"/>
    <s v="No"/>
    <n v="0"/>
    <n v="0"/>
    <n v="0"/>
    <n v="1"/>
    <x v="6"/>
    <x v="123"/>
    <s v="Female"/>
  </r>
  <r>
    <x v="235"/>
    <x v="0"/>
    <s v="079195004762"/>
    <s v="0945686674"/>
    <s v="No"/>
    <m/>
    <s v="I’ll take the company bus"/>
    <m/>
    <s v="Information Technology"/>
    <s v="Product Management"/>
    <s v="DUQUESNAY Guillaume"/>
    <s v="In"/>
    <s v="No"/>
    <n v="0"/>
    <n v="0"/>
    <n v="0"/>
    <n v="1"/>
    <x v="6"/>
    <x v="124"/>
    <s v="Female"/>
  </r>
  <r>
    <x v="236"/>
    <x v="0"/>
    <s v="079301028966"/>
    <s v="0763889811"/>
    <s v="No"/>
    <m/>
    <s v="I’ll take the company bus"/>
    <m/>
    <s v="Information Technology"/>
    <s v="Product Management"/>
    <s v="HUYNH Anh Tam"/>
    <s v="In"/>
    <s v="No"/>
    <n v="0"/>
    <n v="0"/>
    <n v="0"/>
    <n v="1"/>
    <x v="6"/>
    <x v="124"/>
    <s v="Female"/>
  </r>
  <r>
    <x v="237"/>
    <x v="0"/>
    <s v="089192001289"/>
    <s v="0933595559"/>
    <s v="No"/>
    <m/>
    <s v="I’ll take the company bus"/>
    <s v="Food allergies: shrimps"/>
    <s v="Information Technology"/>
    <s v="Quality Control"/>
    <s v="RAHMANI Rihab"/>
    <s v="In"/>
    <s v="No"/>
    <n v="0"/>
    <n v="0"/>
    <n v="0"/>
    <n v="1"/>
    <x v="8"/>
    <x v="125"/>
    <s v="Female"/>
  </r>
  <r>
    <x v="238"/>
    <x v="0"/>
    <s v="038301000546"/>
    <s v="0376622565"/>
    <s v="No"/>
    <m/>
    <s v="I’ll take the company bus"/>
    <m/>
    <s v="Information Technology"/>
    <s v="Product Management"/>
    <s v="HUYNH Anh Tam"/>
    <s v="In"/>
    <s v="No"/>
    <n v="0"/>
    <n v="0"/>
    <n v="0"/>
    <n v="1"/>
    <x v="6"/>
    <x v="125"/>
    <s v="Female"/>
  </r>
  <r>
    <x v="239"/>
    <x v="0"/>
    <s v="079188037007"/>
    <s v="0886311686"/>
    <s v="No"/>
    <m/>
    <s v="I’ll take the company bus"/>
    <m/>
    <s v="Information Technology"/>
    <s v="Product Management"/>
    <s v="NGUYEN Anh Tuan - Richard"/>
    <s v="In"/>
    <s v="No"/>
    <n v="0"/>
    <n v="0"/>
    <n v="0"/>
    <n v="1"/>
    <x v="8"/>
    <x v="126"/>
    <s v="Female"/>
  </r>
  <r>
    <x v="240"/>
    <x v="0"/>
    <s v="24HC90633"/>
    <s v="0896948417"/>
    <s v="No"/>
    <m/>
    <s v="I’ll take the company bus"/>
    <s v="Xếp chung phòng với Ruby"/>
    <s v="Amaris Consulting"/>
    <s v="Presales"/>
    <s v="CAMARET Arthur"/>
    <s v="In"/>
    <s v="No"/>
    <n v="0"/>
    <n v="0"/>
    <n v="0"/>
    <n v="1"/>
    <x v="8"/>
    <x v="126"/>
    <s v="Female"/>
  </r>
  <r>
    <x v="241"/>
    <x v="0"/>
    <s v="066303014236"/>
    <s v="0852489626"/>
    <s v="No"/>
    <m/>
    <s v="I’ll take the company bus"/>
    <m/>
    <s v="Information Technology"/>
    <s v="Quality Control"/>
    <s v="NGUYEN Anh Tuan - Richard"/>
    <s v="In"/>
    <s v="No"/>
    <n v="0"/>
    <n v="0"/>
    <n v="0"/>
    <n v="1"/>
    <x v="8"/>
    <x v="127"/>
    <s v="Female"/>
  </r>
  <r>
    <x v="242"/>
    <x v="0"/>
    <s v="079302018741"/>
    <s v="0773215575"/>
    <s v="No"/>
    <m/>
    <s v="I’ll take the company bus"/>
    <s v="motion sickness medicine"/>
    <s v="Information Technology"/>
    <s v="Software Engineering"/>
    <s v="PHAM Bao Chung"/>
    <s v="In"/>
    <s v="No"/>
    <n v="0"/>
    <n v="0"/>
    <n v="0"/>
    <n v="1"/>
    <x v="8"/>
    <x v="127"/>
    <s v="Female"/>
  </r>
  <r>
    <x v="243"/>
    <x v="0"/>
    <s v="079196031161"/>
    <s v="0707205096"/>
    <s v="No"/>
    <m/>
    <s v="I’ll take the company bus"/>
    <m/>
    <s v="Information Technology"/>
    <s v="Quality Control"/>
    <s v="HUYNH Anh Tam"/>
    <s v="In"/>
    <s v="No"/>
    <n v="0"/>
    <n v="0"/>
    <n v="0"/>
    <n v="1"/>
    <x v="8"/>
    <x v="128"/>
    <s v="Female"/>
  </r>
  <r>
    <x v="244"/>
    <x v="0"/>
    <s v="079302019473"/>
    <s v="0918597387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28"/>
    <s v="Female"/>
  </r>
  <r>
    <x v="245"/>
    <x v="0"/>
    <s v="079301029723"/>
    <s v="0908488723"/>
    <s v="No"/>
    <m/>
    <s v="I’ll take the company bus"/>
    <m/>
    <s v="Information Technology"/>
    <s v="Quality Control"/>
    <s v="DUQUESNAY Guillaume"/>
    <s v="In"/>
    <s v="No"/>
    <n v="0"/>
    <n v="0"/>
    <n v="0"/>
    <n v="1"/>
    <x v="8"/>
    <x v="129"/>
    <s v="Female"/>
  </r>
  <r>
    <x v="246"/>
    <x v="0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s v="No"/>
    <n v="0"/>
    <n v="0"/>
    <n v="0"/>
    <n v="1"/>
    <x v="8"/>
    <x v="129"/>
    <s v="Female"/>
  </r>
  <r>
    <x v="247"/>
    <x v="0"/>
    <s v="049203006602"/>
    <s v="0367304351"/>
    <s v="No"/>
    <m/>
    <s v="I’ll take the company bus"/>
    <m/>
    <s v="Information Technology"/>
    <s v="Software Engineering"/>
    <s v="PHAN Anh Dung Cuong"/>
    <s v="In"/>
    <s v="No"/>
    <n v="0"/>
    <n v="0"/>
    <n v="0"/>
    <n v="1"/>
    <x v="8"/>
    <x v="130"/>
    <s v="Male                "/>
  </r>
  <r>
    <x v="248"/>
    <x v="0"/>
    <s v="067202006321"/>
    <s v="0867455918"/>
    <s v="No"/>
    <m/>
    <s v="I’ll take the company bus"/>
    <m/>
    <s v="Information Technology"/>
    <s v="Software Engineering"/>
    <s v="PHAN Anh Dung Cuong"/>
    <s v="In"/>
    <s v="No"/>
    <n v="0"/>
    <n v="0"/>
    <n v="0"/>
    <n v="1"/>
    <x v="8"/>
    <x v="130"/>
    <s v="Male                "/>
  </r>
  <r>
    <x v="249"/>
    <x v="0"/>
    <s v="080094006419"/>
    <s v="0979891673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1"/>
    <s v="Male                "/>
  </r>
  <r>
    <x v="250"/>
    <x v="0"/>
    <s v="001203053053"/>
    <s v="0853355397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1"/>
    <s v="Male                "/>
  </r>
  <r>
    <x v="251"/>
    <x v="0"/>
    <s v="045201007690"/>
    <s v="0973743542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2"/>
    <s v="Male                "/>
  </r>
  <r>
    <x v="252"/>
    <x v="0"/>
    <s v="066203000250"/>
    <s v="0914 119 624"/>
    <s v="No"/>
    <m/>
    <s v="I’ll take the company bus"/>
    <m/>
    <s v="Information Technology"/>
    <s v="Software Engineering"/>
    <s v="PHAM Bao Chung"/>
    <s v="In"/>
    <s v="No"/>
    <n v="0"/>
    <n v="0"/>
    <n v="0"/>
    <n v="1"/>
    <x v="8"/>
    <x v="132"/>
    <s v="Male                "/>
  </r>
  <r>
    <x v="253"/>
    <x v="0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s v="No"/>
    <n v="0"/>
    <n v="0"/>
    <n v="0"/>
    <n v="1"/>
    <x v="8"/>
    <x v="133"/>
    <s v="Male                "/>
  </r>
  <r>
    <x v="254"/>
    <x v="0"/>
    <s v="068088003980"/>
    <s v="0773820182"/>
    <s v="No"/>
    <m/>
    <s v="I’ll arrange my own transportation"/>
    <m/>
    <s v="Information Technology"/>
    <s v="Software Architecture"/>
    <s v="MATYSIAK Hervé"/>
    <s v="In"/>
    <s v="No"/>
    <n v="0"/>
    <n v="0"/>
    <n v="0"/>
    <n v="1"/>
    <x v="4"/>
    <x v="133"/>
    <s v="Male                "/>
  </r>
  <r>
    <x v="255"/>
    <x v="0"/>
    <s v="079096007068"/>
    <s v="0328971812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4"/>
    <s v="Male                "/>
  </r>
  <r>
    <x v="256"/>
    <x v="0"/>
    <s v="082098005823"/>
    <s v="0979622203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4"/>
    <s v="Male                "/>
  </r>
  <r>
    <x v="257"/>
    <x v="0"/>
    <s v="079087016493"/>
    <s v="0362685720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5"/>
    <s v="Male                "/>
  </r>
  <r>
    <x v="258"/>
    <x v="0"/>
    <s v="082089018141"/>
    <s v="0909857832"/>
    <s v="No"/>
    <m/>
    <s v="I’ll take the company bus"/>
    <m/>
    <s v="Information Technology"/>
    <s v="Software Engineering"/>
    <s v="IVAN Alex Constantin"/>
    <s v="In"/>
    <s v="No"/>
    <n v="0"/>
    <n v="0"/>
    <n v="0"/>
    <n v="1"/>
    <x v="8"/>
    <x v="135"/>
    <s v="Male                "/>
  </r>
  <r>
    <x v="259"/>
    <x v="0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s v="No"/>
    <n v="0"/>
    <n v="0"/>
    <n v="0"/>
    <n v="1"/>
    <x v="8"/>
    <x v="136"/>
    <s v="Male                "/>
  </r>
  <r>
    <x v="260"/>
    <x v="0"/>
    <s v="091086018626"/>
    <s v="0935717578"/>
    <s v="No"/>
    <m/>
    <s v="I’ll take the company bus"/>
    <m/>
    <s v="Information Technology"/>
    <s v="Software Engineering"/>
    <s v="DUQUESNAY Guillaume"/>
    <s v="In"/>
    <s v="No"/>
    <n v="0"/>
    <n v="0"/>
    <n v="0"/>
    <n v="1"/>
    <x v="8"/>
    <x v="136"/>
    <s v="Male                "/>
  </r>
  <r>
    <x v="261"/>
    <x v="0"/>
    <s v="079095017425"/>
    <s v="0984678726"/>
    <s v="No"/>
    <m/>
    <s v="I’ll take the company bus"/>
    <m/>
    <s v="Information Technology"/>
    <s v="Software Engineering"/>
    <s v="DUQUESNAY Guillaume"/>
    <s v="In"/>
    <s v="No"/>
    <n v="0"/>
    <n v="0"/>
    <n v="0"/>
    <n v="1"/>
    <x v="8"/>
    <x v="137"/>
    <s v="Male                "/>
  </r>
  <r>
    <x v="262"/>
    <x v="0"/>
    <s v="079203014457"/>
    <s v="0968080085"/>
    <s v="No"/>
    <m/>
    <s v="I’ll take the company bus"/>
    <m/>
    <s v="Information Technology"/>
    <s v="Quality Control"/>
    <s v="HUYNH Anh Tam"/>
    <s v="In"/>
    <s v="No"/>
    <n v="0"/>
    <n v="0"/>
    <n v="0"/>
    <n v="1"/>
    <x v="8"/>
    <x v="137"/>
    <s v="Male                "/>
  </r>
  <r>
    <x v="263"/>
    <x v="0"/>
    <s v="066201002422"/>
    <s v="0372015192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8"/>
    <s v="Male                "/>
  </r>
  <r>
    <x v="264"/>
    <x v="0"/>
    <s v="080087011699"/>
    <s v="0352176769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8"/>
    <s v="Male                "/>
  </r>
  <r>
    <x v="265"/>
    <x v="0"/>
    <s v="079087017793"/>
    <s v="0903322044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9"/>
    <s v="Male                "/>
  </r>
  <r>
    <x v="266"/>
    <x v="0"/>
    <s v="051095009095 "/>
    <s v="0985752395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39"/>
    <s v="Male                "/>
  </r>
  <r>
    <x v="267"/>
    <x v="0"/>
    <s v="079078022487"/>
    <s v="0934181732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40"/>
    <s v="Male                "/>
  </r>
  <r>
    <x v="268"/>
    <x v="0"/>
    <s v="083096004407"/>
    <s v="0964072710"/>
    <s v="No"/>
    <m/>
    <s v="I’ll take the company bus"/>
    <m/>
    <s v="Information Technology"/>
    <s v="Software Engineering"/>
    <s v="HUYNH Van Cop"/>
    <s v="In"/>
    <s v="No"/>
    <n v="0"/>
    <n v="0"/>
    <n v="0"/>
    <n v="1"/>
    <x v="8"/>
    <x v="140"/>
    <s v="Male                "/>
  </r>
  <r>
    <x v="269"/>
    <x v="0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s v="Yes"/>
    <n v="1"/>
    <n v="1"/>
    <n v="2"/>
    <n v="3"/>
    <x v="8"/>
    <x v="141"/>
    <s v="Male                "/>
  </r>
  <r>
    <x v="270"/>
    <x v="0"/>
    <s v="079088031980"/>
    <s v="0938004161"/>
    <s v="No"/>
    <m/>
    <s v="I’ll take the company bus"/>
    <s v="I need a private room"/>
    <s v="Information Technology"/>
    <s v="Agile Center"/>
    <s v="NGUYEN Anh Tuan - Richard"/>
    <s v="In"/>
    <s v="No"/>
    <n v="0"/>
    <n v="0"/>
    <n v="0"/>
    <n v="1"/>
    <x v="8"/>
    <x v="142"/>
    <s v="Male                "/>
  </r>
  <r>
    <x v="271"/>
    <x v="1"/>
    <m/>
    <m/>
    <m/>
    <m/>
    <m/>
    <m/>
    <m/>
    <m/>
    <m/>
    <m/>
    <m/>
    <m/>
    <m/>
    <m/>
    <m/>
    <x v="9"/>
    <x v="143"/>
    <m/>
  </r>
  <r>
    <x v="271"/>
    <x v="1"/>
    <m/>
    <m/>
    <m/>
    <m/>
    <m/>
    <m/>
    <m/>
    <m/>
    <m/>
    <m/>
    <m/>
    <m/>
    <m/>
    <m/>
    <m/>
    <x v="9"/>
    <x v="14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s v="044199002375"/>
    <s v="0823387274"/>
    <s v="No"/>
    <m/>
    <s v="I’ll take the company bus"/>
    <m/>
    <s v="Amaris Consulting"/>
    <s v="Consultants"/>
    <s v="HA Phuong Thao"/>
    <s v="In"/>
    <x v="0"/>
    <n v="0"/>
    <n v="0"/>
    <n v="0"/>
    <n v="1"/>
    <x v="0"/>
    <x v="0"/>
    <x v="0"/>
  </r>
  <r>
    <x v="1"/>
    <x v="0"/>
    <s v="070194001945"/>
    <s v="039674443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0"/>
    <x v="0"/>
  </r>
  <r>
    <x v="2"/>
    <x v="0"/>
    <s v="077300001719"/>
    <s v="096896304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"/>
    <x v="0"/>
  </r>
  <r>
    <x v="3"/>
    <x v="0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x v="0"/>
    <n v="0"/>
    <n v="0"/>
    <n v="0"/>
    <n v="1"/>
    <x v="0"/>
    <x v="1"/>
    <x v="0"/>
  </r>
  <r>
    <x v="4"/>
    <x v="0"/>
    <s v="086099002987"/>
    <s v="0968933873"/>
    <s v="No"/>
    <m/>
    <s v="I’ll take the company bus"/>
    <m/>
    <s v="Amaris Consulting"/>
    <s v="Consultants"/>
    <s v="HA Phuong Thao"/>
    <s v="In"/>
    <x v="0"/>
    <n v="0"/>
    <n v="0"/>
    <n v="0"/>
    <n v="1"/>
    <x v="0"/>
    <x v="2"/>
    <x v="1"/>
  </r>
  <r>
    <x v="5"/>
    <x v="0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x v="0"/>
    <n v="0"/>
    <n v="0"/>
    <n v="0"/>
    <n v="1"/>
    <x v="0"/>
    <x v="2"/>
    <x v="1"/>
  </r>
  <r>
    <x v="6"/>
    <x v="0"/>
    <s v="080202010719"/>
    <s v="0942198738"/>
    <s v="No"/>
    <m/>
    <s v="I’ll take the company bus"/>
    <m/>
    <s v="Amaris Consulting"/>
    <s v="Consultants"/>
    <s v="HA Phuong Thao"/>
    <s v="In"/>
    <x v="0"/>
    <n v="0"/>
    <n v="0"/>
    <n v="0"/>
    <n v="1"/>
    <x v="0"/>
    <x v="3"/>
    <x v="1"/>
  </r>
  <r>
    <x v="7"/>
    <x v="0"/>
    <s v="083097005277"/>
    <s v="0386788883"/>
    <s v="No"/>
    <m/>
    <s v="I’ll take the company bus"/>
    <m/>
    <s v="Amaris Consulting"/>
    <s v="Consultants"/>
    <s v="HA Phuong Thao"/>
    <s v="In"/>
    <x v="0"/>
    <n v="0"/>
    <n v="0"/>
    <n v="0"/>
    <n v="1"/>
    <x v="0"/>
    <x v="3"/>
    <x v="1"/>
  </r>
  <r>
    <x v="8"/>
    <x v="0"/>
    <s v="051094000961"/>
    <s v="0938945445"/>
    <s v="No"/>
    <m/>
    <s v="I’ll take the company bus"/>
    <m/>
    <s v="Amaris Consulting"/>
    <s v="Consultants"/>
    <s v="HA Phuong Thao"/>
    <s v="In"/>
    <x v="0"/>
    <n v="0"/>
    <n v="0"/>
    <n v="0"/>
    <n v="1"/>
    <x v="0"/>
    <x v="4"/>
    <x v="1"/>
  </r>
  <r>
    <x v="9"/>
    <x v="0"/>
    <s v="089097020361"/>
    <s v="0967513840"/>
    <s v="No"/>
    <m/>
    <s v="I’ll take the company bus"/>
    <m/>
    <s v="Amaris Consulting"/>
    <s v="Consultants"/>
    <s v="HA Phuong Thao"/>
    <s v="In"/>
    <x v="0"/>
    <n v="0"/>
    <n v="0"/>
    <n v="0"/>
    <n v="1"/>
    <x v="0"/>
    <x v="4"/>
    <x v="1"/>
  </r>
  <r>
    <x v="10"/>
    <x v="0"/>
    <s v="087099016549"/>
    <s v="0826759579"/>
    <s v="No"/>
    <m/>
    <s v="I’ll take the company bus"/>
    <m/>
    <s v="Amaris Consulting"/>
    <s v="Consultants"/>
    <s v="HA Phuong Thao"/>
    <s v="In"/>
    <x v="0"/>
    <n v="0"/>
    <n v="0"/>
    <n v="0"/>
    <n v="1"/>
    <x v="0"/>
    <x v="5"/>
    <x v="1"/>
  </r>
  <r>
    <x v="11"/>
    <x v="0"/>
    <s v="044099000541"/>
    <s v="0948527910"/>
    <s v="No"/>
    <m/>
    <s v="I’ll take the company bus"/>
    <m/>
    <s v="Amaris Consulting"/>
    <s v="Consultants"/>
    <s v="HA Phuong Thao"/>
    <s v="In"/>
    <x v="0"/>
    <n v="0"/>
    <n v="0"/>
    <n v="0"/>
    <n v="1"/>
    <x v="0"/>
    <x v="5"/>
    <x v="1"/>
  </r>
  <r>
    <x v="12"/>
    <x v="0"/>
    <s v="089200015516"/>
    <s v="+84 329 382 782"/>
    <s v="No"/>
    <m/>
    <s v="I’ll take the company bus"/>
    <s v="Team chị My"/>
    <s v="Amaris Consulting"/>
    <s v="Consultants"/>
    <s v="HA Phuong Thao"/>
    <s v="In"/>
    <x v="0"/>
    <n v="0"/>
    <n v="0"/>
    <n v="0"/>
    <n v="1"/>
    <x v="0"/>
    <x v="6"/>
    <x v="1"/>
  </r>
  <r>
    <x v="13"/>
    <x v="0"/>
    <s v="083084008265"/>
    <s v="0989600669"/>
    <s v="No"/>
    <m/>
    <s v="I’ll take the company bus"/>
    <m/>
    <s v="Amaris Consulting"/>
    <s v="Consultants"/>
    <s v="HA Phuong Thao"/>
    <s v="In"/>
    <x v="0"/>
    <n v="0"/>
    <n v="0"/>
    <n v="0"/>
    <n v="1"/>
    <x v="0"/>
    <x v="6"/>
    <x v="1"/>
  </r>
  <r>
    <x v="14"/>
    <x v="0"/>
    <s v="062201003205"/>
    <s v="+84 931 182 688"/>
    <s v="No"/>
    <m/>
    <s v="I’ll take the company bus"/>
    <m/>
    <s v="Amaris Consulting"/>
    <s v="Consultants"/>
    <s v="HA Phuong Thao"/>
    <s v="In"/>
    <x v="0"/>
    <n v="0"/>
    <n v="0"/>
    <n v="0"/>
    <n v="1"/>
    <x v="0"/>
    <x v="7"/>
    <x v="1"/>
  </r>
  <r>
    <x v="15"/>
    <x v="0"/>
    <s v="051099011537"/>
    <s v="097372424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7"/>
    <x v="1"/>
  </r>
  <r>
    <x v="16"/>
    <x v="0"/>
    <s v="079096015213"/>
    <s v="0392357076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8"/>
    <x v="1"/>
  </r>
  <r>
    <x v="17"/>
    <x v="0"/>
    <s v="066201016152"/>
    <s v="0393688714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8"/>
    <x v="1"/>
  </r>
  <r>
    <x v="18"/>
    <x v="0"/>
    <s v="075200024308"/>
    <s v="0938316793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9"/>
    <x v="1"/>
  </r>
  <r>
    <x v="19"/>
    <x v="0"/>
    <s v="051098005098"/>
    <s v="039249731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9"/>
    <x v="1"/>
  </r>
  <r>
    <x v="20"/>
    <x v="0"/>
    <s v="068096007001"/>
    <s v="0357556867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0"/>
    <x v="1"/>
  </r>
  <r>
    <x v="21"/>
    <x v="0"/>
    <s v=" 086200001291"/>
    <s v="033780425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0"/>
    <x v="1"/>
  </r>
  <r>
    <x v="22"/>
    <x v="0"/>
    <s v="046097000064"/>
    <s v="0333515756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1"/>
    <x v="1"/>
  </r>
  <r>
    <x v="23"/>
    <x v="0"/>
    <s v="077203004018"/>
    <s v="0971007831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1"/>
    <x v="1"/>
  </r>
  <r>
    <x v="24"/>
    <x v="0"/>
    <s v="089200019968"/>
    <s v="0974086701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2"/>
    <x v="1"/>
  </r>
  <r>
    <x v="25"/>
    <x v="0"/>
    <s v="030080017185"/>
    <s v="0988143980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2"/>
    <x v="1"/>
  </r>
  <r>
    <x v="26"/>
    <x v="0"/>
    <s v="072094005258"/>
    <s v="0354219319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3"/>
    <x v="1"/>
  </r>
  <r>
    <x v="27"/>
    <x v="0"/>
    <s v="079099030686"/>
    <s v="0933284515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3"/>
    <x v="1"/>
  </r>
  <r>
    <x v="28"/>
    <x v="0"/>
    <s v="058201000239"/>
    <s v="0855586358"/>
    <s v="No"/>
    <m/>
    <s v="I’ll take the company bus"/>
    <m/>
    <s v="Amaris Consulting"/>
    <s v="Consultants"/>
    <s v="HO Nguyen Hong Uyen"/>
    <s v="In"/>
    <x v="0"/>
    <n v="0"/>
    <n v="0"/>
    <n v="0"/>
    <n v="1"/>
    <x v="0"/>
    <x v="14"/>
    <x v="1"/>
  </r>
  <r>
    <x v="29"/>
    <x v="0"/>
    <s v="079201014939"/>
    <s v="0902891404"/>
    <s v="No"/>
    <m/>
    <s v="I’ll take the company bus"/>
    <s v="Motion sickness pills"/>
    <s v="Amaris Consulting"/>
    <s v="Consultants"/>
    <s v="NGUYEN Tien Nam"/>
    <s v="In"/>
    <x v="0"/>
    <n v="0"/>
    <n v="0"/>
    <n v="0"/>
    <n v="1"/>
    <x v="0"/>
    <x v="14"/>
    <x v="1"/>
  </r>
  <r>
    <x v="30"/>
    <x v="0"/>
    <s v="079095022758"/>
    <s v="0777104166"/>
    <s v="No"/>
    <m/>
    <s v="I’ll take the company bus"/>
    <m/>
    <s v="Amaris Consulting"/>
    <s v="Consultants"/>
    <s v="NGUYEN Tien Nam"/>
    <s v="In"/>
    <x v="0"/>
    <n v="0"/>
    <n v="0"/>
    <n v="0"/>
    <n v="1"/>
    <x v="0"/>
    <x v="15"/>
    <x v="1"/>
  </r>
  <r>
    <x v="31"/>
    <x v="0"/>
    <s v="064200012749"/>
    <s v="0396402696"/>
    <s v="No"/>
    <m/>
    <s v="I’ll take the company bus"/>
    <m/>
    <s v="Amaris Consulting"/>
    <s v="Consultants"/>
    <s v="NGUYEN Tien Nam"/>
    <s v="In"/>
    <x v="0"/>
    <n v="0"/>
    <n v="0"/>
    <n v="0"/>
    <n v="1"/>
    <x v="0"/>
    <x v="15"/>
    <x v="1"/>
  </r>
  <r>
    <x v="32"/>
    <x v="0"/>
    <s v="068097008720"/>
    <s v="0981212098"/>
    <s v="No"/>
    <m/>
    <s v="I’ll take the company bus"/>
    <m/>
    <s v="Amaris Consulting"/>
    <s v="Consultants"/>
    <s v="HOANG Thien"/>
    <s v="In"/>
    <x v="0"/>
    <n v="0"/>
    <n v="0"/>
    <n v="0"/>
    <n v="1"/>
    <x v="1"/>
    <x v="16"/>
    <x v="1"/>
  </r>
  <r>
    <x v="33"/>
    <x v="0"/>
    <s v="087201004021"/>
    <s v="0777905219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6"/>
    <x v="1"/>
  </r>
  <r>
    <x v="34"/>
    <x v="0"/>
    <s v="075096016711"/>
    <s v="0932980033"/>
    <s v="No"/>
    <m/>
    <s v="I’ll take the company bus"/>
    <m/>
    <s v="Amaris Consulting"/>
    <s v="Consultants"/>
    <s v="HOANG Thien"/>
    <s v="In"/>
    <x v="0"/>
    <n v="0"/>
    <n v="0"/>
    <n v="0"/>
    <n v="1"/>
    <x v="1"/>
    <x v="17"/>
    <x v="1"/>
  </r>
  <r>
    <x v="35"/>
    <x v="0"/>
    <s v="048095001773"/>
    <s v="0335353685"/>
    <s v="No"/>
    <m/>
    <s v="I’ll take the company bus"/>
    <m/>
    <s v="Amaris Consulting"/>
    <s v="Consultants"/>
    <s v="HOANG Thien"/>
    <s v="In"/>
    <x v="0"/>
    <n v="0"/>
    <n v="0"/>
    <n v="0"/>
    <n v="1"/>
    <x v="1"/>
    <x v="17"/>
    <x v="1"/>
  </r>
  <r>
    <x v="36"/>
    <x v="0"/>
    <s v="058095001270"/>
    <s v="0349687204"/>
    <s v="No"/>
    <m/>
    <s v="I’ll take the company bus"/>
    <m/>
    <s v="Amaris Consulting"/>
    <s v="Consultants"/>
    <s v="HOANG Thien"/>
    <s v="In"/>
    <x v="0"/>
    <n v="0"/>
    <n v="0"/>
    <n v="0"/>
    <n v="1"/>
    <x v="1"/>
    <x v="18"/>
    <x v="1"/>
  </r>
  <r>
    <x v="37"/>
    <x v="0"/>
    <s v="079200028676"/>
    <s v="0397974403"/>
    <s v="No"/>
    <m/>
    <s v="I’ll take the company bus"/>
    <m/>
    <s v="Amaris Consulting"/>
    <s v="Consultants"/>
    <s v="HOANG Thien"/>
    <s v="In (Exit confirmed)"/>
    <x v="0"/>
    <m/>
    <m/>
    <n v="0"/>
    <n v="1"/>
    <x v="1"/>
    <x v="18"/>
    <x v="1"/>
  </r>
  <r>
    <x v="38"/>
    <x v="0"/>
    <s v="060094011465"/>
    <s v="0333950268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9"/>
    <x v="1"/>
  </r>
  <r>
    <x v="39"/>
    <x v="0"/>
    <s v="046098001181"/>
    <s v="0327360123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19"/>
    <x v="1"/>
  </r>
  <r>
    <x v="40"/>
    <x v="0"/>
    <s v="060099011492"/>
    <s v="037973809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0"/>
    <x v="1"/>
  </r>
  <r>
    <x v="41"/>
    <x v="0"/>
    <s v="095203009143"/>
    <s v="0944552050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0"/>
    <x v="1"/>
  </r>
  <r>
    <x v="42"/>
    <x v="0"/>
    <s v="064201016123"/>
    <s v="097940941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1"/>
    <x v="1"/>
  </r>
  <r>
    <x v="43"/>
    <x v="0"/>
    <s v="096099005690"/>
    <s v="0379218610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1"/>
    <x v="1"/>
  </r>
  <r>
    <x v="44"/>
    <x v="0"/>
    <s v="089097008685"/>
    <s v="037846257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2"/>
    <x v="1"/>
  </r>
  <r>
    <x v="45"/>
    <x v="0"/>
    <s v="079094018368"/>
    <s v="093768699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2"/>
    <x v="1"/>
  </r>
  <r>
    <x v="46"/>
    <x v="0"/>
    <s v="072200007361"/>
    <s v="096752445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3"/>
    <x v="1"/>
  </r>
  <r>
    <x v="47"/>
    <x v="0"/>
    <s v="049202002958"/>
    <s v="0343734096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3"/>
    <x v="1"/>
  </r>
  <r>
    <x v="48"/>
    <x v="0"/>
    <s v="089201001783"/>
    <s v="094196774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4"/>
    <x v="1"/>
  </r>
  <r>
    <x v="49"/>
    <x v="0"/>
    <s v="064098000457"/>
    <s v="0363543388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4"/>
    <x v="1"/>
  </r>
  <r>
    <x v="50"/>
    <x v="0"/>
    <s v="049200016142"/>
    <s v="0396428796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5"/>
    <x v="1"/>
  </r>
  <r>
    <x v="51"/>
    <x v="0"/>
    <s v="042200003160"/>
    <s v="097185031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5"/>
    <x v="1"/>
  </r>
  <r>
    <x v="52"/>
    <x v="0"/>
    <s v="079203015788"/>
    <s v="096369824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6"/>
    <x v="1"/>
  </r>
  <r>
    <x v="53"/>
    <x v="0"/>
    <s v="079200038775"/>
    <s v="033931013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6"/>
    <x v="1"/>
  </r>
  <r>
    <x v="54"/>
    <x v="0"/>
    <s v="056200011360"/>
    <s v="086988581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7"/>
    <x v="1"/>
  </r>
  <r>
    <x v="55"/>
    <x v="0"/>
    <s v="minhtri.do@amaris.com"/>
    <s v="093591946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7"/>
    <x v="1"/>
  </r>
  <r>
    <x v="56"/>
    <x v="0"/>
    <s v="252203000013"/>
    <s v="082962287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8"/>
    <x v="1"/>
  </r>
  <r>
    <x v="57"/>
    <x v="0"/>
    <s v="079200044816"/>
    <s v="093253578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8"/>
    <x v="1"/>
  </r>
  <r>
    <x v="58"/>
    <x v="0"/>
    <s v="052200005034"/>
    <s v="+84 377130331"/>
    <s v="No"/>
    <m/>
    <s v="I’ll take the company bus"/>
    <m/>
    <s v="Amaris Consulting"/>
    <s v="Consultants"/>
    <s v="LA Thuy My Hao"/>
    <s v="In"/>
    <x v="0"/>
    <n v="0"/>
    <n v="0"/>
    <n v="0"/>
    <n v="1"/>
    <x v="1"/>
    <x v="29"/>
    <x v="1"/>
  </r>
  <r>
    <x v="59"/>
    <x v="0"/>
    <s v="079095014706"/>
    <s v="0937251707"/>
    <s v="No"/>
    <m/>
    <s v="I’ll take the company bus"/>
    <s v="Dị ứng cồn"/>
    <s v="Amaris Consulting"/>
    <s v="Consultants"/>
    <s v="NGUYEN The Trinh"/>
    <s v="In"/>
    <x v="0"/>
    <n v="0"/>
    <n v="0"/>
    <n v="0"/>
    <n v="1"/>
    <x v="1"/>
    <x v="29"/>
    <x v="1"/>
  </r>
  <r>
    <x v="60"/>
    <x v="0"/>
    <s v="079302009777"/>
    <s v="0703264721"/>
    <s v="No"/>
    <m/>
    <s v="I’ll take the company bus"/>
    <m/>
    <s v="Amaris Consulting"/>
    <s v="Consultants"/>
    <s v="HUYNH Chi Cuong"/>
    <s v="In"/>
    <x v="0"/>
    <n v="0"/>
    <n v="0"/>
    <n v="0"/>
    <n v="1"/>
    <x v="1"/>
    <x v="30"/>
    <x v="0"/>
  </r>
  <r>
    <x v="61"/>
    <x v="0"/>
    <s v="079186021679"/>
    <s v="086687672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0"/>
    <x v="0"/>
  </r>
  <r>
    <x v="62"/>
    <x v="0"/>
    <s v="087300002383"/>
    <s v="0939053112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1"/>
    <x v="0"/>
  </r>
  <r>
    <x v="63"/>
    <x v="0"/>
    <s v="082300007349"/>
    <s v="088874525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1"/>
    <x v="0"/>
  </r>
  <r>
    <x v="64"/>
    <x v="0"/>
    <s v="079300022868"/>
    <s v="0707653589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2"/>
    <x v="0"/>
  </r>
  <r>
    <x v="65"/>
    <x v="0"/>
    <s v="095304000976"/>
    <s v="0913854054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2"/>
    <x v="0"/>
  </r>
  <r>
    <x v="66"/>
    <x v="0"/>
    <s v="070302002356"/>
    <s v="0383899275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3"/>
    <x v="0"/>
  </r>
  <r>
    <x v="67"/>
    <x v="0"/>
    <s v="089196003991"/>
    <s v="0369040747"/>
    <s v="No"/>
    <m/>
    <s v="I’ll take the company bus"/>
    <m/>
    <s v="Amaris Consulting"/>
    <s v="Consultants"/>
    <s v="LA Thuy My Hao"/>
    <s v="In"/>
    <x v="0"/>
    <n v="0"/>
    <n v="0"/>
    <n v="0"/>
    <n v="1"/>
    <x v="1"/>
    <x v="33"/>
    <x v="0"/>
  </r>
  <r>
    <x v="68"/>
    <x v="0"/>
    <s v="040099011473"/>
    <s v="0946650045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4"/>
    <x v="1"/>
  </r>
  <r>
    <x v="69"/>
    <x v="0"/>
    <s v="079096034588"/>
    <s v="0938282487"/>
    <s v="No"/>
    <m/>
    <s v="I’ll take the company bus"/>
    <m/>
    <s v="Amaris Consulting"/>
    <s v="Consultants"/>
    <s v="NGUYEN The Trinh"/>
    <s v="In"/>
    <x v="0"/>
    <n v="0"/>
    <n v="0"/>
    <n v="0"/>
    <n v="1"/>
    <x v="2"/>
    <x v="34"/>
    <x v="1"/>
  </r>
  <r>
    <x v="70"/>
    <x v="0"/>
    <s v="079096027174"/>
    <s v="0934297931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5"/>
    <x v="1"/>
  </r>
  <r>
    <x v="71"/>
    <x v="0"/>
    <s v="075095021646"/>
    <s v="0352680918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35"/>
    <x v="1"/>
  </r>
  <r>
    <x v="72"/>
    <x v="0"/>
    <s v="052097015080"/>
    <s v="0776756952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6"/>
    <x v="1"/>
  </r>
  <r>
    <x v="73"/>
    <x v="0"/>
    <s v="051202007406"/>
    <s v="0345717796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6"/>
    <x v="1"/>
  </r>
  <r>
    <x v="74"/>
    <x v="0"/>
    <s v="091201012114"/>
    <s v="0762922184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7"/>
    <x v="1"/>
  </r>
  <r>
    <x v="75"/>
    <x v="0"/>
    <s v="079098003185"/>
    <s v="087929596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7"/>
    <x v="1"/>
  </r>
  <r>
    <x v="76"/>
    <x v="0"/>
    <s v="067098004566"/>
    <s v="0584106886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8"/>
    <x v="1"/>
  </r>
  <r>
    <x v="77"/>
    <x v="0"/>
    <s v="089096021770"/>
    <s v="0962359719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8"/>
    <x v="1"/>
  </r>
  <r>
    <x v="78"/>
    <x v="0"/>
    <s v="082097013452"/>
    <s v="033254802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9"/>
    <x v="1"/>
  </r>
  <r>
    <x v="79"/>
    <x v="0"/>
    <s v="049092003884"/>
    <s v="097371834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39"/>
    <x v="1"/>
  </r>
  <r>
    <x v="80"/>
    <x v="0"/>
    <s v="052096015341"/>
    <s v="0397459642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0"/>
    <x v="1"/>
  </r>
  <r>
    <x v="81"/>
    <x v="0"/>
    <s v="079099027044"/>
    <s v="033561805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0"/>
    <x v="1"/>
  </r>
  <r>
    <x v="82"/>
    <x v="0"/>
    <s v="075090010849"/>
    <s v="0778836595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1"/>
    <x v="1"/>
  </r>
  <r>
    <x v="83"/>
    <x v="0"/>
    <s v="052092015218"/>
    <s v="0346726479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1"/>
    <x v="1"/>
  </r>
  <r>
    <x v="84"/>
    <x v="0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x v="1"/>
    <n v="0"/>
    <n v="1"/>
    <n v="1"/>
    <n v="2"/>
    <x v="2"/>
    <x v="42"/>
    <x v="0"/>
  </r>
  <r>
    <x v="85"/>
    <x v="0"/>
    <s v="091301010042"/>
    <s v="0768811159"/>
    <s v="No"/>
    <m/>
    <s v="I’ll take the company bus"/>
    <m/>
    <s v="Amaris Consulting"/>
    <s v="Consultants"/>
    <s v="NGUYEN Hoang Tuan Anh"/>
    <s v="In"/>
    <x v="0"/>
    <n v="0"/>
    <n v="0"/>
    <n v="0"/>
    <n v="1"/>
    <x v="2"/>
    <x v="43"/>
    <x v="0"/>
  </r>
  <r>
    <x v="86"/>
    <x v="0"/>
    <s v="075193013225"/>
    <s v="0356055190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3"/>
    <x v="0"/>
  </r>
  <r>
    <x v="87"/>
    <x v="0"/>
    <s v="079301006935"/>
    <s v="0779911643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4"/>
    <x v="0"/>
  </r>
  <r>
    <x v="88"/>
    <x v="0"/>
    <s v="084197000010"/>
    <s v="0936610147"/>
    <s v="No"/>
    <m/>
    <s v="I’ll take the company bus"/>
    <m/>
    <s v="Amaris Consulting"/>
    <s v="Consultants"/>
    <s v="TRAN Thi Ha My"/>
    <s v="In"/>
    <x v="0"/>
    <n v="0"/>
    <n v="0"/>
    <n v="0"/>
    <n v="1"/>
    <x v="2"/>
    <x v="44"/>
    <x v="0"/>
  </r>
  <r>
    <x v="89"/>
    <x v="0"/>
    <s v="031202004177"/>
    <s v="088689567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5"/>
    <x v="1"/>
  </r>
  <r>
    <x v="90"/>
    <x v="0"/>
    <s v="079202021638"/>
    <s v="089933744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5"/>
    <x v="1"/>
  </r>
  <r>
    <x v="91"/>
    <x v="0"/>
    <s v="079201003742"/>
    <s v="0896116155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6"/>
    <x v="1"/>
  </r>
  <r>
    <x v="92"/>
    <x v="0"/>
    <s v="031202010766"/>
    <s v="0981412159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6"/>
    <x v="1"/>
  </r>
  <r>
    <x v="93"/>
    <x v="0"/>
    <s v="064201004428"/>
    <s v="0337399029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7"/>
    <x v="1"/>
  </r>
  <r>
    <x v="94"/>
    <x v="0"/>
    <s v="048203001699"/>
    <s v="0905054228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47"/>
    <x v="1"/>
  </r>
  <r>
    <x v="95"/>
    <x v="0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x v="1"/>
    <n v="0"/>
    <n v="1"/>
    <n v="1"/>
    <n v="2"/>
    <x v="3"/>
    <x v="48"/>
    <x v="1"/>
  </r>
  <r>
    <x v="96"/>
    <x v="0"/>
    <s v="066200009584"/>
    <s v="076429052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49"/>
    <x v="1"/>
  </r>
  <r>
    <x v="97"/>
    <x v="0"/>
    <s v="079099034668"/>
    <s v="090665985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49"/>
    <x v="1"/>
  </r>
  <r>
    <x v="98"/>
    <x v="0"/>
    <s v="079090028751"/>
    <s v="0937308357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0"/>
    <x v="1"/>
  </r>
  <r>
    <x v="99"/>
    <x v="0"/>
    <s v="066096004066"/>
    <s v="0868415847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0"/>
    <x v="1"/>
  </r>
  <r>
    <x v="100"/>
    <x v="0"/>
    <s v="079090038513"/>
    <s v="035615421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1"/>
    <x v="1"/>
  </r>
  <r>
    <x v="101"/>
    <x v="0"/>
    <s v="080096010523"/>
    <s v="0966441600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1"/>
    <x v="1"/>
  </r>
  <r>
    <x v="102"/>
    <x v="0"/>
    <s v="056098000238"/>
    <s v="0392707949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2"/>
    <x v="1"/>
  </r>
  <r>
    <x v="103"/>
    <x v="0"/>
    <s v="079203011720"/>
    <s v="0938080935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2"/>
    <x v="1"/>
  </r>
  <r>
    <x v="104"/>
    <x v="0"/>
    <s v="048087005724"/>
    <s v="0968678149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3"/>
    <x v="1"/>
  </r>
  <r>
    <x v="105"/>
    <x v="0"/>
    <s v="051091012099"/>
    <s v="0902898110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3"/>
    <x v="1"/>
  </r>
  <r>
    <x v="106"/>
    <x v="0"/>
    <s v="086096004777"/>
    <s v="0705731919"/>
    <s v="No"/>
    <m/>
    <s v="I’ll take the company bus"/>
    <m/>
    <s v="Amaris Consulting"/>
    <s v="Consultants"/>
    <s v="NGUYEN Duc Quy"/>
    <s v="In"/>
    <x v="0"/>
    <n v="0"/>
    <n v="0"/>
    <n v="0"/>
    <n v="1"/>
    <x v="3"/>
    <x v="54"/>
    <x v="1"/>
  </r>
  <r>
    <x v="107"/>
    <x v="0"/>
    <s v="082093010991"/>
    <s v="0345864246"/>
    <s v="No"/>
    <m/>
    <s v="I’ll arrange my own transportation"/>
    <m/>
    <s v="Amaris Consulting"/>
    <s v="Consultants"/>
    <s v="TRAN Thi Ha My"/>
    <s v="In"/>
    <x v="0"/>
    <n v="0"/>
    <n v="0"/>
    <n v="0"/>
    <n v="1"/>
    <x v="4"/>
    <x v="54"/>
    <x v="1"/>
  </r>
  <r>
    <x v="108"/>
    <x v="0"/>
    <s v="37598"/>
    <s v="0385094422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5"/>
    <x v="1"/>
  </r>
  <r>
    <x v="109"/>
    <x v="0"/>
    <s v="068201006525"/>
    <s v="090872564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5"/>
    <x v="1"/>
  </r>
  <r>
    <x v="110"/>
    <x v="0"/>
    <s v="045091003975"/>
    <s v="0915004496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6"/>
    <x v="1"/>
  </r>
  <r>
    <x v="111"/>
    <x v="0"/>
    <s v="091095009127"/>
    <s v="0988438042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6"/>
    <x v="1"/>
  </r>
  <r>
    <x v="112"/>
    <x v="0"/>
    <s v="068087004573"/>
    <s v="0938112129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7"/>
    <x v="1"/>
  </r>
  <r>
    <x v="113"/>
    <x v="0"/>
    <s v="001203015512"/>
    <s v="0397810603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7"/>
    <x v="1"/>
  </r>
  <r>
    <x v="114"/>
    <x v="0"/>
    <s v="080201013658"/>
    <s v="0847827897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8"/>
    <x v="1"/>
  </r>
  <r>
    <x v="115"/>
    <x v="0"/>
    <s v="066098009860"/>
    <s v="+8437627523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8"/>
    <x v="1"/>
  </r>
  <r>
    <x v="116"/>
    <x v="0"/>
    <s v="079196001003"/>
    <s v="0931173302"/>
    <s v="No"/>
    <m/>
    <s v="I’ll take the company bus"/>
    <m/>
    <s v="Amaris Consulting"/>
    <s v="Consultants"/>
    <s v="NGUYEN Thi Minh Phuong"/>
    <s v="In"/>
    <x v="0"/>
    <n v="0"/>
    <n v="0"/>
    <n v="0"/>
    <n v="1"/>
    <x v="3"/>
    <x v="59"/>
    <x v="0"/>
  </r>
  <r>
    <x v="117"/>
    <x v="0"/>
    <s v="079197010801"/>
    <s v="0704954529"/>
    <s v="No"/>
    <m/>
    <s v="I’ll take the company bus"/>
    <m/>
    <s v="Amaris Consulting"/>
    <s v="Consultants"/>
    <s v="TRAN Thi Ha My"/>
    <s v="In"/>
    <x v="0"/>
    <n v="0"/>
    <n v="0"/>
    <n v="0"/>
    <n v="1"/>
    <x v="3"/>
    <x v="59"/>
    <x v="0"/>
  </r>
  <r>
    <x v="118"/>
    <x v="0"/>
    <s v="001196042675"/>
    <s v="+84 583 032 919"/>
    <s v="No"/>
    <m/>
    <s v="I’ll take the company bus"/>
    <s v="Team chị My"/>
    <s v="Amaris Consulting"/>
    <s v="Consultants"/>
    <s v="TRAN Thi Ha My"/>
    <s v="In"/>
    <x v="0"/>
    <n v="0"/>
    <n v="0"/>
    <n v="0"/>
    <n v="1"/>
    <x v="3"/>
    <x v="60"/>
    <x v="0"/>
  </r>
  <r>
    <x v="119"/>
    <x v="0"/>
    <s v="080196014207"/>
    <s v="+84348592628"/>
    <s v="No"/>
    <m/>
    <s v="I’ll take the company bus"/>
    <m/>
    <s v="Amaris Consulting"/>
    <s v="Consultants"/>
    <s v="TRAN Thi Ha My"/>
    <s v="In"/>
    <x v="0"/>
    <n v="0"/>
    <n v="0"/>
    <n v="0"/>
    <n v="1"/>
    <x v="3"/>
    <x v="60"/>
    <x v="0"/>
  </r>
  <r>
    <x v="120"/>
    <x v="0"/>
    <s v="079198003401"/>
    <s v="0397430707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1"/>
    <x v="0"/>
  </r>
  <r>
    <x v="121"/>
    <x v="0"/>
    <s v="079192033623"/>
    <s v="0903747427"/>
    <s v="No"/>
    <m/>
    <s v="I’ll take the company bus"/>
    <s v="Dị ứng Hải sản, phô mai, sữa "/>
    <s v="Amaris Consulting"/>
    <s v="Consultants"/>
    <s v="NGUYEN Thai Ly"/>
    <s v="In"/>
    <x v="0"/>
    <n v="0"/>
    <n v="0"/>
    <n v="0"/>
    <n v="1"/>
    <x v="5"/>
    <x v="61"/>
    <x v="0"/>
  </r>
  <r>
    <x v="122"/>
    <x v="0"/>
    <s v="079094014846"/>
    <s v="0338330044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2"/>
    <x v="1"/>
  </r>
  <r>
    <x v="123"/>
    <x v="0"/>
    <s v="045099007148"/>
    <s v="0335533732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2"/>
    <x v="1"/>
  </r>
  <r>
    <x v="124"/>
    <x v="0"/>
    <s v="075096010782"/>
    <s v="0985788540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3"/>
    <x v="1"/>
  </r>
  <r>
    <x v="125"/>
    <x v="0"/>
    <s v="001201015108"/>
    <s v="0328005399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3"/>
    <x v="1"/>
  </r>
  <r>
    <x v="126"/>
    <x v="0"/>
    <s v="079201007186"/>
    <s v="0919990145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4"/>
    <x v="1"/>
  </r>
  <r>
    <x v="127"/>
    <x v="0"/>
    <s v="079085028522"/>
    <s v="0909988822"/>
    <s v="No"/>
    <m/>
    <s v="I’ll take the company bus"/>
    <m/>
    <s v="Amaris Consulting"/>
    <s v="Consultants"/>
    <s v="NGUYEN Thai Ly"/>
    <s v="In"/>
    <x v="0"/>
    <n v="0"/>
    <n v="0"/>
    <n v="0"/>
    <n v="1"/>
    <x v="5"/>
    <x v="64"/>
    <x v="1"/>
  </r>
  <r>
    <x v="128"/>
    <x v="0"/>
    <s v="086203010658"/>
    <s v="0799549878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5"/>
    <x v="1"/>
  </r>
  <r>
    <x v="129"/>
    <x v="0"/>
    <s v="052201013763"/>
    <s v="0398324011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5"/>
    <x v="1"/>
  </r>
  <r>
    <x v="130"/>
    <x v="0"/>
    <s v="079202006608"/>
    <s v="0983941396"/>
    <s v="No"/>
    <m/>
    <s v="I’ll take the company bus"/>
    <m/>
    <s v="Amaris Consulting"/>
    <s v="Consultants"/>
    <s v="LA Thuy My Hao"/>
    <s v="In"/>
    <x v="0"/>
    <n v="0"/>
    <n v="0"/>
    <n v="0"/>
    <n v="1"/>
    <x v="5"/>
    <x v="66"/>
    <x v="1"/>
  </r>
  <r>
    <x v="131"/>
    <x v="0"/>
    <s v="066200002973"/>
    <s v="0769781003"/>
    <s v="No"/>
    <m/>
    <s v="I’ll take the company bus"/>
    <s v="I have a mild seafood allergy"/>
    <s v="Amaris Consulting"/>
    <s v="Consultants"/>
    <s v="LA Thuy My Hao"/>
    <s v="In"/>
    <x v="0"/>
    <n v="0"/>
    <n v="0"/>
    <n v="0"/>
    <n v="1"/>
    <x v="5"/>
    <x v="66"/>
    <x v="1"/>
  </r>
  <r>
    <x v="132"/>
    <x v="0"/>
    <s v="079093005091"/>
    <s v="0906793262"/>
    <s v="No"/>
    <m/>
    <s v="I’ll take the company bus"/>
    <m/>
    <s v="Amaris Consulting"/>
    <s v="Managers"/>
    <s v="VU Thanh Hang"/>
    <s v="In"/>
    <x v="0"/>
    <n v="0"/>
    <n v="0"/>
    <n v="0"/>
    <n v="1"/>
    <x v="3"/>
    <x v="67"/>
    <x v="1"/>
  </r>
  <r>
    <x v="133"/>
    <x v="0"/>
    <s v="048195006450"/>
    <s v="0943149780"/>
    <s v="No"/>
    <m/>
    <s v="I’ll take the company bus"/>
    <m/>
    <s v="Amaris Consulting"/>
    <s v="Managers"/>
    <s v="VU Thanh Hang"/>
    <s v="In"/>
    <x v="0"/>
    <n v="0"/>
    <n v="0"/>
    <n v="0"/>
    <n v="1"/>
    <x v="5"/>
    <x v="67"/>
    <x v="0"/>
  </r>
  <r>
    <x v="134"/>
    <x v="0"/>
    <s v="082196012509"/>
    <s v="0793830996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8"/>
    <x v="0"/>
  </r>
  <r>
    <x v="135"/>
    <x v="0"/>
    <s v="096197008684"/>
    <s v="0971732462"/>
    <s v="No"/>
    <m/>
    <s v="I’ll take the company bus"/>
    <m/>
    <s v="Amaris Consulting"/>
    <s v="Consultants"/>
    <s v="TRAN Thi Ha My"/>
    <s v="In"/>
    <x v="0"/>
    <n v="0"/>
    <n v="0"/>
    <n v="0"/>
    <n v="1"/>
    <x v="5"/>
    <x v="68"/>
    <x v="0"/>
  </r>
  <r>
    <x v="136"/>
    <x v="0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x v="1"/>
    <n v="0"/>
    <n v="1"/>
    <n v="1"/>
    <n v="2"/>
    <x v="3"/>
    <x v="69"/>
    <x v="1"/>
  </r>
  <r>
    <x v="137"/>
    <x v="0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x v="1"/>
    <n v="0"/>
    <n v="1"/>
    <n v="1"/>
    <n v="2"/>
    <x v="2"/>
    <x v="70"/>
    <x v="1"/>
  </r>
  <r>
    <x v="138"/>
    <x v="0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x v="1"/>
    <n v="0"/>
    <n v="1"/>
    <n v="1"/>
    <n v="2"/>
    <x v="2"/>
    <x v="71"/>
    <x v="1"/>
  </r>
  <r>
    <x v="139"/>
    <x v="0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x v="1"/>
    <n v="1"/>
    <n v="1"/>
    <n v="2"/>
    <n v="3"/>
    <x v="0"/>
    <x v="72"/>
    <x v="1"/>
  </r>
  <r>
    <x v="140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x v="1"/>
    <n v="2"/>
    <n v="1"/>
    <n v="3"/>
    <n v="4"/>
    <x v="2"/>
    <x v="73"/>
    <x v="1"/>
  </r>
  <r>
    <x v="141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x v="1"/>
    <n v="2"/>
    <n v="1"/>
    <n v="3"/>
    <n v="4"/>
    <x v="2"/>
    <x v="74"/>
    <x v="1"/>
  </r>
  <r>
    <x v="142"/>
    <x v="0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x v="1"/>
    <n v="1"/>
    <n v="1"/>
    <n v="2"/>
    <n v="3"/>
    <x v="2"/>
    <x v="75"/>
    <x v="1"/>
  </r>
  <r>
    <x v="143"/>
    <x v="0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x v="1"/>
    <n v="0"/>
    <n v="1"/>
    <n v="1"/>
    <n v="2"/>
    <x v="4"/>
    <x v="76"/>
    <x v="1"/>
  </r>
  <r>
    <x v="144"/>
    <x v="0"/>
    <s v="079204009259"/>
    <s v="0834132707"/>
    <s v="No"/>
    <m/>
    <s v="I’ll arrange my own transportation"/>
    <m/>
    <s v="Amaris Consulting"/>
    <s v="Consultants"/>
    <s v="HOANG Thien"/>
    <s v="In"/>
    <x v="0"/>
    <n v="0"/>
    <n v="0"/>
    <n v="0"/>
    <n v="1"/>
    <x v="4"/>
    <x v="77"/>
    <x v="1"/>
  </r>
  <r>
    <x v="145"/>
    <x v="0"/>
    <s v="079200004309"/>
    <s v="0963357143"/>
    <s v="No"/>
    <m/>
    <s v="I’ll arrange my own transportation"/>
    <m/>
    <s v="Amaris Consulting"/>
    <s v="Consultants"/>
    <s v="LA Thuy My Hao"/>
    <s v="In"/>
    <x v="0"/>
    <n v="0"/>
    <n v="0"/>
    <n v="0"/>
    <n v="1"/>
    <x v="4"/>
    <x v="77"/>
    <x v="1"/>
  </r>
  <r>
    <x v="146"/>
    <x v="0"/>
    <s v="048097003639"/>
    <s v="0799010869"/>
    <s v="No"/>
    <m/>
    <s v="I’ll take the company bus"/>
    <m/>
    <s v="Amaris Consulting"/>
    <s v="Consultants"/>
    <s v="TRAN Thi Ha My"/>
    <s v="In"/>
    <x v="0"/>
    <n v="0"/>
    <n v="0"/>
    <n v="0"/>
    <n v="1"/>
    <x v="5"/>
    <x v="78"/>
    <x v="1"/>
  </r>
  <r>
    <x v="147"/>
    <x v="0"/>
    <s v="067094005805"/>
    <s v="0976551265"/>
    <s v="No"/>
    <m/>
    <s v="I’ll take the company bus"/>
    <m/>
    <s v="Amaris Consulting"/>
    <s v="Consultants"/>
    <s v="TRAN Thi Ha My"/>
    <s v="In"/>
    <x v="0"/>
    <n v="0"/>
    <n v="0"/>
    <n v="0"/>
    <n v="1"/>
    <x v="5"/>
    <x v="78"/>
    <x v="1"/>
  </r>
  <r>
    <x v="148"/>
    <x v="0"/>
    <s v="075203000646"/>
    <s v="0986245303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79"/>
    <x v="1"/>
  </r>
  <r>
    <x v="149"/>
    <x v="0"/>
    <s v="079201011530"/>
    <s v="0965654937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79"/>
    <x v="1"/>
  </r>
  <r>
    <x v="150"/>
    <x v="0"/>
    <s v="079203008685"/>
    <s v="0776932589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80"/>
    <x v="1"/>
  </r>
  <r>
    <x v="151"/>
    <x v="0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x v="0"/>
    <n v="0"/>
    <n v="0"/>
    <n v="0"/>
    <n v="1"/>
    <x v="5"/>
    <x v="80"/>
    <x v="1"/>
  </r>
  <r>
    <x v="152"/>
    <x v="0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x v="0"/>
    <n v="0"/>
    <n v="0"/>
    <n v="0"/>
    <n v="1"/>
    <x v="5"/>
    <x v="81"/>
    <x v="0"/>
  </r>
  <r>
    <x v="153"/>
    <x v="0"/>
    <s v="077199007614"/>
    <s v="0778819618"/>
    <s v="No"/>
    <m/>
    <s v="I’ll take the company bus"/>
    <m/>
    <s v="Human Resources"/>
    <s v="People Operations"/>
    <s v="NGUYEN Thuc Hao"/>
    <s v="In"/>
    <x v="0"/>
    <n v="0"/>
    <n v="0"/>
    <n v="0"/>
    <n v="1"/>
    <x v="5"/>
    <x v="81"/>
    <x v="0"/>
  </r>
  <r>
    <x v="154"/>
    <x v="0"/>
    <s v="077302000543"/>
    <s v="0931231740"/>
    <s v="No"/>
    <m/>
    <s v="I’ll take the company bus"/>
    <m/>
    <s v="Human Resources"/>
    <s v="Compensation &amp; Benefits"/>
    <s v="CAP Kim Hoang"/>
    <s v="In"/>
    <x v="0"/>
    <n v="0"/>
    <n v="0"/>
    <n v="0"/>
    <n v="1"/>
    <x v="5"/>
    <x v="82"/>
    <x v="0"/>
  </r>
  <r>
    <x v="155"/>
    <x v="0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x v="0"/>
    <n v="0"/>
    <n v="0"/>
    <n v="0"/>
    <n v="1"/>
    <x v="5"/>
    <x v="82"/>
    <x v="0"/>
  </r>
  <r>
    <x v="156"/>
    <x v="0"/>
    <s v="064301004400"/>
    <s v="0961910015"/>
    <s v="No"/>
    <m/>
    <s v="I’ll take the company bus"/>
    <m/>
    <s v="Human Resources"/>
    <s v="People Analytics"/>
    <s v="NGUYEN Thai Bao"/>
    <s v="In"/>
    <x v="0"/>
    <n v="0"/>
    <n v="0"/>
    <n v="0"/>
    <n v="1"/>
    <x v="5"/>
    <x v="83"/>
    <x v="0"/>
  </r>
  <r>
    <x v="157"/>
    <x v="0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x v="0"/>
    <n v="0"/>
    <n v="0"/>
    <n v="0"/>
    <n v="1"/>
    <x v="5"/>
    <x v="83"/>
    <x v="0"/>
  </r>
  <r>
    <x v="158"/>
    <x v="0"/>
    <s v="079197003545"/>
    <s v="0901936418"/>
    <s v="No"/>
    <m/>
    <s v="I’ll take the company bus"/>
    <m/>
    <s v="Amaris Consulting"/>
    <s v="Managers"/>
    <s v="NGUYEN Thai Ly"/>
    <s v="In"/>
    <x v="0"/>
    <n v="0"/>
    <n v="0"/>
    <n v="0"/>
    <n v="1"/>
    <x v="0"/>
    <x v="84"/>
    <x v="0"/>
  </r>
  <r>
    <x v="159"/>
    <x v="0"/>
    <s v="079197023976"/>
    <s v="0909324150"/>
    <s v="No"/>
    <m/>
    <s v="I’ll take the company bus"/>
    <m/>
    <s v="Amaris Consulting"/>
    <s v="Managers"/>
    <s v="NGUYEN Thai Ly"/>
    <s v="In"/>
    <x v="0"/>
    <n v="0"/>
    <n v="0"/>
    <n v="0"/>
    <n v="1"/>
    <x v="0"/>
    <x v="84"/>
    <x v="0"/>
  </r>
  <r>
    <x v="160"/>
    <x v="0"/>
    <s v="001188049157"/>
    <s v="0901401929"/>
    <s v="No"/>
    <m/>
    <s v="I’ll take the company bus"/>
    <m/>
    <s v="Amaris Consulting"/>
    <s v="Directors"/>
    <s v="THEVELIN Chloe"/>
    <s v="In"/>
    <x v="0"/>
    <n v="0"/>
    <n v="0"/>
    <n v="0"/>
    <n v="1"/>
    <x v="0"/>
    <x v="85"/>
    <x v="0"/>
  </r>
  <r>
    <x v="161"/>
    <x v="0"/>
    <s v="049192000750"/>
    <s v="0983068421"/>
    <s v="No"/>
    <m/>
    <s v="I’ll take the company bus"/>
    <m/>
    <s v="Amaris Consulting"/>
    <s v="Delivery"/>
    <s v="VU Thanh Hang"/>
    <s v="In"/>
    <x v="0"/>
    <n v="0"/>
    <n v="0"/>
    <n v="0"/>
    <n v="1"/>
    <x v="2"/>
    <x v="85"/>
    <x v="0"/>
  </r>
  <r>
    <x v="162"/>
    <x v="0"/>
    <s v="087190011453"/>
    <s v="0375225989"/>
    <s v="No"/>
    <m/>
    <s v="I’ll take the company bus"/>
    <m/>
    <s v="Amaris Consulting"/>
    <s v="Delivery"/>
    <s v="NGUYEN The Trinh"/>
    <s v="In"/>
    <x v="0"/>
    <n v="0"/>
    <n v="0"/>
    <n v="0"/>
    <n v="1"/>
    <x v="1"/>
    <x v="86"/>
    <x v="0"/>
  </r>
  <r>
    <x v="163"/>
    <x v="0"/>
    <s v="040195009694"/>
    <s v="0966272279"/>
    <s v="No"/>
    <m/>
    <s v="I’ll take the company bus"/>
    <m/>
    <s v="Amaris Consulting"/>
    <s v="Delivery"/>
    <s v="NGUYEN The Trinh"/>
    <s v="In"/>
    <x v="0"/>
    <n v="0"/>
    <n v="0"/>
    <n v="0"/>
    <n v="1"/>
    <x v="2"/>
    <x v="86"/>
    <x v="0"/>
  </r>
  <r>
    <x v="164"/>
    <x v="0"/>
    <s v="008193007229"/>
    <s v="0559852579"/>
    <s v="No"/>
    <m/>
    <s v="I’ll take the company bus"/>
    <m/>
    <n v="76777"/>
    <s v="Managers"/>
    <s v="NGUYEN Duc Quy"/>
    <s v="In"/>
    <x v="0"/>
    <n v="0"/>
    <n v="0"/>
    <n v="0"/>
    <n v="1"/>
    <x v="3"/>
    <x v="87"/>
    <x v="0"/>
  </r>
  <r>
    <x v="165"/>
    <x v="0"/>
    <s v="031198014430"/>
    <s v="0901857690"/>
    <s v="No"/>
    <m/>
    <s v="I’ll take the company bus"/>
    <m/>
    <s v="Amaris Consulting"/>
    <s v="Managers"/>
    <s v="NGUYEN Duc Quy"/>
    <s v="In"/>
    <x v="0"/>
    <n v="0"/>
    <n v="0"/>
    <n v="0"/>
    <n v="1"/>
    <x v="5"/>
    <x v="87"/>
    <x v="0"/>
  </r>
  <r>
    <x v="166"/>
    <x v="0"/>
    <s v="079300041083"/>
    <s v="0778605436"/>
    <s v="No"/>
    <m/>
    <s v="I’ll take the company bus"/>
    <m/>
    <s v="Amaris Consulting"/>
    <s v="Consultants"/>
    <s v="HUYNH Minh Khoi"/>
    <s v="In"/>
    <x v="0"/>
    <n v="0"/>
    <n v="0"/>
    <n v="0"/>
    <n v="1"/>
    <x v="3"/>
    <x v="88"/>
    <x v="0"/>
  </r>
  <r>
    <x v="167"/>
    <x v="0"/>
    <s v="049303014137"/>
    <s v="+84868772661"/>
    <s v="No"/>
    <m/>
    <s v="I’ll take the company bus"/>
    <m/>
    <s v="Amaris Consulting"/>
    <s v="Consulting Talent Acquisition"/>
    <s v="PHAM Thai An"/>
    <s v="In"/>
    <x v="0"/>
    <n v="0"/>
    <n v="0"/>
    <n v="0"/>
    <n v="1"/>
    <x v="6"/>
    <x v="88"/>
    <x v="0"/>
  </r>
  <r>
    <x v="168"/>
    <x v="0"/>
    <s v="077097008033"/>
    <s v="0979040971"/>
    <s v="No"/>
    <m/>
    <s v="I’ll take the company bus"/>
    <m/>
    <s v="Amaris Consulting"/>
    <s v="Managers"/>
    <s v="NGUYEN Thai Ly"/>
    <s v="In"/>
    <x v="0"/>
    <n v="0"/>
    <n v="0"/>
    <n v="0"/>
    <n v="1"/>
    <x v="0"/>
    <x v="89"/>
    <x v="1"/>
  </r>
  <r>
    <x v="169"/>
    <x v="0"/>
    <s v="079076006834"/>
    <s v="0913676060"/>
    <s v="No"/>
    <m/>
    <s v="I’ll take the company bus"/>
    <m/>
    <s v="Amaris Consulting"/>
    <s v="Delivery"/>
    <s v="GALLOT Brice"/>
    <s v="In"/>
    <x v="0"/>
    <n v="0"/>
    <n v="0"/>
    <n v="0"/>
    <n v="1"/>
    <x v="6"/>
    <x v="89"/>
    <x v="1"/>
  </r>
  <r>
    <x v="170"/>
    <x v="0"/>
    <s v="079093042207"/>
    <s v="0937756145"/>
    <s v="No"/>
    <m/>
    <s v="I’ll arrange my own transportation"/>
    <m/>
    <s v="Information Technology"/>
    <s v="System &amp; Network"/>
    <s v="SIOUDI Mohamed Amine"/>
    <s v="In"/>
    <x v="0"/>
    <n v="0"/>
    <n v="0"/>
    <n v="0"/>
    <n v="1"/>
    <x v="4"/>
    <x v="90"/>
    <x v="1"/>
  </r>
  <r>
    <x v="171"/>
    <x v="0"/>
    <s v="079091022899"/>
    <s v="0987646085"/>
    <s v="No"/>
    <m/>
    <s v="I’ll arrange my own transportation"/>
    <m/>
    <s v="Information Technology"/>
    <s v="Help Desk"/>
    <s v="MATEI Aurel-George"/>
    <s v="In"/>
    <x v="0"/>
    <n v="0"/>
    <n v="0"/>
    <n v="0"/>
    <n v="1"/>
    <x v="4"/>
    <x v="90"/>
    <x v="1"/>
  </r>
  <r>
    <x v="172"/>
    <x v="0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x v="1"/>
    <n v="1"/>
    <n v="1"/>
    <n v="2"/>
    <n v="3"/>
    <x v="4"/>
    <x v="91"/>
    <x v="1"/>
  </r>
  <r>
    <x v="173"/>
    <x v="0"/>
    <s v="079302023454"/>
    <s v="0902912836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x v="7"/>
    <x v="92"/>
    <x v="0"/>
  </r>
  <r>
    <x v="174"/>
    <x v="0"/>
    <s v="095304000809"/>
    <s v="094121925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92"/>
    <x v="0"/>
  </r>
  <r>
    <x v="175"/>
    <x v="0"/>
    <s v="095190000250"/>
    <s v="0934831283"/>
    <s v="No"/>
    <m/>
    <s v="I’ll take the company bus"/>
    <m/>
    <s v="Real Estate and Support Services"/>
    <s v="Office Facillity Management"/>
    <s v="NGUYEN The Trinh"/>
    <s v="In"/>
    <x v="0"/>
    <n v="0"/>
    <n v="0"/>
    <n v="0"/>
    <n v="1"/>
    <x v="7"/>
    <x v="93"/>
    <x v="0"/>
  </r>
  <r>
    <x v="176"/>
    <x v="0"/>
    <s v="066304003315"/>
    <s v="0345814997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x v="7"/>
    <x v="93"/>
    <x v="0"/>
  </r>
  <r>
    <x v="177"/>
    <x v="0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x v="0"/>
    <n v="0"/>
    <n v="0"/>
    <n v="0"/>
    <n v="1"/>
    <x v="7"/>
    <x v="94"/>
    <x v="0"/>
  </r>
  <r>
    <x v="178"/>
    <x v="0"/>
    <s v="048198002437"/>
    <s v="0335767961"/>
    <s v="No"/>
    <m/>
    <s v="I’ll take the company bus"/>
    <m/>
    <s v="Administrative &amp; Finance"/>
    <s v="Operational Finance"/>
    <s v="DUTERTRE Geoffrey"/>
    <s v="In"/>
    <x v="0"/>
    <n v="0"/>
    <n v="0"/>
    <n v="0"/>
    <n v="1"/>
    <x v="7"/>
    <x v="94"/>
    <x v="0"/>
  </r>
  <r>
    <x v="179"/>
    <x v="0"/>
    <s v="066304009657"/>
    <s v="0917810796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5"/>
    <x v="0"/>
  </r>
  <r>
    <x v="180"/>
    <x v="0"/>
    <s v="077304002316"/>
    <s v="0971917272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5"/>
    <x v="0"/>
  </r>
  <r>
    <x v="181"/>
    <x v="0"/>
    <s v="079304008486"/>
    <s v="0933557924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6"/>
    <x v="0"/>
  </r>
  <r>
    <x v="182"/>
    <x v="0"/>
    <s v="077304005352"/>
    <s v="0917827457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x v="7"/>
    <x v="96"/>
    <x v="0"/>
  </r>
  <r>
    <x v="183"/>
    <x v="0"/>
    <s v="079302030108"/>
    <s v="0868120502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97"/>
    <x v="0"/>
  </r>
  <r>
    <x v="184"/>
    <x v="0"/>
    <s v="034300013120"/>
    <s v="0986555347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97"/>
    <x v="0"/>
  </r>
  <r>
    <x v="185"/>
    <x v="0"/>
    <s v="051198007784"/>
    <s v="0356703207"/>
    <s v="No"/>
    <m/>
    <s v="I’ll take the company bus"/>
    <m/>
    <s v="Administrative &amp; Finance"/>
    <s v="Financial Business Controlling"/>
    <s v="ALSHABANI Anas"/>
    <s v="In"/>
    <x v="0"/>
    <n v="0"/>
    <n v="0"/>
    <n v="0"/>
    <n v="1"/>
    <x v="7"/>
    <x v="98"/>
    <x v="0"/>
  </r>
  <r>
    <x v="186"/>
    <x v="0"/>
    <s v="079195029833"/>
    <s v="0765217394"/>
    <s v="No"/>
    <m/>
    <s v="I’ll take the company bus"/>
    <m/>
    <s v="Administrative &amp; Finance"/>
    <s v="Group Accounting"/>
    <s v="PHAM Hoang Phuc"/>
    <s v="In"/>
    <x v="0"/>
    <n v="0"/>
    <n v="0"/>
    <n v="0"/>
    <n v="1"/>
    <x v="7"/>
    <x v="98"/>
    <x v="0"/>
  </r>
  <r>
    <x v="187"/>
    <x v="0"/>
    <s v="045302005235"/>
    <s v="0824988225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x v="7"/>
    <x v="99"/>
    <x v="0"/>
  </r>
  <r>
    <x v="188"/>
    <x v="0"/>
    <s v="066303001193"/>
    <s v="097199302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99"/>
    <x v="0"/>
  </r>
  <r>
    <x v="189"/>
    <x v="0"/>
    <s v="079303023390"/>
    <s v="0828740008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x v="7"/>
    <x v="100"/>
    <x v="0"/>
  </r>
  <r>
    <x v="190"/>
    <x v="0"/>
    <s v="052303001134"/>
    <s v="0394301209"/>
    <s v="No"/>
    <m/>
    <s v="I’ll take the company bus"/>
    <m/>
    <s v="Administrative &amp; Finance"/>
    <s v="Financial Business Controlling"/>
    <s v="VO Xuan Hung"/>
    <s v="In"/>
    <x v="0"/>
    <n v="0"/>
    <n v="0"/>
    <n v="0"/>
    <n v="1"/>
    <x v="7"/>
    <x v="100"/>
    <x v="0"/>
  </r>
  <r>
    <x v="191"/>
    <x v="0"/>
    <s v="031303000776"/>
    <s v="0393991003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x v="7"/>
    <x v="101"/>
    <x v="0"/>
  </r>
  <r>
    <x v="192"/>
    <x v="0"/>
    <s v="060303007588"/>
    <s v="0835255477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x v="7"/>
    <x v="101"/>
    <x v="0"/>
  </r>
  <r>
    <x v="193"/>
    <x v="0"/>
    <s v="077198000661"/>
    <s v="0933655795"/>
    <s v="No"/>
    <m/>
    <s v="I’ll take the company bus"/>
    <m/>
    <s v="Administrative &amp; Finance"/>
    <s v="Financial Business Controlling"/>
    <s v="CHECROUN Juliette"/>
    <s v="In"/>
    <x v="0"/>
    <n v="0"/>
    <n v="0"/>
    <n v="0"/>
    <n v="1"/>
    <x v="7"/>
    <x v="102"/>
    <x v="0"/>
  </r>
  <r>
    <x v="194"/>
    <x v="0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x v="0"/>
    <n v="0"/>
    <n v="0"/>
    <n v="0"/>
    <n v="1"/>
    <x v="7"/>
    <x v="102"/>
    <x v="0"/>
  </r>
  <r>
    <x v="195"/>
    <x v="0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x v="1"/>
    <n v="0"/>
    <n v="1"/>
    <n v="1"/>
    <n v="2"/>
    <x v="7"/>
    <x v="103"/>
    <x v="0"/>
  </r>
  <r>
    <x v="196"/>
    <x v="0"/>
    <s v="060099008043"/>
    <s v="0933726329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x v="7"/>
    <x v="104"/>
    <x v="1"/>
  </r>
  <r>
    <x v="197"/>
    <x v="0"/>
    <s v="070093006594"/>
    <s v="0909321830"/>
    <s v="No"/>
    <m/>
    <s v="I’ll take the company bus"/>
    <m/>
    <s v="Administrative &amp; Finance"/>
    <s v="Finance Operations"/>
    <s v="SEMERADT Corinne"/>
    <s v="In"/>
    <x v="0"/>
    <n v="0"/>
    <n v="0"/>
    <n v="0"/>
    <n v="1"/>
    <x v="7"/>
    <x v="104"/>
    <x v="1"/>
  </r>
  <r>
    <x v="198"/>
    <x v="0"/>
    <s v="077097003655"/>
    <s v="0355327017"/>
    <s v="No"/>
    <m/>
    <s v="I’ll take the company bus"/>
    <m/>
    <s v="Administrative &amp; Finance"/>
    <s v="Group &amp; Corporate Controlling"/>
    <s v="CATEL Agnès"/>
    <s v="In"/>
    <x v="0"/>
    <n v="0"/>
    <n v="0"/>
    <n v="0"/>
    <n v="1"/>
    <x v="7"/>
    <x v="105"/>
    <x v="1"/>
  </r>
  <r>
    <x v="199"/>
    <x v="0"/>
    <s v="079096020132"/>
    <s v="0917923778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x v="7"/>
    <x v="105"/>
    <x v="1"/>
  </r>
  <r>
    <x v="200"/>
    <x v="0"/>
    <s v="079086003000"/>
    <s v="0903177922"/>
    <s v="No"/>
    <m/>
    <s v="I’ll take the company bus"/>
    <m/>
    <s v="Administrative &amp; Finance"/>
    <s v="Finance Operations"/>
    <s v="DE LACOMBE Romain"/>
    <s v="In"/>
    <x v="0"/>
    <n v="0"/>
    <n v="0"/>
    <n v="0"/>
    <n v="1"/>
    <x v="7"/>
    <x v="106"/>
    <x v="1"/>
  </r>
  <r>
    <x v="201"/>
    <x v="0"/>
    <s v="074092001617"/>
    <s v="0944234096"/>
    <s v="No"/>
    <m/>
    <s v="I’ll take the company bus"/>
    <m/>
    <s v="Administrative &amp; Finance"/>
    <s v="Finance Operations"/>
    <s v="XIA Shuang"/>
    <s v="In"/>
    <x v="0"/>
    <n v="0"/>
    <n v="0"/>
    <n v="0"/>
    <n v="1"/>
    <x v="7"/>
    <x v="106"/>
    <x v="1"/>
  </r>
  <r>
    <x v="202"/>
    <x v="0"/>
    <s v="054204000568"/>
    <s v="0377887851"/>
    <s v="No"/>
    <m/>
    <s v="I’ll take the company bus"/>
    <s v="No spicy"/>
    <s v="Administrative &amp; Finance"/>
    <s v="Financial Business Controlling"/>
    <s v="BUI Quang Hung"/>
    <s v="In"/>
    <x v="0"/>
    <n v="0"/>
    <n v="0"/>
    <n v="0"/>
    <n v="1"/>
    <x v="7"/>
    <x v="107"/>
    <x v="1"/>
  </r>
  <r>
    <x v="203"/>
    <x v="0"/>
    <s v="'079202030875"/>
    <s v="'0902788713"/>
    <s v="No"/>
    <m/>
    <s v="I’ll take the company bus"/>
    <m/>
    <s v="Administrative &amp; Finance"/>
    <s v="Financial Business Controlling"/>
    <s v="BUI Thi Ngoc Minh"/>
    <s v="In"/>
    <x v="0"/>
    <n v="0"/>
    <n v="0"/>
    <n v="0"/>
    <n v="1"/>
    <x v="7"/>
    <x v="107"/>
    <x v="1"/>
  </r>
  <r>
    <x v="204"/>
    <x v="0"/>
    <s v="25HD56242"/>
    <s v="0902411648"/>
    <s v="No"/>
    <m/>
    <s v="I’ll take the company bus"/>
    <m/>
    <s v="Administrative &amp; Finance"/>
    <s v="Operational Finance"/>
    <s v="DE LACOMBE Romain"/>
    <s v="In"/>
    <x v="0"/>
    <n v="0"/>
    <n v="0"/>
    <n v="0"/>
    <n v="1"/>
    <x v="7"/>
    <x v="108"/>
    <x v="1"/>
  </r>
  <r>
    <x v="205"/>
    <x v="0"/>
    <s v="22IK50629"/>
    <s v="0902612360"/>
    <s v="No"/>
    <m/>
    <s v="I’ll take the company bus"/>
    <m/>
    <s v="Amaris Consulting"/>
    <s v="Presales"/>
    <s v="JOLLIOT Marie-Benoîte"/>
    <s v="In"/>
    <x v="0"/>
    <n v="0"/>
    <n v="0"/>
    <n v="0"/>
    <n v="1"/>
    <x v="6"/>
    <x v="108"/>
    <x v="1"/>
  </r>
  <r>
    <x v="206"/>
    <x v="0"/>
    <s v="079202015216"/>
    <s v="0812900824"/>
    <s v="No"/>
    <m/>
    <s v="I’ll take the company bus"/>
    <m/>
    <s v="Information Technology"/>
    <s v="Product Management"/>
    <s v="LIM Chee Kiat"/>
    <s v="In"/>
    <x v="0"/>
    <n v="0"/>
    <n v="0"/>
    <n v="0"/>
    <n v="1"/>
    <x v="6"/>
    <x v="109"/>
    <x v="1"/>
  </r>
  <r>
    <x v="207"/>
    <x v="0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x v="0"/>
    <n v="0"/>
    <n v="0"/>
    <n v="0"/>
    <n v="1"/>
    <x v="6"/>
    <x v="109"/>
    <x v="1"/>
  </r>
  <r>
    <x v="208"/>
    <x v="0"/>
    <s v="079097016581"/>
    <s v="0942229030"/>
    <s v="No"/>
    <m/>
    <s v="I’ll take the company bus"/>
    <m/>
    <s v="Information Technology"/>
    <s v="Product Management"/>
    <s v="DUQUESNAY Guillaume"/>
    <s v="In"/>
    <x v="0"/>
    <n v="0"/>
    <n v="0"/>
    <n v="0"/>
    <n v="1"/>
    <x v="6"/>
    <x v="110"/>
    <x v="1"/>
  </r>
  <r>
    <x v="209"/>
    <x v="0"/>
    <s v="17EH77400"/>
    <s v="+33679194344"/>
    <s v="No"/>
    <m/>
    <s v="I’ll take the company bus"/>
    <m/>
    <s v="Information Technology"/>
    <s v="Product Management"/>
    <s v="LIM Chee Kiat"/>
    <s v="In"/>
    <x v="0"/>
    <n v="0"/>
    <n v="0"/>
    <n v="0"/>
    <n v="1"/>
    <x v="6"/>
    <x v="110"/>
    <x v="1"/>
  </r>
  <r>
    <x v="210"/>
    <x v="0"/>
    <s v="051202007260"/>
    <s v="0943527674"/>
    <s v="No"/>
    <m/>
    <s v="I’ll take the company bus"/>
    <m/>
    <s v="Information Technology"/>
    <s v="Telephony"/>
    <s v="MAI Tan Ha"/>
    <s v="In"/>
    <x v="0"/>
    <n v="0"/>
    <n v="0"/>
    <n v="0"/>
    <n v="1"/>
    <x v="6"/>
    <x v="111"/>
    <x v="1"/>
  </r>
  <r>
    <x v="211"/>
    <x v="0"/>
    <s v="075200000345"/>
    <s v="0339526385"/>
    <s v="No"/>
    <m/>
    <s v="I’ll take the company bus"/>
    <m/>
    <s v="Information Technology"/>
    <s v="System &amp; Network"/>
    <s v="SIOUDI Mohamed Amine"/>
    <s v="In"/>
    <x v="0"/>
    <n v="0"/>
    <n v="0"/>
    <n v="0"/>
    <n v="1"/>
    <x v="6"/>
    <x v="111"/>
    <x v="1"/>
  </r>
  <r>
    <x v="212"/>
    <x v="0"/>
    <s v="079203005175"/>
    <s v="0968412361"/>
    <s v="No"/>
    <m/>
    <s v="I’ll take the company bus"/>
    <m/>
    <s v="Information Technology"/>
    <s v="Help Desk"/>
    <s v="NGO Ngoc Nam"/>
    <s v="In"/>
    <x v="0"/>
    <n v="0"/>
    <n v="0"/>
    <n v="0"/>
    <n v="1"/>
    <x v="6"/>
    <x v="112"/>
    <x v="1"/>
  </r>
  <r>
    <x v="213"/>
    <x v="0"/>
    <s v="074093002317"/>
    <s v="0906 406 613 "/>
    <s v="No"/>
    <m/>
    <s v="I’ll take the company bus"/>
    <m/>
    <s v="Information Technology"/>
    <s v="Help Desk"/>
    <s v="NGO Ngoc Nam"/>
    <s v="In"/>
    <x v="0"/>
    <n v="0"/>
    <n v="0"/>
    <n v="0"/>
    <n v="1"/>
    <x v="6"/>
    <x v="112"/>
    <x v="1"/>
  </r>
  <r>
    <x v="214"/>
    <x v="0"/>
    <s v="056079000075"/>
    <s v="0974674081"/>
    <s v="No"/>
    <m/>
    <s v="I’ll take the company bus"/>
    <m/>
    <s v="Amaris Consulting"/>
    <s v="Delivery"/>
    <s v="NGUYEN Trung Hieu"/>
    <s v="In"/>
    <x v="0"/>
    <n v="0"/>
    <n v="0"/>
    <n v="0"/>
    <n v="1"/>
    <x v="6"/>
    <x v="113"/>
    <x v="1"/>
  </r>
  <r>
    <x v="215"/>
    <x v="0"/>
    <s v="079202019928"/>
    <s v="0898313181"/>
    <s v="No"/>
    <m/>
    <s v="I’ll take the company bus"/>
    <m/>
    <s v="ACT"/>
    <s v="ACT Sales &amp; Pre-sales"/>
    <s v="MAVANI Amit"/>
    <s v="In"/>
    <x v="0"/>
    <n v="0"/>
    <n v="0"/>
    <n v="0"/>
    <n v="1"/>
    <x v="6"/>
    <x v="113"/>
    <x v="1"/>
  </r>
  <r>
    <x v="216"/>
    <x v="0"/>
    <s v="079193009931"/>
    <s v="0909083103"/>
    <s v="No"/>
    <m/>
    <s v="I’ll take the company bus"/>
    <m/>
    <s v="Marketing &amp; Conversation"/>
    <s v="Design"/>
    <s v="SANTANA Zulema"/>
    <s v="In"/>
    <x v="0"/>
    <n v="0"/>
    <n v="0"/>
    <n v="0"/>
    <n v="1"/>
    <x v="6"/>
    <x v="114"/>
    <x v="0"/>
  </r>
  <r>
    <x v="217"/>
    <x v="0"/>
    <s v="079193040594"/>
    <s v="0931439977"/>
    <s v="No"/>
    <m/>
    <s v="I’ll take the company bus"/>
    <m/>
    <s v="Marketing &amp; Conversation"/>
    <s v="Design"/>
    <s v="SANTANA Zulema"/>
    <s v="In"/>
    <x v="0"/>
    <n v="0"/>
    <n v="0"/>
    <n v="0"/>
    <n v="1"/>
    <x v="6"/>
    <x v="114"/>
    <x v="0"/>
  </r>
  <r>
    <x v="218"/>
    <x v="0"/>
    <s v="079 303 003 034"/>
    <s v="0903 175 838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x v="6"/>
    <x v="115"/>
    <x v="0"/>
  </r>
  <r>
    <x v="219"/>
    <x v="0"/>
    <s v="064304011457"/>
    <s v="0905435679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x v="6"/>
    <x v="115"/>
    <x v="0"/>
  </r>
  <r>
    <x v="220"/>
    <x v="0"/>
    <s v="082196015477"/>
    <s v="0984016140"/>
    <s v="No"/>
    <m/>
    <s v="I’ll take the company bus"/>
    <m/>
    <s v="Amaris Consulting"/>
    <s v="Consulting Talent Acquisition"/>
    <s v="GUILLOTON Eve"/>
    <s v="In"/>
    <x v="0"/>
    <n v="0"/>
    <n v="0"/>
    <n v="0"/>
    <n v="1"/>
    <x v="6"/>
    <x v="116"/>
    <x v="0"/>
  </r>
  <r>
    <x v="221"/>
    <x v="0"/>
    <s v="079302019770"/>
    <s v="0708319701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x v="6"/>
    <x v="116"/>
    <x v="0"/>
  </r>
  <r>
    <x v="222"/>
    <x v="0"/>
    <s v="079301005911"/>
    <s v="0327649437"/>
    <s v="No"/>
    <m/>
    <s v="I’ll take the company bus"/>
    <m/>
    <s v="Amaris Consulting"/>
    <s v="Consulting Talent Acquisition"/>
    <s v="HONG Nguyen Tu Nhi"/>
    <s v="In"/>
    <x v="0"/>
    <n v="0"/>
    <n v="0"/>
    <n v="0"/>
    <n v="1"/>
    <x v="6"/>
    <x v="117"/>
    <x v="0"/>
  </r>
  <r>
    <x v="223"/>
    <x v="0"/>
    <s v="079198027964"/>
    <s v="0374428877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x v="6"/>
    <x v="117"/>
    <x v="0"/>
  </r>
  <r>
    <x v="224"/>
    <x v="0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x v="1"/>
    <n v="0"/>
    <n v="1"/>
    <n v="1"/>
    <n v="2"/>
    <x v="6"/>
    <x v="118"/>
    <x v="0"/>
  </r>
  <r>
    <x v="225"/>
    <x v="0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x v="1"/>
    <n v="0"/>
    <n v="1"/>
    <n v="1"/>
    <n v="2"/>
    <x v="6"/>
    <x v="119"/>
    <x v="0"/>
  </r>
  <r>
    <x v="226"/>
    <x v="0"/>
    <s v="068300004128"/>
    <s v="+84 389420759 "/>
    <s v="No"/>
    <m/>
    <s v="I’ll take the company bus"/>
    <m/>
    <s v="Recruitment"/>
    <s v="Corporate Acquisition"/>
    <s v="CARRILLO GIRONA Marina"/>
    <s v="In"/>
    <x v="0"/>
    <n v="0"/>
    <n v="0"/>
    <n v="0"/>
    <n v="1"/>
    <x v="6"/>
    <x v="120"/>
    <x v="0"/>
  </r>
  <r>
    <x v="227"/>
    <x v="0"/>
    <s v="037303000012"/>
    <s v="0961760721"/>
    <s v="No"/>
    <m/>
    <s v="I’ll take the company bus"/>
    <m/>
    <s v="Recruitment"/>
    <s v="Corporate Acquisition"/>
    <s v="PHAN Linh Chau"/>
    <s v="In"/>
    <x v="0"/>
    <n v="0"/>
    <n v="0"/>
    <n v="0"/>
    <n v="1"/>
    <x v="6"/>
    <x v="120"/>
    <x v="0"/>
  </r>
  <r>
    <x v="228"/>
    <x v="0"/>
    <s v="077197001261"/>
    <s v="0785670597"/>
    <s v="No"/>
    <m/>
    <s v="I’ll take the company bus"/>
    <m/>
    <s v="Performance Management"/>
    <s v="Operational Controlling"/>
    <s v="BUC Thomas"/>
    <s v="In"/>
    <x v="0"/>
    <n v="0"/>
    <n v="0"/>
    <n v="0"/>
    <n v="1"/>
    <x v="6"/>
    <x v="121"/>
    <x v="0"/>
  </r>
  <r>
    <x v="229"/>
    <x v="0"/>
    <s v="074301006998"/>
    <s v="0967486292"/>
    <s v="No"/>
    <m/>
    <s v="I’ll take the company bus"/>
    <m/>
    <s v="Performance Management"/>
    <s v="Operational Controlling"/>
    <s v="BUC Thomas"/>
    <s v="In"/>
    <x v="0"/>
    <n v="0"/>
    <n v="0"/>
    <n v="0"/>
    <n v="1"/>
    <x v="6"/>
    <x v="121"/>
    <x v="0"/>
  </r>
  <r>
    <x v="230"/>
    <x v="0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x v="0"/>
    <n v="0"/>
    <n v="0"/>
    <n v="0"/>
    <n v="1"/>
    <x v="6"/>
    <x v="121"/>
    <x v="0"/>
  </r>
  <r>
    <x v="231"/>
    <x v="0"/>
    <s v="075184001102"/>
    <s v="0945745944"/>
    <s v="No"/>
    <m/>
    <s v="I’ll take the company bus"/>
    <m/>
    <s v="Information Technology"/>
    <s v="Telephony"/>
    <s v="MAI Tan Ha"/>
    <s v="In"/>
    <x v="0"/>
    <n v="0"/>
    <n v="0"/>
    <n v="0"/>
    <n v="1"/>
    <x v="6"/>
    <x v="122"/>
    <x v="0"/>
  </r>
  <r>
    <x v="232"/>
    <x v="0"/>
    <s v="079199035294"/>
    <s v="84899286919"/>
    <s v="No"/>
    <m/>
    <s v="I’ll take the company bus"/>
    <m/>
    <s v="ACT"/>
    <s v="ACT Sales &amp; Pre-sales"/>
    <s v="MAVANI Amit"/>
    <s v="In"/>
    <x v="0"/>
    <n v="0"/>
    <n v="0"/>
    <n v="0"/>
    <n v="1"/>
    <x v="6"/>
    <x v="122"/>
    <x v="0"/>
  </r>
  <r>
    <x v="233"/>
    <x v="0"/>
    <s v="079197000483"/>
    <s v="0909915834"/>
    <s v="No"/>
    <m/>
    <s v="I’ll take the company bus"/>
    <m/>
    <s v="Amaris Consulting"/>
    <s v="Consultants"/>
    <s v="VETTUKAD Amit"/>
    <s v="In"/>
    <x v="0"/>
    <n v="0"/>
    <n v="0"/>
    <n v="0"/>
    <n v="1"/>
    <x v="6"/>
    <x v="123"/>
    <x v="0"/>
  </r>
  <r>
    <x v="234"/>
    <x v="0"/>
    <s v="079197014206"/>
    <s v="0839022665"/>
    <s v="No"/>
    <m/>
    <s v="I’ll take the company bus"/>
    <m/>
    <s v="Information Technology"/>
    <s v="User Experience"/>
    <s v="LIM Chee Kiat"/>
    <s v="In"/>
    <x v="0"/>
    <n v="0"/>
    <n v="0"/>
    <n v="0"/>
    <n v="1"/>
    <x v="6"/>
    <x v="123"/>
    <x v="0"/>
  </r>
  <r>
    <x v="235"/>
    <x v="0"/>
    <s v="079195004762"/>
    <s v="0945686674"/>
    <s v="No"/>
    <m/>
    <s v="I’ll take the company bus"/>
    <m/>
    <s v="Information Technology"/>
    <s v="Product Management"/>
    <s v="DUQUESNAY Guillaume"/>
    <s v="In"/>
    <x v="0"/>
    <n v="0"/>
    <n v="0"/>
    <n v="0"/>
    <n v="1"/>
    <x v="6"/>
    <x v="124"/>
    <x v="0"/>
  </r>
  <r>
    <x v="236"/>
    <x v="0"/>
    <s v="079301028966"/>
    <s v="0763889811"/>
    <s v="No"/>
    <m/>
    <s v="I’ll take the company bus"/>
    <m/>
    <s v="Information Technology"/>
    <s v="Product Management"/>
    <s v="HUYNH Anh Tam"/>
    <s v="In"/>
    <x v="0"/>
    <n v="0"/>
    <n v="0"/>
    <n v="0"/>
    <n v="1"/>
    <x v="6"/>
    <x v="124"/>
    <x v="0"/>
  </r>
  <r>
    <x v="237"/>
    <x v="0"/>
    <s v="089192001289"/>
    <s v="0933595559"/>
    <s v="No"/>
    <m/>
    <s v="I’ll take the company bus"/>
    <s v="Food allergies: shrimps"/>
    <s v="Information Technology"/>
    <s v="Quality Control"/>
    <s v="RAHMANI Rihab"/>
    <s v="In"/>
    <x v="0"/>
    <n v="0"/>
    <n v="0"/>
    <n v="0"/>
    <n v="1"/>
    <x v="8"/>
    <x v="125"/>
    <x v="0"/>
  </r>
  <r>
    <x v="238"/>
    <x v="0"/>
    <s v="038301000546"/>
    <s v="0376622565"/>
    <s v="No"/>
    <m/>
    <s v="I’ll take the company bus"/>
    <m/>
    <s v="Information Technology"/>
    <s v="Product Management"/>
    <s v="HUYNH Anh Tam"/>
    <s v="In"/>
    <x v="0"/>
    <n v="0"/>
    <n v="0"/>
    <n v="0"/>
    <n v="1"/>
    <x v="6"/>
    <x v="125"/>
    <x v="0"/>
  </r>
  <r>
    <x v="239"/>
    <x v="0"/>
    <s v="079188037007"/>
    <s v="0886311686"/>
    <s v="No"/>
    <m/>
    <s v="I’ll take the company bus"/>
    <m/>
    <s v="Information Technology"/>
    <s v="Product Management"/>
    <s v="NGUYEN Anh Tuan - Richard"/>
    <s v="In"/>
    <x v="0"/>
    <n v="0"/>
    <n v="0"/>
    <n v="0"/>
    <n v="1"/>
    <x v="8"/>
    <x v="126"/>
    <x v="0"/>
  </r>
  <r>
    <x v="240"/>
    <x v="0"/>
    <s v="24HC90633"/>
    <s v="0896948417"/>
    <s v="No"/>
    <m/>
    <s v="I’ll take the company bus"/>
    <s v="Xếp chung phòng với Ruby"/>
    <s v="Amaris Consulting"/>
    <s v="Presales"/>
    <s v="CAMARET Arthur"/>
    <s v="In"/>
    <x v="0"/>
    <n v="0"/>
    <n v="0"/>
    <n v="0"/>
    <n v="1"/>
    <x v="8"/>
    <x v="126"/>
    <x v="0"/>
  </r>
  <r>
    <x v="241"/>
    <x v="0"/>
    <s v="066303014236"/>
    <s v="0852489626"/>
    <s v="No"/>
    <m/>
    <s v="I’ll take the company bus"/>
    <m/>
    <s v="Information Technology"/>
    <s v="Quality Control"/>
    <s v="NGUYEN Anh Tuan - Richard"/>
    <s v="In"/>
    <x v="0"/>
    <n v="0"/>
    <n v="0"/>
    <n v="0"/>
    <n v="1"/>
    <x v="8"/>
    <x v="127"/>
    <x v="0"/>
  </r>
  <r>
    <x v="242"/>
    <x v="0"/>
    <s v="079302018741"/>
    <s v="0773215575"/>
    <s v="No"/>
    <m/>
    <s v="I’ll take the company bus"/>
    <s v="motion sickness medicine"/>
    <s v="Information Technology"/>
    <s v="Software Engineering"/>
    <s v="PHAM Bao Chung"/>
    <s v="In"/>
    <x v="0"/>
    <n v="0"/>
    <n v="0"/>
    <n v="0"/>
    <n v="1"/>
    <x v="8"/>
    <x v="127"/>
    <x v="0"/>
  </r>
  <r>
    <x v="243"/>
    <x v="0"/>
    <s v="079196031161"/>
    <s v="0707205096"/>
    <s v="No"/>
    <m/>
    <s v="I’ll take the company bus"/>
    <m/>
    <s v="Information Technology"/>
    <s v="Quality Control"/>
    <s v="HUYNH Anh Tam"/>
    <s v="In"/>
    <x v="0"/>
    <n v="0"/>
    <n v="0"/>
    <n v="0"/>
    <n v="1"/>
    <x v="8"/>
    <x v="128"/>
    <x v="0"/>
  </r>
  <r>
    <x v="244"/>
    <x v="0"/>
    <s v="079302019473"/>
    <s v="0918597387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28"/>
    <x v="0"/>
  </r>
  <r>
    <x v="245"/>
    <x v="0"/>
    <s v="079301029723"/>
    <s v="0908488723"/>
    <s v="No"/>
    <m/>
    <s v="I’ll take the company bus"/>
    <m/>
    <s v="Information Technology"/>
    <s v="Quality Control"/>
    <s v="DUQUESNAY Guillaume"/>
    <s v="In"/>
    <x v="0"/>
    <n v="0"/>
    <n v="0"/>
    <n v="0"/>
    <n v="1"/>
    <x v="8"/>
    <x v="129"/>
    <x v="0"/>
  </r>
  <r>
    <x v="246"/>
    <x v="0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x v="0"/>
    <n v="0"/>
    <n v="0"/>
    <n v="0"/>
    <n v="1"/>
    <x v="8"/>
    <x v="129"/>
    <x v="0"/>
  </r>
  <r>
    <x v="247"/>
    <x v="0"/>
    <s v="049203006602"/>
    <s v="0367304351"/>
    <s v="No"/>
    <m/>
    <s v="I’ll take the company bus"/>
    <m/>
    <s v="Information Technology"/>
    <s v="Software Engineering"/>
    <s v="PHAN Anh Dung Cuong"/>
    <s v="In"/>
    <x v="0"/>
    <n v="0"/>
    <n v="0"/>
    <n v="0"/>
    <n v="1"/>
    <x v="8"/>
    <x v="130"/>
    <x v="1"/>
  </r>
  <r>
    <x v="248"/>
    <x v="0"/>
    <s v="067202006321"/>
    <s v="0867455918"/>
    <s v="No"/>
    <m/>
    <s v="I’ll take the company bus"/>
    <m/>
    <s v="Information Technology"/>
    <s v="Software Engineering"/>
    <s v="PHAN Anh Dung Cuong"/>
    <s v="In"/>
    <x v="0"/>
    <n v="0"/>
    <n v="0"/>
    <n v="0"/>
    <n v="1"/>
    <x v="8"/>
    <x v="130"/>
    <x v="1"/>
  </r>
  <r>
    <x v="249"/>
    <x v="0"/>
    <s v="080094006419"/>
    <s v="0979891673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1"/>
    <x v="1"/>
  </r>
  <r>
    <x v="250"/>
    <x v="0"/>
    <s v="001203053053"/>
    <s v="0853355397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1"/>
    <x v="1"/>
  </r>
  <r>
    <x v="251"/>
    <x v="0"/>
    <s v="045201007690"/>
    <s v="0973743542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2"/>
    <x v="1"/>
  </r>
  <r>
    <x v="252"/>
    <x v="0"/>
    <s v="066203000250"/>
    <s v="0914 119 624"/>
    <s v="No"/>
    <m/>
    <s v="I’ll take the company bus"/>
    <m/>
    <s v="Information Technology"/>
    <s v="Software Engineering"/>
    <s v="PHAM Bao Chung"/>
    <s v="In"/>
    <x v="0"/>
    <n v="0"/>
    <n v="0"/>
    <n v="0"/>
    <n v="1"/>
    <x v="8"/>
    <x v="132"/>
    <x v="1"/>
  </r>
  <r>
    <x v="253"/>
    <x v="0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x v="0"/>
    <n v="0"/>
    <n v="0"/>
    <n v="0"/>
    <n v="1"/>
    <x v="8"/>
    <x v="133"/>
    <x v="1"/>
  </r>
  <r>
    <x v="254"/>
    <x v="0"/>
    <s v="068088003980"/>
    <s v="0773820182"/>
    <s v="No"/>
    <m/>
    <s v="I’ll arrange my own transportation"/>
    <m/>
    <s v="Information Technology"/>
    <s v="Software Architecture"/>
    <s v="MATYSIAK Hervé"/>
    <s v="In"/>
    <x v="0"/>
    <n v="0"/>
    <n v="0"/>
    <n v="0"/>
    <n v="1"/>
    <x v="4"/>
    <x v="133"/>
    <x v="1"/>
  </r>
  <r>
    <x v="255"/>
    <x v="0"/>
    <s v="079096007068"/>
    <s v="032897181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4"/>
    <x v="1"/>
  </r>
  <r>
    <x v="256"/>
    <x v="0"/>
    <s v="082098005823"/>
    <s v="0979622203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4"/>
    <x v="1"/>
  </r>
  <r>
    <x v="257"/>
    <x v="0"/>
    <s v="079087016493"/>
    <s v="0362685720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5"/>
    <x v="1"/>
  </r>
  <r>
    <x v="258"/>
    <x v="0"/>
    <s v="082089018141"/>
    <s v="090985783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x v="8"/>
    <x v="135"/>
    <x v="1"/>
  </r>
  <r>
    <x v="259"/>
    <x v="0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x v="0"/>
    <n v="0"/>
    <n v="0"/>
    <n v="0"/>
    <n v="1"/>
    <x v="8"/>
    <x v="136"/>
    <x v="1"/>
  </r>
  <r>
    <x v="260"/>
    <x v="0"/>
    <s v="091086018626"/>
    <s v="0935717578"/>
    <s v="No"/>
    <m/>
    <s v="I’ll take the company bus"/>
    <m/>
    <s v="Information Technology"/>
    <s v="Software Engineering"/>
    <s v="DUQUESNAY Guillaume"/>
    <s v="In"/>
    <x v="0"/>
    <n v="0"/>
    <n v="0"/>
    <n v="0"/>
    <n v="1"/>
    <x v="8"/>
    <x v="136"/>
    <x v="1"/>
  </r>
  <r>
    <x v="261"/>
    <x v="0"/>
    <s v="079095017425"/>
    <s v="0984678726"/>
    <s v="No"/>
    <m/>
    <s v="I’ll take the company bus"/>
    <m/>
    <s v="Information Technology"/>
    <s v="Software Engineering"/>
    <s v="DUQUESNAY Guillaume"/>
    <s v="In"/>
    <x v="0"/>
    <n v="0"/>
    <n v="0"/>
    <n v="0"/>
    <n v="1"/>
    <x v="8"/>
    <x v="137"/>
    <x v="1"/>
  </r>
  <r>
    <x v="262"/>
    <x v="0"/>
    <s v="079203014457"/>
    <s v="0968080085"/>
    <s v="No"/>
    <m/>
    <s v="I’ll take the company bus"/>
    <m/>
    <s v="Information Technology"/>
    <s v="Quality Control"/>
    <s v="HUYNH Anh Tam"/>
    <s v="In"/>
    <x v="0"/>
    <n v="0"/>
    <n v="0"/>
    <n v="0"/>
    <n v="1"/>
    <x v="8"/>
    <x v="137"/>
    <x v="1"/>
  </r>
  <r>
    <x v="263"/>
    <x v="0"/>
    <s v="066201002422"/>
    <s v="0372015192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8"/>
    <x v="1"/>
  </r>
  <r>
    <x v="264"/>
    <x v="0"/>
    <s v="080087011699"/>
    <s v="0352176769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8"/>
    <x v="1"/>
  </r>
  <r>
    <x v="265"/>
    <x v="0"/>
    <s v="079087017793"/>
    <s v="0903322044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9"/>
    <x v="1"/>
  </r>
  <r>
    <x v="266"/>
    <x v="0"/>
    <s v="051095009095 "/>
    <s v="0985752395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39"/>
    <x v="1"/>
  </r>
  <r>
    <x v="267"/>
    <x v="0"/>
    <s v="079078022487"/>
    <s v="0934181732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40"/>
    <x v="1"/>
  </r>
  <r>
    <x v="268"/>
    <x v="0"/>
    <s v="083096004407"/>
    <s v="0964072710"/>
    <s v="No"/>
    <m/>
    <s v="I’ll take the company bus"/>
    <m/>
    <s v="Information Technology"/>
    <s v="Software Engineering"/>
    <s v="HUYNH Van Cop"/>
    <s v="In"/>
    <x v="0"/>
    <n v="0"/>
    <n v="0"/>
    <n v="0"/>
    <n v="1"/>
    <x v="8"/>
    <x v="140"/>
    <x v="1"/>
  </r>
  <r>
    <x v="269"/>
    <x v="0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x v="1"/>
    <n v="1"/>
    <n v="1"/>
    <n v="2"/>
    <n v="3"/>
    <x v="8"/>
    <x v="141"/>
    <x v="1"/>
  </r>
  <r>
    <x v="270"/>
    <x v="0"/>
    <s v="079088031980"/>
    <s v="0938004161"/>
    <s v="No"/>
    <m/>
    <s v="I’ll take the company bus"/>
    <s v="I need a private room"/>
    <s v="Information Technology"/>
    <s v="Agile Center"/>
    <s v="NGUYEN Anh Tuan - Richard"/>
    <s v="In"/>
    <x v="0"/>
    <n v="0"/>
    <n v="0"/>
    <n v="0"/>
    <n v="1"/>
    <x v="8"/>
    <x v="142"/>
    <x v="1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  <r>
    <x v="271"/>
    <x v="1"/>
    <m/>
    <m/>
    <m/>
    <m/>
    <m/>
    <m/>
    <m/>
    <m/>
    <m/>
    <m/>
    <x v="2"/>
    <m/>
    <m/>
    <m/>
    <m/>
    <x v="9"/>
    <x v="143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Pham Khanh Linh TRAN"/>
    <s v="Yes, count me in!"/>
    <s v="044199002375"/>
    <s v="0823387274"/>
    <s v="No"/>
    <m/>
    <s v="I’ll take the company bus"/>
    <m/>
    <s v="Amaris Consulting"/>
    <s v="Consultants"/>
    <s v="HA Phuong Thao"/>
    <s v="In"/>
    <x v="0"/>
    <n v="0"/>
    <n v="0"/>
    <n v="0"/>
    <n v="1"/>
    <n v="3"/>
    <x v="0"/>
  </r>
  <r>
    <s v="Do Thuy Tien PHAM"/>
    <s v="Yes, count me in!"/>
    <s v="070194001945"/>
    <s v="039674443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"/>
  </r>
  <r>
    <s v="Hoang Ha Quyen NGUYEN"/>
    <s v="Yes, count me in!"/>
    <s v="077300001719"/>
    <s v="096896304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2"/>
  </r>
  <r>
    <s v="Thien Trang DOAN"/>
    <s v="Yes, count me in!"/>
    <s v="091300011455"/>
    <s v="0918626459"/>
    <s v="No"/>
    <m/>
    <s v="I’ll take the company bus"/>
    <s v="If there’s a single room, I wanna stay alone (if any)"/>
    <s v="Amaris Consulting"/>
    <s v="Consultants"/>
    <s v="HO Nguyen Hong Uyen"/>
    <s v="In"/>
    <x v="0"/>
    <n v="0"/>
    <n v="0"/>
    <n v="0"/>
    <n v="1"/>
    <n v="1"/>
    <x v="2"/>
  </r>
  <r>
    <s v="Minh Thuan LE"/>
    <s v="Yes, count me in!"/>
    <s v="086099002987"/>
    <s v="0968933873"/>
    <s v="No"/>
    <m/>
    <s v="I’ll take the company bus"/>
    <m/>
    <s v="Amaris Consulting"/>
    <s v="Consultants"/>
    <s v="HA Phuong Thao"/>
    <s v="In"/>
    <x v="0"/>
    <n v="0"/>
    <n v="0"/>
    <n v="0"/>
    <n v="1"/>
    <n v="1"/>
    <x v="3"/>
  </r>
  <r>
    <s v="Van Thanh Thuan NGUYEN"/>
    <s v="Yes, count me in!"/>
    <s v="080095004933"/>
    <s v="0793485644"/>
    <s v="No"/>
    <m/>
    <s v="I’ll take the company bus"/>
    <s v="I'd like to request to be booked in the same room as the IVB team."/>
    <s v="Amaris Consulting"/>
    <s v="Consultants"/>
    <s v="HA Phuong Thao"/>
    <s v="In"/>
    <x v="0"/>
    <n v="0"/>
    <n v="0"/>
    <n v="0"/>
    <n v="1"/>
    <n v="1"/>
    <x v="3"/>
  </r>
  <r>
    <s v="Duc Minh CAO"/>
    <s v="Yes, count me in!"/>
    <s v="080202010719"/>
    <s v="0942198738"/>
    <s v="No"/>
    <m/>
    <s v="I’ll take the company bus"/>
    <m/>
    <s v="Amaris Consulting"/>
    <s v="Consultants"/>
    <s v="HA Phuong Thao"/>
    <s v="In"/>
    <x v="0"/>
    <n v="0"/>
    <n v="0"/>
    <n v="0"/>
    <n v="1"/>
    <n v="1"/>
    <x v="4"/>
  </r>
  <r>
    <s v="Hoang Tu LA"/>
    <s v="Yes, count me in!"/>
    <s v="083097005277"/>
    <s v="0386788883"/>
    <s v="No"/>
    <m/>
    <s v="I’ll take the company bus"/>
    <m/>
    <s v="Amaris Consulting"/>
    <s v="Consultants"/>
    <s v="HA Phuong Thao"/>
    <s v="In"/>
    <x v="0"/>
    <n v="0"/>
    <n v="0"/>
    <n v="0"/>
    <n v="1"/>
    <n v="1"/>
    <x v="4"/>
  </r>
  <r>
    <s v="Trung Nghia CAO"/>
    <s v="Yes, count me in!"/>
    <s v="051094000961"/>
    <s v="0938945445"/>
    <s v="No"/>
    <m/>
    <s v="I’ll take the company bus"/>
    <m/>
    <s v="Amaris Consulting"/>
    <s v="Consultants"/>
    <s v="HA Phuong Thao"/>
    <s v="In"/>
    <x v="0"/>
    <n v="0"/>
    <n v="0"/>
    <n v="0"/>
    <n v="1"/>
    <n v="1"/>
    <x v="5"/>
  </r>
  <r>
    <s v="Van Do TRAN"/>
    <s v="Yes, count me in!"/>
    <s v="089097020361"/>
    <s v="0967513840"/>
    <s v="No"/>
    <m/>
    <s v="I’ll take the company bus"/>
    <m/>
    <s v="Amaris Consulting"/>
    <s v="Consultants"/>
    <s v="HA Phuong Thao"/>
    <s v="In"/>
    <x v="0"/>
    <n v="0"/>
    <n v="0"/>
    <n v="0"/>
    <n v="1"/>
    <n v="1"/>
    <x v="5"/>
  </r>
  <r>
    <s v="Quang Trinh HA"/>
    <s v="Yes, count me in!"/>
    <s v="087099016549"/>
    <s v="0826759579"/>
    <s v="No"/>
    <m/>
    <s v="I’ll take the company bus"/>
    <m/>
    <s v="Amaris Consulting"/>
    <s v="Consultants"/>
    <s v="HA Phuong Thao"/>
    <s v="In"/>
    <x v="0"/>
    <n v="0"/>
    <n v="0"/>
    <n v="0"/>
    <n v="1"/>
    <n v="1"/>
    <x v="6"/>
  </r>
  <r>
    <s v="Binh Nam MAI"/>
    <s v="Yes, count me in!"/>
    <s v="044099000541"/>
    <s v="0948527910"/>
    <s v="No"/>
    <m/>
    <s v="I’ll take the company bus"/>
    <m/>
    <s v="Amaris Consulting"/>
    <s v="Consultants"/>
    <s v="HA Phuong Thao"/>
    <s v="In"/>
    <x v="0"/>
    <n v="0"/>
    <n v="0"/>
    <n v="0"/>
    <n v="1"/>
    <n v="1"/>
    <x v="6"/>
  </r>
  <r>
    <s v="Ngô Tấn Thành"/>
    <s v="Yes, count me in!"/>
    <s v="089200015516"/>
    <s v="+84 329 382 782"/>
    <s v="No"/>
    <m/>
    <s v="I’ll take the company bus"/>
    <s v="Team chị My"/>
    <s v="Amaris Consulting"/>
    <s v="Consultants"/>
    <s v="HA Phuong Thao"/>
    <s v="In"/>
    <x v="0"/>
    <n v="0"/>
    <n v="0"/>
    <n v="0"/>
    <n v="1"/>
    <n v="1"/>
    <x v="7"/>
  </r>
  <r>
    <s v="Hong Chuong NGUYEN"/>
    <s v="Yes, count me in!"/>
    <s v="083084008265"/>
    <s v="0989600669"/>
    <s v="No"/>
    <m/>
    <s v="I’ll take the company bus"/>
    <m/>
    <s v="Amaris Consulting"/>
    <s v="Consultants"/>
    <s v="HA Phuong Thao"/>
    <s v="In"/>
    <x v="0"/>
    <n v="0"/>
    <n v="0"/>
    <n v="0"/>
    <n v="1"/>
    <n v="1"/>
    <x v="7"/>
  </r>
  <r>
    <s v="Nguyễn Lê Thành"/>
    <s v="Yes, count me in!"/>
    <s v="062201003205"/>
    <s v="+84 931 182 688"/>
    <s v="No"/>
    <m/>
    <s v="I’ll take the company bus"/>
    <m/>
    <s v="Amaris Consulting"/>
    <s v="Consultants"/>
    <s v="HA Phuong Thao"/>
    <s v="In"/>
    <x v="0"/>
    <n v="0"/>
    <n v="0"/>
    <n v="0"/>
    <n v="1"/>
    <n v="1"/>
    <x v="8"/>
  </r>
  <r>
    <s v="Ngoc Tuan NGUYEN"/>
    <s v="Yes, count me in!"/>
    <s v="051099011537"/>
    <s v="097372424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8"/>
  </r>
  <r>
    <s v="Thanh Nhan PHAN"/>
    <s v="Yes, count me in!"/>
    <s v="079096015213"/>
    <s v="0392357076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9"/>
  </r>
  <r>
    <s v="Xuan Dat HOANG"/>
    <s v="Yes, count me in!"/>
    <s v="066201016152"/>
    <s v="0393688714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9"/>
  </r>
  <r>
    <s v="Hong Son DAO"/>
    <s v="Yes, count me in!"/>
    <s v="075200024308"/>
    <s v="0938316793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0"/>
  </r>
  <r>
    <s v="Thanh Son NGUYEN"/>
    <s v="Yes, count me in!"/>
    <s v="051098005098"/>
    <s v="039249731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0"/>
  </r>
  <r>
    <s v="Thanh Phuoc LE"/>
    <s v="Yes, count me in!"/>
    <s v="068096007001"/>
    <s v="0357556867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1"/>
  </r>
  <r>
    <s v="Le Man Dat NGUYEN"/>
    <s v="Yes, count me in!"/>
    <s v=" 086200001291"/>
    <s v="033780425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1"/>
  </r>
  <r>
    <s v="Thanh Loc NGUYEN"/>
    <s v="Yes, count me in!"/>
    <s v="046097000064"/>
    <s v="0333515756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2"/>
  </r>
  <r>
    <s v="Van Thanh Danh KHUAT"/>
    <s v="Yes, count me in!"/>
    <s v="077203004018"/>
    <s v="0971007831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2"/>
  </r>
  <r>
    <s v="Huu Vinh NGUYEN"/>
    <s v="Yes, count me in!"/>
    <s v="089200019968"/>
    <s v="0974086701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3"/>
  </r>
  <r>
    <s v="Kim Cong NGUYEN"/>
    <s v="Yes, count me in!"/>
    <s v="030080017185"/>
    <s v="0988143980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3"/>
  </r>
  <r>
    <s v="Trung Nghia NGUYEN"/>
    <s v="Yes, count me in!"/>
    <s v="072094005258"/>
    <s v="0354219319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4"/>
  </r>
  <r>
    <s v="Trung Hieu PHAM"/>
    <s v="Yes, count me in!"/>
    <s v="079099030686"/>
    <s v="0933284515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4"/>
  </r>
  <r>
    <s v="Quang Nien NGUYEN"/>
    <s v="Yes, count me in!"/>
    <s v="058201000239"/>
    <s v="0855586358"/>
    <s v="No"/>
    <m/>
    <s v="I’ll take the company bus"/>
    <m/>
    <s v="Amaris Consulting"/>
    <s v="Consultants"/>
    <s v="HO Nguyen Hong Uyen"/>
    <s v="In"/>
    <x v="0"/>
    <n v="0"/>
    <n v="0"/>
    <n v="0"/>
    <n v="1"/>
    <n v="1"/>
    <x v="15"/>
  </r>
  <r>
    <s v="Cong Danh BUI"/>
    <s v="Yes, count me in!"/>
    <s v="079201014939"/>
    <s v="0902891404"/>
    <s v="No"/>
    <m/>
    <s v="I’ll take the company bus"/>
    <s v="Motion sickness pills"/>
    <s v="Amaris Consulting"/>
    <s v="Consultants"/>
    <s v="NGUYEN Tien Nam"/>
    <s v="In"/>
    <x v="0"/>
    <n v="0"/>
    <n v="0"/>
    <n v="0"/>
    <n v="1"/>
    <n v="1"/>
    <x v="15"/>
  </r>
  <r>
    <s v="Huynh Chi Tin VO"/>
    <s v="Yes, count me in!"/>
    <s v="079095022758"/>
    <s v="0777104166"/>
    <s v="No"/>
    <m/>
    <s v="I’ll take the company bus"/>
    <m/>
    <s v="Amaris Consulting"/>
    <s v="Consultants"/>
    <s v="NGUYEN Tien Nam"/>
    <s v="In"/>
    <x v="0"/>
    <n v="0"/>
    <n v="0"/>
    <n v="0"/>
    <n v="1"/>
    <n v="1"/>
    <x v="16"/>
  </r>
  <r>
    <s v="Quang Trung DO"/>
    <s v="Yes, count me in!"/>
    <s v="064200012749"/>
    <s v="0396402696"/>
    <s v="No"/>
    <m/>
    <s v="I’ll take the company bus"/>
    <m/>
    <s v="Amaris Consulting"/>
    <s v="Consultants"/>
    <s v="NGUYEN Tien Nam"/>
    <s v="In"/>
    <x v="0"/>
    <n v="0"/>
    <n v="0"/>
    <n v="0"/>
    <n v="1"/>
    <n v="1"/>
    <x v="16"/>
  </r>
  <r>
    <s v="Thanh Tai NGUYEN"/>
    <s v="Yes, count me in!"/>
    <s v="051090016586"/>
    <s v="0988383049"/>
    <s v="Yes"/>
    <s v="1. Nguyen Thu Huyen - Female - 1991 - TBD_x000a_2. Nguyen Kha Han - Female - 2017 - TBD"/>
    <s v="I’ll take the company bus"/>
    <m/>
    <s v="Amaris Consulting"/>
    <s v="Consultants"/>
    <s v="HO Nguyen Hong Uyen"/>
    <s v="In"/>
    <x v="1"/>
    <n v="1"/>
    <n v="1"/>
    <n v="2"/>
    <n v="3"/>
    <n v="1"/>
    <x v="17"/>
  </r>
  <r>
    <s v="Nguyen Hong Uyen HO"/>
    <s v="Yes, count me in!"/>
    <s v="079197003545"/>
    <s v="0901936418"/>
    <s v="No"/>
    <m/>
    <s v="I’ll take the company bus"/>
    <m/>
    <s v="Amaris Consulting"/>
    <s v="Managers"/>
    <s v="NGUYEN Thai Ly"/>
    <s v="In"/>
    <x v="0"/>
    <n v="0"/>
    <n v="0"/>
    <n v="0"/>
    <n v="1"/>
    <n v="1"/>
    <x v="18"/>
  </r>
  <r>
    <s v="Phuong Thao HA"/>
    <s v="Yes, count me in!"/>
    <s v="079197023976"/>
    <s v="0909324150"/>
    <s v="No"/>
    <m/>
    <s v="I’ll take the company bus"/>
    <m/>
    <s v="Amaris Consulting"/>
    <s v="Managers"/>
    <s v="NGUYEN Thai Ly"/>
    <s v="In"/>
    <x v="0"/>
    <n v="0"/>
    <n v="0"/>
    <n v="0"/>
    <n v="1"/>
    <n v="1"/>
    <x v="19"/>
  </r>
  <r>
    <s v="Thanh Hang VU"/>
    <s v="Yes, count me in!"/>
    <s v="001188049157"/>
    <s v="0901401929"/>
    <s v="No"/>
    <m/>
    <s v="I’ll take the company bus"/>
    <m/>
    <s v="Amaris Consulting"/>
    <s v="Directors"/>
    <s v="THEVELIN Chloe"/>
    <s v="In"/>
    <x v="0"/>
    <n v="0"/>
    <n v="0"/>
    <n v="0"/>
    <n v="1"/>
    <n v="1"/>
    <x v="18"/>
  </r>
  <r>
    <s v="NGUYEN Tien Nam"/>
    <s v="Yes, count me in!"/>
    <s v="077097008033"/>
    <s v="0979040971"/>
    <s v="No"/>
    <m/>
    <s v="I’ll take the company bus"/>
    <m/>
    <s v="Amaris Consulting"/>
    <s v="Managers"/>
    <s v="NGUYEN Thai Ly"/>
    <s v="In"/>
    <x v="0"/>
    <n v="0"/>
    <n v="0"/>
    <n v="0"/>
    <n v="1"/>
    <n v="1"/>
    <x v="20"/>
  </r>
  <r>
    <s v="Cong Khanh HUYNH"/>
    <s v="Yes, count me in!"/>
    <s v="087201004021"/>
    <s v="0777905219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1"/>
  </r>
  <r>
    <s v="Ngoc Thanh PHAM"/>
    <s v="Yes, count me in!"/>
    <s v="060094011465"/>
    <s v="0333950268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2"/>
  </r>
  <r>
    <s v="Xuan Vu TRAN"/>
    <s v="Yes, count me in!"/>
    <s v="046098001181"/>
    <s v="0327360123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22"/>
  </r>
  <r>
    <s v="Nhu Hai Luu PHAN"/>
    <s v="Yes, count me in!"/>
    <s v="060099011492"/>
    <s v="037973809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3"/>
  </r>
  <r>
    <s v="Hoai Sang CAO"/>
    <s v="Yes, count me in!"/>
    <s v="095203009143"/>
    <s v="0944552050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3"/>
  </r>
  <r>
    <s v="Huynh Duy Duc NGUYEN"/>
    <s v="Yes, count me in!"/>
    <s v="064201016123"/>
    <s v="097940941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4"/>
  </r>
  <r>
    <s v="Quoc Linh TRAN"/>
    <s v="Yes, count me in!"/>
    <s v="096099005690"/>
    <s v="0379218610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4"/>
  </r>
  <r>
    <s v="Van Hao LE"/>
    <s v="Yes, count me in!"/>
    <s v="089097008685"/>
    <s v="037846257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5"/>
  </r>
  <r>
    <s v="Minh Phuoc NGUYEN"/>
    <s v="Yes, count me in!"/>
    <s v="079094018368"/>
    <s v="093768699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5"/>
  </r>
  <r>
    <s v="Duy Nhat NGUYEN"/>
    <s v="Yes, count me in!"/>
    <s v="072200007361"/>
    <s v="096752445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6"/>
  </r>
  <r>
    <s v="Huu Ngan MAI"/>
    <s v="Yes, count me in!"/>
    <s v="049202002958"/>
    <s v="03437340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6"/>
  </r>
  <r>
    <s v="Minh Quan DANG"/>
    <s v="Yes, count me in!"/>
    <s v="089201001783"/>
    <s v="094196774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7"/>
  </r>
  <r>
    <s v="Huu Nghia PHAM"/>
    <s v="Yes, count me in!"/>
    <s v="064098000457"/>
    <s v="036354338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7"/>
  </r>
  <r>
    <s v="Duy Phong NGUYEN"/>
    <s v="Yes, count me in!"/>
    <s v="049200016142"/>
    <s v="03964287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8"/>
  </r>
  <r>
    <s v="Tuan Thanh TRAN"/>
    <s v="Yes, count me in!"/>
    <s v="042200003160"/>
    <s v="097185031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8"/>
  </r>
  <r>
    <s v="Huy Tri NGUYEN"/>
    <s v="Yes, count me in!"/>
    <s v="079203015788"/>
    <s v="096369824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9"/>
  </r>
  <r>
    <s v="Thanh Duc LE"/>
    <s v="Yes, count me in!"/>
    <s v="079200038775"/>
    <s v="033931013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9"/>
  </r>
  <r>
    <s v="Tran Nhat Duc NGUYEN"/>
    <s v="Yes, count me in!"/>
    <s v="056200011360"/>
    <s v="086988581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0"/>
  </r>
  <r>
    <s v="Minh Tri DO"/>
    <s v="Yes, count me in!"/>
    <s v="minhtri.do@amaris.com"/>
    <s v="093591946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0"/>
  </r>
  <r>
    <s v="Tien Manh NGUYEN"/>
    <s v="Yes, count me in!"/>
    <s v="252203000013"/>
    <s v="082962287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1"/>
  </r>
  <r>
    <s v="Quoc Trung KIEU"/>
    <s v="Yes, count me in!"/>
    <s v="079200044816"/>
    <s v="093253578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1"/>
  </r>
  <r>
    <s v="DINH Thanh Viet"/>
    <s v="Yes, count me in!"/>
    <s v="052200005034"/>
    <s v="+84 37713033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2"/>
  </r>
  <r>
    <s v="Chi Cuong HUYNH"/>
    <s v="Yes, count me in!"/>
    <s v="079095014706"/>
    <s v="0937251707"/>
    <s v="No"/>
    <m/>
    <s v="I’ll take the company bus"/>
    <s v="Dị ứng cồn"/>
    <s v="Amaris Consulting"/>
    <s v="Consultants"/>
    <s v="NGUYEN The Trinh"/>
    <s v="In"/>
    <x v="0"/>
    <n v="0"/>
    <n v="0"/>
    <n v="0"/>
    <n v="1"/>
    <n v="2"/>
    <x v="32"/>
  </r>
  <r>
    <s v="Thi Thanh Huong LE"/>
    <s v="Yes, count me in!"/>
    <s v="079302009777"/>
    <s v="0703264721"/>
    <s v="No"/>
    <m/>
    <s v="I’ll take the company bus"/>
    <m/>
    <s v="Amaris Consulting"/>
    <s v="Consultants"/>
    <s v="HUYNH Chi Cuong"/>
    <s v="In"/>
    <x v="0"/>
    <n v="0"/>
    <n v="0"/>
    <n v="0"/>
    <n v="1"/>
    <n v="2"/>
    <x v="33"/>
  </r>
  <r>
    <s v="Phuong Hang LE THI"/>
    <s v="Yes, count me in!"/>
    <s v="079186021679"/>
    <s v="086687672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3"/>
  </r>
  <r>
    <s v="Thi Tram Ngan TRAN"/>
    <s v="Yes, count me in!"/>
    <s v="087300002383"/>
    <s v="0939053112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4"/>
  </r>
  <r>
    <s v="Ngoc My HA"/>
    <s v="Yes, count me in!"/>
    <s v="082300007349"/>
    <s v="088874525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4"/>
  </r>
  <r>
    <s v="Ngoc Thuy Trang PHAM"/>
    <s v="Yes, count me in!"/>
    <s v="079300022868"/>
    <s v="0707653589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5"/>
  </r>
  <r>
    <s v="Thai An PHAM THUY"/>
    <s v="Yes, count me in!"/>
    <s v="095304000976"/>
    <s v="0913854054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5"/>
  </r>
  <r>
    <s v="Tu Uyen DINH THI"/>
    <s v="Yes, count me in!"/>
    <s v="070302002356"/>
    <s v="038389927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6"/>
  </r>
  <r>
    <s v="Ngoc Tran TA THI"/>
    <s v="Yes, count me in!"/>
    <s v="089196003991"/>
    <s v="0369040747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6"/>
  </r>
  <r>
    <s v="Duy Nguyen VO NGOC"/>
    <s v="Yes, count me in!"/>
    <s v="079201007186"/>
    <s v="0919990145"/>
    <s v="No"/>
    <m/>
    <s v="I’ll take the company bus"/>
    <m/>
    <s v="Amaris Consulting"/>
    <s v="Consultants"/>
    <s v="LA Thuy My Hao"/>
    <s v="In"/>
    <x v="0"/>
    <n v="0"/>
    <n v="0"/>
    <n v="0"/>
    <n v="1"/>
    <n v="2"/>
    <x v="21"/>
  </r>
  <r>
    <s v="Chi Hau NGUYEN"/>
    <s v="Yes, count me in!"/>
    <s v="086203010658"/>
    <s v="0799549878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7"/>
  </r>
  <r>
    <s v="Dai Duong PHAN"/>
    <s v="Yes, count me in!"/>
    <s v="052201013763"/>
    <s v="0398324011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7"/>
  </r>
  <r>
    <s v="Dinh Anh Quoc HOANG"/>
    <s v="Yes, count me in!"/>
    <s v="079202006608"/>
    <s v="0983941396"/>
    <s v="No"/>
    <m/>
    <s v="I’ll take the company bus"/>
    <m/>
    <s v="Amaris Consulting"/>
    <s v="Consultants"/>
    <s v="LA Thuy My Hao"/>
    <s v="In"/>
    <x v="0"/>
    <n v="0"/>
    <n v="0"/>
    <n v="0"/>
    <n v="1"/>
    <n v="2"/>
    <x v="38"/>
  </r>
  <r>
    <s v="Dinh Lam TRAN"/>
    <s v="Yes, count me in!"/>
    <s v="066200002973"/>
    <s v="0769781003"/>
    <s v="No"/>
    <m/>
    <s v="I’ll take the company bus"/>
    <s v="I have a mild seafood allergy"/>
    <s v="Amaris Consulting"/>
    <s v="Consultants"/>
    <s v="LA Thuy My Hao"/>
    <s v="In"/>
    <x v="0"/>
    <n v="0"/>
    <n v="0"/>
    <n v="0"/>
    <n v="1"/>
    <n v="2"/>
    <x v="38"/>
  </r>
  <r>
    <s v="The Trinh NGUYEN"/>
    <s v="Yes, count me in!"/>
    <s v="049192000750"/>
    <s v="0983068421"/>
    <s v="No"/>
    <m/>
    <s v="I’ll take the company bus"/>
    <m/>
    <s v="Amaris Consulting"/>
    <s v="Delivery"/>
    <s v="VU Thanh Hang"/>
    <s v="In"/>
    <x v="0"/>
    <n v="0"/>
    <n v="0"/>
    <n v="0"/>
    <n v="1"/>
    <n v="2"/>
    <x v="39"/>
  </r>
  <r>
    <s v="Thuy My Hao LA"/>
    <s v="Yes, count me in!"/>
    <s v="087190011453"/>
    <s v="0375225989"/>
    <s v="No"/>
    <m/>
    <s v="I’ll take the company bus"/>
    <m/>
    <s v="Amaris Consulting"/>
    <s v="Delivery"/>
    <s v="NGUYEN The Trinh"/>
    <s v="In"/>
    <x v="0"/>
    <n v="0"/>
    <n v="0"/>
    <n v="0"/>
    <n v="1"/>
    <n v="2"/>
    <x v="40"/>
  </r>
  <r>
    <s v="Tri Hung NGUYEN"/>
    <s v="Yes, count me in!"/>
    <s v="040099011473"/>
    <s v="0946650045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1"/>
  </r>
  <r>
    <s v="Hoang Tuan Anh NGUYEN"/>
    <s v="Yes, count me in!"/>
    <s v="079096034588"/>
    <s v="0938282487"/>
    <s v="No"/>
    <m/>
    <s v="I’ll take the company bus"/>
    <m/>
    <s v="Amaris Consulting"/>
    <s v="Consultants"/>
    <s v="NGUYEN The Trinh"/>
    <s v="In"/>
    <x v="0"/>
    <n v="0"/>
    <n v="0"/>
    <n v="0"/>
    <n v="1"/>
    <n v="3"/>
    <x v="41"/>
  </r>
  <r>
    <s v="That Viet Anh TON"/>
    <s v="Yes, count me in!"/>
    <s v="079096027174"/>
    <s v="0934297931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2"/>
  </r>
  <r>
    <s v="Truong An NGUYEN"/>
    <s v="Yes, count me in!"/>
    <s v="075095021646"/>
    <s v="0352680918"/>
    <s v="No"/>
    <m/>
    <s v="I’ll take the company bus"/>
    <m/>
    <s v="Amaris Consulting"/>
    <s v="Consultants"/>
    <s v="NGUYEN Hoang Tuan Anh"/>
    <s v="In"/>
    <x v="0"/>
    <n v="0"/>
    <n v="0"/>
    <n v="0"/>
    <n v="1"/>
    <n v="3"/>
    <x v="42"/>
  </r>
  <r>
    <s v="Nam Kha LE"/>
    <s v="Yes, count me in!"/>
    <s v="052097015080"/>
    <s v="0776756952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3"/>
  </r>
  <r>
    <s v="Tan Hoang NGUYEN"/>
    <s v="Yes, count me in!"/>
    <s v="051202007406"/>
    <s v="0345717796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4"/>
  </r>
  <r>
    <s v="Bao Khang HA"/>
    <s v="Yes, count me in!"/>
    <s v="091201012114"/>
    <s v="0762922184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5"/>
  </r>
  <r>
    <s v="Thanh Duy CHAU"/>
    <s v="Yes, count me in!"/>
    <s v="079098003185"/>
    <s v="087929596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5"/>
  </r>
  <r>
    <s v="Van Tien CAO"/>
    <s v="Yes, count me in!"/>
    <s v="067098004566"/>
    <s v="0584106886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6"/>
  </r>
  <r>
    <s v="Phuong VU"/>
    <s v="Yes, count me in!"/>
    <s v="089096021770"/>
    <s v="0962359719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6"/>
  </r>
  <r>
    <s v="Minh Tan TRAN"/>
    <s v="Yes, count me in!"/>
    <s v="082097013452"/>
    <s v="033254802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7"/>
  </r>
  <r>
    <s v="Xuan Thuong TRINH"/>
    <s v="Yes, count me in!"/>
    <s v="049092003884"/>
    <s v="097371834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8"/>
  </r>
  <r>
    <s v="Van Hieu NGUYEN"/>
    <s v="Yes, count me in!"/>
    <s v="052096015341"/>
    <s v="0397459642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9"/>
  </r>
  <r>
    <s v="Kim Gia Huy NGUYEN"/>
    <s v="Yes, count me in!"/>
    <s v="079099027044"/>
    <s v="033561805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49"/>
  </r>
  <r>
    <s v="Thanh Xuan BUI"/>
    <s v="Yes, count me in!"/>
    <s v="075090010849"/>
    <s v="0778836595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0"/>
  </r>
  <r>
    <s v="Van Tinh PHAM"/>
    <s v="Yes, count me in!"/>
    <s v="052092015218"/>
    <s v="0346726479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0"/>
  </r>
  <r>
    <s v="Thi Phuong Thao VU"/>
    <s v="Yes, count me in!"/>
    <s v="035198005801"/>
    <s v="0961393725"/>
    <s v="Yes"/>
    <s v="Cao Thi Truc Duyen - Female - 15/06/1997 - 083197002767"/>
    <s v="I’ll take the company bus"/>
    <m/>
    <s v="Amaris Consulting"/>
    <s v="Consultants"/>
    <s v="TRAN Thi Ha My"/>
    <s v="In"/>
    <x v="1"/>
    <n v="0"/>
    <n v="1"/>
    <n v="1"/>
    <n v="2"/>
    <n v="3"/>
    <x v="51"/>
  </r>
  <r>
    <s v="Thi Nguyet NONG"/>
    <s v="Yes, count me in!"/>
    <s v="091301010042"/>
    <s v="0768811159"/>
    <s v="No"/>
    <m/>
    <s v="I’ll take the company bus"/>
    <m/>
    <s v="Amaris Consulting"/>
    <s v="Consultants"/>
    <s v="NGUYEN Hoang Tuan Anh"/>
    <s v="In"/>
    <x v="0"/>
    <n v="0"/>
    <n v="0"/>
    <n v="0"/>
    <n v="1"/>
    <n v="1"/>
    <x v="0"/>
  </r>
  <r>
    <s v="Thi Viet Trinh NGUYEN"/>
    <s v="Yes, count me in!"/>
    <s v="075193013225"/>
    <s v="0356055190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2"/>
  </r>
  <r>
    <s v="Khanh Gia CHUNG"/>
    <s v="Yes, count me in!"/>
    <s v="079301006935"/>
    <s v="0779911643"/>
    <s v="No"/>
    <m/>
    <s v="I’ll take the company bus"/>
    <m/>
    <s v="Amaris Consulting"/>
    <s v="Consultants"/>
    <s v="TRAN Thi Ha My"/>
    <s v="In"/>
    <x v="0"/>
    <n v="0"/>
    <n v="0"/>
    <n v="0"/>
    <n v="1"/>
    <n v="3"/>
    <x v="1"/>
  </r>
  <r>
    <s v="Ngoc Trang Dai TRAN"/>
    <s v="Yes, count me in!"/>
    <s v="084197000010"/>
    <s v="0936610147"/>
    <s v="No"/>
    <m/>
    <s v="I’ll take the company bus"/>
    <m/>
    <s v="Amaris Consulting"/>
    <s v="Consultants"/>
    <s v="TRAN Thi Ha My"/>
    <s v="In"/>
    <x v="0"/>
    <n v="0"/>
    <n v="0"/>
    <n v="0"/>
    <n v="1"/>
    <n v="3"/>
    <x v="53"/>
  </r>
  <r>
    <s v="Cong Tuan VAN"/>
    <s v="Yes, count me in!"/>
    <s v="052092002529"/>
    <s v="0977794203"/>
    <s v="Yes"/>
    <s v="Nguyen Thi Viet Le - Female - 20/11/1997 - 049197010026"/>
    <s v="I’ll take the company bus"/>
    <m/>
    <s v="Amaris Consulting"/>
    <s v="Consultants"/>
    <s v="TRAN Thi Ha My"/>
    <s v="In"/>
    <x v="1"/>
    <n v="0"/>
    <n v="1"/>
    <n v="1"/>
    <n v="2"/>
    <n v="3"/>
    <x v="54"/>
  </r>
  <r>
    <s v="Nham Quy TRAN"/>
    <s v="Yes, count me in!"/>
    <s v="052092016286"/>
    <s v="0972326052"/>
    <s v="Yes"/>
    <s v="Lam Vi Phuong - Female - 25/05/1994 - 084194007540"/>
    <s v="I’ll take the company bus"/>
    <m/>
    <s v="Amaris Consulting"/>
    <s v="Consultants"/>
    <s v="TRAN Thi Ha My"/>
    <s v="In"/>
    <x v="1"/>
    <n v="0"/>
    <n v="1"/>
    <n v="1"/>
    <n v="2"/>
    <n v="3"/>
    <x v="55"/>
  </r>
  <r>
    <s v="Anh Tuan - Tl NGUYEN"/>
    <s v="Yes, count me in!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s v="I’ll take the company bus"/>
    <m/>
    <s v="Amaris Consulting"/>
    <s v="Consultants"/>
    <s v="TRAN Thi Ha My"/>
    <s v="In"/>
    <x v="1"/>
    <n v="2"/>
    <n v="1"/>
    <n v="3"/>
    <n v="4"/>
    <n v="3"/>
    <x v="56"/>
  </r>
  <r>
    <s v="Huy Hoang NGUYEN"/>
    <s v="Yes, count me in!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s v="I’ll take the company bus"/>
    <m/>
    <s v="Amaris Consulting"/>
    <s v="Consultants"/>
    <s v="TRAN Thi Ha My"/>
    <s v="In"/>
    <x v="1"/>
    <n v="2"/>
    <n v="1"/>
    <n v="3"/>
    <n v="4"/>
    <n v="3"/>
    <x v="57"/>
  </r>
  <r>
    <s v="Cong Quan PHAM"/>
    <s v="Yes, count me in!"/>
    <s v="049095015282"/>
    <s v="0386987100"/>
    <s v="Yes"/>
    <s v="1. Ung Thụy Song Quỳnh - Female - 11/11/1995 - 049195000151_x000a_2. Phạm Công Quang - Male - 26/05/2024 - 049224004390"/>
    <s v="I’ll take the company bus"/>
    <m/>
    <s v="Amaris Consulting"/>
    <s v="Consultants"/>
    <s v="TRAN Thi Ha My"/>
    <s v="In"/>
    <x v="1"/>
    <n v="1"/>
    <n v="1"/>
    <n v="2"/>
    <n v="3"/>
    <n v="3"/>
    <x v="58"/>
  </r>
  <r>
    <s v="Thi Ha My TRAN"/>
    <s v="Yes, count me in!"/>
    <s v="040195009694"/>
    <s v="0966272279"/>
    <s v="No"/>
    <m/>
    <s v="I’ll take the company bus"/>
    <m/>
    <s v="Amaris Consulting"/>
    <s v="Delivery"/>
    <s v="NGUYEN The Trinh"/>
    <s v="In"/>
    <x v="0"/>
    <n v="0"/>
    <n v="0"/>
    <n v="0"/>
    <n v="1"/>
    <n v="3"/>
    <x v="53"/>
  </r>
  <r>
    <s v="Thanh Trung NGUYEN"/>
    <s v="Yes, count me in!"/>
    <s v="031202004177"/>
    <s v="088689567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59"/>
  </r>
  <r>
    <s v="Nguyen Ngoc NGUYEN SY"/>
    <s v="Yes, count me in!"/>
    <s v="079202021638"/>
    <s v="089933744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59"/>
  </r>
  <r>
    <s v="Anh Quoc PHAM"/>
    <s v="Yes, count me in!"/>
    <s v="079201003742"/>
    <s v="0896116155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0"/>
  </r>
  <r>
    <s v="Hai Binh DANG"/>
    <s v="Yes, count me in!"/>
    <s v="031202010766"/>
    <s v="0981412159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0"/>
  </r>
  <r>
    <s v="Trung Tin THAI"/>
    <s v="Yes, count me in!"/>
    <s v="064201004428"/>
    <s v="0337399029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1"/>
  </r>
  <r>
    <s v="Nhat DANG MINH"/>
    <s v="Yes, count me in!"/>
    <s v="048203001699"/>
    <s v="0905054228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61"/>
  </r>
  <r>
    <s v="Trung Kien PHAM"/>
    <s v="Yes, count me in!"/>
    <s v="030098008566"/>
    <s v="0348997157"/>
    <s v="Yes"/>
    <s v="TRẦN DIỆP HUY - 046098011753 - 0766669006 - Male - 07/01/1998"/>
    <s v="I’ll take the company bus"/>
    <m/>
    <s v="Amaris Consulting"/>
    <s v="Consultants"/>
    <s v="NGUYEN Duc Quy"/>
    <s v="In"/>
    <x v="1"/>
    <n v="0"/>
    <n v="1"/>
    <n v="1"/>
    <n v="2"/>
    <n v="4"/>
    <x v="62"/>
  </r>
  <r>
    <s v="Chien Hao CAO"/>
    <s v="Yes, count me in!"/>
    <s v="066200009584"/>
    <s v="076429052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3"/>
  </r>
  <r>
    <s v="Do Nhat Minh PHAM"/>
    <s v="Yes, count me in!"/>
    <s v="079099034668"/>
    <s v="090665985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3"/>
  </r>
  <r>
    <s v="Duy Hanh LE"/>
    <s v="Yes, count me in!"/>
    <s v="079090028751"/>
    <s v="0937308357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4"/>
  </r>
  <r>
    <s v="Huu Thinh NGUYEN"/>
    <s v="Yes, count me in!"/>
    <s v="066096004066"/>
    <s v="0868415847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4"/>
  </r>
  <r>
    <s v="Duc Thanh VAN"/>
    <s v="Yes, count me in!"/>
    <s v="079090038513"/>
    <s v="035615421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5"/>
  </r>
  <r>
    <s v="Duan NGUYEN LE"/>
    <s v="Yes, count me in!"/>
    <s v="080096010523"/>
    <s v="0966441600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5"/>
  </r>
  <r>
    <s v="Hoang Long NGUYEN"/>
    <s v="Yes, count me in!"/>
    <s v="056098000238"/>
    <s v="0392707949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6"/>
  </r>
  <r>
    <s v="Tan Hoang - Bi NGUYEN"/>
    <s v="Yes, count me in!"/>
    <s v="079203011720"/>
    <s v="0938080935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6"/>
  </r>
  <r>
    <s v="Thai Hien LUONG"/>
    <s v="Yes, count me in!"/>
    <s v="048087005724"/>
    <s v="0968678149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7"/>
  </r>
  <r>
    <s v="Van Ket VO"/>
    <s v="Yes, count me in!"/>
    <s v="051091012099"/>
    <s v="0902898110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7"/>
  </r>
  <r>
    <s v="Vu Phuong NGUYEN"/>
    <s v="Yes, count me in!"/>
    <s v="086096004777"/>
    <s v="0705731919"/>
    <s v="No"/>
    <m/>
    <s v="I’ll take the company bus"/>
    <m/>
    <s v="Amaris Consulting"/>
    <s v="Consultants"/>
    <s v="NGUYEN Duc Quy"/>
    <s v="In"/>
    <x v="0"/>
    <n v="0"/>
    <n v="0"/>
    <n v="0"/>
    <n v="1"/>
    <n v="4"/>
    <x v="68"/>
  </r>
  <r>
    <s v="Hai Thien NGUYEN"/>
    <s v="Yes, count me in!"/>
    <s v="37598"/>
    <s v="0385094422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68"/>
  </r>
  <r>
    <s v="Huu Khoi Nguyen PHAM"/>
    <s v="Yes, count me in!"/>
    <s v="068201006525"/>
    <s v="090872564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69"/>
  </r>
  <r>
    <s v="Phuoc Son LE"/>
    <s v="Yes, count me in!"/>
    <s v="045091003975"/>
    <s v="0915004496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7"/>
  </r>
  <r>
    <s v="Thanh Tung LE"/>
    <s v="Yes, count me in!"/>
    <s v="091095009127"/>
    <s v="0988438042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8"/>
  </r>
  <r>
    <s v="Vu Duy DINH"/>
    <s v="Yes, count me in!"/>
    <s v="068087004573"/>
    <s v="0938112129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3"/>
  </r>
  <r>
    <s v="Tung Lam NGO"/>
    <s v="Yes, count me in!"/>
    <s v="001203015512"/>
    <s v="0397810603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0"/>
  </r>
  <r>
    <s v="Chi Tam NGUYEN LE"/>
    <s v="Yes, count me in!"/>
    <s v="080201013658"/>
    <s v="0847827897"/>
    <s v="No"/>
    <m/>
    <s v="I’ll take the company bus"/>
    <m/>
    <s v="Amaris Consulting"/>
    <s v="Consultants"/>
    <s v="TRAN Thi Ha My"/>
    <s v="In"/>
    <x v="0"/>
    <n v="0"/>
    <n v="0"/>
    <n v="0"/>
    <n v="1"/>
    <n v="4"/>
    <x v="44"/>
  </r>
  <r>
    <s v="TRUONG Van Sang"/>
    <s v="Yes, count me in!"/>
    <s v="066098009860"/>
    <s v="+8437627523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0"/>
  </r>
  <r>
    <s v="Thi Quynh Phuong NGUYEN"/>
    <s v="Yes, count me in!"/>
    <s v="079196001003"/>
    <s v="0931173302"/>
    <s v="No"/>
    <m/>
    <s v="I’ll take the company bus"/>
    <m/>
    <s v="Amaris Consulting"/>
    <s v="Consultants"/>
    <s v="NGUYEN Thi Minh Phuong"/>
    <s v="In"/>
    <x v="0"/>
    <n v="0"/>
    <n v="0"/>
    <n v="0"/>
    <n v="1"/>
    <n v="4"/>
    <x v="71"/>
  </r>
  <r>
    <s v="Ngoc Khanh Linh DANG"/>
    <s v="Yes, count me in!"/>
    <s v="079197010801"/>
    <s v="0704954529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2"/>
  </r>
  <r>
    <s v="Trần Quỳnh Anh"/>
    <s v="Yes, count me in!"/>
    <s v="001196042675"/>
    <s v="+84 583 032 919"/>
    <s v="No"/>
    <m/>
    <s v="I’ll take the company bus"/>
    <s v="Team chị My"/>
    <s v="Amaris Consulting"/>
    <s v="Consultants"/>
    <s v="TRAN Thi Ha My"/>
    <s v="In"/>
    <x v="0"/>
    <n v="0"/>
    <n v="0"/>
    <n v="0"/>
    <n v="1"/>
    <n v="4"/>
    <x v="39"/>
  </r>
  <r>
    <s v="NGUYEN Bao Ngoc"/>
    <s v="Yes, count me in!"/>
    <s v="080196014207"/>
    <s v="+84348592628"/>
    <s v="No"/>
    <m/>
    <s v="I’ll take the company bus"/>
    <m/>
    <s v="Amaris Consulting"/>
    <s v="Consultants"/>
    <s v="TRAN Thi Ha My"/>
    <s v="In"/>
    <x v="0"/>
    <n v="0"/>
    <n v="0"/>
    <n v="0"/>
    <n v="1"/>
    <n v="4"/>
    <x v="73"/>
  </r>
  <r>
    <s v="Duc Quy NGUYEN"/>
    <s v="Yes, count me in!"/>
    <s v="079093005091"/>
    <s v="0906793262"/>
    <s v="No"/>
    <m/>
    <s v="I’ll take the company bus"/>
    <m/>
    <s v="Amaris Consulting"/>
    <s v="Managers"/>
    <s v="VU Thanh Hang"/>
    <s v="In"/>
    <x v="0"/>
    <n v="0"/>
    <n v="0"/>
    <n v="0"/>
    <n v="1"/>
    <n v="4"/>
    <x v="74"/>
  </r>
  <r>
    <s v="Huynh Nhat Tan TRAN"/>
    <s v="Yes, count me in!"/>
    <s v="064096009158"/>
    <s v="0367776115"/>
    <s v="Yes"/>
    <s v="Nguyễn Thị Bích Duyên - Female - 05/08/1995"/>
    <s v="I’ll take the company bus"/>
    <m/>
    <s v="Amaris Consulting"/>
    <s v="Consultants"/>
    <s v="TRAN Thi Ha My"/>
    <s v="In"/>
    <x v="1"/>
    <n v="0"/>
    <n v="1"/>
    <n v="1"/>
    <n v="2"/>
    <n v="4"/>
    <x v="75"/>
  </r>
  <r>
    <s v="Thi Minh Phuong NGUYEN"/>
    <s v="Yes, count me in!"/>
    <s v="008193007229"/>
    <s v="0559852579"/>
    <s v="No"/>
    <m/>
    <s v="I’ll take the company bus"/>
    <m/>
    <n v="76777"/>
    <s v="Managers"/>
    <s v="NGUYEN Duc Quy"/>
    <s v="In"/>
    <x v="0"/>
    <n v="0"/>
    <n v="0"/>
    <n v="0"/>
    <n v="1"/>
    <n v="4"/>
    <x v="40"/>
  </r>
  <r>
    <s v="Kim Nha DAO"/>
    <s v="Yes, count me in!"/>
    <s v="079300041083"/>
    <s v="0778605436"/>
    <s v="No"/>
    <m/>
    <s v="I’ll take the company bus"/>
    <m/>
    <s v="Amaris Consulting"/>
    <s v="Consultants"/>
    <s v="HUYNH Minh Khoi"/>
    <s v="In"/>
    <x v="0"/>
    <n v="0"/>
    <n v="0"/>
    <n v="0"/>
    <n v="1"/>
    <n v="4"/>
    <x v="76"/>
  </r>
  <r>
    <s v="Chau Giang NGUYEN"/>
    <s v="Yes, count me in!"/>
    <s v="079302023454"/>
    <s v="0902912836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n v="5"/>
    <x v="77"/>
  </r>
  <r>
    <s v="Uyen TRINH LE THAO"/>
    <s v="Yes, count me in!"/>
    <s v="095304000809"/>
    <s v="094121925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77"/>
  </r>
  <r>
    <s v="Yen Xuan HONG"/>
    <s v="Yes, count me in!"/>
    <s v="095190000250"/>
    <s v="0934831283"/>
    <s v="No"/>
    <m/>
    <s v="I’ll take the company bus"/>
    <m/>
    <s v="Real Estate and Support Services"/>
    <s v="Office Facillity Management"/>
    <s v="NGUYEN The Trinh"/>
    <s v="In"/>
    <x v="0"/>
    <n v="0"/>
    <n v="0"/>
    <n v="0"/>
    <n v="1"/>
    <n v="5"/>
    <x v="78"/>
  </r>
  <r>
    <s v="Thi Tram Anh LUONG"/>
    <s v="Yes, count me in!"/>
    <s v="066304003315"/>
    <s v="0345814997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n v="5"/>
    <x v="78"/>
  </r>
  <r>
    <s v="Thi Tu Quyen LE"/>
    <s v="Yes, count me in!"/>
    <s v="060303003328"/>
    <s v="0947047885"/>
    <s v="No"/>
    <m/>
    <s v="I’ll take the company bus"/>
    <s v="I’m allergic to beef"/>
    <s v="Administrative &amp; Finance"/>
    <s v="Financial Business Controlling"/>
    <s v="BUI Quang Hung"/>
    <s v="In"/>
    <x v="0"/>
    <n v="0"/>
    <n v="0"/>
    <n v="0"/>
    <n v="1"/>
    <n v="5"/>
    <x v="79"/>
  </r>
  <r>
    <s v="Ha Nhi NGUYEN"/>
    <s v="Yes, count me in!"/>
    <s v="048198002437"/>
    <s v="0335767961"/>
    <s v="No"/>
    <m/>
    <s v="I’ll take the company bus"/>
    <m/>
    <s v="Administrative &amp; Finance"/>
    <s v="Operational Finance"/>
    <s v="DUTERTRE Geoffrey"/>
    <s v="In"/>
    <x v="0"/>
    <n v="0"/>
    <n v="0"/>
    <n v="0"/>
    <n v="1"/>
    <n v="5"/>
    <x v="79"/>
  </r>
  <r>
    <s v="Tran Phuong Nga VO"/>
    <s v="Yes, count me in!"/>
    <s v="066304009657"/>
    <s v="0917810796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0"/>
  </r>
  <r>
    <s v="Thi Thanh Thao NGUYEN"/>
    <s v="Yes, count me in!"/>
    <s v="077304002316"/>
    <s v="0971917272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0"/>
  </r>
  <r>
    <s v="Hoang Mai Quyen PHAM"/>
    <s v="Yes, count me in!"/>
    <s v="079304008486"/>
    <s v="0933557924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1"/>
  </r>
  <r>
    <s v="Ho Ngoc Tran NGUYEN"/>
    <s v="Yes, count me in!"/>
    <s v="077304005352"/>
    <s v="0917827457"/>
    <s v="No"/>
    <m/>
    <s v="I’ll take the company bus"/>
    <m/>
    <s v="Administrative &amp; Finance"/>
    <s v="Financial Business Controlling"/>
    <s v="BUI Quang Hung"/>
    <s v="In"/>
    <x v="0"/>
    <n v="0"/>
    <n v="0"/>
    <n v="0"/>
    <n v="1"/>
    <n v="5"/>
    <x v="81"/>
  </r>
  <r>
    <s v="Quynh Mai NGUYEN"/>
    <s v="Yes, count me in!"/>
    <s v="079302030108"/>
    <s v="0868120502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2"/>
  </r>
  <r>
    <s v="Thi Phuong Thao TRUONG"/>
    <s v="Yes, count me in!"/>
    <s v="034300013120"/>
    <s v="0986555347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2"/>
  </r>
  <r>
    <s v="Lan Vy LE"/>
    <s v="Yes, count me in!"/>
    <s v="051198007784"/>
    <s v="0356703207"/>
    <s v="No"/>
    <m/>
    <s v="I’ll take the company bus"/>
    <m/>
    <s v="Administrative &amp; Finance"/>
    <s v="Financial Business Controlling"/>
    <s v="ALSHABANI Anas"/>
    <s v="In"/>
    <x v="0"/>
    <n v="0"/>
    <n v="0"/>
    <n v="0"/>
    <n v="1"/>
    <n v="5"/>
    <x v="83"/>
  </r>
  <r>
    <s v="NGUYEN Vu Phuong Uyen"/>
    <s v="Yes, count me in!"/>
    <s v="079195029833"/>
    <s v="0765217394"/>
    <s v="No"/>
    <m/>
    <s v="I’ll take the company bus"/>
    <m/>
    <s v="Administrative &amp; Finance"/>
    <s v="Group Accounting"/>
    <s v="PHAM Hoang Phuc"/>
    <s v="In"/>
    <x v="0"/>
    <n v="0"/>
    <n v="0"/>
    <n v="0"/>
    <n v="1"/>
    <n v="5"/>
    <x v="83"/>
  </r>
  <r>
    <s v="Hoang Thanh Thanh NGUYEN"/>
    <s v="Yes, count me in!"/>
    <s v="045302005235"/>
    <s v="0824988225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n v="5"/>
    <x v="84"/>
  </r>
  <r>
    <s v="Lam Tam Nhu HOANG"/>
    <s v="Yes, count me in!"/>
    <s v="066303001193"/>
    <s v="0971993024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84"/>
  </r>
  <r>
    <s v="Dinh Que Chau VO"/>
    <s v="Yes, count me in!"/>
    <s v="079303023390"/>
    <s v="0828740008"/>
    <s v="No"/>
    <m/>
    <s v="I’ll take the company bus"/>
    <m/>
    <s v="Administrative &amp; Finance"/>
    <s v="Financial Business Controlling"/>
    <s v="RAVAIOLI Filippo"/>
    <s v="In"/>
    <x v="0"/>
    <n v="0"/>
    <n v="0"/>
    <n v="0"/>
    <n v="1"/>
    <n v="5"/>
    <x v="85"/>
  </r>
  <r>
    <s v="Bao Quyen LAM"/>
    <s v="Yes, count me in!"/>
    <s v="052303001134"/>
    <s v="0394301209"/>
    <s v="No"/>
    <m/>
    <s v="I’ll take the company bus"/>
    <m/>
    <s v="Administrative &amp; Finance"/>
    <s v="Financial Business Controlling"/>
    <s v="VO Xuan Hung"/>
    <s v="In"/>
    <x v="0"/>
    <n v="0"/>
    <n v="0"/>
    <n v="0"/>
    <n v="1"/>
    <n v="5"/>
    <x v="85"/>
  </r>
  <r>
    <s v="Ngoc Khanh LE"/>
    <s v="Yes, count me in!"/>
    <s v="031303000776"/>
    <s v="0393991003"/>
    <s v="No"/>
    <m/>
    <s v="I’ll take the company bus"/>
    <m/>
    <s v="Administrative &amp; Finance"/>
    <s v="Financial Business Controlling"/>
    <s v="NGUYEN The Anh"/>
    <s v="In"/>
    <x v="0"/>
    <n v="0"/>
    <n v="0"/>
    <n v="0"/>
    <n v="1"/>
    <n v="5"/>
    <x v="86"/>
  </r>
  <r>
    <s v="Ngoc Phuong Uyen TRAN"/>
    <s v="Yes, count me in!"/>
    <s v="060303007588"/>
    <s v="0835255477"/>
    <s v="No"/>
    <m/>
    <s v="I’ll take the company bus"/>
    <m/>
    <s v="Administrative &amp; Finance"/>
    <s v="Financial Business Controlling"/>
    <s v="PHAN Thi Ha Trang"/>
    <s v="In"/>
    <x v="0"/>
    <n v="0"/>
    <n v="0"/>
    <n v="0"/>
    <n v="1"/>
    <n v="5"/>
    <x v="86"/>
  </r>
  <r>
    <s v="Tran Phuong Phuong NGUYEN"/>
    <s v="Yes, count me in!"/>
    <s v="077198000661"/>
    <s v="0933655795"/>
    <s v="No"/>
    <m/>
    <s v="I’ll take the company bus"/>
    <m/>
    <s v="Administrative &amp; Finance"/>
    <s v="Financial Business Controlling"/>
    <s v="CHECROUN Juliette"/>
    <s v="In"/>
    <x v="0"/>
    <n v="0"/>
    <n v="0"/>
    <n v="0"/>
    <n v="1"/>
    <n v="5"/>
    <x v="87"/>
  </r>
  <r>
    <s v="Khanh Linh PHAN"/>
    <s v="Yes, count me in!"/>
    <s v="079198036919"/>
    <s v="0903376980"/>
    <s v="No"/>
    <m/>
    <s v="I’ll take the company bus"/>
    <s v="food allergy - all types of fish"/>
    <s v="Administrative &amp; Finance"/>
    <s v="Financial Business Controlling"/>
    <s v="NGUYEN Tran Phuong Phuong"/>
    <s v="In"/>
    <x v="0"/>
    <n v="0"/>
    <n v="0"/>
    <n v="0"/>
    <n v="1"/>
    <n v="5"/>
    <x v="87"/>
  </r>
  <r>
    <s v="Tue Quan DIEP"/>
    <s v="Yes, count me in!"/>
    <s v="079199001035"/>
    <s v="0906982803"/>
    <s v="Yes"/>
    <s v="Nguyen The Anh - Male - 21/07/2000 - 040200000125"/>
    <s v="I’ll take the company bus"/>
    <m/>
    <s v="Administrative &amp; Finance"/>
    <s v="Financial Business Controlling"/>
    <s v="HERNANDEZ Laurine"/>
    <s v="In"/>
    <x v="1"/>
    <n v="0"/>
    <n v="1"/>
    <n v="1"/>
    <n v="2"/>
    <n v="5"/>
    <x v="88"/>
  </r>
  <r>
    <s v="Dang Quang LE"/>
    <s v="Yes, count me in!"/>
    <s v="060099008043"/>
    <s v="0933726329"/>
    <s v="No"/>
    <m/>
    <s v="I’ll take the company bus"/>
    <m/>
    <s v="Administrative &amp; Finance"/>
    <s v="Group &amp; Corporate Controlling"/>
    <s v="BUI Thi Ngoc Minh"/>
    <s v="In"/>
    <x v="0"/>
    <n v="0"/>
    <n v="0"/>
    <n v="0"/>
    <n v="1"/>
    <n v="5"/>
    <x v="89"/>
  </r>
  <r>
    <s v="The Anh NGUYEN"/>
    <s v="Yes, count me in!"/>
    <s v="070093006594"/>
    <s v="0909321830"/>
    <s v="No"/>
    <m/>
    <s v="I’ll take the company bus"/>
    <m/>
    <s v="Administrative &amp; Finance"/>
    <s v="Finance Operations"/>
    <s v="SEMERADT Corinne"/>
    <s v="In"/>
    <x v="0"/>
    <n v="0"/>
    <n v="0"/>
    <n v="0"/>
    <n v="1"/>
    <n v="5"/>
    <x v="89"/>
  </r>
  <r>
    <s v="Trung Kien NGUYEN"/>
    <s v="Yes, count me in!"/>
    <s v="077097003655"/>
    <s v="0355327017"/>
    <s v="No"/>
    <m/>
    <s v="I’ll take the company bus"/>
    <m/>
    <s v="Administrative &amp; Finance"/>
    <s v="Group &amp; Corporate Controlling"/>
    <s v="CATEL Agnès"/>
    <s v="In"/>
    <x v="0"/>
    <n v="0"/>
    <n v="0"/>
    <n v="0"/>
    <n v="1"/>
    <n v="5"/>
    <x v="90"/>
  </r>
  <r>
    <s v="Huu Phuc - Tony TRAN"/>
    <s v="Yes, count me in!"/>
    <s v="079096020132"/>
    <s v="0917923778"/>
    <s v="No"/>
    <m/>
    <s v="I’ll take the company bus"/>
    <m/>
    <s v="Administrative &amp; Finance"/>
    <s v="Group Accounting"/>
    <s v="NGUYEN Vu Phuong Uyen"/>
    <s v="In"/>
    <x v="0"/>
    <n v="0"/>
    <n v="0"/>
    <n v="0"/>
    <n v="1"/>
    <n v="5"/>
    <x v="90"/>
  </r>
  <r>
    <s v="Hoang Phuc PHAM"/>
    <s v="Yes, count me in!"/>
    <s v="079086003000"/>
    <s v="0903177922"/>
    <s v="No"/>
    <m/>
    <s v="I’ll take the company bus"/>
    <m/>
    <s v="Administrative &amp; Finance"/>
    <s v="Finance Operations"/>
    <s v="DE LACOMBE Romain"/>
    <s v="In"/>
    <x v="0"/>
    <n v="0"/>
    <n v="0"/>
    <n v="0"/>
    <n v="1"/>
    <n v="5"/>
    <x v="91"/>
  </r>
  <r>
    <s v="Quang Hung BUI"/>
    <s v="Yes, count me in!"/>
    <s v="074092001617"/>
    <s v="0944234096"/>
    <s v="No"/>
    <m/>
    <s v="I’ll take the company bus"/>
    <m/>
    <s v="Administrative &amp; Finance"/>
    <s v="Finance Operations"/>
    <s v="XIA Shuang"/>
    <s v="In"/>
    <x v="0"/>
    <n v="0"/>
    <n v="0"/>
    <n v="0"/>
    <n v="1"/>
    <n v="5"/>
    <x v="91"/>
  </r>
  <r>
    <s v="Xuan Tung LE"/>
    <s v="Yes, count me in!"/>
    <s v="054204000568"/>
    <s v="0377887851"/>
    <s v="No"/>
    <m/>
    <s v="I’ll take the company bus"/>
    <s v="No spicy"/>
    <s v="Administrative &amp; Finance"/>
    <s v="Financial Business Controlling"/>
    <s v="BUI Quang Hung"/>
    <s v="In"/>
    <x v="0"/>
    <n v="0"/>
    <n v="0"/>
    <n v="0"/>
    <n v="1"/>
    <n v="5"/>
    <x v="92"/>
  </r>
  <r>
    <s v="Minh Nhat BUI"/>
    <s v="Yes, count me in!"/>
    <s v="'079202030875"/>
    <s v="'0902788713"/>
    <s v="No"/>
    <m/>
    <s v="I’ll take the company bus"/>
    <m/>
    <s v="Administrative &amp; Finance"/>
    <s v="Financial Business Controlling"/>
    <s v="BUI Thi Ngoc Minh"/>
    <s v="In"/>
    <x v="0"/>
    <n v="0"/>
    <n v="0"/>
    <n v="0"/>
    <n v="1"/>
    <n v="5"/>
    <x v="92"/>
  </r>
  <r>
    <s v="Geoffrey DUTERTRE"/>
    <s v="Yes, count me in!"/>
    <s v="25HD56242"/>
    <s v="0902411648"/>
    <s v="No"/>
    <m/>
    <s v="I’ll take the company bus"/>
    <m/>
    <s v="Administrative &amp; Finance"/>
    <s v="Operational Finance"/>
    <s v="DE LACOMBE Romain"/>
    <s v="In"/>
    <x v="0"/>
    <n v="0"/>
    <n v="0"/>
    <n v="0"/>
    <n v="1"/>
    <n v="5"/>
    <x v="93"/>
  </r>
  <r>
    <s v="Thi Lanh HO"/>
    <s v="Yes, count me in!"/>
    <s v="089192001289"/>
    <s v="0933595559"/>
    <s v="No"/>
    <m/>
    <s v="I’ll take the company bus"/>
    <s v="Food allergies: shrimps"/>
    <s v="Information Technology"/>
    <s v="Quality Control"/>
    <s v="RAHMANI Rihab"/>
    <s v="In"/>
    <x v="0"/>
    <n v="0"/>
    <n v="0"/>
    <n v="0"/>
    <n v="1"/>
    <n v="6"/>
    <x v="94"/>
  </r>
  <r>
    <s v="Trinh Quynh Nhu NGO"/>
    <s v="Yes, count me in!"/>
    <s v="079188037007"/>
    <s v="0886311686"/>
    <s v="No"/>
    <m/>
    <s v="I’ll take the company bus"/>
    <m/>
    <s v="Information Technology"/>
    <s v="Product Management"/>
    <s v="NGUYEN Anh Tuan - Richard"/>
    <s v="In"/>
    <x v="0"/>
    <n v="0"/>
    <n v="0"/>
    <n v="0"/>
    <n v="1"/>
    <n v="6"/>
    <x v="95"/>
  </r>
  <r>
    <s v="Clémence LIN"/>
    <s v="Yes, count me in!"/>
    <s v="24HC90633"/>
    <s v="0896948417"/>
    <s v="No"/>
    <m/>
    <s v="I’ll take the company bus"/>
    <s v="Xếp chung phòng với Ruby"/>
    <s v="Amaris Consulting"/>
    <s v="Presales"/>
    <s v="CAMARET Arthur"/>
    <s v="In"/>
    <x v="0"/>
    <n v="0"/>
    <n v="0"/>
    <n v="0"/>
    <n v="1"/>
    <n v="6"/>
    <x v="95"/>
  </r>
  <r>
    <s v="Thi My Hanh TA"/>
    <s v="Yes, count me in!"/>
    <s v="066303014236"/>
    <s v="0852489626"/>
    <s v="No"/>
    <m/>
    <s v="I’ll take the company bus"/>
    <m/>
    <s v="Information Technology"/>
    <s v="Quality Control"/>
    <s v="NGUYEN Anh Tuan - Richard"/>
    <s v="In"/>
    <x v="0"/>
    <n v="0"/>
    <n v="0"/>
    <n v="0"/>
    <n v="1"/>
    <n v="6"/>
    <x v="96"/>
  </r>
  <r>
    <s v="Ngoc Thao My NGUYEN"/>
    <s v="Yes, count me in!"/>
    <s v="079302018741"/>
    <s v="0773215575"/>
    <s v="No"/>
    <m/>
    <s v="I’ll take the company bus"/>
    <s v="motion sickness medicine"/>
    <s v="Information Technology"/>
    <s v="Software Engineering"/>
    <s v="PHAM Bao Chung"/>
    <s v="In"/>
    <x v="0"/>
    <n v="0"/>
    <n v="0"/>
    <n v="0"/>
    <n v="1"/>
    <n v="6"/>
    <x v="96"/>
  </r>
  <r>
    <s v="Thanh Huong HA"/>
    <s v="Yes, count me in!"/>
    <s v="079196031161"/>
    <s v="0707205096"/>
    <s v="No"/>
    <m/>
    <s v="I’ll take the company bus"/>
    <m/>
    <s v="Information Technology"/>
    <s v="Quality Control"/>
    <s v="HUYNH Anh Tam"/>
    <s v="In"/>
    <x v="0"/>
    <n v="0"/>
    <n v="0"/>
    <n v="0"/>
    <n v="1"/>
    <n v="6"/>
    <x v="97"/>
  </r>
  <r>
    <s v="Nhat Minh TRAN"/>
    <s v="Yes, count me in!"/>
    <s v="079302019473"/>
    <s v="0918597387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97"/>
  </r>
  <r>
    <s v="Ngoc Hoa HUYNH"/>
    <s v="Yes, count me in!"/>
    <s v="079301029723"/>
    <s v="0908488723"/>
    <s v="No"/>
    <m/>
    <s v="I’ll take the company bus"/>
    <m/>
    <s v="Information Technology"/>
    <s v="Quality Control"/>
    <s v="DUQUESNAY Guillaume"/>
    <s v="In"/>
    <x v="0"/>
    <n v="0"/>
    <n v="0"/>
    <n v="0"/>
    <n v="1"/>
    <n v="6"/>
    <x v="98"/>
  </r>
  <r>
    <s v="Thi Ha Trang NGUYEN"/>
    <s v="Yes, count me in!"/>
    <s v="040302018133"/>
    <s v="0826900204"/>
    <s v="No"/>
    <m/>
    <s v="I’ll take the company bus"/>
    <s v="I have plans after the next two days, so I’ll arrange my own travel back to HCM."/>
    <s v="Information Technology"/>
    <s v="Agile Center"/>
    <s v="HUYNH Anh Tam"/>
    <s v="In"/>
    <x v="0"/>
    <n v="0"/>
    <n v="0"/>
    <n v="0"/>
    <n v="1"/>
    <n v="6"/>
    <x v="98"/>
  </r>
  <r>
    <s v="Nguyen Trong Tuan PHAM"/>
    <s v="Yes, count me in!"/>
    <s v="049203006602"/>
    <s v="0367304351"/>
    <s v="No"/>
    <m/>
    <s v="I’ll take the company bus"/>
    <m/>
    <s v="Information Technology"/>
    <s v="Software Engineering"/>
    <s v="PHAN Anh Dung Cuong"/>
    <s v="In"/>
    <x v="0"/>
    <n v="0"/>
    <n v="0"/>
    <n v="0"/>
    <n v="1"/>
    <n v="6"/>
    <x v="99"/>
  </r>
  <r>
    <s v="Tien Khoi DINH"/>
    <s v="Yes, count me in!"/>
    <s v="067202006321"/>
    <s v="0867455918"/>
    <s v="No"/>
    <m/>
    <s v="I’ll take the company bus"/>
    <m/>
    <s v="Information Technology"/>
    <s v="Software Engineering"/>
    <s v="PHAN Anh Dung Cuong"/>
    <s v="In"/>
    <x v="0"/>
    <n v="0"/>
    <n v="0"/>
    <n v="0"/>
    <n v="1"/>
    <n v="6"/>
    <x v="99"/>
  </r>
  <r>
    <s v="Duy Phuong NGUYEN"/>
    <s v="Yes, count me in!"/>
    <s v="080094006419"/>
    <s v="0979891673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0"/>
  </r>
  <r>
    <s v="Phu Loc HOANG"/>
    <s v="Yes, count me in!"/>
    <s v="001203053053"/>
    <s v="0853355397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0"/>
  </r>
  <r>
    <s v="Anh Quan PHAN"/>
    <s v="Yes, count me in!"/>
    <s v="045201007690"/>
    <s v="0973743542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1"/>
  </r>
  <r>
    <s v="Cuong BUI"/>
    <s v="Yes, count me in!"/>
    <s v="066203000250"/>
    <s v="0914 119 624"/>
    <s v="No"/>
    <m/>
    <s v="I’ll take the company bus"/>
    <m/>
    <s v="Information Technology"/>
    <s v="Software Engineering"/>
    <s v="PHAM Bao Chung"/>
    <s v="In"/>
    <x v="0"/>
    <n v="0"/>
    <n v="0"/>
    <n v="0"/>
    <n v="1"/>
    <n v="6"/>
    <x v="101"/>
  </r>
  <r>
    <s v="Minh Tuan PHAM"/>
    <s v="Yes, count me in!"/>
    <s v="075099004545"/>
    <s v="0792909998"/>
    <s v="No"/>
    <m/>
    <s v="I’ll take the company bus"/>
    <s v="please have low fat, low cholesterol, easy to chew food_x000a_I want to be fit and have a nice body :)"/>
    <s v="Information Technology"/>
    <s v="Agile Center"/>
    <s v="LIM Chee Kiat"/>
    <s v="In"/>
    <x v="0"/>
    <n v="0"/>
    <n v="0"/>
    <n v="0"/>
    <n v="1"/>
    <n v="6"/>
    <x v="102"/>
  </r>
  <r>
    <s v="Dinh Van LE"/>
    <s v="Yes, count me in!"/>
    <s v="079096007068"/>
    <s v="032897181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3"/>
  </r>
  <r>
    <s v="Ba Nghi HUYNH"/>
    <s v="Yes, count me in!"/>
    <s v="082098005823"/>
    <s v="0979622203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3"/>
  </r>
  <r>
    <s v="Hoang Duy NGUYEN"/>
    <s v="Yes, count me in!"/>
    <s v="079087016493"/>
    <s v="0362685720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4"/>
  </r>
  <r>
    <s v="Tuan Anh NGUYEN"/>
    <s v="Yes, count me in!"/>
    <s v="082089018141"/>
    <s v="0909857832"/>
    <s v="No"/>
    <m/>
    <s v="I’ll take the company bus"/>
    <m/>
    <s v="Information Technology"/>
    <s v="Software Engineering"/>
    <s v="IVAN Alex Constantin"/>
    <s v="In"/>
    <x v="0"/>
    <n v="0"/>
    <n v="0"/>
    <n v="0"/>
    <n v="1"/>
    <n v="6"/>
    <x v="104"/>
  </r>
  <r>
    <s v="Guillaume DUQUESNAY"/>
    <s v="Yes, count me in!"/>
    <s v="23FV09763"/>
    <s v="+33613234722"/>
    <s v="No"/>
    <m/>
    <s v="I’ll take the company bus"/>
    <s v="Any quality whisky (or wine) will do"/>
    <s v="Information Technology"/>
    <s v="Engineering &amp; Architecture"/>
    <s v="BUZZACARO Alain"/>
    <s v="In"/>
    <x v="0"/>
    <n v="0"/>
    <n v="0"/>
    <n v="0"/>
    <n v="1"/>
    <n v="6"/>
    <x v="105"/>
  </r>
  <r>
    <s v="Van Cop HUYNH"/>
    <s v="Yes, count me in!"/>
    <s v="091086018626"/>
    <s v="0935717578"/>
    <s v="No"/>
    <m/>
    <s v="I’ll take the company bus"/>
    <m/>
    <s v="Information Technology"/>
    <s v="Software Engineering"/>
    <s v="DUQUESNAY Guillaume"/>
    <s v="In"/>
    <x v="0"/>
    <n v="0"/>
    <n v="0"/>
    <n v="0"/>
    <n v="1"/>
    <n v="6"/>
    <x v="105"/>
  </r>
  <r>
    <s v="Hoang Minh NGUYEN"/>
    <s v="Yes, count me in!"/>
    <s v="079095017425"/>
    <s v="0984678726"/>
    <s v="No"/>
    <m/>
    <s v="I’ll take the company bus"/>
    <m/>
    <s v="Information Technology"/>
    <s v="Software Engineering"/>
    <s v="DUQUESNAY Guillaume"/>
    <s v="In"/>
    <x v="0"/>
    <n v="0"/>
    <n v="0"/>
    <n v="0"/>
    <n v="1"/>
    <n v="6"/>
    <x v="106"/>
  </r>
  <r>
    <s v="Hai Nam NGUYEN"/>
    <s v="Yes, count me in!"/>
    <s v="079203014457"/>
    <s v="0968080085"/>
    <s v="No"/>
    <m/>
    <s v="I’ll take the company bus"/>
    <m/>
    <s v="Information Technology"/>
    <s v="Quality Control"/>
    <s v="HUYNH Anh Tam"/>
    <s v="In"/>
    <x v="0"/>
    <n v="0"/>
    <n v="0"/>
    <n v="0"/>
    <n v="1"/>
    <n v="6"/>
    <x v="106"/>
  </r>
  <r>
    <s v="Trung Thong HOANG"/>
    <s v="Yes, count me in!"/>
    <s v="066201002422"/>
    <s v="0372015192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7"/>
  </r>
  <r>
    <s v="Dai Che Phuong TAI"/>
    <s v="Yes, count me in!"/>
    <s v="080087011699"/>
    <s v="0352176769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7"/>
  </r>
  <r>
    <s v="Phu Qui CHAU"/>
    <s v="Yes, count me in!"/>
    <s v="079087017793"/>
    <s v="0903322044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8"/>
  </r>
  <r>
    <s v="Ngoc Huy LE"/>
    <s v="Yes, count me in!"/>
    <s v="051095009095 "/>
    <s v="0985752395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8"/>
  </r>
  <r>
    <s v="Truong Thi NGUYEN"/>
    <s v="Yes, count me in!"/>
    <s v="079078022487"/>
    <s v="0934181732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9"/>
  </r>
  <r>
    <s v="Khac Duy NGUYEN"/>
    <s v="Yes, count me in!"/>
    <s v="083096004407"/>
    <s v="0964072710"/>
    <s v="No"/>
    <m/>
    <s v="I’ll take the company bus"/>
    <m/>
    <s v="Information Technology"/>
    <s v="Software Engineering"/>
    <s v="HUYNH Van Cop"/>
    <s v="In"/>
    <x v="0"/>
    <n v="0"/>
    <n v="0"/>
    <n v="0"/>
    <n v="1"/>
    <n v="6"/>
    <x v="109"/>
  </r>
  <r>
    <s v="Thai Hung TRAN"/>
    <s v="Yes, count me in!"/>
    <s v="066087005950"/>
    <s v="0948912119"/>
    <s v="Yes"/>
    <s v="1. Lưu Hồng Phương Thủy - Female - 27/10/1990 - 06619007476_x000a_2. Trần Hồng Như Ý - Female - 13/7/2025 - 079325017288"/>
    <s v="I’ll take the company bus"/>
    <m/>
    <s v="Information Technology"/>
    <s v="Software Architecture"/>
    <s v="MATYSIAK Hervé"/>
    <s v="In"/>
    <x v="1"/>
    <n v="1"/>
    <n v="1"/>
    <n v="2"/>
    <n v="3"/>
    <n v="6"/>
    <x v="110"/>
  </r>
  <r>
    <s v="Thanh Hoang NGUYEN"/>
    <s v="Yes, count me in!"/>
    <s v="079088031980"/>
    <s v="0938004161"/>
    <s v="No"/>
    <m/>
    <s v="I’ll take the company bus"/>
    <s v="I need a private room"/>
    <s v="Information Technology"/>
    <s v="Agile Center"/>
    <s v="NGUYEN Anh Tuan - Richard"/>
    <s v="In"/>
    <x v="0"/>
    <n v="0"/>
    <n v="0"/>
    <n v="0"/>
    <n v="1"/>
    <n v="6"/>
    <x v="111"/>
  </r>
  <r>
    <s v="Van Trien DANG"/>
    <s v="Yes, count me in!"/>
    <s v="068097008720"/>
    <s v="0981212098"/>
    <s v="No"/>
    <m/>
    <s v="I’ll take the company bus"/>
    <m/>
    <s v="Amaris Consulting"/>
    <s v="Consultants"/>
    <s v="HOANG Thien"/>
    <s v="In"/>
    <x v="0"/>
    <n v="0"/>
    <n v="0"/>
    <n v="0"/>
    <n v="1"/>
    <n v="7"/>
    <x v="112"/>
  </r>
  <r>
    <s v="Thanh Dat NGUYEN"/>
    <s v="Yes, count me in!"/>
    <s v="075096016711"/>
    <s v="0932980033"/>
    <s v="No"/>
    <m/>
    <s v="I’ll take the company bus"/>
    <m/>
    <s v="Amaris Consulting"/>
    <s v="Consultants"/>
    <s v="HOANG Thien"/>
    <s v="In"/>
    <x v="0"/>
    <n v="0"/>
    <n v="0"/>
    <n v="0"/>
    <n v="1"/>
    <n v="7"/>
    <x v="113"/>
  </r>
  <r>
    <s v="Song Toan VU"/>
    <s v="Yes, count me in!"/>
    <s v="048095001773"/>
    <s v="0335353685"/>
    <s v="No"/>
    <m/>
    <s v="I’ll take the company bus"/>
    <m/>
    <s v="Amaris Consulting"/>
    <s v="Consultants"/>
    <s v="HOANG Thien"/>
    <s v="In"/>
    <x v="0"/>
    <n v="0"/>
    <n v="0"/>
    <n v="0"/>
    <n v="1"/>
    <n v="7"/>
    <x v="113"/>
  </r>
  <r>
    <s v="Quang Tin TRAN"/>
    <s v="Yes, count me in!"/>
    <s v="058095001270"/>
    <s v="0349687204"/>
    <s v="No"/>
    <m/>
    <s v="I’ll take the company bus"/>
    <m/>
    <s v="Amaris Consulting"/>
    <s v="Consultants"/>
    <s v="HOANG Thien"/>
    <s v="In"/>
    <x v="0"/>
    <n v="0"/>
    <n v="0"/>
    <n v="0"/>
    <n v="1"/>
    <n v="7"/>
    <x v="114"/>
  </r>
  <r>
    <s v="Vo Tuong Duy"/>
    <s v="Yes, count me in!"/>
    <s v="079200028676"/>
    <s v="0397974403"/>
    <s v="No"/>
    <m/>
    <s v="I’ll take the company bus"/>
    <m/>
    <s v="Amaris Consulting"/>
    <s v="Consultants"/>
    <s v="HOANG Thien"/>
    <s v="In (Exit confirmed)"/>
    <x v="0"/>
    <m/>
    <m/>
    <n v="0"/>
    <n v="1"/>
    <n v="7"/>
    <x v="114"/>
  </r>
  <r>
    <s v="Tran Thuy Linh LU"/>
    <s v="Yes, count me in!"/>
    <s v="079198003401"/>
    <s v="0397430707"/>
    <s v="No"/>
    <m/>
    <s v="I’ll take the company bus"/>
    <m/>
    <s v="Amaris Consulting"/>
    <s v="Consultants"/>
    <s v="TRAN Thi Ha My"/>
    <s v="In"/>
    <x v="0"/>
    <n v="0"/>
    <n v="0"/>
    <n v="0"/>
    <n v="1"/>
    <n v="7"/>
    <x v="52"/>
  </r>
  <r>
    <s v="Kim Anh DO"/>
    <s v="Yes, count me in!"/>
    <s v="079192033623"/>
    <s v="0903747427"/>
    <s v="No"/>
    <m/>
    <s v="I’ll take the company bus"/>
    <s v="Dị ứng Hải sản, phô mai, sữa "/>
    <s v="Amaris Consulting"/>
    <s v="Consultants"/>
    <s v="NGUYEN Thai Ly"/>
    <s v="In"/>
    <x v="0"/>
    <n v="0"/>
    <n v="0"/>
    <n v="0"/>
    <n v="1"/>
    <n v="7"/>
    <x v="71"/>
  </r>
  <r>
    <s v="Dang Khoa PHAM"/>
    <s v="Yes, count me in!"/>
    <s v="079094014846"/>
    <s v="0338330044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5"/>
  </r>
  <r>
    <s v="Huu Thanh Tam TRAN"/>
    <s v="Yes, count me in!"/>
    <s v="045099007148"/>
    <s v="0335533732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5"/>
  </r>
  <r>
    <s v="Nghi Lam PHAM"/>
    <s v="Yes, count me in!"/>
    <s v="075096010782"/>
    <s v="0985788540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6"/>
  </r>
  <r>
    <s v="Viet Hoang TRAN"/>
    <s v="Yes, count me in!"/>
    <s v="001201015108"/>
    <s v="0328005399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6"/>
  </r>
  <r>
    <s v="Anh Khoa NGUYEN"/>
    <s v="Yes, count me in!"/>
    <s v="079085028522"/>
    <s v="0909988822"/>
    <s v="No"/>
    <m/>
    <s v="I’ll take the company bus"/>
    <m/>
    <s v="Amaris Consulting"/>
    <s v="Consultants"/>
    <s v="NGUYEN Thai Ly"/>
    <s v="In"/>
    <x v="0"/>
    <n v="0"/>
    <n v="0"/>
    <n v="0"/>
    <n v="1"/>
    <n v="7"/>
    <x v="112"/>
  </r>
  <r>
    <s v="Thai Ly NGUYEN"/>
    <s v="Yes, count me in!"/>
    <s v="048195006450"/>
    <s v="0943149780"/>
    <s v="No"/>
    <m/>
    <s v="I’ll take the company bus"/>
    <m/>
    <s v="Amaris Consulting"/>
    <s v="Managers"/>
    <s v="VU Thanh Hang"/>
    <s v="In"/>
    <x v="0"/>
    <n v="0"/>
    <n v="0"/>
    <n v="0"/>
    <n v="1"/>
    <n v="7"/>
    <x v="74"/>
  </r>
  <r>
    <s v="Thi Khanh NGUYEN"/>
    <s v="Yes, count me in!"/>
    <s v="082196012509"/>
    <s v="0793830996"/>
    <s v="No"/>
    <m/>
    <s v="I’ll take the company bus"/>
    <m/>
    <s v="Amaris Consulting"/>
    <s v="Consultants"/>
    <s v="TRAN Thi Ha My"/>
    <s v="In"/>
    <x v="0"/>
    <n v="0"/>
    <n v="0"/>
    <n v="0"/>
    <n v="1"/>
    <n v="7"/>
    <x v="73"/>
  </r>
  <r>
    <s v="Thi Hue DO"/>
    <s v="Yes, count me in!"/>
    <s v="096197008684"/>
    <s v="0971732462"/>
    <s v="No"/>
    <m/>
    <s v="I’ll take the company bus"/>
    <m/>
    <s v="Amaris Consulting"/>
    <s v="Consultants"/>
    <s v="TRAN Thi Ha My"/>
    <s v="In"/>
    <x v="0"/>
    <n v="0"/>
    <n v="0"/>
    <n v="0"/>
    <n v="1"/>
    <n v="7"/>
    <x v="72"/>
  </r>
  <r>
    <s v="Ngoc Quoc TRAN"/>
    <s v="Yes, count me in!"/>
    <s v="048097003639"/>
    <s v="0799010869"/>
    <s v="No"/>
    <m/>
    <s v="I’ll take the company bus"/>
    <m/>
    <s v="Amaris Consulting"/>
    <s v="Consultants"/>
    <s v="TRAN Thi Ha My"/>
    <s v="In"/>
    <x v="0"/>
    <n v="0"/>
    <n v="0"/>
    <n v="0"/>
    <n v="1"/>
    <n v="7"/>
    <x v="117"/>
  </r>
  <r>
    <s v="Tien Huynh NGUYEN"/>
    <s v="Yes, count me in!"/>
    <s v="067094005805"/>
    <s v="0976551265"/>
    <s v="No"/>
    <m/>
    <s v="I’ll take the company bus"/>
    <m/>
    <s v="Amaris Consulting"/>
    <s v="Consultants"/>
    <s v="TRAN Thi Ha My"/>
    <s v="In"/>
    <x v="0"/>
    <n v="0"/>
    <n v="0"/>
    <n v="0"/>
    <n v="1"/>
    <n v="7"/>
    <x v="117"/>
  </r>
  <r>
    <s v="Minh Quang TRAN"/>
    <s v="Yes, count me in!"/>
    <s v="075203000646"/>
    <s v="0986245303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8"/>
  </r>
  <r>
    <s v="Van Tai PHAM"/>
    <s v="Yes, count me in!"/>
    <s v="079201011530"/>
    <s v="0965654937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8"/>
  </r>
  <r>
    <s v="Tuan Khoi NGUYEN"/>
    <s v="Yes, count me in!"/>
    <s v="079203008685"/>
    <s v="0776932589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19"/>
  </r>
  <r>
    <s v="Thuc Hao NGUYEN"/>
    <s v="Yes, count me in!"/>
    <s v="079096012234"/>
    <s v="0909120296"/>
    <s v="No"/>
    <m/>
    <s v="I’ll take the company bus"/>
    <s v="Team event cho Hào đi bus chung từ Bến Tre đến Cần Thơ nhé, chiều về Hào đi xe riêng. Cảm ơn mọi người!"/>
    <s v="Human Resources"/>
    <s v="People Operations"/>
    <s v="CAO Bao Tram"/>
    <s v="In"/>
    <x v="0"/>
    <n v="0"/>
    <n v="0"/>
    <n v="0"/>
    <n v="1"/>
    <n v="7"/>
    <x v="119"/>
  </r>
  <r>
    <s v="Thi My Tam - Cindy LE"/>
    <s v="Yes, count me in!"/>
    <s v="062195004991"/>
    <s v="0964455190"/>
    <s v="No"/>
    <m/>
    <s v="I’ll take the company bus"/>
    <s v="I wont take company bus on the depart day but i will take the return, pls help to count on me"/>
    <s v="Human Resources"/>
    <s v="Payroll Solutions"/>
    <s v="COMAS Mireille"/>
    <s v="In"/>
    <x v="0"/>
    <n v="0"/>
    <n v="0"/>
    <n v="0"/>
    <n v="1"/>
    <n v="7"/>
    <x v="120"/>
  </r>
  <r>
    <s v="Le Kim Ngan NGUYEN"/>
    <s v="Yes, count me in!"/>
    <s v="077199007614"/>
    <s v="0778819618"/>
    <s v="No"/>
    <m/>
    <s v="I’ll take the company bus"/>
    <m/>
    <s v="Human Resources"/>
    <s v="People Operations"/>
    <s v="NGUYEN Thuc Hao"/>
    <s v="In"/>
    <x v="0"/>
    <n v="0"/>
    <n v="0"/>
    <n v="0"/>
    <n v="1"/>
    <n v="7"/>
    <x v="120"/>
  </r>
  <r>
    <s v="Minh Thu DANG"/>
    <s v="Yes, count me in!"/>
    <s v="077302000543"/>
    <s v="0931231740"/>
    <s v="No"/>
    <m/>
    <s v="I’ll take the company bus"/>
    <m/>
    <s v="Human Resources"/>
    <s v="Compensation &amp; Benefits"/>
    <s v="CAP Kim Hoang"/>
    <s v="In"/>
    <x v="0"/>
    <n v="0"/>
    <n v="0"/>
    <n v="0"/>
    <n v="1"/>
    <n v="7"/>
    <x v="121"/>
  </r>
  <r>
    <s v="Le Bao Tram - Rachel DOAN"/>
    <s v="Yes, count me in!"/>
    <s v="'048300007642"/>
    <s v="'0984060780"/>
    <s v="No"/>
    <m/>
    <s v="I’ll take the company bus"/>
    <s v="Dạ từ HCM -&gt; Bến Tre: em tự đi xe riêng. Từ Tiền Giang -&gt; HCM: em đi bus với cty nha. Em cảm ơn mn đã hỗ trợ"/>
    <s v="Human Resources"/>
    <s v="People Operations"/>
    <s v="NGUYEN Thuc Hao"/>
    <s v="In"/>
    <x v="0"/>
    <n v="0"/>
    <n v="0"/>
    <n v="0"/>
    <n v="1"/>
    <n v="7"/>
    <x v="121"/>
  </r>
  <r>
    <s v="Thi Quynh Lien NGUYEN"/>
    <s v="Yes, count me in!"/>
    <s v="064301004400"/>
    <s v="0961910015"/>
    <s v="No"/>
    <m/>
    <s v="I’ll take the company bus"/>
    <m/>
    <s v="Human Resources"/>
    <s v="People Analytics"/>
    <s v="NGUYEN Thai Bao"/>
    <s v="In"/>
    <x v="0"/>
    <n v="0"/>
    <n v="0"/>
    <n v="0"/>
    <n v="1"/>
    <n v="7"/>
    <x v="122"/>
  </r>
  <r>
    <s v="Bao Tram CAO"/>
    <s v="Yes, count me in!"/>
    <s v="079193025094"/>
    <s v="+84901393648"/>
    <s v="No"/>
    <m/>
    <s v="I’ll take the company bus"/>
    <s v="I take company bus the way back only. "/>
    <s v="Human Resources"/>
    <s v="People Operations"/>
    <s v="RAYNAUD Claire"/>
    <s v="In"/>
    <x v="0"/>
    <n v="0"/>
    <n v="0"/>
    <n v="0"/>
    <n v="1"/>
    <n v="7"/>
    <x v="122"/>
  </r>
  <r>
    <s v="Thi Mai Anh LE"/>
    <s v="Yes, count me in!"/>
    <s v="031198014430"/>
    <s v="0901857690"/>
    <s v="No"/>
    <m/>
    <s v="I’ll take the company bus"/>
    <m/>
    <s v="Amaris Consulting"/>
    <s v="Managers"/>
    <s v="NGUYEN Duc Quy"/>
    <s v="In"/>
    <x v="0"/>
    <n v="0"/>
    <n v="0"/>
    <n v="0"/>
    <n v="1"/>
    <n v="7"/>
    <x v="19"/>
  </r>
  <r>
    <s v="Hieu Minh DO"/>
    <s v="Yes, count me in!"/>
    <s v="049303014137"/>
    <s v="+84868772661"/>
    <s v="No"/>
    <m/>
    <s v="I’ll take the company bus"/>
    <m/>
    <s v="Amaris Consulting"/>
    <s v="Consulting Talent Acquisition"/>
    <s v="PHAM Thai An"/>
    <s v="In"/>
    <x v="0"/>
    <n v="0"/>
    <n v="0"/>
    <n v="0"/>
    <n v="1"/>
    <n v="8"/>
    <x v="76"/>
  </r>
  <r>
    <s v="Trung Hieu NGUYEN"/>
    <s v="Yes, count me in!"/>
    <s v="079076006834"/>
    <s v="0913676060"/>
    <s v="No"/>
    <m/>
    <s v="I’ll take the company bus"/>
    <m/>
    <s v="Amaris Consulting"/>
    <s v="Delivery"/>
    <s v="GALLOT Brice"/>
    <s v="In"/>
    <x v="0"/>
    <n v="0"/>
    <n v="0"/>
    <n v="0"/>
    <n v="1"/>
    <n v="8"/>
    <x v="20"/>
  </r>
  <r>
    <s v="Arthur CAMARET"/>
    <s v="Yes, count me in!"/>
    <s v="22IK50629"/>
    <s v="0902612360"/>
    <s v="No"/>
    <m/>
    <s v="I’ll take the company bus"/>
    <m/>
    <s v="Amaris Consulting"/>
    <s v="Presales"/>
    <s v="JOLLIOT Marie-Benoîte"/>
    <s v="In"/>
    <x v="0"/>
    <n v="0"/>
    <n v="0"/>
    <n v="0"/>
    <n v="1"/>
    <n v="8"/>
    <x v="93"/>
  </r>
  <r>
    <s v="Nguyen Phuong DO"/>
    <s v="Yes, count me in!"/>
    <s v="079202015216"/>
    <s v="0812900824"/>
    <s v="No"/>
    <m/>
    <s v="I’ll take the company bus"/>
    <m/>
    <s v="Information Technology"/>
    <s v="Product Management"/>
    <s v="LIM Chee Kiat"/>
    <s v="In"/>
    <x v="0"/>
    <n v="0"/>
    <n v="0"/>
    <n v="0"/>
    <n v="1"/>
    <n v="8"/>
    <x v="123"/>
  </r>
  <r>
    <s v="Hoang Dung LE"/>
    <s v="Yes, count me in!"/>
    <s v="068203012626"/>
    <s v="0985291931"/>
    <s v="No"/>
    <m/>
    <s v="I’ll take the company bus"/>
    <s v="I am allergic to seafood and eggs"/>
    <s v="Amaris Consulting"/>
    <s v="Consulting Talent Acquisition"/>
    <s v="NGUYEN Hoang Bich Tran"/>
    <s v="In"/>
    <x v="0"/>
    <n v="0"/>
    <n v="0"/>
    <n v="0"/>
    <n v="1"/>
    <n v="8"/>
    <x v="123"/>
  </r>
  <r>
    <s v="Chee Kiat LIM"/>
    <s v="Yes, count me in!"/>
    <s v="079097016581"/>
    <s v="0942229030"/>
    <s v="No"/>
    <m/>
    <s v="I’ll take the company bus"/>
    <m/>
    <s v="Information Technology"/>
    <s v="Product Management"/>
    <s v="DUQUESNAY Guillaume"/>
    <s v="In"/>
    <x v="0"/>
    <n v="0"/>
    <n v="0"/>
    <n v="0"/>
    <n v="1"/>
    <n v="8"/>
    <x v="124"/>
  </r>
  <r>
    <s v="Clément GUIGUEN"/>
    <s v="Yes, count me in!"/>
    <s v="17EH77400"/>
    <s v="+33679194344"/>
    <s v="No"/>
    <m/>
    <s v="I’ll take the company bus"/>
    <m/>
    <s v="Information Technology"/>
    <s v="Product Management"/>
    <s v="LIM Chee Kiat"/>
    <s v="In"/>
    <x v="0"/>
    <n v="0"/>
    <n v="0"/>
    <n v="0"/>
    <n v="1"/>
    <n v="8"/>
    <x v="124"/>
  </r>
  <r>
    <s v="Xuan Quang PHAN"/>
    <s v="Yes, count me in!"/>
    <s v="051202007260"/>
    <s v="0943527674"/>
    <s v="No"/>
    <m/>
    <s v="I’ll take the company bus"/>
    <m/>
    <s v="Information Technology"/>
    <s v="Telephony"/>
    <s v="MAI Tan Ha"/>
    <s v="In"/>
    <x v="0"/>
    <n v="0"/>
    <n v="0"/>
    <n v="0"/>
    <n v="1"/>
    <n v="8"/>
    <x v="125"/>
  </r>
  <r>
    <s v="Bao An HOANG"/>
    <s v="Yes, count me in!"/>
    <s v="075200000345"/>
    <s v="0339526385"/>
    <s v="No"/>
    <m/>
    <s v="I’ll take the company bus"/>
    <m/>
    <s v="Information Technology"/>
    <s v="System &amp; Network"/>
    <s v="SIOUDI Mohamed Amine"/>
    <s v="In"/>
    <x v="0"/>
    <n v="0"/>
    <n v="0"/>
    <n v="0"/>
    <n v="1"/>
    <n v="8"/>
    <x v="125"/>
  </r>
  <r>
    <s v="Dinh Tien Dung NGUYEN"/>
    <s v="Yes, count me in!"/>
    <s v="079203005175"/>
    <s v="0968412361"/>
    <s v="No"/>
    <m/>
    <s v="I’ll take the company bus"/>
    <m/>
    <s v="Information Technology"/>
    <s v="Help Desk"/>
    <s v="NGO Ngoc Nam"/>
    <s v="In"/>
    <x v="0"/>
    <n v="0"/>
    <n v="0"/>
    <n v="0"/>
    <n v="1"/>
    <n v="8"/>
    <x v="126"/>
  </r>
  <r>
    <s v="Truong Tho DANG"/>
    <s v="Yes, count me in!"/>
    <s v="074093002317"/>
    <s v="0906 406 613 "/>
    <s v="No"/>
    <m/>
    <s v="I’ll take the company bus"/>
    <m/>
    <s v="Information Technology"/>
    <s v="Help Desk"/>
    <s v="NGO Ngoc Nam"/>
    <s v="In"/>
    <x v="0"/>
    <n v="0"/>
    <n v="0"/>
    <n v="0"/>
    <n v="1"/>
    <n v="8"/>
    <x v="126"/>
  </r>
  <r>
    <s v="Tu NGUYEN ANH"/>
    <s v="Yes, count me in!"/>
    <s v="056079000075"/>
    <s v="0974674081"/>
    <s v="No"/>
    <m/>
    <s v="I’ll take the company bus"/>
    <m/>
    <s v="Amaris Consulting"/>
    <s v="Delivery"/>
    <s v="NGUYEN Trung Hieu"/>
    <s v="In"/>
    <x v="0"/>
    <n v="0"/>
    <n v="0"/>
    <n v="0"/>
    <n v="1"/>
    <n v="8"/>
    <x v="127"/>
  </r>
  <r>
    <s v="Triet HUYNH MINH"/>
    <s v="Yes, count me in!"/>
    <s v="079202019928"/>
    <s v="0898313181"/>
    <s v="No"/>
    <m/>
    <s v="I’ll take the company bus"/>
    <m/>
    <s v="ACT"/>
    <s v="ACT Sales &amp; Pre-sales"/>
    <s v="MAVANI Amit"/>
    <s v="In"/>
    <x v="0"/>
    <n v="0"/>
    <n v="0"/>
    <n v="0"/>
    <n v="1"/>
    <n v="8"/>
    <x v="127"/>
  </r>
  <r>
    <s v="Ho Bao Thy LE"/>
    <s v="Yes, count me in!"/>
    <s v="079193009931"/>
    <s v="0909083103"/>
    <s v="No"/>
    <m/>
    <s v="I’ll take the company bus"/>
    <m/>
    <s v="Marketing &amp; Conversation"/>
    <s v="Design"/>
    <s v="SANTANA Zulema"/>
    <s v="In"/>
    <x v="0"/>
    <n v="0"/>
    <n v="0"/>
    <n v="0"/>
    <n v="1"/>
    <n v="8"/>
    <x v="128"/>
  </r>
  <r>
    <s v="Tuong Khuyen LE"/>
    <s v="Yes, count me in!"/>
    <s v="079193040594"/>
    <s v="0931439977"/>
    <s v="No"/>
    <m/>
    <s v="I’ll take the company bus"/>
    <m/>
    <s v="Marketing &amp; Conversation"/>
    <s v="Design"/>
    <s v="SANTANA Zulema"/>
    <s v="In"/>
    <x v="0"/>
    <n v="0"/>
    <n v="0"/>
    <n v="0"/>
    <n v="1"/>
    <n v="8"/>
    <x v="128"/>
  </r>
  <r>
    <s v="Le Khanh Chi PHAM"/>
    <s v="Yes, count me in!"/>
    <s v="079 303 003 034"/>
    <s v="0903 175 838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n v="8"/>
    <x v="129"/>
  </r>
  <r>
    <s v="Tran Thao Vy PHAM"/>
    <s v="Yes, count me in!"/>
    <s v="064304011457"/>
    <s v="0905435679"/>
    <s v="No"/>
    <m/>
    <s v="I’ll take the company bus"/>
    <m/>
    <s v="Amaris Consulting"/>
    <s v="Consulting Talent Acquisition"/>
    <s v="NGUYEN Hoang Bich Tran"/>
    <s v="In"/>
    <x v="0"/>
    <n v="0"/>
    <n v="0"/>
    <n v="0"/>
    <n v="1"/>
    <n v="8"/>
    <x v="129"/>
  </r>
  <r>
    <s v="Ho Khanh Vy NGUYEN"/>
    <s v="Yes, count me in!"/>
    <s v="082196015477"/>
    <s v="0984016140"/>
    <s v="No"/>
    <m/>
    <s v="I’ll take the company bus"/>
    <m/>
    <s v="Amaris Consulting"/>
    <s v="Consulting Talent Acquisition"/>
    <s v="GUILLOTON Eve"/>
    <s v="In"/>
    <x v="0"/>
    <n v="0"/>
    <n v="0"/>
    <n v="0"/>
    <n v="1"/>
    <n v="8"/>
    <x v="130"/>
  </r>
  <r>
    <s v="Dang Thuy Duong NGUYEN"/>
    <s v="Yes, count me in!"/>
    <s v="079302019770"/>
    <s v="0708319701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n v="8"/>
    <x v="130"/>
  </r>
  <r>
    <s v="Thi Anh Thu TRAN"/>
    <s v="Yes, count me in!"/>
    <s v="079301005911"/>
    <s v="0327649437"/>
    <s v="No"/>
    <m/>
    <s v="I’ll take the company bus"/>
    <m/>
    <s v="Amaris Consulting"/>
    <s v="Consulting Talent Acquisition"/>
    <s v="HONG Nguyen Tu Nhi"/>
    <s v="In"/>
    <x v="0"/>
    <n v="0"/>
    <n v="0"/>
    <n v="0"/>
    <n v="1"/>
    <n v="8"/>
    <x v="131"/>
  </r>
  <r>
    <s v="Nguyen Tu Nhi HONG"/>
    <s v="Yes, count me in!"/>
    <s v="079198027964"/>
    <s v="0374428877"/>
    <s v="No"/>
    <m/>
    <s v="I’ll take the company bus"/>
    <m/>
    <s v="Amaris Consulting"/>
    <s v="Consulting Talent Acquisition"/>
    <s v="NGUYEN Ho Khanh Vy"/>
    <s v="In"/>
    <x v="0"/>
    <n v="0"/>
    <n v="0"/>
    <n v="0"/>
    <n v="1"/>
    <n v="8"/>
    <x v="131"/>
  </r>
  <r>
    <s v="Thai An PHAM"/>
    <s v="Yes, count me in!"/>
    <s v="031199002762"/>
    <s v="0363031131"/>
    <s v="Yes"/>
    <s v="Do Chi Thanh - Male - 20/10/2002 - 001202005933"/>
    <s v="I’ll take the company bus"/>
    <m/>
    <s v="Amaris Consulting"/>
    <s v="Consulting Talent Acquisition"/>
    <s v="NGUYEN Ho Khanh Vy"/>
    <s v="In"/>
    <x v="1"/>
    <n v="0"/>
    <n v="1"/>
    <n v="1"/>
    <n v="2"/>
    <n v="8"/>
    <x v="132"/>
  </r>
  <r>
    <s v="Hoang Bich Tran NGUYEN"/>
    <s v="Yes, count me in!"/>
    <s v="060199000392"/>
    <s v="0975488340"/>
    <s v="Yes"/>
    <s v="Nguyen Tran Bao Phu - Male - 28/03/1999 - 080099002154"/>
    <s v="I’ll take the company bus"/>
    <m/>
    <s v="Amaris Consulting"/>
    <s v="Consulting Talent Acquisition"/>
    <s v="NGUYEN Ho Khanh Vy"/>
    <s v="In"/>
    <x v="1"/>
    <n v="0"/>
    <n v="1"/>
    <n v="1"/>
    <n v="2"/>
    <n v="8"/>
    <x v="133"/>
  </r>
  <r>
    <s v="Linh Chau PHAN"/>
    <s v="Yes, count me in!"/>
    <s v="068300004128"/>
    <s v="+84 389420759 "/>
    <s v="No"/>
    <m/>
    <s v="I’ll take the company bus"/>
    <m/>
    <s v="Recruitment"/>
    <s v="Corporate Acquisition"/>
    <s v="CARRILLO GIRONA Marina"/>
    <s v="In"/>
    <x v="0"/>
    <n v="0"/>
    <n v="0"/>
    <n v="0"/>
    <n v="1"/>
    <n v="8"/>
    <x v="134"/>
  </r>
  <r>
    <s v="Le Minh Trang NGUYEN"/>
    <s v="Yes, count me in!"/>
    <s v="037303000012"/>
    <s v="0961760721"/>
    <s v="No"/>
    <m/>
    <s v="I’ll take the company bus"/>
    <m/>
    <s v="Recruitment"/>
    <s v="Corporate Acquisition"/>
    <s v="PHAN Linh Chau"/>
    <s v="In"/>
    <x v="0"/>
    <n v="0"/>
    <n v="0"/>
    <n v="0"/>
    <n v="1"/>
    <n v="8"/>
    <x v="134"/>
  </r>
  <r>
    <s v="Thi Anh Minh TRAN"/>
    <s v="Yes, count me in!"/>
    <s v="077197001261"/>
    <s v="0785670597"/>
    <s v="No"/>
    <m/>
    <s v="I’ll take the company bus"/>
    <m/>
    <s v="Performance Management"/>
    <s v="Operational Controlling"/>
    <s v="BUC Thomas"/>
    <s v="In"/>
    <x v="0"/>
    <n v="0"/>
    <n v="0"/>
    <n v="0"/>
    <n v="1"/>
    <n v="8"/>
    <x v="135"/>
  </r>
  <r>
    <s v="Thu Hong NGUYEN"/>
    <s v="Yes, count me in!"/>
    <s v="074301006998"/>
    <s v="0967486292"/>
    <s v="No"/>
    <m/>
    <s v="I’ll take the company bus"/>
    <m/>
    <s v="Performance Management"/>
    <s v="Operational Controlling"/>
    <s v="BUC Thomas"/>
    <s v="In"/>
    <x v="0"/>
    <n v="0"/>
    <n v="0"/>
    <n v="0"/>
    <n v="1"/>
    <n v="8"/>
    <x v="135"/>
  </r>
  <r>
    <s v="Thi Thanh Nhan NGUYEN"/>
    <s v="Yes, count me in!"/>
    <s v="045198003359"/>
    <s v="0355042483"/>
    <s v="No"/>
    <m/>
    <s v="I’ll take the company bus"/>
    <s v="Mình muốn request ở phòng 3 người với team OC: NGUYEN Thi Thanh Nhan, TRAN Thị Anh Minh và NGUYEN Thu Hong"/>
    <s v="Performance Management"/>
    <s v="Operational Controlling"/>
    <s v="BUC Thomas"/>
    <s v="In"/>
    <x v="0"/>
    <n v="0"/>
    <n v="0"/>
    <n v="0"/>
    <n v="1"/>
    <n v="8"/>
    <x v="135"/>
  </r>
  <r>
    <s v="Thi Minh Phuong TRAN"/>
    <s v="Yes, count me in!"/>
    <s v="075184001102"/>
    <s v="0945745944"/>
    <s v="No"/>
    <m/>
    <s v="I’ll take the company bus"/>
    <m/>
    <s v="Information Technology"/>
    <s v="Telephony"/>
    <s v="MAI Tan Ha"/>
    <s v="In"/>
    <x v="0"/>
    <n v="0"/>
    <n v="0"/>
    <n v="0"/>
    <n v="1"/>
    <n v="8"/>
    <x v="136"/>
  </r>
  <r>
    <s v="Kieu Anh HOANG"/>
    <s v="Yes, count me in!"/>
    <s v="079199035294"/>
    <s v="84899286919"/>
    <s v="No"/>
    <m/>
    <s v="I’ll take the company bus"/>
    <m/>
    <s v="ACT"/>
    <s v="ACT Sales &amp; Pre-sales"/>
    <s v="MAVANI Amit"/>
    <s v="In"/>
    <x v="0"/>
    <n v="0"/>
    <n v="0"/>
    <n v="0"/>
    <n v="1"/>
    <n v="8"/>
    <x v="136"/>
  </r>
  <r>
    <s v="Phuong Thao NGUYEN"/>
    <s v="Yes, count me in!"/>
    <s v="079197000483"/>
    <s v="0909915834"/>
    <s v="No"/>
    <m/>
    <s v="I’ll take the company bus"/>
    <m/>
    <s v="Amaris Consulting"/>
    <s v="Consultants"/>
    <s v="VETTUKAD Amit"/>
    <s v="In"/>
    <x v="0"/>
    <n v="0"/>
    <n v="0"/>
    <n v="0"/>
    <n v="1"/>
    <n v="8"/>
    <x v="137"/>
  </r>
  <r>
    <s v="Ngoc Nguyen Ngan - Emily NGUYEN"/>
    <s v="Yes, count me in!"/>
    <s v="079197014206"/>
    <s v="0839022665"/>
    <s v="No"/>
    <m/>
    <s v="I’ll take the company bus"/>
    <m/>
    <s v="Information Technology"/>
    <s v="User Experience"/>
    <s v="LIM Chee Kiat"/>
    <s v="In"/>
    <x v="0"/>
    <n v="0"/>
    <n v="0"/>
    <n v="0"/>
    <n v="1"/>
    <n v="8"/>
    <x v="137"/>
  </r>
  <r>
    <s v="Hoai Nhu Y NGUYEN"/>
    <s v="Yes, count me in!"/>
    <s v="079195004762"/>
    <s v="0945686674"/>
    <s v="No"/>
    <m/>
    <s v="I’ll take the company bus"/>
    <m/>
    <s v="Information Technology"/>
    <s v="Product Management"/>
    <s v="DUQUESNAY Guillaume"/>
    <s v="In"/>
    <x v="0"/>
    <n v="0"/>
    <n v="0"/>
    <n v="0"/>
    <n v="1"/>
    <n v="8"/>
    <x v="138"/>
  </r>
  <r>
    <s v="Diem Thien Nga - Micky HUYNH"/>
    <s v="Yes, count me in!"/>
    <s v="079301028966"/>
    <s v="0763889811"/>
    <s v="No"/>
    <m/>
    <s v="I’ll take the company bus"/>
    <m/>
    <s v="Information Technology"/>
    <s v="Product Management"/>
    <s v="HUYNH Anh Tam"/>
    <s v="In"/>
    <x v="0"/>
    <n v="0"/>
    <n v="0"/>
    <n v="0"/>
    <n v="1"/>
    <n v="8"/>
    <x v="138"/>
  </r>
  <r>
    <s v="Thuy Phuong - Kaitlyn LE"/>
    <s v="Yes, count me in!"/>
    <s v="038301000546"/>
    <s v="0376622565"/>
    <s v="No"/>
    <m/>
    <s v="I’ll take the company bus"/>
    <m/>
    <s v="Information Technology"/>
    <s v="Product Management"/>
    <s v="HUYNH Anh Tam"/>
    <s v="In"/>
    <x v="0"/>
    <n v="0"/>
    <n v="0"/>
    <n v="0"/>
    <n v="1"/>
    <n v="8"/>
    <x v="94"/>
  </r>
  <r>
    <s v="Chau Sy Dat LE"/>
    <s v="Yes, count me in!"/>
    <s v="082093010991"/>
    <s v="0345864246"/>
    <s v="No"/>
    <m/>
    <s v="I’ll arrange my own transportation"/>
    <m/>
    <s v="Amaris Consulting"/>
    <s v="Consultants"/>
    <s v="TRAN Thi Ha My"/>
    <s v="In"/>
    <x v="0"/>
    <n v="0"/>
    <n v="0"/>
    <n v="0"/>
    <n v="1"/>
    <s v="Own transport"/>
    <x v="69"/>
  </r>
  <r>
    <s v="Huu Phuc LE"/>
    <s v="Yes, count me in!"/>
    <s v="079084023994"/>
    <s v="0909009984"/>
    <s v="Yes"/>
    <s v="Hồ Thị Minh Hoàng- Female-19/11/1984-046184001362"/>
    <s v="I’ll arrange my own transportation"/>
    <m/>
    <s v="Amaris Consulting"/>
    <s v="Consultants"/>
    <s v="TRAN Thi Ha My"/>
    <s v="In"/>
    <x v="1"/>
    <n v="0"/>
    <n v="1"/>
    <n v="1"/>
    <n v="2"/>
    <s v="Own transport"/>
    <x v="139"/>
  </r>
  <r>
    <s v="Quoc Hai Thanh NGUYEN"/>
    <s v="Yes, count me in!"/>
    <s v="079204009259"/>
    <s v="0834132707"/>
    <s v="No"/>
    <m/>
    <s v="I’ll arrange my own transportation"/>
    <m/>
    <s v="Amaris Consulting"/>
    <s v="Consultants"/>
    <s v="HOANG Thien"/>
    <s v="In"/>
    <x v="0"/>
    <n v="0"/>
    <n v="0"/>
    <n v="0"/>
    <n v="1"/>
    <s v="Own transport"/>
    <x v="140"/>
  </r>
  <r>
    <s v="Quoc Hung PHUNG"/>
    <s v="Yes, count me in!"/>
    <s v="079200004309"/>
    <s v="0963357143"/>
    <s v="No"/>
    <m/>
    <s v="I’ll arrange my own transportation"/>
    <m/>
    <s v="Amaris Consulting"/>
    <s v="Consultants"/>
    <s v="LA Thuy My Hao"/>
    <s v="In"/>
    <x v="0"/>
    <n v="0"/>
    <n v="0"/>
    <n v="0"/>
    <n v="1"/>
    <s v="Own transport"/>
    <x v="140"/>
  </r>
  <r>
    <s v="Hoang Le Nguyen VINH"/>
    <s v="Yes, count me in!"/>
    <s v="079093042207"/>
    <s v="0937756145"/>
    <s v="No"/>
    <m/>
    <s v="I’ll arrange my own transportation"/>
    <m/>
    <s v="Information Technology"/>
    <s v="System &amp; Network"/>
    <s v="SIOUDI Mohamed Amine"/>
    <s v="In"/>
    <x v="0"/>
    <n v="0"/>
    <n v="0"/>
    <n v="0"/>
    <n v="1"/>
    <s v="Own transport"/>
    <x v="141"/>
  </r>
  <r>
    <s v="Ngoc Nam NGO"/>
    <s v="Yes, count me in!"/>
    <s v="079091022899"/>
    <s v="0987646085"/>
    <s v="No"/>
    <m/>
    <s v="I’ll arrange my own transportation"/>
    <m/>
    <s v="Information Technology"/>
    <s v="Help Desk"/>
    <s v="MATEI Aurel-George"/>
    <s v="In"/>
    <x v="0"/>
    <n v="0"/>
    <n v="0"/>
    <n v="0"/>
    <n v="1"/>
    <s v="Own transport"/>
    <x v="141"/>
  </r>
  <r>
    <s v="Anh Dung Cuong PHAN"/>
    <s v="Yes, count me in!"/>
    <s v="079092012567"/>
    <s v="0972708318"/>
    <s v="Yes"/>
    <s v="1. Truong Ngoc Tinh Anh - 10/12/1993 - 060193015462_x000a_2. Phan Nhat Thien Dang - 28/11/2023 - 079223047176"/>
    <s v="I’ll arrange my own transportation"/>
    <m/>
    <s v="Information Technology"/>
    <s v="Software Engineering"/>
    <s v="DUQUESNAY Guillaume"/>
    <s v="In"/>
    <x v="1"/>
    <n v="1"/>
    <n v="1"/>
    <n v="2"/>
    <n v="3"/>
    <s v="Own transport"/>
    <x v="142"/>
  </r>
  <r>
    <s v="Hoang Vu NGO"/>
    <s v="Yes, count me in!"/>
    <s v="068088003980"/>
    <s v="0773820182"/>
    <s v="No"/>
    <m/>
    <s v="I’ll arrange my own transportation"/>
    <m/>
    <s v="Information Technology"/>
    <s v="Software Architecture"/>
    <s v="MATYSIAK Hervé"/>
    <s v="In"/>
    <x v="0"/>
    <n v="0"/>
    <n v="0"/>
    <n v="0"/>
    <n v="1"/>
    <s v="Own transport"/>
    <x v="1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n v="282"/>
    <d v="2026-05-05T19:06:50"/>
    <d v="2026-05-05T19:07:45"/>
    <x v="0"/>
    <x v="0"/>
    <x v="0"/>
    <s v="044199002375"/>
    <s v="0823387274"/>
    <s v="No"/>
    <m/>
    <x v="0"/>
    <m/>
    <x v="0"/>
    <x v="0"/>
    <x v="0"/>
    <s v="In"/>
    <x v="0"/>
    <n v="0"/>
    <n v="0"/>
    <n v="0"/>
    <n v="1"/>
    <x v="0"/>
    <x v="0"/>
    <m/>
    <m/>
    <m/>
    <m/>
    <x v="0"/>
    <x v="0"/>
  </r>
  <r>
    <n v="276"/>
    <d v="2026-05-05T18:12:25"/>
    <d v="2026-05-05T18:13:50"/>
    <x v="1"/>
    <x v="1"/>
    <x v="0"/>
    <s v="070194001945"/>
    <s v="0396744435"/>
    <s v="No"/>
    <m/>
    <x v="0"/>
    <m/>
    <x v="0"/>
    <x v="0"/>
    <x v="1"/>
    <s v="In"/>
    <x v="0"/>
    <n v="0"/>
    <n v="0"/>
    <n v="0"/>
    <n v="1"/>
    <x v="0"/>
    <x v="1"/>
    <m/>
    <m/>
    <m/>
    <m/>
    <x v="0"/>
    <x v="0"/>
  </r>
  <r>
    <n v="277"/>
    <d v="2026-05-05T18:08:25"/>
    <d v="2026-05-05T18:13:55"/>
    <x v="2"/>
    <x v="2"/>
    <x v="0"/>
    <s v="077300001719"/>
    <s v="0968963049"/>
    <s v="No"/>
    <m/>
    <x v="0"/>
    <m/>
    <x v="0"/>
    <x v="0"/>
    <x v="1"/>
    <s v="In"/>
    <x v="0"/>
    <n v="0"/>
    <n v="0"/>
    <n v="0"/>
    <n v="1"/>
    <x v="0"/>
    <x v="2"/>
    <m/>
    <m/>
    <m/>
    <m/>
    <x v="0"/>
    <x v="0"/>
  </r>
  <r>
    <n v="286"/>
    <d v="2026-05-05T20:29:05"/>
    <d v="2026-05-05T20:37:24"/>
    <x v="3"/>
    <x v="3"/>
    <x v="0"/>
    <s v="091300011455"/>
    <s v="0918626459"/>
    <s v="No"/>
    <m/>
    <x v="0"/>
    <s v="If there’s a single room, I wanna stay alone (if any)"/>
    <x v="0"/>
    <x v="0"/>
    <x v="1"/>
    <s v="In"/>
    <x v="0"/>
    <n v="0"/>
    <n v="0"/>
    <n v="0"/>
    <n v="1"/>
    <x v="0"/>
    <x v="2"/>
    <m/>
    <m/>
    <m/>
    <m/>
    <x v="0"/>
    <x v="0"/>
  </r>
  <r>
    <n v="148"/>
    <d v="2026-05-01T09:29:55"/>
    <d v="2026-05-01T09:46:07"/>
    <x v="4"/>
    <x v="4"/>
    <x v="0"/>
    <s v="079197003545"/>
    <s v="0901936418"/>
    <s v="No"/>
    <m/>
    <x v="0"/>
    <m/>
    <x v="0"/>
    <x v="1"/>
    <x v="2"/>
    <s v="In"/>
    <x v="0"/>
    <n v="0"/>
    <n v="0"/>
    <n v="0"/>
    <n v="1"/>
    <x v="0"/>
    <x v="3"/>
    <m/>
    <m/>
    <m/>
    <m/>
    <x v="0"/>
    <x v="0"/>
  </r>
  <r>
    <n v="205"/>
    <d v="2026-05-04T14:01:28"/>
    <d v="2026-05-04T14:39:05"/>
    <x v="5"/>
    <x v="5"/>
    <x v="0"/>
    <s v="079197023976"/>
    <s v="0909324150"/>
    <s v="No"/>
    <m/>
    <x v="0"/>
    <m/>
    <x v="0"/>
    <x v="1"/>
    <x v="2"/>
    <s v="In"/>
    <x v="0"/>
    <n v="0"/>
    <n v="0"/>
    <n v="0"/>
    <n v="1"/>
    <x v="0"/>
    <x v="4"/>
    <m/>
    <m/>
    <m/>
    <m/>
    <x v="0"/>
    <x v="0"/>
  </r>
  <r>
    <n v="188"/>
    <d v="2026-05-04T13:51:21"/>
    <d v="2026-05-04T13:55:08"/>
    <x v="6"/>
    <x v="6"/>
    <x v="0"/>
    <s v="001188049157"/>
    <s v="0901401929"/>
    <s v="No"/>
    <m/>
    <x v="0"/>
    <m/>
    <x v="0"/>
    <x v="2"/>
    <x v="3"/>
    <s v="In"/>
    <x v="0"/>
    <n v="0"/>
    <n v="0"/>
    <n v="0"/>
    <n v="1"/>
    <x v="0"/>
    <x v="3"/>
    <m/>
    <m/>
    <m/>
    <m/>
    <x v="0"/>
    <x v="0"/>
  </r>
  <r>
    <n v="92"/>
    <d v="2026-04-24T08:10:33"/>
    <d v="2026-04-24T08:13:16"/>
    <x v="7"/>
    <x v="7"/>
    <x v="0"/>
    <s v="080202010719"/>
    <s v="0942198738"/>
    <s v="No"/>
    <m/>
    <x v="0"/>
    <m/>
    <x v="0"/>
    <x v="0"/>
    <x v="0"/>
    <s v="In"/>
    <x v="0"/>
    <n v="0"/>
    <n v="0"/>
    <n v="0"/>
    <n v="1"/>
    <x v="0"/>
    <x v="5"/>
    <m/>
    <m/>
    <m/>
    <m/>
    <x v="1"/>
    <x v="1"/>
  </r>
  <r>
    <n v="156"/>
    <d v="2026-05-03T20:38:24"/>
    <d v="2026-05-03T20:40:34"/>
    <x v="8"/>
    <x v="8"/>
    <x v="0"/>
    <s v="083097005277"/>
    <s v="0386788883"/>
    <s v="No"/>
    <m/>
    <x v="0"/>
    <m/>
    <x v="0"/>
    <x v="0"/>
    <x v="0"/>
    <s v="In"/>
    <x v="0"/>
    <n v="0"/>
    <n v="0"/>
    <n v="0"/>
    <n v="1"/>
    <x v="0"/>
    <x v="5"/>
    <m/>
    <m/>
    <m/>
    <m/>
    <x v="1"/>
    <x v="1"/>
  </r>
  <r>
    <n v="216"/>
    <d v="2026-05-04T16:51:16"/>
    <d v="2026-05-04T16:54:31"/>
    <x v="9"/>
    <x v="9"/>
    <x v="0"/>
    <s v="051094000961"/>
    <s v="0938945445"/>
    <s v="No"/>
    <m/>
    <x v="0"/>
    <m/>
    <x v="0"/>
    <x v="0"/>
    <x v="0"/>
    <s v="In"/>
    <x v="0"/>
    <n v="0"/>
    <n v="0"/>
    <n v="0"/>
    <n v="1"/>
    <x v="0"/>
    <x v="6"/>
    <m/>
    <m/>
    <m/>
    <m/>
    <x v="1"/>
    <x v="1"/>
  </r>
  <r>
    <n v="236"/>
    <d v="2026-05-05T07:56:56"/>
    <d v="2026-05-05T07:58:30"/>
    <x v="10"/>
    <x v="10"/>
    <x v="0"/>
    <s v="086099002987"/>
    <s v="0968933873"/>
    <s v="No"/>
    <m/>
    <x v="0"/>
    <m/>
    <x v="0"/>
    <x v="0"/>
    <x v="0"/>
    <s v="In"/>
    <x v="0"/>
    <n v="0"/>
    <n v="0"/>
    <n v="0"/>
    <n v="1"/>
    <x v="0"/>
    <x v="7"/>
    <m/>
    <m/>
    <m/>
    <m/>
    <x v="1"/>
    <x v="1"/>
  </r>
  <r>
    <n v="238"/>
    <d v="2026-05-05T09:22:06"/>
    <d v="2026-05-05T09:31:32"/>
    <x v="11"/>
    <x v="11"/>
    <x v="0"/>
    <s v="080095004933"/>
    <s v="0793485644"/>
    <s v="No"/>
    <m/>
    <x v="0"/>
    <s v="I'd like to request to be booked in the same room as the IVB team."/>
    <x v="0"/>
    <x v="0"/>
    <x v="0"/>
    <s v="In"/>
    <x v="0"/>
    <n v="0"/>
    <n v="0"/>
    <n v="0"/>
    <n v="1"/>
    <x v="0"/>
    <x v="7"/>
    <m/>
    <m/>
    <m/>
    <m/>
    <x v="1"/>
    <x v="1"/>
  </r>
  <r>
    <n v="242"/>
    <d v="2026-05-05T10:09:47"/>
    <d v="2026-05-05T10:12:39"/>
    <x v="12"/>
    <x v="12"/>
    <x v="0"/>
    <s v="089097020361"/>
    <s v="0967513840"/>
    <s v="No"/>
    <m/>
    <x v="0"/>
    <m/>
    <x v="0"/>
    <x v="0"/>
    <x v="0"/>
    <s v="In"/>
    <x v="0"/>
    <n v="0"/>
    <n v="0"/>
    <n v="0"/>
    <n v="1"/>
    <x v="0"/>
    <x v="6"/>
    <m/>
    <m/>
    <m/>
    <m/>
    <x v="1"/>
    <x v="1"/>
  </r>
  <r>
    <n v="273"/>
    <d v="2026-05-05T16:44:04"/>
    <d v="2026-05-05T16:44:29"/>
    <x v="13"/>
    <x v="13"/>
    <x v="0"/>
    <s v="087099016549"/>
    <s v="0826759579"/>
    <s v="No"/>
    <m/>
    <x v="0"/>
    <m/>
    <x v="0"/>
    <x v="0"/>
    <x v="0"/>
    <s v="In"/>
    <x v="0"/>
    <n v="0"/>
    <n v="0"/>
    <n v="0"/>
    <n v="1"/>
    <x v="0"/>
    <x v="8"/>
    <m/>
    <m/>
    <m/>
    <m/>
    <x v="1"/>
    <x v="1"/>
  </r>
  <r>
    <n v="303"/>
    <d v="2026-05-06T11:42:40"/>
    <d v="2026-05-06T11:44:57"/>
    <x v="14"/>
    <x v="14"/>
    <x v="0"/>
    <s v="089200015516"/>
    <s v="+84 329 382 782"/>
    <s v="No"/>
    <m/>
    <x v="0"/>
    <s v="Team chị My"/>
    <x v="0"/>
    <x v="0"/>
    <x v="0"/>
    <s v="In"/>
    <x v="0"/>
    <n v="0"/>
    <n v="0"/>
    <n v="0"/>
    <n v="1"/>
    <x v="0"/>
    <x v="9"/>
    <m/>
    <m/>
    <m/>
    <m/>
    <x v="1"/>
    <x v="1"/>
  </r>
  <r>
    <n v="304"/>
    <d v="2026-05-06T11:59:00"/>
    <d v="2026-05-06T12:01:14"/>
    <x v="15"/>
    <x v="15"/>
    <x v="0"/>
    <s v="044099000541"/>
    <s v="0948527910"/>
    <s v="No"/>
    <m/>
    <x v="0"/>
    <m/>
    <x v="0"/>
    <x v="0"/>
    <x v="0"/>
    <s v="In"/>
    <x v="0"/>
    <n v="0"/>
    <n v="0"/>
    <n v="0"/>
    <n v="1"/>
    <x v="0"/>
    <x v="8"/>
    <m/>
    <m/>
    <m/>
    <m/>
    <x v="1"/>
    <x v="1"/>
  </r>
  <r>
    <n v="318"/>
    <d v="2026-05-07T09:22:44"/>
    <d v="2026-05-07T09:25:33"/>
    <x v="16"/>
    <x v="16"/>
    <x v="0"/>
    <s v="083084008265"/>
    <s v="0989600669"/>
    <s v="No"/>
    <m/>
    <x v="0"/>
    <m/>
    <x v="0"/>
    <x v="0"/>
    <x v="0"/>
    <s v="In"/>
    <x v="0"/>
    <n v="0"/>
    <n v="0"/>
    <n v="0"/>
    <n v="1"/>
    <x v="0"/>
    <x v="10"/>
    <m/>
    <m/>
    <m/>
    <m/>
    <x v="1"/>
    <x v="1"/>
  </r>
  <r>
    <n v="319"/>
    <d v="2026-05-07T09:22:44"/>
    <d v="2026-05-07T09:25:33"/>
    <x v="17"/>
    <x v="17"/>
    <x v="0"/>
    <s v="062201003205"/>
    <s v="+84 931 182 688"/>
    <s v="No"/>
    <m/>
    <x v="0"/>
    <m/>
    <x v="0"/>
    <x v="0"/>
    <x v="0"/>
    <s v="In"/>
    <x v="0"/>
    <n v="0"/>
    <n v="0"/>
    <n v="0"/>
    <n v="1"/>
    <x v="0"/>
    <x v="9"/>
    <m/>
    <m/>
    <m/>
    <m/>
    <x v="1"/>
    <x v="1"/>
  </r>
  <r>
    <n v="39"/>
    <d v="2026-04-22T16:20:49"/>
    <d v="2026-04-22T16:22:49"/>
    <x v="18"/>
    <x v="18"/>
    <x v="0"/>
    <s v="030080017185"/>
    <s v="0988143980"/>
    <s v="No"/>
    <m/>
    <x v="0"/>
    <m/>
    <x v="0"/>
    <x v="0"/>
    <x v="1"/>
    <s v="In"/>
    <x v="0"/>
    <n v="0"/>
    <n v="0"/>
    <n v="0"/>
    <n v="1"/>
    <x v="0"/>
    <x v="11"/>
    <m/>
    <m/>
    <m/>
    <m/>
    <x v="1"/>
    <x v="1"/>
  </r>
  <r>
    <n v="50"/>
    <d v="2026-04-22T16:44:27"/>
    <d v="2026-04-22T17:36:00"/>
    <x v="19"/>
    <x v="19"/>
    <x v="0"/>
    <s v="051099011537"/>
    <s v="0973724249"/>
    <s v="No"/>
    <m/>
    <x v="0"/>
    <m/>
    <x v="0"/>
    <x v="0"/>
    <x v="1"/>
    <s v="In"/>
    <x v="0"/>
    <n v="0"/>
    <n v="0"/>
    <n v="0"/>
    <n v="1"/>
    <x v="0"/>
    <x v="10"/>
    <m/>
    <m/>
    <m/>
    <m/>
    <x v="1"/>
    <x v="1"/>
  </r>
  <r>
    <n v="55"/>
    <d v="2026-04-22T18:28:39"/>
    <d v="2026-04-22T18:32:08"/>
    <x v="20"/>
    <x v="20"/>
    <x v="0"/>
    <s v="079096015213"/>
    <s v="0392357076"/>
    <s v="No"/>
    <m/>
    <x v="0"/>
    <m/>
    <x v="0"/>
    <x v="0"/>
    <x v="1"/>
    <s v="In"/>
    <x v="0"/>
    <n v="0"/>
    <n v="0"/>
    <n v="0"/>
    <n v="1"/>
    <x v="0"/>
    <x v="12"/>
    <m/>
    <m/>
    <m/>
    <m/>
    <x v="1"/>
    <x v="1"/>
  </r>
  <r>
    <n v="87"/>
    <d v="2026-04-23T20:38:46"/>
    <d v="2026-04-23T20:41:10"/>
    <x v="21"/>
    <x v="21"/>
    <x v="0"/>
    <s v="072094005258"/>
    <s v="0354219319"/>
    <s v="No"/>
    <m/>
    <x v="0"/>
    <m/>
    <x v="0"/>
    <x v="0"/>
    <x v="1"/>
    <s v="In"/>
    <x v="0"/>
    <n v="0"/>
    <n v="0"/>
    <n v="0"/>
    <n v="1"/>
    <x v="0"/>
    <x v="13"/>
    <m/>
    <m/>
    <m/>
    <m/>
    <x v="1"/>
    <x v="1"/>
  </r>
  <r>
    <n v="102"/>
    <d v="2026-04-24T11:37:53"/>
    <d v="2026-04-24T11:40:02"/>
    <x v="22"/>
    <x v="22"/>
    <x v="0"/>
    <s v=" 086200001291"/>
    <s v="0337804259"/>
    <s v="No"/>
    <m/>
    <x v="0"/>
    <m/>
    <x v="0"/>
    <x v="0"/>
    <x v="1"/>
    <s v="In"/>
    <x v="0"/>
    <n v="0"/>
    <n v="0"/>
    <n v="0"/>
    <n v="1"/>
    <x v="0"/>
    <x v="14"/>
    <m/>
    <m/>
    <m/>
    <m/>
    <x v="1"/>
    <x v="1"/>
  </r>
  <r>
    <n v="103"/>
    <d v="2026-04-24T11:37:01"/>
    <d v="2026-04-24T11:40:06"/>
    <x v="23"/>
    <x v="23"/>
    <x v="0"/>
    <s v="046097000064"/>
    <s v="0333515756"/>
    <s v="No"/>
    <m/>
    <x v="0"/>
    <m/>
    <x v="0"/>
    <x v="0"/>
    <x v="1"/>
    <s v="In"/>
    <x v="0"/>
    <n v="0"/>
    <n v="0"/>
    <n v="0"/>
    <n v="1"/>
    <x v="0"/>
    <x v="15"/>
    <m/>
    <m/>
    <m/>
    <m/>
    <x v="1"/>
    <x v="1"/>
  </r>
  <r>
    <n v="106"/>
    <d v="2026-04-24T13:25:04"/>
    <d v="2026-04-24T13:28:42"/>
    <x v="24"/>
    <x v="24"/>
    <x v="0"/>
    <s v="089200019968"/>
    <s v="0974086701"/>
    <s v="No"/>
    <m/>
    <x v="0"/>
    <m/>
    <x v="0"/>
    <x v="0"/>
    <x v="1"/>
    <s v="In"/>
    <x v="0"/>
    <n v="0"/>
    <n v="0"/>
    <n v="0"/>
    <n v="1"/>
    <x v="0"/>
    <x v="11"/>
    <m/>
    <m/>
    <m/>
    <m/>
    <x v="1"/>
    <x v="1"/>
  </r>
  <r>
    <n v="108"/>
    <d v="2026-04-24T13:37:59"/>
    <d v="2026-04-24T13:41:26"/>
    <x v="25"/>
    <x v="25"/>
    <x v="0"/>
    <s v="075200024308"/>
    <s v="0938316793"/>
    <s v="No"/>
    <m/>
    <x v="0"/>
    <m/>
    <x v="0"/>
    <x v="0"/>
    <x v="1"/>
    <s v="In"/>
    <x v="0"/>
    <n v="0"/>
    <n v="0"/>
    <n v="0"/>
    <n v="1"/>
    <x v="0"/>
    <x v="16"/>
    <m/>
    <m/>
    <m/>
    <m/>
    <x v="1"/>
    <x v="1"/>
  </r>
  <r>
    <n v="110"/>
    <d v="2026-04-24T13:42:21"/>
    <d v="2026-04-24T14:04:33"/>
    <x v="26"/>
    <x v="26"/>
    <x v="0"/>
    <s v="066201016152"/>
    <s v="0393688714"/>
    <s v="No"/>
    <m/>
    <x v="0"/>
    <m/>
    <x v="0"/>
    <x v="0"/>
    <x v="1"/>
    <s v="In"/>
    <x v="0"/>
    <n v="0"/>
    <n v="0"/>
    <n v="0"/>
    <n v="1"/>
    <x v="0"/>
    <x v="12"/>
    <m/>
    <m/>
    <m/>
    <m/>
    <x v="1"/>
    <x v="1"/>
  </r>
  <r>
    <n v="146"/>
    <d v="2026-04-29T17:34:38"/>
    <d v="2026-04-29T17:35:04"/>
    <x v="27"/>
    <x v="27"/>
    <x v="0"/>
    <s v="079099030686"/>
    <s v="0933284515"/>
    <s v="No"/>
    <m/>
    <x v="0"/>
    <m/>
    <x v="0"/>
    <x v="0"/>
    <x v="1"/>
    <s v="In"/>
    <x v="0"/>
    <n v="0"/>
    <n v="0"/>
    <n v="0"/>
    <n v="1"/>
    <x v="0"/>
    <x v="13"/>
    <m/>
    <m/>
    <m/>
    <m/>
    <x v="1"/>
    <x v="1"/>
  </r>
  <r>
    <n v="164"/>
    <d v="2026-05-04T09:43:16"/>
    <d v="2026-05-04T09:44:56"/>
    <x v="28"/>
    <x v="28"/>
    <x v="0"/>
    <s v="051098005098"/>
    <s v="0392497315"/>
    <s v="No"/>
    <m/>
    <x v="0"/>
    <m/>
    <x v="0"/>
    <x v="0"/>
    <x v="1"/>
    <s v="In"/>
    <x v="0"/>
    <n v="0"/>
    <n v="0"/>
    <n v="0"/>
    <n v="1"/>
    <x v="0"/>
    <x v="16"/>
    <m/>
    <m/>
    <m/>
    <m/>
    <x v="1"/>
    <x v="1"/>
  </r>
  <r>
    <n v="202"/>
    <d v="2026-05-04T14:19:09"/>
    <d v="2026-05-04T14:22:56"/>
    <x v="29"/>
    <x v="29"/>
    <x v="0"/>
    <s v="051090016586"/>
    <s v="0988383049"/>
    <s v="Yes"/>
    <s v="1. Nguyen Thu Huyen - Female - 1991 - TBD_x000a_2. Nguyen Kha Han - Female - 2017 - TBD"/>
    <x v="0"/>
    <m/>
    <x v="0"/>
    <x v="0"/>
    <x v="1"/>
    <s v="In"/>
    <x v="1"/>
    <n v="1"/>
    <n v="1"/>
    <n v="2"/>
    <n v="3"/>
    <x v="0"/>
    <x v="17"/>
    <m/>
    <m/>
    <m/>
    <m/>
    <x v="1"/>
    <x v="0"/>
  </r>
  <r>
    <n v="246"/>
    <d v="2026-05-05T10:39:51"/>
    <d v="2026-05-05T10:41:47"/>
    <x v="30"/>
    <x v="30"/>
    <x v="0"/>
    <s v="077203004018"/>
    <s v="0971007831"/>
    <s v="No"/>
    <m/>
    <x v="0"/>
    <m/>
    <x v="0"/>
    <x v="0"/>
    <x v="1"/>
    <s v="In"/>
    <x v="0"/>
    <n v="0"/>
    <n v="0"/>
    <n v="0"/>
    <n v="1"/>
    <x v="0"/>
    <x v="15"/>
    <m/>
    <m/>
    <m/>
    <m/>
    <x v="1"/>
    <x v="1"/>
  </r>
  <r>
    <n v="301"/>
    <d v="2026-05-06T11:37:29"/>
    <d v="2026-05-06T11:41:48"/>
    <x v="31"/>
    <x v="31"/>
    <x v="0"/>
    <s v="058201000239"/>
    <s v="0855586358"/>
    <s v="No"/>
    <m/>
    <x v="0"/>
    <m/>
    <x v="0"/>
    <x v="0"/>
    <x v="1"/>
    <s v="In"/>
    <x v="0"/>
    <n v="0"/>
    <n v="0"/>
    <n v="0"/>
    <n v="1"/>
    <x v="0"/>
    <x v="18"/>
    <m/>
    <m/>
    <m/>
    <m/>
    <x v="1"/>
    <x v="1"/>
  </r>
  <r>
    <n v="316"/>
    <d v="2026-05-06T23:33:06"/>
    <d v="2026-05-06T23:33:54"/>
    <x v="32"/>
    <x v="32"/>
    <x v="0"/>
    <s v="068096007001"/>
    <s v="0357556867"/>
    <s v="No"/>
    <m/>
    <x v="0"/>
    <m/>
    <x v="0"/>
    <x v="0"/>
    <x v="1"/>
    <s v="In"/>
    <x v="0"/>
    <n v="0"/>
    <n v="0"/>
    <n v="0"/>
    <n v="1"/>
    <x v="0"/>
    <x v="14"/>
    <m/>
    <m/>
    <m/>
    <m/>
    <x v="1"/>
    <x v="1"/>
  </r>
  <r>
    <n v="325"/>
    <d v="2026-05-07T13:19:38"/>
    <d v="2026-05-07T13:21:30"/>
    <x v="33"/>
    <x v="33"/>
    <x v="0"/>
    <s v="077097008033"/>
    <s v="0979040971"/>
    <s v="No"/>
    <m/>
    <x v="0"/>
    <m/>
    <x v="0"/>
    <x v="1"/>
    <x v="2"/>
    <s v="In"/>
    <x v="0"/>
    <n v="0"/>
    <n v="0"/>
    <n v="0"/>
    <n v="1"/>
    <x v="1"/>
    <x v="19"/>
    <m/>
    <m/>
    <m/>
    <m/>
    <x v="1"/>
    <x v="1"/>
  </r>
  <r>
    <n v="228"/>
    <d v="2026-05-04T18:37:11"/>
    <d v="2026-05-04T18:37:22"/>
    <x v="34"/>
    <x v="34"/>
    <x v="0"/>
    <s v="079201014939"/>
    <s v="0902891404"/>
    <s v="No"/>
    <m/>
    <x v="0"/>
    <s v="Motion sickness pills"/>
    <x v="0"/>
    <x v="0"/>
    <x v="4"/>
    <s v="In"/>
    <x v="0"/>
    <n v="0"/>
    <n v="0"/>
    <n v="0"/>
    <n v="1"/>
    <x v="0"/>
    <x v="18"/>
    <m/>
    <m/>
    <m/>
    <m/>
    <x v="1"/>
    <x v="1"/>
  </r>
  <r>
    <n v="261"/>
    <d v="2026-05-05T13:55:53"/>
    <d v="2026-05-05T13:57:53"/>
    <x v="35"/>
    <x v="35"/>
    <x v="0"/>
    <s v="079095022758"/>
    <s v="0777104166"/>
    <s v="No"/>
    <m/>
    <x v="0"/>
    <m/>
    <x v="0"/>
    <x v="0"/>
    <x v="4"/>
    <s v="In"/>
    <x v="0"/>
    <n v="0"/>
    <n v="0"/>
    <n v="0"/>
    <n v="1"/>
    <x v="0"/>
    <x v="20"/>
    <m/>
    <m/>
    <m/>
    <m/>
    <x v="1"/>
    <x v="1"/>
  </r>
  <r>
    <n v="262"/>
    <d v="2026-05-05T13:55:19"/>
    <d v="2026-05-05T13:58:13"/>
    <x v="36"/>
    <x v="36"/>
    <x v="0"/>
    <s v="064200012749"/>
    <s v="0396402696"/>
    <s v="No"/>
    <m/>
    <x v="0"/>
    <m/>
    <x v="0"/>
    <x v="0"/>
    <x v="4"/>
    <s v="In"/>
    <x v="0"/>
    <n v="0"/>
    <n v="0"/>
    <n v="0"/>
    <n v="1"/>
    <x v="0"/>
    <x v="20"/>
    <m/>
    <m/>
    <m/>
    <m/>
    <x v="1"/>
    <x v="1"/>
  </r>
  <r>
    <n v="45"/>
    <d v="2026-04-22T16:36:59"/>
    <d v="2026-04-22T16:38:15"/>
    <x v="37"/>
    <x v="37"/>
    <x v="0"/>
    <s v="068097008720"/>
    <s v="0981212098"/>
    <s v="No"/>
    <m/>
    <x v="0"/>
    <m/>
    <x v="0"/>
    <x v="0"/>
    <x v="5"/>
    <s v="In"/>
    <x v="0"/>
    <n v="0"/>
    <n v="0"/>
    <n v="0"/>
    <n v="1"/>
    <x v="2"/>
    <x v="21"/>
    <m/>
    <m/>
    <m/>
    <m/>
    <x v="1"/>
    <x v="1"/>
  </r>
  <r>
    <n v="63"/>
    <d v="2026-04-23T08:47:26"/>
    <d v="2026-04-23T08:51:44"/>
    <x v="38"/>
    <x v="38"/>
    <x v="0"/>
    <s v="075096016711"/>
    <s v="0932980033"/>
    <s v="No"/>
    <m/>
    <x v="0"/>
    <m/>
    <x v="0"/>
    <x v="0"/>
    <x v="5"/>
    <s v="In"/>
    <x v="0"/>
    <n v="0"/>
    <n v="0"/>
    <n v="0"/>
    <n v="1"/>
    <x v="2"/>
    <x v="22"/>
    <m/>
    <m/>
    <m/>
    <m/>
    <x v="1"/>
    <x v="1"/>
  </r>
  <r>
    <n v="64"/>
    <d v="2026-04-23T09:01:48"/>
    <d v="2026-04-23T09:03:39"/>
    <x v="39"/>
    <x v="39"/>
    <x v="0"/>
    <s v="048095001773"/>
    <s v="0335353685"/>
    <s v="No"/>
    <m/>
    <x v="0"/>
    <m/>
    <x v="0"/>
    <x v="0"/>
    <x v="5"/>
    <s v="In"/>
    <x v="0"/>
    <n v="0"/>
    <n v="0"/>
    <n v="0"/>
    <n v="1"/>
    <x v="2"/>
    <x v="22"/>
    <m/>
    <m/>
    <m/>
    <m/>
    <x v="1"/>
    <x v="1"/>
  </r>
  <r>
    <n v="159"/>
    <d v="2026-05-04T08:24:41"/>
    <d v="2026-05-04T08:25:54"/>
    <x v="40"/>
    <x v="40"/>
    <x v="0"/>
    <s v="058095001270"/>
    <s v="0349687204"/>
    <s v="No"/>
    <m/>
    <x v="0"/>
    <m/>
    <x v="0"/>
    <x v="0"/>
    <x v="5"/>
    <s v="In"/>
    <x v="0"/>
    <n v="0"/>
    <n v="0"/>
    <n v="0"/>
    <n v="1"/>
    <x v="2"/>
    <x v="23"/>
    <m/>
    <m/>
    <m/>
    <m/>
    <x v="1"/>
    <x v="1"/>
  </r>
  <r>
    <n v="326"/>
    <d v="2026-05-07T13:19:38"/>
    <d v="2026-05-07T13:21:30"/>
    <x v="41"/>
    <x v="41"/>
    <x v="0"/>
    <s v="079200028676"/>
    <s v="0397974403"/>
    <s v="No"/>
    <m/>
    <x v="0"/>
    <m/>
    <x v="0"/>
    <x v="0"/>
    <x v="5"/>
    <s v="In (Exit confirmed)"/>
    <x v="0"/>
    <m/>
    <m/>
    <n v="0"/>
    <n v="1"/>
    <x v="2"/>
    <x v="23"/>
    <m/>
    <m/>
    <m/>
    <m/>
    <x v="1"/>
    <x v="1"/>
  </r>
  <r>
    <n v="28"/>
    <d v="2026-04-22T15:54:29"/>
    <d v="2026-04-22T16:00:56"/>
    <x v="42"/>
    <x v="42"/>
    <x v="0"/>
    <s v="060094011465"/>
    <s v="0333950268"/>
    <s v="No"/>
    <m/>
    <x v="0"/>
    <m/>
    <x v="0"/>
    <x v="0"/>
    <x v="6"/>
    <s v="In"/>
    <x v="0"/>
    <n v="0"/>
    <n v="0"/>
    <n v="0"/>
    <n v="1"/>
    <x v="2"/>
    <x v="24"/>
    <m/>
    <m/>
    <m/>
    <m/>
    <x v="1"/>
    <x v="1"/>
  </r>
  <r>
    <n v="82"/>
    <d v="2026-04-23T17:32:15"/>
    <d v="2026-04-23T17:33:40"/>
    <x v="43"/>
    <x v="43"/>
    <x v="0"/>
    <s v="087201004021"/>
    <s v="0777905219"/>
    <s v="No"/>
    <m/>
    <x v="0"/>
    <m/>
    <x v="0"/>
    <x v="0"/>
    <x v="6"/>
    <s v="In"/>
    <x v="0"/>
    <n v="0"/>
    <n v="0"/>
    <n v="0"/>
    <n v="1"/>
    <x v="2"/>
    <x v="25"/>
    <m/>
    <m/>
    <m/>
    <m/>
    <x v="1"/>
    <x v="1"/>
  </r>
  <r>
    <n v="138"/>
    <d v="2026-04-28T10:49:23"/>
    <d v="2026-04-28T10:50:09"/>
    <x v="44"/>
    <x v="44"/>
    <x v="0"/>
    <s v="046098001181"/>
    <s v="0327360123"/>
    <s v="No"/>
    <m/>
    <x v="0"/>
    <m/>
    <x v="0"/>
    <x v="0"/>
    <x v="6"/>
    <s v="In"/>
    <x v="0"/>
    <n v="0"/>
    <n v="0"/>
    <n v="0"/>
    <n v="1"/>
    <x v="2"/>
    <x v="24"/>
    <m/>
    <m/>
    <m/>
    <m/>
    <x v="1"/>
    <x v="1"/>
  </r>
  <r>
    <n v="288"/>
    <d v="2026-05-05T21:21:27"/>
    <d v="2026-05-05T21:22:48"/>
    <x v="45"/>
    <x v="45"/>
    <x v="0"/>
    <s v="079302009777"/>
    <s v="0703264721"/>
    <s v="No"/>
    <m/>
    <x v="0"/>
    <m/>
    <x v="0"/>
    <x v="0"/>
    <x v="6"/>
    <s v="In"/>
    <x v="0"/>
    <n v="0"/>
    <n v="0"/>
    <n v="0"/>
    <n v="1"/>
    <x v="2"/>
    <x v="26"/>
    <m/>
    <m/>
    <m/>
    <m/>
    <x v="0"/>
    <x v="0"/>
  </r>
  <r>
    <n v="14"/>
    <d v="2026-04-22T15:40:14"/>
    <d v="2026-04-22T15:43:48"/>
    <x v="46"/>
    <x v="46"/>
    <x v="0"/>
    <s v="079186021679"/>
    <s v="0866876722"/>
    <s v="No"/>
    <m/>
    <x v="0"/>
    <m/>
    <x v="0"/>
    <x v="0"/>
    <x v="7"/>
    <s v="In"/>
    <x v="0"/>
    <n v="0"/>
    <n v="0"/>
    <n v="0"/>
    <n v="1"/>
    <x v="2"/>
    <x v="26"/>
    <m/>
    <m/>
    <m/>
    <m/>
    <x v="0"/>
    <x v="0"/>
  </r>
  <r>
    <n v="27"/>
    <d v="2026-04-22T15:58:32"/>
    <d v="2026-04-22T16:00:26"/>
    <x v="47"/>
    <x v="47"/>
    <x v="0"/>
    <s v="060099011492"/>
    <s v="0379738098"/>
    <s v="No"/>
    <m/>
    <x v="0"/>
    <m/>
    <x v="0"/>
    <x v="0"/>
    <x v="7"/>
    <s v="In"/>
    <x v="0"/>
    <n v="0"/>
    <n v="0"/>
    <n v="0"/>
    <n v="1"/>
    <x v="2"/>
    <x v="27"/>
    <m/>
    <m/>
    <m/>
    <m/>
    <x v="1"/>
    <x v="1"/>
  </r>
  <r>
    <n v="29"/>
    <d v="2026-04-22T15:46:16"/>
    <d v="2026-04-22T16:09:30"/>
    <x v="48"/>
    <x v="48"/>
    <x v="0"/>
    <s v="087300002383"/>
    <s v="0939053112"/>
    <s v="No"/>
    <m/>
    <x v="0"/>
    <m/>
    <x v="0"/>
    <x v="0"/>
    <x v="7"/>
    <s v="In"/>
    <x v="0"/>
    <n v="0"/>
    <n v="0"/>
    <n v="0"/>
    <n v="1"/>
    <x v="2"/>
    <x v="28"/>
    <m/>
    <m/>
    <m/>
    <m/>
    <x v="0"/>
    <x v="0"/>
  </r>
  <r>
    <n v="30"/>
    <d v="2026-04-22T16:08:38"/>
    <d v="2026-04-22T16:10:39"/>
    <x v="49"/>
    <x v="49"/>
    <x v="0"/>
    <s v="095203009143"/>
    <s v="0944552050"/>
    <s v="No"/>
    <m/>
    <x v="0"/>
    <m/>
    <x v="0"/>
    <x v="0"/>
    <x v="7"/>
    <s v="In"/>
    <x v="0"/>
    <n v="0"/>
    <n v="0"/>
    <n v="0"/>
    <n v="1"/>
    <x v="2"/>
    <x v="27"/>
    <m/>
    <m/>
    <m/>
    <m/>
    <x v="1"/>
    <x v="1"/>
  </r>
  <r>
    <n v="31"/>
    <d v="2026-04-22T16:08:58"/>
    <d v="2026-04-22T16:10:49"/>
    <x v="50"/>
    <x v="50"/>
    <x v="0"/>
    <s v="082300007349"/>
    <s v="0888745255"/>
    <s v="No"/>
    <m/>
    <x v="0"/>
    <m/>
    <x v="0"/>
    <x v="0"/>
    <x v="7"/>
    <s v="In"/>
    <x v="0"/>
    <n v="0"/>
    <n v="0"/>
    <n v="0"/>
    <n v="1"/>
    <x v="2"/>
    <x v="28"/>
    <m/>
    <m/>
    <m/>
    <m/>
    <x v="0"/>
    <x v="0"/>
  </r>
  <r>
    <n v="37"/>
    <d v="2026-04-22T16:19:42"/>
    <d v="2026-04-22T16:20:33"/>
    <x v="51"/>
    <x v="51"/>
    <x v="0"/>
    <s v="064201016123"/>
    <s v="0979409417"/>
    <s v="No"/>
    <m/>
    <x v="0"/>
    <m/>
    <x v="0"/>
    <x v="0"/>
    <x v="7"/>
    <s v="In"/>
    <x v="0"/>
    <n v="0"/>
    <n v="0"/>
    <n v="0"/>
    <n v="1"/>
    <x v="2"/>
    <x v="29"/>
    <m/>
    <m/>
    <m/>
    <m/>
    <x v="1"/>
    <x v="1"/>
  </r>
  <r>
    <n v="43"/>
    <d v="2026-04-22T16:26:37"/>
    <d v="2026-04-22T16:27:56"/>
    <x v="52"/>
    <x v="52"/>
    <x v="0"/>
    <s v="096099005690"/>
    <s v="0379218610"/>
    <s v="No"/>
    <m/>
    <x v="0"/>
    <m/>
    <x v="0"/>
    <x v="0"/>
    <x v="7"/>
    <s v="In"/>
    <x v="0"/>
    <n v="0"/>
    <n v="0"/>
    <n v="0"/>
    <n v="1"/>
    <x v="2"/>
    <x v="29"/>
    <m/>
    <m/>
    <m/>
    <m/>
    <x v="1"/>
    <x v="1"/>
  </r>
  <r>
    <n v="56"/>
    <d v="2026-04-22T15:52:27"/>
    <d v="2026-04-22T18:43:54"/>
    <x v="53"/>
    <x v="53"/>
    <x v="0"/>
    <s v="089097008685"/>
    <s v="0378462578"/>
    <s v="No"/>
    <m/>
    <x v="0"/>
    <m/>
    <x v="0"/>
    <x v="0"/>
    <x v="7"/>
    <s v="In"/>
    <x v="0"/>
    <n v="0"/>
    <n v="0"/>
    <n v="0"/>
    <n v="1"/>
    <x v="2"/>
    <x v="30"/>
    <m/>
    <m/>
    <m/>
    <m/>
    <x v="1"/>
    <x v="1"/>
  </r>
  <r>
    <n v="61"/>
    <d v="2026-04-23T01:16:47"/>
    <d v="2026-04-23T01:18:45"/>
    <x v="54"/>
    <x v="54"/>
    <x v="0"/>
    <s v="079094018368"/>
    <s v="0937686998"/>
    <s v="No"/>
    <m/>
    <x v="0"/>
    <m/>
    <x v="0"/>
    <x v="0"/>
    <x v="7"/>
    <s v="In"/>
    <x v="0"/>
    <n v="0"/>
    <n v="0"/>
    <n v="0"/>
    <n v="1"/>
    <x v="2"/>
    <x v="30"/>
    <m/>
    <m/>
    <m/>
    <m/>
    <x v="1"/>
    <x v="1"/>
  </r>
  <r>
    <n v="86"/>
    <d v="2026-04-23T20:16:55"/>
    <d v="2026-04-23T20:18:40"/>
    <x v="55"/>
    <x v="55"/>
    <x v="1"/>
    <s v="072200007361"/>
    <s v="0967524457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88"/>
    <d v="2026-04-23T20:42:01"/>
    <d v="2026-04-23T20:43:18"/>
    <x v="56"/>
    <x v="56"/>
    <x v="0"/>
    <s v="049202002958"/>
    <s v="0343734096"/>
    <s v="No"/>
    <m/>
    <x v="0"/>
    <m/>
    <x v="0"/>
    <x v="0"/>
    <x v="7"/>
    <s v="In"/>
    <x v="0"/>
    <n v="0"/>
    <n v="0"/>
    <n v="0"/>
    <n v="1"/>
    <x v="2"/>
    <x v="32"/>
    <m/>
    <m/>
    <m/>
    <m/>
    <x v="1"/>
    <x v="0"/>
  </r>
  <r>
    <n v="111"/>
    <d v="2026-04-24T14:55:38"/>
    <d v="2026-04-24T14:56:54"/>
    <x v="57"/>
    <x v="57"/>
    <x v="0"/>
    <s v="089201001783"/>
    <s v="0941967745"/>
    <s v="No"/>
    <m/>
    <x v="0"/>
    <m/>
    <x v="0"/>
    <x v="0"/>
    <x v="7"/>
    <s v="In"/>
    <x v="0"/>
    <n v="0"/>
    <n v="0"/>
    <n v="0"/>
    <n v="1"/>
    <x v="2"/>
    <x v="33"/>
    <m/>
    <m/>
    <m/>
    <m/>
    <x v="1"/>
    <x v="1"/>
  </r>
  <r>
    <n v="115"/>
    <d v="2026-04-24T15:43:02"/>
    <d v="2026-04-24T15:43:41"/>
    <x v="58"/>
    <x v="58"/>
    <x v="0"/>
    <s v="064098000457"/>
    <s v="0363543388"/>
    <s v="No"/>
    <m/>
    <x v="0"/>
    <m/>
    <x v="0"/>
    <x v="0"/>
    <x v="7"/>
    <s v="In"/>
    <x v="0"/>
    <n v="0"/>
    <n v="0"/>
    <n v="0"/>
    <n v="1"/>
    <x v="2"/>
    <x v="33"/>
    <m/>
    <m/>
    <m/>
    <m/>
    <x v="1"/>
    <x v="1"/>
  </r>
  <r>
    <n v="150"/>
    <d v="2026-05-01T19:07:19"/>
    <d v="2026-05-01T19:09:29"/>
    <x v="59"/>
    <x v="59"/>
    <x v="0"/>
    <s v="079300022868"/>
    <s v="0707653589"/>
    <s v="No"/>
    <m/>
    <x v="0"/>
    <m/>
    <x v="0"/>
    <x v="0"/>
    <x v="7"/>
    <s v="In"/>
    <x v="0"/>
    <n v="0"/>
    <n v="0"/>
    <n v="0"/>
    <n v="1"/>
    <x v="2"/>
    <x v="34"/>
    <m/>
    <m/>
    <m/>
    <m/>
    <x v="0"/>
    <x v="0"/>
  </r>
  <r>
    <n v="154"/>
    <d v="2026-05-02T22:43:40"/>
    <d v="2026-05-02T22:47:21"/>
    <x v="60"/>
    <x v="60"/>
    <x v="0"/>
    <s v="049200016142"/>
    <s v="0396428796"/>
    <s v="No"/>
    <m/>
    <x v="0"/>
    <m/>
    <x v="0"/>
    <x v="0"/>
    <x v="7"/>
    <s v="In"/>
    <x v="0"/>
    <n v="0"/>
    <n v="0"/>
    <n v="0"/>
    <n v="1"/>
    <x v="2"/>
    <x v="35"/>
    <m/>
    <m/>
    <m/>
    <m/>
    <x v="1"/>
    <x v="1"/>
  </r>
  <r>
    <n v="157"/>
    <d v="2026-05-03T21:14:48"/>
    <d v="2026-05-03T21:16:48"/>
    <x v="61"/>
    <x v="61"/>
    <x v="0"/>
    <s v="070302002356"/>
    <s v="0383899275"/>
    <s v="No"/>
    <m/>
    <x v="0"/>
    <m/>
    <x v="0"/>
    <x v="0"/>
    <x v="7"/>
    <s v="In"/>
    <x v="0"/>
    <n v="0"/>
    <n v="0"/>
    <n v="0"/>
    <n v="1"/>
    <x v="2"/>
    <x v="36"/>
    <m/>
    <m/>
    <m/>
    <m/>
    <x v="0"/>
    <x v="0"/>
  </r>
  <r>
    <n v="215"/>
    <d v="2026-05-04T16:26:46"/>
    <d v="2026-05-04T16:27:31"/>
    <x v="62"/>
    <x v="62"/>
    <x v="0"/>
    <s v="042200003160"/>
    <s v="0971850315"/>
    <s v="No"/>
    <m/>
    <x v="0"/>
    <m/>
    <x v="0"/>
    <x v="0"/>
    <x v="7"/>
    <s v="In"/>
    <x v="0"/>
    <n v="0"/>
    <n v="0"/>
    <n v="0"/>
    <n v="1"/>
    <x v="2"/>
    <x v="35"/>
    <m/>
    <m/>
    <m/>
    <m/>
    <x v="1"/>
    <x v="1"/>
  </r>
  <r>
    <n v="241"/>
    <d v="2026-05-05T10:10:49"/>
    <d v="2026-05-05T10:12:17"/>
    <x v="63"/>
    <x v="63"/>
    <x v="0"/>
    <s v="079203015788"/>
    <s v="0963698249"/>
    <s v="No"/>
    <m/>
    <x v="0"/>
    <m/>
    <x v="0"/>
    <x v="0"/>
    <x v="7"/>
    <s v="In"/>
    <x v="0"/>
    <n v="0"/>
    <n v="0"/>
    <n v="0"/>
    <n v="1"/>
    <x v="2"/>
    <x v="37"/>
    <m/>
    <m/>
    <m/>
    <m/>
    <x v="1"/>
    <x v="1"/>
  </r>
  <r>
    <n v="248"/>
    <d v="2026-05-05T11:24:00"/>
    <d v="2026-05-05T11:24:39"/>
    <x v="64"/>
    <x v="64"/>
    <x v="0"/>
    <s v="079200038775"/>
    <s v="0339310132"/>
    <s v="No"/>
    <m/>
    <x v="0"/>
    <m/>
    <x v="0"/>
    <x v="0"/>
    <x v="7"/>
    <s v="In"/>
    <x v="0"/>
    <n v="0"/>
    <n v="0"/>
    <n v="0"/>
    <n v="1"/>
    <x v="2"/>
    <x v="37"/>
    <m/>
    <m/>
    <m/>
    <m/>
    <x v="1"/>
    <x v="1"/>
  </r>
  <r>
    <n v="255"/>
    <d v="2026-05-05T13:09:15"/>
    <d v="2026-05-05T13:09:52"/>
    <x v="65"/>
    <x v="65"/>
    <x v="0"/>
    <s v="089196003991"/>
    <s v="0369040747"/>
    <s v="No"/>
    <m/>
    <x v="0"/>
    <m/>
    <x v="0"/>
    <x v="0"/>
    <x v="7"/>
    <s v="In"/>
    <x v="0"/>
    <n v="0"/>
    <n v="0"/>
    <n v="0"/>
    <n v="1"/>
    <x v="2"/>
    <x v="36"/>
    <m/>
    <m/>
    <m/>
    <m/>
    <x v="0"/>
    <x v="0"/>
  </r>
  <r>
    <n v="267"/>
    <d v="2026-05-05T15:19:08"/>
    <d v="2026-05-05T15:20:42"/>
    <x v="66"/>
    <x v="66"/>
    <x v="0"/>
    <s v="056200011360"/>
    <s v="0869885812"/>
    <s v="No"/>
    <m/>
    <x v="0"/>
    <m/>
    <x v="0"/>
    <x v="0"/>
    <x v="7"/>
    <s v="In"/>
    <x v="0"/>
    <n v="0"/>
    <n v="0"/>
    <n v="0"/>
    <n v="1"/>
    <x v="2"/>
    <x v="38"/>
    <m/>
    <m/>
    <m/>
    <m/>
    <x v="1"/>
    <x v="1"/>
  </r>
  <r>
    <n v="270"/>
    <d v="2026-05-05T15:22:02"/>
    <d v="2026-05-05T16:24:47"/>
    <x v="67"/>
    <x v="67"/>
    <x v="0"/>
    <s v="minhtri.do@amaris.com"/>
    <s v="0935919461"/>
    <s v="No"/>
    <m/>
    <x v="0"/>
    <m/>
    <x v="0"/>
    <x v="0"/>
    <x v="7"/>
    <s v="In"/>
    <x v="0"/>
    <n v="0"/>
    <n v="0"/>
    <n v="0"/>
    <n v="1"/>
    <x v="2"/>
    <x v="38"/>
    <m/>
    <m/>
    <m/>
    <m/>
    <x v="1"/>
    <x v="1"/>
  </r>
  <r>
    <n v="281"/>
    <d v="2026-05-05T18:48:15"/>
    <d v="2026-05-05T18:49:04"/>
    <x v="68"/>
    <x v="68"/>
    <x v="0"/>
    <s v="252203000013"/>
    <s v="0829622879"/>
    <s v="No"/>
    <m/>
    <x v="0"/>
    <m/>
    <x v="0"/>
    <x v="0"/>
    <x v="7"/>
    <s v="In"/>
    <x v="0"/>
    <n v="0"/>
    <n v="0"/>
    <n v="0"/>
    <n v="1"/>
    <x v="2"/>
    <x v="39"/>
    <m/>
    <m/>
    <m/>
    <m/>
    <x v="1"/>
    <x v="1"/>
  </r>
  <r>
    <n v="290"/>
    <d v="2026-05-05T23:35:01"/>
    <d v="2026-05-05T23:35:37"/>
    <x v="69"/>
    <x v="69"/>
    <x v="0"/>
    <s v="095304000976"/>
    <s v="0913854054"/>
    <s v="No"/>
    <m/>
    <x v="0"/>
    <m/>
    <x v="0"/>
    <x v="0"/>
    <x v="7"/>
    <s v="In"/>
    <x v="0"/>
    <n v="0"/>
    <n v="0"/>
    <n v="0"/>
    <n v="1"/>
    <x v="2"/>
    <x v="34"/>
    <m/>
    <m/>
    <m/>
    <m/>
    <x v="0"/>
    <x v="0"/>
  </r>
  <r>
    <n v="291"/>
    <d v="2026-05-05T23:55:45"/>
    <d v="2026-05-05T23:57:47"/>
    <x v="70"/>
    <x v="70"/>
    <x v="0"/>
    <s v="079200044816"/>
    <s v="0932535781"/>
    <s v="No"/>
    <m/>
    <x v="0"/>
    <m/>
    <x v="0"/>
    <x v="0"/>
    <x v="7"/>
    <s v="In"/>
    <x v="0"/>
    <n v="0"/>
    <n v="0"/>
    <n v="0"/>
    <n v="1"/>
    <x v="2"/>
    <x v="39"/>
    <m/>
    <m/>
    <m/>
    <m/>
    <x v="1"/>
    <x v="1"/>
  </r>
  <r>
    <n v="324"/>
    <d v="2026-05-07T13:19:38"/>
    <d v="2026-05-07T13:21:30"/>
    <x v="71"/>
    <x v="71"/>
    <x v="0"/>
    <s v="052200005034"/>
    <s v="+84 377130331"/>
    <s v="No"/>
    <m/>
    <x v="0"/>
    <m/>
    <x v="0"/>
    <x v="0"/>
    <x v="7"/>
    <s v="In"/>
    <x v="0"/>
    <n v="0"/>
    <n v="0"/>
    <n v="0"/>
    <n v="1"/>
    <x v="2"/>
    <x v="40"/>
    <m/>
    <m/>
    <m/>
    <m/>
    <x v="1"/>
    <x v="1"/>
  </r>
  <r>
    <n v="85"/>
    <d v="2026-04-23T18:57:00"/>
    <d v="2026-04-23T19:01:30"/>
    <x v="72"/>
    <x v="72"/>
    <x v="0"/>
    <s v="079095014706"/>
    <s v="0937251707"/>
    <s v="No"/>
    <m/>
    <x v="0"/>
    <s v="Dị ứng cồn"/>
    <x v="0"/>
    <x v="0"/>
    <x v="9"/>
    <s v="In"/>
    <x v="0"/>
    <n v="0"/>
    <n v="0"/>
    <n v="0"/>
    <n v="1"/>
    <x v="2"/>
    <x v="40"/>
    <m/>
    <m/>
    <m/>
    <m/>
    <x v="1"/>
    <x v="1"/>
  </r>
  <r>
    <n v="220"/>
    <d v="2026-05-04T17:22:48"/>
    <d v="2026-05-04T17:26:40"/>
    <x v="73"/>
    <x v="73"/>
    <x v="0"/>
    <s v="087190011453"/>
    <s v="0375225989"/>
    <s v="No"/>
    <m/>
    <x v="0"/>
    <m/>
    <x v="0"/>
    <x v="4"/>
    <x v="9"/>
    <s v="In"/>
    <x v="0"/>
    <n v="0"/>
    <n v="0"/>
    <n v="0"/>
    <n v="1"/>
    <x v="2"/>
    <x v="41"/>
    <m/>
    <m/>
    <m/>
    <m/>
    <x v="0"/>
    <x v="0"/>
  </r>
  <r>
    <n v="32"/>
    <d v="2026-04-22T16:12:27"/>
    <d v="2026-04-22T16:14:45"/>
    <x v="74"/>
    <x v="74"/>
    <x v="0"/>
    <s v="049192000750"/>
    <s v="0983068421"/>
    <s v="No"/>
    <m/>
    <x v="0"/>
    <m/>
    <x v="0"/>
    <x v="4"/>
    <x v="10"/>
    <s v="In"/>
    <x v="0"/>
    <n v="0"/>
    <n v="0"/>
    <n v="0"/>
    <n v="1"/>
    <x v="2"/>
    <x v="42"/>
    <m/>
    <m/>
    <m/>
    <m/>
    <x v="0"/>
    <x v="0"/>
  </r>
  <r>
    <n v="15"/>
    <d v="2026-04-22T15:47:53"/>
    <d v="2026-04-22T15:50:01"/>
    <x v="75"/>
    <x v="75"/>
    <x v="0"/>
    <s v="091301010042"/>
    <s v="0768811159"/>
    <s v="No"/>
    <m/>
    <x v="0"/>
    <m/>
    <x v="0"/>
    <x v="0"/>
    <x v="11"/>
    <s v="In"/>
    <x v="0"/>
    <n v="0"/>
    <n v="0"/>
    <n v="0"/>
    <n v="1"/>
    <x v="4"/>
    <x v="0"/>
    <m/>
    <m/>
    <m/>
    <m/>
    <x v="0"/>
    <x v="0"/>
  </r>
  <r>
    <n v="17"/>
    <d v="2026-04-22T15:48:57"/>
    <d v="2026-04-22T15:50:40"/>
    <x v="76"/>
    <x v="76"/>
    <x v="0"/>
    <s v="040099011473"/>
    <s v="0946650045"/>
    <s v="No"/>
    <m/>
    <x v="0"/>
    <m/>
    <x v="0"/>
    <x v="0"/>
    <x v="11"/>
    <s v="In"/>
    <x v="0"/>
    <n v="0"/>
    <n v="0"/>
    <n v="0"/>
    <n v="1"/>
    <x v="4"/>
    <x v="43"/>
    <m/>
    <m/>
    <m/>
    <m/>
    <x v="1"/>
    <x v="1"/>
  </r>
  <r>
    <n v="49"/>
    <d v="2026-04-22T17:30:45"/>
    <d v="2026-04-22T17:32:31"/>
    <x v="77"/>
    <x v="77"/>
    <x v="0"/>
    <s v="079096027174"/>
    <s v="0934297931"/>
    <s v="No"/>
    <m/>
    <x v="0"/>
    <m/>
    <x v="0"/>
    <x v="0"/>
    <x v="11"/>
    <s v="In"/>
    <x v="0"/>
    <n v="0"/>
    <n v="0"/>
    <n v="0"/>
    <n v="1"/>
    <x v="4"/>
    <x v="44"/>
    <m/>
    <m/>
    <m/>
    <m/>
    <x v="1"/>
    <x v="1"/>
  </r>
  <r>
    <n v="113"/>
    <d v="2026-04-24T15:03:12"/>
    <d v="2026-04-24T15:05:42"/>
    <x v="78"/>
    <x v="78"/>
    <x v="0"/>
    <s v="075095021646"/>
    <s v="0352680918"/>
    <s v="No"/>
    <m/>
    <x v="0"/>
    <m/>
    <x v="0"/>
    <x v="0"/>
    <x v="11"/>
    <s v="In"/>
    <x v="0"/>
    <n v="0"/>
    <n v="0"/>
    <n v="0"/>
    <n v="1"/>
    <x v="4"/>
    <x v="44"/>
    <m/>
    <m/>
    <m/>
    <m/>
    <x v="1"/>
    <x v="1"/>
  </r>
  <r>
    <n v="101"/>
    <d v="2026-04-24T11:34:50"/>
    <d v="2026-04-24T11:35:38"/>
    <x v="79"/>
    <x v="79"/>
    <x v="0"/>
    <s v="079096034588"/>
    <s v="0938282487"/>
    <s v="No"/>
    <m/>
    <x v="0"/>
    <m/>
    <x v="0"/>
    <x v="0"/>
    <x v="9"/>
    <s v="In"/>
    <x v="0"/>
    <n v="0"/>
    <n v="0"/>
    <n v="0"/>
    <n v="1"/>
    <x v="4"/>
    <x v="43"/>
    <m/>
    <m/>
    <m/>
    <m/>
    <x v="1"/>
    <x v="1"/>
  </r>
  <r>
    <n v="160"/>
    <d v="2026-05-04T09:02:53"/>
    <d v="2026-05-04T09:06:29"/>
    <x v="80"/>
    <x v="80"/>
    <x v="0"/>
    <s v="040195009694"/>
    <s v="0966272279"/>
    <s v="No"/>
    <m/>
    <x v="0"/>
    <m/>
    <x v="0"/>
    <x v="4"/>
    <x v="9"/>
    <s v="In"/>
    <x v="0"/>
    <n v="0"/>
    <n v="0"/>
    <n v="0"/>
    <n v="1"/>
    <x v="4"/>
    <x v="45"/>
    <m/>
    <m/>
    <m/>
    <m/>
    <x v="0"/>
    <x v="0"/>
  </r>
  <r>
    <n v="38"/>
    <d v="2026-04-22T16:20:21"/>
    <d v="2026-04-22T16:21:17"/>
    <x v="81"/>
    <x v="81"/>
    <x v="0"/>
    <s v="052097015080"/>
    <s v="0776756952"/>
    <s v="No"/>
    <m/>
    <x v="0"/>
    <m/>
    <x v="0"/>
    <x v="0"/>
    <x v="12"/>
    <s v="In"/>
    <x v="0"/>
    <n v="0"/>
    <n v="0"/>
    <n v="0"/>
    <n v="1"/>
    <x v="5"/>
    <x v="46"/>
    <m/>
    <m/>
    <m/>
    <m/>
    <x v="1"/>
    <x v="1"/>
  </r>
  <r>
    <n v="48"/>
    <d v="2026-04-22T16:46:42"/>
    <d v="2026-04-22T16:56:01"/>
    <x v="82"/>
    <x v="82"/>
    <x v="0"/>
    <s v="075193013225"/>
    <s v="0356055190"/>
    <s v="No"/>
    <m/>
    <x v="0"/>
    <m/>
    <x v="0"/>
    <x v="0"/>
    <x v="12"/>
    <s v="In"/>
    <x v="0"/>
    <n v="0"/>
    <n v="0"/>
    <n v="0"/>
    <n v="1"/>
    <x v="6"/>
    <x v="47"/>
    <m/>
    <m/>
    <m/>
    <m/>
    <x v="0"/>
    <x v="0"/>
  </r>
  <r>
    <n v="130"/>
    <d v="2026-04-25T17:17:56"/>
    <d v="2026-04-25T17:20:40"/>
    <x v="83"/>
    <x v="83"/>
    <x v="0"/>
    <s v="051202007406"/>
    <s v="0345717796"/>
    <s v="No"/>
    <m/>
    <x v="0"/>
    <m/>
    <x v="0"/>
    <x v="0"/>
    <x v="12"/>
    <s v="In"/>
    <x v="0"/>
    <n v="0"/>
    <n v="0"/>
    <n v="0"/>
    <n v="1"/>
    <x v="4"/>
    <x v="48"/>
    <m/>
    <m/>
    <m/>
    <m/>
    <x v="1"/>
    <x v="1"/>
  </r>
  <r>
    <n v="134"/>
    <d v="2026-04-28T09:01:53"/>
    <d v="2026-04-28T09:05:29"/>
    <x v="84"/>
    <x v="84"/>
    <x v="0"/>
    <s v="091201012114"/>
    <s v="0762922184"/>
    <s v="No"/>
    <m/>
    <x v="0"/>
    <m/>
    <x v="0"/>
    <x v="0"/>
    <x v="12"/>
    <s v="In"/>
    <x v="0"/>
    <n v="0"/>
    <n v="0"/>
    <n v="0"/>
    <n v="1"/>
    <x v="4"/>
    <x v="49"/>
    <m/>
    <m/>
    <m/>
    <m/>
    <x v="1"/>
    <x v="1"/>
  </r>
  <r>
    <n v="135"/>
    <d v="2026-04-28T09:06:07"/>
    <d v="2026-04-28T09:07:25"/>
    <x v="85"/>
    <x v="85"/>
    <x v="0"/>
    <s v="079098003185"/>
    <s v="0879295967"/>
    <s v="No"/>
    <m/>
    <x v="0"/>
    <m/>
    <x v="0"/>
    <x v="0"/>
    <x v="12"/>
    <s v="In"/>
    <x v="0"/>
    <n v="0"/>
    <n v="0"/>
    <n v="0"/>
    <n v="1"/>
    <x v="4"/>
    <x v="49"/>
    <m/>
    <m/>
    <m/>
    <m/>
    <x v="1"/>
    <x v="1"/>
  </r>
  <r>
    <n v="140"/>
    <d v="2026-04-28T09:25:19"/>
    <d v="2026-04-28T11:17:40"/>
    <x v="86"/>
    <x v="86"/>
    <x v="0"/>
    <s v="079301006935"/>
    <s v="0779911643"/>
    <s v="No"/>
    <m/>
    <x v="0"/>
    <m/>
    <x v="0"/>
    <x v="0"/>
    <x v="12"/>
    <s v="In"/>
    <x v="0"/>
    <n v="0"/>
    <n v="0"/>
    <n v="0"/>
    <n v="1"/>
    <x v="4"/>
    <x v="1"/>
    <m/>
    <m/>
    <m/>
    <m/>
    <x v="0"/>
    <x v="0"/>
  </r>
  <r>
    <n v="172"/>
    <d v="2026-05-04T13:11:30"/>
    <d v="2026-05-04T13:13:28"/>
    <x v="87"/>
    <x v="87"/>
    <x v="0"/>
    <s v="067098004566"/>
    <s v="0584106886"/>
    <s v="No"/>
    <m/>
    <x v="0"/>
    <m/>
    <x v="0"/>
    <x v="0"/>
    <x v="12"/>
    <s v="In"/>
    <x v="0"/>
    <n v="0"/>
    <n v="0"/>
    <n v="0"/>
    <n v="1"/>
    <x v="4"/>
    <x v="50"/>
    <m/>
    <m/>
    <m/>
    <m/>
    <x v="1"/>
    <x v="1"/>
  </r>
  <r>
    <n v="173"/>
    <d v="2026-05-04T13:21:59"/>
    <d v="2026-05-04T13:24:14"/>
    <x v="88"/>
    <x v="88"/>
    <x v="0"/>
    <s v="089096021770"/>
    <s v="0962359719"/>
    <s v="No"/>
    <m/>
    <x v="0"/>
    <m/>
    <x v="0"/>
    <x v="0"/>
    <x v="12"/>
    <s v="In"/>
    <x v="0"/>
    <n v="0"/>
    <n v="0"/>
    <n v="0"/>
    <n v="1"/>
    <x v="4"/>
    <x v="50"/>
    <m/>
    <m/>
    <m/>
    <m/>
    <x v="1"/>
    <x v="1"/>
  </r>
  <r>
    <n v="177"/>
    <d v="2026-05-04T13:41:45"/>
    <d v="2026-05-04T13:42:21"/>
    <x v="89"/>
    <x v="89"/>
    <x v="0"/>
    <s v="084197000010"/>
    <s v="0936610147"/>
    <s v="No"/>
    <m/>
    <x v="0"/>
    <m/>
    <x v="0"/>
    <x v="0"/>
    <x v="12"/>
    <s v="In"/>
    <x v="0"/>
    <n v="0"/>
    <n v="0"/>
    <n v="0"/>
    <n v="1"/>
    <x v="4"/>
    <x v="42"/>
    <m/>
    <m/>
    <m/>
    <m/>
    <x v="0"/>
    <x v="0"/>
  </r>
  <r>
    <n v="180"/>
    <d v="2026-05-04T13:40:31"/>
    <d v="2026-05-04T13:46:57"/>
    <x v="90"/>
    <x v="90"/>
    <x v="0"/>
    <s v="082097013452"/>
    <s v="0332548027"/>
    <s v="No"/>
    <m/>
    <x v="0"/>
    <m/>
    <x v="0"/>
    <x v="0"/>
    <x v="12"/>
    <s v="In"/>
    <x v="0"/>
    <n v="0"/>
    <n v="0"/>
    <n v="0"/>
    <n v="1"/>
    <x v="4"/>
    <x v="51"/>
    <m/>
    <m/>
    <m/>
    <m/>
    <x v="1"/>
    <x v="1"/>
  </r>
  <r>
    <n v="182"/>
    <d v="2026-05-04T13:48:00"/>
    <d v="2026-05-04T13:50:01"/>
    <x v="91"/>
    <x v="91"/>
    <x v="0"/>
    <s v="079085007940"/>
    <s v="0878886446"/>
    <s v="Yes"/>
    <s v="1. TRẦN THỊ KIM THUỶ Ngày sinh: 07/10/1998 CCCD: 079198004873 _x000a_2. NGUYỄN NGỌC KIM ANH Ngày sinh: 04/09/2022 CCCD: 079322018996 _x000a_3. NGUYỄN NGỌC TUỆ NHI Ngày sinh: 01/03/2024 CCCD: 079324006070"/>
    <x v="0"/>
    <m/>
    <x v="0"/>
    <x v="0"/>
    <x v="12"/>
    <s v="In"/>
    <x v="1"/>
    <n v="2"/>
    <n v="1"/>
    <n v="3"/>
    <n v="4"/>
    <x v="4"/>
    <x v="52"/>
    <m/>
    <m/>
    <m/>
    <m/>
    <x v="1"/>
    <x v="1"/>
  </r>
  <r>
    <n v="169"/>
    <d v="2026-05-04T11:19:22"/>
    <d v="2026-05-04T11:23:53"/>
    <x v="92"/>
    <x v="92"/>
    <x v="0"/>
    <s v="052092016286"/>
    <s v="0972326052"/>
    <s v="Yes"/>
    <s v="Lam Vi Phuong - Female - 25/05/1994 - 084194007540"/>
    <x v="0"/>
    <m/>
    <x v="0"/>
    <x v="0"/>
    <x v="12"/>
    <s v="In"/>
    <x v="1"/>
    <n v="0"/>
    <n v="1"/>
    <n v="1"/>
    <n v="2"/>
    <x v="4"/>
    <x v="53"/>
    <m/>
    <m/>
    <m/>
    <m/>
    <x v="1"/>
    <x v="0"/>
  </r>
  <r>
    <n v="229"/>
    <d v="2026-05-04T18:48:39"/>
    <d v="2026-05-04T18:49:40"/>
    <x v="93"/>
    <x v="93"/>
    <x v="0"/>
    <s v="049092003884"/>
    <s v="0973718347"/>
    <s v="No"/>
    <m/>
    <x v="0"/>
    <m/>
    <x v="0"/>
    <x v="0"/>
    <x v="12"/>
    <s v="In"/>
    <x v="0"/>
    <n v="0"/>
    <n v="0"/>
    <n v="0"/>
    <n v="1"/>
    <x v="5"/>
    <x v="54"/>
    <m/>
    <m/>
    <m/>
    <m/>
    <x v="1"/>
    <x v="1"/>
  </r>
  <r>
    <n v="230"/>
    <d v="2026-05-04T19:39:43"/>
    <d v="2026-05-04T19:47:25"/>
    <x v="94"/>
    <x v="94"/>
    <x v="0"/>
    <s v="049092003884"/>
    <s v="0975193219"/>
    <s v="Yes"/>
    <s v="1. Lương Thị Lưu - Female - 06/03/1993 - 040193036578_x000a_2. Nguyễn Lương Hoàng Yến - Female - 19/10/2021 - 086321006062_x000a_3. Nguyễn Lương Thanh Thảo - Female -  06/03/2024 - 086324001119"/>
    <x v="0"/>
    <m/>
    <x v="0"/>
    <x v="0"/>
    <x v="12"/>
    <s v="In"/>
    <x v="1"/>
    <n v="2"/>
    <n v="1"/>
    <n v="3"/>
    <n v="4"/>
    <x v="4"/>
    <x v="55"/>
    <m/>
    <m/>
    <m/>
    <m/>
    <x v="1"/>
    <x v="1"/>
  </r>
  <r>
    <n v="256"/>
    <d v="2026-05-05T13:08:55"/>
    <d v="2026-05-05T13:10:48"/>
    <x v="95"/>
    <x v="95"/>
    <x v="0"/>
    <s v="052096015341"/>
    <s v="0397459642"/>
    <s v="No"/>
    <m/>
    <x v="0"/>
    <m/>
    <x v="0"/>
    <x v="0"/>
    <x v="12"/>
    <s v="In"/>
    <x v="0"/>
    <n v="0"/>
    <n v="0"/>
    <n v="0"/>
    <n v="1"/>
    <x v="4"/>
    <x v="56"/>
    <m/>
    <m/>
    <m/>
    <m/>
    <x v="1"/>
    <x v="1"/>
  </r>
  <r>
    <n v="264"/>
    <d v="2026-05-05T14:11:43"/>
    <d v="2026-05-05T14:11:50"/>
    <x v="96"/>
    <x v="96"/>
    <x v="0"/>
    <s v="079099027044"/>
    <s v="0335618057"/>
    <s v="No"/>
    <m/>
    <x v="0"/>
    <m/>
    <x v="0"/>
    <x v="0"/>
    <x v="12"/>
    <s v="In"/>
    <x v="0"/>
    <n v="0"/>
    <n v="0"/>
    <n v="0"/>
    <n v="1"/>
    <x v="4"/>
    <x v="56"/>
    <m/>
    <m/>
    <m/>
    <m/>
    <x v="1"/>
    <x v="1"/>
  </r>
  <r>
    <n v="283"/>
    <d v="2026-05-05T19:04:16"/>
    <d v="2026-05-05T19:10:09"/>
    <x v="97"/>
    <x v="97"/>
    <x v="0"/>
    <s v="049095015282"/>
    <s v="0386987100"/>
    <s v="Yes"/>
    <s v="1. Ung Thụy Song Quỳnh - Female - 11/11/1995 - 049195000151_x000a_2. Phạm Công Quang - Male - 26/05/2024 - 049224004390"/>
    <x v="0"/>
    <m/>
    <x v="0"/>
    <x v="0"/>
    <x v="12"/>
    <s v="In"/>
    <x v="1"/>
    <n v="1"/>
    <n v="1"/>
    <n v="2"/>
    <n v="3"/>
    <x v="4"/>
    <x v="57"/>
    <m/>
    <m/>
    <m/>
    <m/>
    <x v="1"/>
    <x v="0"/>
  </r>
  <r>
    <n v="307"/>
    <d v="2026-05-06T13:39:58"/>
    <d v="2026-05-06T13:44:00"/>
    <x v="98"/>
    <x v="98"/>
    <x v="0"/>
    <s v="075090010849"/>
    <s v="0778836595"/>
    <s v="No"/>
    <m/>
    <x v="0"/>
    <m/>
    <x v="0"/>
    <x v="0"/>
    <x v="12"/>
    <s v="In"/>
    <x v="0"/>
    <n v="0"/>
    <n v="0"/>
    <n v="0"/>
    <n v="1"/>
    <x v="4"/>
    <x v="58"/>
    <m/>
    <m/>
    <m/>
    <m/>
    <x v="1"/>
    <x v="1"/>
  </r>
  <r>
    <n v="311"/>
    <d v="2026-05-06T16:33:23"/>
    <d v="2026-05-06T16:42:35"/>
    <x v="99"/>
    <x v="99"/>
    <x v="0"/>
    <s v="035198005801"/>
    <s v="0961393725"/>
    <s v="Yes"/>
    <s v="Cao Thi Truc Duyen - Female - 15/06/1997 - 083197002767"/>
    <x v="0"/>
    <m/>
    <x v="0"/>
    <x v="0"/>
    <x v="12"/>
    <s v="In"/>
    <x v="1"/>
    <n v="0"/>
    <n v="1"/>
    <n v="1"/>
    <n v="2"/>
    <x v="4"/>
    <x v="59"/>
    <m/>
    <m/>
    <m/>
    <m/>
    <x v="0"/>
    <x v="0"/>
  </r>
  <r>
    <n v="313"/>
    <d v="2026-05-06T18:52:23"/>
    <d v="2026-05-06T18:53:30"/>
    <x v="100"/>
    <x v="100"/>
    <x v="0"/>
    <s v="052092015218"/>
    <s v="0346726479"/>
    <s v="No"/>
    <m/>
    <x v="0"/>
    <m/>
    <x v="0"/>
    <x v="0"/>
    <x v="12"/>
    <s v="In"/>
    <x v="0"/>
    <n v="0"/>
    <n v="0"/>
    <n v="0"/>
    <n v="1"/>
    <x v="4"/>
    <x v="58"/>
    <m/>
    <m/>
    <m/>
    <m/>
    <x v="1"/>
    <x v="1"/>
  </r>
  <r>
    <n v="314"/>
    <d v="2026-05-06T20:16:03"/>
    <d v="2026-05-06T20:17:53"/>
    <x v="101"/>
    <x v="101"/>
    <x v="0"/>
    <s v="052092002529"/>
    <s v="0977794203"/>
    <s v="Yes"/>
    <s v="Nguyen Thi Viet Le - Female - 20/11/1997 - 049197010026"/>
    <x v="0"/>
    <m/>
    <x v="0"/>
    <x v="0"/>
    <x v="12"/>
    <s v="In"/>
    <x v="1"/>
    <n v="0"/>
    <n v="1"/>
    <n v="1"/>
    <n v="2"/>
    <x v="4"/>
    <x v="60"/>
    <m/>
    <m/>
    <m/>
    <m/>
    <x v="1"/>
    <x v="0"/>
  </r>
  <r>
    <n v="47"/>
    <d v="2026-04-22T15:38:26"/>
    <d v="2026-04-22T16:41:14"/>
    <x v="102"/>
    <x v="102"/>
    <x v="0"/>
    <s v="031202004177"/>
    <s v="0886895676"/>
    <s v="No"/>
    <m/>
    <x v="0"/>
    <m/>
    <x v="0"/>
    <x v="0"/>
    <x v="13"/>
    <s v="In"/>
    <x v="0"/>
    <n v="0"/>
    <n v="0"/>
    <n v="0"/>
    <n v="1"/>
    <x v="5"/>
    <x v="61"/>
    <m/>
    <m/>
    <m/>
    <m/>
    <x v="1"/>
    <x v="1"/>
  </r>
  <r>
    <n v="75"/>
    <d v="2026-04-23T16:00:49"/>
    <d v="2026-04-23T16:01:44"/>
    <x v="103"/>
    <x v="103"/>
    <x v="0"/>
    <s v="079202021638"/>
    <s v="0899337446"/>
    <s v="No"/>
    <m/>
    <x v="0"/>
    <m/>
    <x v="0"/>
    <x v="0"/>
    <x v="13"/>
    <s v="In"/>
    <x v="0"/>
    <n v="0"/>
    <n v="0"/>
    <n v="0"/>
    <n v="1"/>
    <x v="5"/>
    <x v="61"/>
    <m/>
    <m/>
    <m/>
    <m/>
    <x v="1"/>
    <x v="1"/>
  </r>
  <r>
    <n v="77"/>
    <d v="2026-04-23T16:10:23"/>
    <d v="2026-04-23T16:11:00"/>
    <x v="104"/>
    <x v="104"/>
    <x v="0"/>
    <s v="079201003742"/>
    <s v="0896116155"/>
    <s v="No"/>
    <m/>
    <x v="0"/>
    <m/>
    <x v="0"/>
    <x v="0"/>
    <x v="13"/>
    <s v="In"/>
    <x v="0"/>
    <n v="0"/>
    <n v="0"/>
    <n v="0"/>
    <n v="1"/>
    <x v="5"/>
    <x v="62"/>
    <m/>
    <m/>
    <m/>
    <m/>
    <x v="1"/>
    <x v="1"/>
  </r>
  <r>
    <n v="78"/>
    <d v="2026-04-23T16:11:28"/>
    <d v="2026-04-23T16:11:53"/>
    <x v="105"/>
    <x v="105"/>
    <x v="0"/>
    <s v="031202010766"/>
    <s v="0981412159"/>
    <s v="No"/>
    <m/>
    <x v="0"/>
    <m/>
    <x v="0"/>
    <x v="0"/>
    <x v="13"/>
    <s v="In"/>
    <x v="0"/>
    <n v="0"/>
    <n v="0"/>
    <n v="0"/>
    <n v="1"/>
    <x v="5"/>
    <x v="62"/>
    <m/>
    <m/>
    <m/>
    <m/>
    <x v="1"/>
    <x v="1"/>
  </r>
  <r>
    <n v="81"/>
    <d v="2026-04-23T16:34:18"/>
    <d v="2026-04-23T16:37:30"/>
    <x v="106"/>
    <x v="106"/>
    <x v="0"/>
    <s v="064201004428"/>
    <s v="0337399029"/>
    <s v="No"/>
    <m/>
    <x v="0"/>
    <m/>
    <x v="0"/>
    <x v="0"/>
    <x v="13"/>
    <s v="In"/>
    <x v="0"/>
    <n v="0"/>
    <n v="0"/>
    <n v="0"/>
    <n v="1"/>
    <x v="5"/>
    <x v="63"/>
    <m/>
    <m/>
    <m/>
    <m/>
    <x v="1"/>
    <x v="1"/>
  </r>
  <r>
    <n v="93"/>
    <d v="2026-04-24T09:13:07"/>
    <d v="2026-04-24T09:15:12"/>
    <x v="107"/>
    <x v="107"/>
    <x v="0"/>
    <s v="048203001699"/>
    <s v="0905054228"/>
    <s v="No"/>
    <m/>
    <x v="0"/>
    <m/>
    <x v="0"/>
    <x v="0"/>
    <x v="13"/>
    <s v="In"/>
    <x v="0"/>
    <n v="0"/>
    <n v="0"/>
    <n v="0"/>
    <n v="1"/>
    <x v="5"/>
    <x v="63"/>
    <m/>
    <m/>
    <m/>
    <m/>
    <x v="1"/>
    <x v="1"/>
  </r>
  <r>
    <n v="118"/>
    <d v="2026-04-24T17:20:57"/>
    <d v="2026-04-24T17:22:47"/>
    <x v="108"/>
    <x v="108"/>
    <x v="0"/>
    <s v="079300041083"/>
    <s v="0778605436"/>
    <s v="No"/>
    <m/>
    <x v="0"/>
    <m/>
    <x v="0"/>
    <x v="0"/>
    <x v="13"/>
    <s v="In"/>
    <x v="0"/>
    <n v="0"/>
    <n v="0"/>
    <n v="0"/>
    <n v="1"/>
    <x v="5"/>
    <x v="64"/>
    <m/>
    <m/>
    <m/>
    <m/>
    <x v="0"/>
    <x v="0"/>
  </r>
  <r>
    <n v="219"/>
    <d v="2026-05-04T17:05:54"/>
    <d v="2026-05-04T17:10:17"/>
    <x v="109"/>
    <x v="109"/>
    <x v="0"/>
    <s v="008193007229"/>
    <s v="0559852579"/>
    <s v="No"/>
    <m/>
    <x v="0"/>
    <m/>
    <x v="0"/>
    <x v="1"/>
    <x v="14"/>
    <s v="In"/>
    <x v="0"/>
    <n v="0"/>
    <n v="0"/>
    <n v="0"/>
    <n v="1"/>
    <x v="5"/>
    <x v="41"/>
    <m/>
    <m/>
    <m/>
    <m/>
    <x v="0"/>
    <x v="0"/>
  </r>
  <r>
    <n v="60"/>
    <d v="2026-04-22T22:02:05"/>
    <d v="2026-04-22T22:05:25"/>
    <x v="110"/>
    <x v="110"/>
    <x v="0"/>
    <s v="066200009584"/>
    <s v="0764290520"/>
    <s v="No"/>
    <m/>
    <x v="0"/>
    <m/>
    <x v="0"/>
    <x v="0"/>
    <x v="15"/>
    <s v="In"/>
    <x v="0"/>
    <n v="0"/>
    <n v="0"/>
    <n v="0"/>
    <n v="1"/>
    <x v="5"/>
    <x v="65"/>
    <m/>
    <m/>
    <m/>
    <m/>
    <x v="1"/>
    <x v="1"/>
  </r>
  <r>
    <n v="142"/>
    <d v="2026-04-28T15:41:46"/>
    <d v="2026-04-28T15:44:02"/>
    <x v="111"/>
    <x v="111"/>
    <x v="0"/>
    <s v="079099034668"/>
    <s v="0906659850"/>
    <s v="No"/>
    <m/>
    <x v="0"/>
    <m/>
    <x v="0"/>
    <x v="0"/>
    <x v="15"/>
    <s v="In"/>
    <x v="0"/>
    <n v="0"/>
    <n v="0"/>
    <n v="0"/>
    <n v="1"/>
    <x v="5"/>
    <x v="65"/>
    <m/>
    <m/>
    <m/>
    <m/>
    <x v="1"/>
    <x v="1"/>
  </r>
  <r>
    <n v="152"/>
    <d v="2026-05-02T09:38:27"/>
    <d v="2026-05-02T09:41:19"/>
    <x v="112"/>
    <x v="112"/>
    <x v="0"/>
    <s v="079090028751"/>
    <s v="0937308357"/>
    <s v="No"/>
    <m/>
    <x v="0"/>
    <m/>
    <x v="0"/>
    <x v="0"/>
    <x v="15"/>
    <s v="In"/>
    <x v="0"/>
    <n v="0"/>
    <n v="0"/>
    <n v="0"/>
    <n v="1"/>
    <x v="5"/>
    <x v="66"/>
    <m/>
    <m/>
    <m/>
    <m/>
    <x v="1"/>
    <x v="1"/>
  </r>
  <r>
    <n v="155"/>
    <d v="2026-05-03T14:51:00"/>
    <d v="2026-05-03T14:54:06"/>
    <x v="113"/>
    <x v="113"/>
    <x v="0"/>
    <s v="066096004066"/>
    <s v="0868415847"/>
    <s v="No"/>
    <m/>
    <x v="0"/>
    <m/>
    <x v="0"/>
    <x v="0"/>
    <x v="15"/>
    <s v="In"/>
    <x v="0"/>
    <n v="0"/>
    <n v="0"/>
    <n v="0"/>
    <n v="1"/>
    <x v="5"/>
    <x v="66"/>
    <m/>
    <m/>
    <m/>
    <m/>
    <x v="1"/>
    <x v="1"/>
  </r>
  <r>
    <n v="158"/>
    <d v="2026-05-04T08:22:45"/>
    <d v="2026-05-04T08:25:21"/>
    <x v="114"/>
    <x v="114"/>
    <x v="0"/>
    <s v="079196001003"/>
    <s v="0931173302"/>
    <s v="No"/>
    <m/>
    <x v="0"/>
    <m/>
    <x v="0"/>
    <x v="0"/>
    <x v="15"/>
    <s v="In"/>
    <x v="0"/>
    <n v="0"/>
    <n v="0"/>
    <n v="0"/>
    <n v="1"/>
    <x v="6"/>
    <x v="67"/>
    <m/>
    <m/>
    <m/>
    <m/>
    <x v="0"/>
    <x v="0"/>
  </r>
  <r>
    <n v="161"/>
    <d v="2026-05-04T09:34:45"/>
    <d v="2026-05-04T09:37:45"/>
    <x v="115"/>
    <x v="115"/>
    <x v="0"/>
    <s v="079090038513"/>
    <s v="0356154210"/>
    <s v="No"/>
    <m/>
    <x v="0"/>
    <m/>
    <x v="0"/>
    <x v="0"/>
    <x v="15"/>
    <s v="In"/>
    <x v="0"/>
    <n v="0"/>
    <n v="0"/>
    <n v="0"/>
    <n v="1"/>
    <x v="5"/>
    <x v="68"/>
    <m/>
    <m/>
    <m/>
    <m/>
    <x v="1"/>
    <x v="1"/>
  </r>
  <r>
    <n v="199"/>
    <d v="2026-05-04T13:54:53"/>
    <d v="2026-05-04T14:01:11"/>
    <x v="116"/>
    <x v="116"/>
    <x v="0"/>
    <s v="080096010523"/>
    <s v="0966441600"/>
    <s v="No"/>
    <m/>
    <x v="0"/>
    <m/>
    <x v="0"/>
    <x v="0"/>
    <x v="15"/>
    <s v="In"/>
    <x v="0"/>
    <n v="0"/>
    <n v="0"/>
    <n v="0"/>
    <n v="1"/>
    <x v="5"/>
    <x v="68"/>
    <m/>
    <m/>
    <m/>
    <m/>
    <x v="1"/>
    <x v="1"/>
  </r>
  <r>
    <n v="222"/>
    <d v="2026-05-04T17:23:16"/>
    <d v="2026-05-04T17:28:29"/>
    <x v="117"/>
    <x v="117"/>
    <x v="0"/>
    <s v="056098000238"/>
    <s v="0392707949"/>
    <s v="No"/>
    <m/>
    <x v="0"/>
    <m/>
    <x v="0"/>
    <x v="0"/>
    <x v="15"/>
    <s v="In"/>
    <x v="0"/>
    <n v="0"/>
    <n v="0"/>
    <n v="0"/>
    <n v="1"/>
    <x v="5"/>
    <x v="69"/>
    <m/>
    <m/>
    <m/>
    <m/>
    <x v="1"/>
    <x v="1"/>
  </r>
  <r>
    <n v="225"/>
    <d v="2026-05-04T17:16:27"/>
    <d v="2026-05-04T17:49:34"/>
    <x v="118"/>
    <x v="118"/>
    <x v="0"/>
    <s v="079203011720"/>
    <s v="0938080935"/>
    <s v="No"/>
    <m/>
    <x v="0"/>
    <m/>
    <x v="0"/>
    <x v="0"/>
    <x v="15"/>
    <s v="In"/>
    <x v="0"/>
    <n v="0"/>
    <n v="0"/>
    <n v="0"/>
    <n v="1"/>
    <x v="5"/>
    <x v="69"/>
    <m/>
    <m/>
    <m/>
    <m/>
    <x v="1"/>
    <x v="1"/>
  </r>
  <r>
    <n v="233"/>
    <d v="2026-05-04T23:43:26"/>
    <d v="2026-05-04T23:44:21"/>
    <x v="119"/>
    <x v="119"/>
    <x v="0"/>
    <s v="37598"/>
    <s v="0385094422"/>
    <s v="No"/>
    <m/>
    <x v="0"/>
    <m/>
    <x v="0"/>
    <x v="0"/>
    <x v="15"/>
    <s v="In"/>
    <x v="0"/>
    <n v="0"/>
    <n v="0"/>
    <n v="0"/>
    <n v="1"/>
    <x v="5"/>
    <x v="70"/>
    <m/>
    <m/>
    <m/>
    <m/>
    <x v="1"/>
    <x v="1"/>
  </r>
  <r>
    <n v="136"/>
    <d v="2026-04-28T09:04:16"/>
    <d v="2026-04-28T09:07:33"/>
    <x v="120"/>
    <x v="120"/>
    <x v="0"/>
    <s v="068201006525"/>
    <s v="0908725648"/>
    <s v="No"/>
    <m/>
    <x v="0"/>
    <m/>
    <x v="0"/>
    <x v="0"/>
    <x v="12"/>
    <s v="In"/>
    <x v="0"/>
    <n v="0"/>
    <n v="0"/>
    <n v="0"/>
    <n v="1"/>
    <x v="5"/>
    <x v="71"/>
    <m/>
    <m/>
    <m/>
    <m/>
    <x v="1"/>
    <x v="1"/>
  </r>
  <r>
    <n v="141"/>
    <d v="2026-04-28T14:41:29"/>
    <d v="2026-04-28T14:44:11"/>
    <x v="121"/>
    <x v="121"/>
    <x v="0"/>
    <s v="064096009158"/>
    <s v="0367776115"/>
    <s v="Yes"/>
    <s v="Nguyễn Thị Bích Duyên - Female - 05/08/1995"/>
    <x v="0"/>
    <m/>
    <x v="0"/>
    <x v="0"/>
    <x v="12"/>
    <s v="In"/>
    <x v="1"/>
    <n v="0"/>
    <n v="1"/>
    <n v="1"/>
    <n v="2"/>
    <x v="5"/>
    <x v="72"/>
    <m/>
    <m/>
    <m/>
    <m/>
    <x v="1"/>
    <x v="0"/>
  </r>
  <r>
    <n v="232"/>
    <d v="2026-05-04T19:50:16"/>
    <d v="2026-05-04T23:14:52"/>
    <x v="122"/>
    <x v="122"/>
    <x v="0"/>
    <s v="079197010801"/>
    <s v="0704954529"/>
    <s v="No"/>
    <m/>
    <x v="0"/>
    <m/>
    <x v="0"/>
    <x v="0"/>
    <x v="12"/>
    <s v="In"/>
    <x v="0"/>
    <n v="0"/>
    <n v="0"/>
    <n v="0"/>
    <n v="1"/>
    <x v="5"/>
    <x v="73"/>
    <m/>
    <m/>
    <m/>
    <m/>
    <x v="0"/>
    <x v="0"/>
  </r>
  <r>
    <n v="235"/>
    <d v="2026-05-05T05:35:23"/>
    <d v="2026-05-05T05:36:57"/>
    <x v="123"/>
    <x v="123"/>
    <x v="0"/>
    <s v="045091003975"/>
    <s v="0915004496"/>
    <s v="No"/>
    <m/>
    <x v="0"/>
    <m/>
    <x v="0"/>
    <x v="0"/>
    <x v="12"/>
    <s v="In"/>
    <x v="0"/>
    <n v="0"/>
    <n v="0"/>
    <n v="0"/>
    <n v="1"/>
    <x v="4"/>
    <x v="51"/>
    <m/>
    <m/>
    <m/>
    <m/>
    <x v="1"/>
    <x v="1"/>
  </r>
  <r>
    <n v="240"/>
    <d v="2026-05-05T10:05:06"/>
    <d v="2026-05-05T10:07:18"/>
    <x v="124"/>
    <x v="124"/>
    <x v="0"/>
    <s v="091095009127"/>
    <s v="0988438042"/>
    <s v="No"/>
    <m/>
    <x v="0"/>
    <m/>
    <x v="0"/>
    <x v="0"/>
    <x v="12"/>
    <s v="In"/>
    <x v="0"/>
    <n v="0"/>
    <n v="0"/>
    <n v="0"/>
    <n v="1"/>
    <x v="5"/>
    <x v="54"/>
    <m/>
    <m/>
    <m/>
    <m/>
    <x v="1"/>
    <x v="1"/>
  </r>
  <r>
    <n v="247"/>
    <d v="2026-05-05T11:01:58"/>
    <d v="2026-05-05T11:04:49"/>
    <x v="125"/>
    <x v="125"/>
    <x v="0"/>
    <s v="068087004573"/>
    <s v="0938112129"/>
    <s v="No"/>
    <m/>
    <x v="0"/>
    <m/>
    <x v="0"/>
    <x v="0"/>
    <x v="12"/>
    <s v="In"/>
    <x v="0"/>
    <n v="0"/>
    <n v="0"/>
    <n v="0"/>
    <n v="1"/>
    <x v="5"/>
    <x v="46"/>
    <m/>
    <m/>
    <m/>
    <m/>
    <x v="1"/>
    <x v="1"/>
  </r>
  <r>
    <n v="251"/>
    <d v="2026-05-05T11:34:29"/>
    <d v="2026-05-05T11:35:50"/>
    <x v="126"/>
    <x v="126"/>
    <x v="0"/>
    <s v="001203015512"/>
    <s v="0397810603"/>
    <s v="No"/>
    <m/>
    <x v="0"/>
    <m/>
    <x v="0"/>
    <x v="0"/>
    <x v="12"/>
    <s v="In"/>
    <x v="0"/>
    <n v="0"/>
    <n v="0"/>
    <n v="0"/>
    <n v="1"/>
    <x v="5"/>
    <x v="74"/>
    <m/>
    <m/>
    <m/>
    <m/>
    <x v="1"/>
    <x v="1"/>
  </r>
  <r>
    <n v="293"/>
    <d v="2026-05-06T09:26:45"/>
    <d v="2026-05-06T09:29:21"/>
    <x v="127"/>
    <x v="127"/>
    <x v="0"/>
    <s v="080201013658"/>
    <s v="0847827897"/>
    <s v="No"/>
    <m/>
    <x v="0"/>
    <m/>
    <x v="0"/>
    <x v="0"/>
    <x v="12"/>
    <s v="In"/>
    <x v="0"/>
    <n v="0"/>
    <n v="0"/>
    <n v="0"/>
    <n v="1"/>
    <x v="4"/>
    <x v="48"/>
    <m/>
    <m/>
    <m/>
    <m/>
    <x v="1"/>
    <x v="1"/>
  </r>
  <r>
    <n v="299"/>
    <d v="2026-05-06T10:59:36"/>
    <d v="2026-05-06T11:09:24"/>
    <x v="128"/>
    <x v="128"/>
    <x v="0"/>
    <s v="001196042675"/>
    <s v="+84 583 032 919"/>
    <s v="No"/>
    <m/>
    <x v="0"/>
    <s v="Team chị My"/>
    <x v="0"/>
    <x v="0"/>
    <x v="12"/>
    <s v="In"/>
    <x v="0"/>
    <n v="0"/>
    <n v="0"/>
    <n v="0"/>
    <n v="1"/>
    <x v="4"/>
    <x v="45"/>
    <m/>
    <m/>
    <m/>
    <m/>
    <x v="0"/>
    <x v="0"/>
  </r>
  <r>
    <n v="322"/>
    <d v="2026-05-07T13:19:38"/>
    <d v="2026-05-07T13:21:30"/>
    <x v="129"/>
    <x v="129"/>
    <x v="0"/>
    <s v="066098009860"/>
    <s v="+84376275238"/>
    <s v="No"/>
    <m/>
    <x v="0"/>
    <m/>
    <x v="0"/>
    <x v="0"/>
    <x v="12"/>
    <s v="In"/>
    <x v="0"/>
    <n v="0"/>
    <n v="0"/>
    <n v="0"/>
    <n v="1"/>
    <x v="5"/>
    <x v="74"/>
    <m/>
    <m/>
    <m/>
    <m/>
    <x v="1"/>
    <x v="1"/>
  </r>
  <r>
    <n v="323"/>
    <d v="2026-05-07T13:19:38"/>
    <d v="2026-05-07T13:21:30"/>
    <x v="130"/>
    <x v="130"/>
    <x v="0"/>
    <s v="080196014207"/>
    <s v="+84348592628"/>
    <s v="No"/>
    <m/>
    <x v="0"/>
    <m/>
    <x v="0"/>
    <x v="0"/>
    <x v="12"/>
    <s v="In"/>
    <x v="0"/>
    <n v="0"/>
    <n v="0"/>
    <n v="0"/>
    <n v="1"/>
    <x v="5"/>
    <x v="75"/>
    <m/>
    <m/>
    <m/>
    <m/>
    <x v="0"/>
    <x v="0"/>
  </r>
  <r>
    <n v="4"/>
    <d v="2026-04-21T23:25:34"/>
    <d v="2026-04-21T23:27:04"/>
    <x v="131"/>
    <x v="131"/>
    <x v="0"/>
    <s v="030098008566"/>
    <s v="0348997157"/>
    <s v="Yes"/>
    <s v="TRẦN DIỆP HUY - 046098011753 - 0766669006 - Male - 07/01/1998"/>
    <x v="0"/>
    <m/>
    <x v="0"/>
    <x v="0"/>
    <x v="14"/>
    <s v="In"/>
    <x v="1"/>
    <n v="0"/>
    <n v="1"/>
    <n v="1"/>
    <n v="2"/>
    <x v="5"/>
    <x v="76"/>
    <m/>
    <m/>
    <m/>
    <m/>
    <x v="1"/>
    <x v="0"/>
  </r>
  <r>
    <n v="33"/>
    <d v="2026-04-22T16:13:54"/>
    <d v="2026-04-22T16:15:35"/>
    <x v="132"/>
    <x v="132"/>
    <x v="1"/>
    <s v="048087005724"/>
    <s v="0968678149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153"/>
    <d v="2026-05-02T10:33:55"/>
    <d v="2026-05-02T10:37:07"/>
    <x v="133"/>
    <x v="133"/>
    <x v="0"/>
    <s v="051091012099"/>
    <s v="0902898110"/>
    <s v="No"/>
    <m/>
    <x v="0"/>
    <m/>
    <x v="0"/>
    <x v="0"/>
    <x v="14"/>
    <s v="In"/>
    <x v="0"/>
    <n v="0"/>
    <n v="0"/>
    <n v="0"/>
    <n v="1"/>
    <x v="5"/>
    <x v="77"/>
    <m/>
    <m/>
    <m/>
    <m/>
    <x v="1"/>
    <x v="1"/>
  </r>
  <r>
    <n v="210"/>
    <d v="2026-05-04T15:16:09"/>
    <d v="2026-05-04T15:40:57"/>
    <x v="134"/>
    <x v="134"/>
    <x v="0"/>
    <s v="086096004777"/>
    <s v="0705731919"/>
    <s v="No"/>
    <m/>
    <x v="0"/>
    <m/>
    <x v="0"/>
    <x v="0"/>
    <x v="14"/>
    <s v="In"/>
    <x v="0"/>
    <n v="0"/>
    <n v="0"/>
    <n v="0"/>
    <n v="1"/>
    <x v="5"/>
    <x v="70"/>
    <m/>
    <m/>
    <m/>
    <m/>
    <x v="1"/>
    <x v="1"/>
  </r>
  <r>
    <n v="244"/>
    <d v="2026-05-05T10:30:29"/>
    <d v="2026-05-05T10:31:10"/>
    <x v="135"/>
    <x v="135"/>
    <x v="0"/>
    <s v="079093005091"/>
    <s v="0906793262"/>
    <s v="No"/>
    <m/>
    <x v="0"/>
    <m/>
    <x v="0"/>
    <x v="1"/>
    <x v="10"/>
    <s v="In"/>
    <x v="0"/>
    <n v="0"/>
    <n v="0"/>
    <n v="0"/>
    <n v="1"/>
    <x v="5"/>
    <x v="78"/>
    <m/>
    <m/>
    <m/>
    <m/>
    <x v="1"/>
    <x v="0"/>
  </r>
  <r>
    <n v="139"/>
    <d v="2026-04-28T11:03:57"/>
    <d v="2026-04-28T11:06:58"/>
    <x v="136"/>
    <x v="136"/>
    <x v="1"/>
    <s v="EF5959536"/>
    <s v="0981290835"/>
    <s v="Yes"/>
    <s v="Trinh-Vu Léa - Female - 02/05/2022"/>
    <x v="0"/>
    <m/>
    <x v="1"/>
    <x v="3"/>
    <x v="8"/>
    <s v="Not joining"/>
    <x v="1"/>
    <n v="1"/>
    <n v="0"/>
    <n v="1"/>
    <n v="2"/>
    <x v="3"/>
    <x v="31"/>
    <m/>
    <m/>
    <m/>
    <m/>
    <x v="0"/>
    <x v="0"/>
  </r>
  <r>
    <n v="5"/>
    <d v="2026-04-22T14:36:52"/>
    <d v="2026-04-22T15:28:43"/>
    <x v="137"/>
    <x v="137"/>
    <x v="0"/>
    <s v="051198007784"/>
    <s v="0356703207"/>
    <s v="No"/>
    <m/>
    <x v="0"/>
    <m/>
    <x v="2"/>
    <x v="5"/>
    <x v="16"/>
    <s v="In"/>
    <x v="0"/>
    <n v="0"/>
    <n v="0"/>
    <n v="0"/>
    <n v="1"/>
    <x v="7"/>
    <x v="79"/>
    <m/>
    <m/>
    <m/>
    <m/>
    <x v="0"/>
    <x v="0"/>
  </r>
  <r>
    <n v="186"/>
    <d v="2026-05-04T13:51:14"/>
    <d v="2026-05-04T13:54:58"/>
    <x v="138"/>
    <x v="138"/>
    <x v="0"/>
    <s v="079304008486"/>
    <s v="0933557924"/>
    <s v="No"/>
    <m/>
    <x v="0"/>
    <m/>
    <x v="2"/>
    <x v="5"/>
    <x v="17"/>
    <s v="In"/>
    <x v="0"/>
    <n v="0"/>
    <n v="0"/>
    <n v="0"/>
    <n v="1"/>
    <x v="7"/>
    <x v="80"/>
    <m/>
    <m/>
    <m/>
    <m/>
    <x v="0"/>
    <x v="0"/>
  </r>
  <r>
    <n v="187"/>
    <d v="2026-05-04T13:50:12"/>
    <d v="2026-05-04T13:55:01"/>
    <x v="139"/>
    <x v="139"/>
    <x v="0"/>
    <s v="054204000568"/>
    <s v="0377887851"/>
    <s v="No"/>
    <m/>
    <x v="0"/>
    <s v="No spicy"/>
    <x v="2"/>
    <x v="5"/>
    <x v="17"/>
    <s v="In"/>
    <x v="0"/>
    <n v="0"/>
    <n v="0"/>
    <n v="0"/>
    <n v="1"/>
    <x v="7"/>
    <x v="81"/>
    <m/>
    <m/>
    <m/>
    <m/>
    <x v="1"/>
    <x v="1"/>
  </r>
  <r>
    <n v="190"/>
    <d v="2026-05-04T13:51:49"/>
    <d v="2026-05-04T13:55:20"/>
    <x v="140"/>
    <x v="140"/>
    <x v="0"/>
    <s v="077304005352"/>
    <s v="0917827457"/>
    <s v="No"/>
    <m/>
    <x v="0"/>
    <m/>
    <x v="2"/>
    <x v="5"/>
    <x v="17"/>
    <s v="In"/>
    <x v="0"/>
    <n v="0"/>
    <n v="0"/>
    <n v="0"/>
    <n v="1"/>
    <x v="7"/>
    <x v="80"/>
    <m/>
    <m/>
    <m/>
    <m/>
    <x v="0"/>
    <x v="0"/>
  </r>
  <r>
    <n v="287"/>
    <d v="2026-05-05T21:12:32"/>
    <d v="2026-05-05T21:14:13"/>
    <x v="141"/>
    <x v="141"/>
    <x v="0"/>
    <s v="066304009657"/>
    <s v="0917810796"/>
    <s v="No"/>
    <m/>
    <x v="0"/>
    <m/>
    <x v="2"/>
    <x v="5"/>
    <x v="17"/>
    <s v="In"/>
    <x v="0"/>
    <n v="0"/>
    <n v="0"/>
    <n v="0"/>
    <n v="1"/>
    <x v="7"/>
    <x v="82"/>
    <m/>
    <m/>
    <m/>
    <m/>
    <x v="0"/>
    <x v="0"/>
  </r>
  <r>
    <n v="289"/>
    <d v="2026-05-05T22:16:16"/>
    <d v="2026-05-05T22:21:09"/>
    <x v="142"/>
    <x v="142"/>
    <x v="0"/>
    <s v="077304002316"/>
    <s v="0971917272"/>
    <s v="No"/>
    <m/>
    <x v="0"/>
    <m/>
    <x v="2"/>
    <x v="5"/>
    <x v="17"/>
    <s v="In"/>
    <x v="0"/>
    <n v="0"/>
    <n v="0"/>
    <n v="0"/>
    <n v="1"/>
    <x v="7"/>
    <x v="82"/>
    <m/>
    <m/>
    <m/>
    <m/>
    <x v="0"/>
    <x v="0"/>
  </r>
  <r>
    <n v="294"/>
    <d v="2026-05-06T09:28:44"/>
    <d v="2026-05-06T09:29:40"/>
    <x v="143"/>
    <x v="143"/>
    <x v="0"/>
    <s v="060303003328"/>
    <s v="0947047885"/>
    <s v="No"/>
    <m/>
    <x v="0"/>
    <s v="I’m allergic to beef"/>
    <x v="2"/>
    <x v="5"/>
    <x v="17"/>
    <s v="In"/>
    <x v="0"/>
    <n v="0"/>
    <n v="0"/>
    <n v="0"/>
    <n v="1"/>
    <x v="7"/>
    <x v="83"/>
    <m/>
    <m/>
    <m/>
    <m/>
    <x v="0"/>
    <x v="0"/>
  </r>
  <r>
    <n v="22"/>
    <d v="2026-04-22T15:52:58"/>
    <d v="2026-04-22T15:53:57"/>
    <x v="144"/>
    <x v="144"/>
    <x v="0"/>
    <s v="060099008043"/>
    <s v="0933726329"/>
    <s v="No"/>
    <m/>
    <x v="0"/>
    <m/>
    <x v="2"/>
    <x v="6"/>
    <x v="18"/>
    <s v="In"/>
    <x v="0"/>
    <n v="0"/>
    <n v="0"/>
    <n v="0"/>
    <n v="1"/>
    <x v="7"/>
    <x v="84"/>
    <m/>
    <m/>
    <m/>
    <m/>
    <x v="1"/>
    <x v="1"/>
  </r>
  <r>
    <n v="198"/>
    <d v="2026-05-04T13:56:57"/>
    <d v="2026-05-04T14:01:09"/>
    <x v="145"/>
    <x v="145"/>
    <x v="0"/>
    <s v="079302030108"/>
    <s v="0868120502"/>
    <s v="No"/>
    <m/>
    <x v="0"/>
    <m/>
    <x v="2"/>
    <x v="6"/>
    <x v="18"/>
    <s v="In"/>
    <x v="0"/>
    <n v="0"/>
    <n v="0"/>
    <n v="0"/>
    <n v="1"/>
    <x v="7"/>
    <x v="85"/>
    <m/>
    <m/>
    <m/>
    <m/>
    <x v="0"/>
    <x v="0"/>
  </r>
  <r>
    <n v="207"/>
    <d v="2026-05-04T14:15:52"/>
    <d v="2026-05-04T14:53:48"/>
    <x v="146"/>
    <x v="146"/>
    <x v="0"/>
    <s v="034300013120"/>
    <s v="0986555347"/>
    <s v="No"/>
    <m/>
    <x v="0"/>
    <m/>
    <x v="2"/>
    <x v="6"/>
    <x v="18"/>
    <s v="In"/>
    <x v="0"/>
    <n v="0"/>
    <n v="0"/>
    <n v="0"/>
    <n v="1"/>
    <x v="7"/>
    <x v="85"/>
    <m/>
    <m/>
    <m/>
    <m/>
    <x v="0"/>
    <x v="0"/>
  </r>
  <r>
    <n v="258"/>
    <d v="2026-05-05T13:12:38"/>
    <d v="2026-05-05T13:14:23"/>
    <x v="147"/>
    <x v="147"/>
    <x v="0"/>
    <s v="'079202030875"/>
    <s v="'0902788713"/>
    <s v="No"/>
    <m/>
    <x v="0"/>
    <m/>
    <x v="2"/>
    <x v="5"/>
    <x v="18"/>
    <s v="In"/>
    <x v="0"/>
    <n v="0"/>
    <n v="0"/>
    <n v="0"/>
    <n v="1"/>
    <x v="7"/>
    <x v="81"/>
    <m/>
    <m/>
    <m/>
    <m/>
    <x v="1"/>
    <x v="1"/>
  </r>
  <r>
    <n v="131"/>
    <d v="2026-04-25T23:02:47"/>
    <d v="2026-04-25T23:05:46"/>
    <x v="148"/>
    <x v="148"/>
    <x v="0"/>
    <s v="077097003655"/>
    <s v="0355327017"/>
    <s v="No"/>
    <m/>
    <x v="0"/>
    <m/>
    <x v="2"/>
    <x v="6"/>
    <x v="19"/>
    <s v="In"/>
    <x v="0"/>
    <n v="0"/>
    <n v="0"/>
    <n v="0"/>
    <n v="1"/>
    <x v="7"/>
    <x v="86"/>
    <m/>
    <m/>
    <m/>
    <m/>
    <x v="1"/>
    <x v="1"/>
  </r>
  <r>
    <n v="54"/>
    <d v="2026-04-22T18:14:13"/>
    <d v="2026-04-22T18:15:20"/>
    <x v="149"/>
    <x v="149"/>
    <x v="0"/>
    <s v="077198000661"/>
    <s v="0933655795"/>
    <s v="No"/>
    <m/>
    <x v="0"/>
    <m/>
    <x v="2"/>
    <x v="5"/>
    <x v="20"/>
    <s v="In"/>
    <x v="0"/>
    <n v="0"/>
    <n v="0"/>
    <n v="0"/>
    <n v="1"/>
    <x v="7"/>
    <x v="87"/>
    <m/>
    <m/>
    <m/>
    <m/>
    <x v="0"/>
    <x v="0"/>
  </r>
  <r>
    <n v="168"/>
    <d v="2026-05-04T11:15:51"/>
    <d v="2026-05-04T11:19:59"/>
    <x v="150"/>
    <x v="150"/>
    <x v="0"/>
    <s v="25HD56242"/>
    <s v="0902411648"/>
    <s v="No"/>
    <m/>
    <x v="0"/>
    <m/>
    <x v="2"/>
    <x v="7"/>
    <x v="21"/>
    <s v="In"/>
    <x v="0"/>
    <n v="0"/>
    <n v="0"/>
    <n v="0"/>
    <n v="1"/>
    <x v="1"/>
    <x v="19"/>
    <m/>
    <m/>
    <m/>
    <m/>
    <x v="1"/>
    <x v="1"/>
  </r>
  <r>
    <n v="189"/>
    <d v="2026-05-04T13:53:26"/>
    <d v="2026-05-04T13:55:10"/>
    <x v="151"/>
    <x v="151"/>
    <x v="0"/>
    <s v="079086003000"/>
    <s v="0903177922"/>
    <s v="No"/>
    <m/>
    <x v="0"/>
    <m/>
    <x v="2"/>
    <x v="8"/>
    <x v="21"/>
    <s v="In"/>
    <x v="0"/>
    <n v="0"/>
    <n v="0"/>
    <n v="0"/>
    <n v="1"/>
    <x v="7"/>
    <x v="88"/>
    <m/>
    <m/>
    <m/>
    <m/>
    <x v="1"/>
    <x v="1"/>
  </r>
  <r>
    <n v="170"/>
    <d v="2026-05-04T11:47:18"/>
    <d v="2026-05-04T11:48:38"/>
    <x v="152"/>
    <x v="152"/>
    <x v="0"/>
    <s v="048198002437"/>
    <s v="0335767961"/>
    <s v="No"/>
    <m/>
    <x v="0"/>
    <m/>
    <x v="2"/>
    <x v="7"/>
    <x v="22"/>
    <s v="In"/>
    <x v="0"/>
    <n v="0"/>
    <n v="0"/>
    <n v="0"/>
    <n v="1"/>
    <x v="7"/>
    <x v="83"/>
    <m/>
    <m/>
    <m/>
    <m/>
    <x v="0"/>
    <x v="0"/>
  </r>
  <r>
    <n v="133"/>
    <d v="2026-04-27T11:36:50"/>
    <d v="2026-04-27T11:40:07"/>
    <x v="153"/>
    <x v="153"/>
    <x v="0"/>
    <s v="079199001035"/>
    <s v="0906982803"/>
    <s v="Yes"/>
    <s v="Nguyen The Anh - Male - 21/07/2000 - 040200000125"/>
    <x v="0"/>
    <m/>
    <x v="2"/>
    <x v="5"/>
    <x v="23"/>
    <s v="In"/>
    <x v="1"/>
    <n v="0"/>
    <n v="1"/>
    <n v="1"/>
    <n v="2"/>
    <x v="7"/>
    <x v="89"/>
    <m/>
    <m/>
    <m/>
    <m/>
    <x v="0"/>
    <x v="0"/>
  </r>
  <r>
    <n v="53"/>
    <d v="2026-04-22T18:07:22"/>
    <d v="2026-04-22T18:08:35"/>
    <x v="154"/>
    <x v="154"/>
    <x v="0"/>
    <s v="031303000776"/>
    <s v="0393991003"/>
    <s v="No"/>
    <m/>
    <x v="0"/>
    <m/>
    <x v="2"/>
    <x v="5"/>
    <x v="24"/>
    <s v="In"/>
    <x v="0"/>
    <n v="0"/>
    <n v="0"/>
    <n v="0"/>
    <n v="1"/>
    <x v="7"/>
    <x v="90"/>
    <m/>
    <m/>
    <m/>
    <m/>
    <x v="0"/>
    <x v="0"/>
  </r>
  <r>
    <n v="191"/>
    <d v="2026-05-04T13:56:36"/>
    <d v="2026-05-04T13:57:39"/>
    <x v="155"/>
    <x v="15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12"/>
    <d v="2026-04-22T15:41:44"/>
    <d v="2026-04-22T15:42:22"/>
    <x v="156"/>
    <x v="156"/>
    <x v="0"/>
    <s v="095190000250"/>
    <s v="0934831283"/>
    <s v="No"/>
    <m/>
    <x v="0"/>
    <m/>
    <x v="3"/>
    <x v="9"/>
    <x v="9"/>
    <s v="In"/>
    <x v="0"/>
    <n v="0"/>
    <n v="0"/>
    <n v="0"/>
    <n v="1"/>
    <x v="7"/>
    <x v="91"/>
    <m/>
    <m/>
    <m/>
    <m/>
    <x v="0"/>
    <x v="0"/>
  </r>
  <r>
    <n v="214"/>
    <d v="2026-05-04T16:19:58"/>
    <d v="2026-05-04T16:22:23"/>
    <x v="157"/>
    <x v="157"/>
    <x v="1"/>
    <s v="079198036919"/>
    <s v="0903376980"/>
    <s v="No"/>
    <m/>
    <x v="0"/>
    <s v="food allergy - all types of fish"/>
    <x v="1"/>
    <x v="3"/>
    <x v="8"/>
    <s v="Not joining"/>
    <x v="0"/>
    <n v="0"/>
    <n v="0"/>
    <n v="0"/>
    <n v="1"/>
    <x v="3"/>
    <x v="31"/>
    <m/>
    <m/>
    <m/>
    <m/>
    <x v="0"/>
    <x v="0"/>
  </r>
  <r>
    <n v="112"/>
    <d v="2026-04-24T13:51:53"/>
    <d v="2026-04-24T14:59:19"/>
    <x v="158"/>
    <x v="158"/>
    <x v="0"/>
    <s v="079096020132"/>
    <s v="0917923778"/>
    <s v="No"/>
    <m/>
    <x v="0"/>
    <m/>
    <x v="2"/>
    <x v="10"/>
    <x v="25"/>
    <s v="In"/>
    <x v="0"/>
    <n v="0"/>
    <n v="0"/>
    <n v="0"/>
    <n v="1"/>
    <x v="7"/>
    <x v="86"/>
    <m/>
    <m/>
    <m/>
    <m/>
    <x v="1"/>
    <x v="1"/>
  </r>
  <r>
    <n v="285"/>
    <d v="2026-05-05T20:14:41"/>
    <d v="2026-05-05T20:15:31"/>
    <x v="159"/>
    <x v="159"/>
    <x v="0"/>
    <s v="066304003315"/>
    <s v="0345814997"/>
    <s v="No"/>
    <m/>
    <x v="0"/>
    <m/>
    <x v="2"/>
    <x v="10"/>
    <x v="25"/>
    <s v="In"/>
    <x v="0"/>
    <n v="0"/>
    <n v="0"/>
    <n v="0"/>
    <n v="1"/>
    <x v="7"/>
    <x v="92"/>
    <m/>
    <m/>
    <m/>
    <m/>
    <x v="0"/>
    <x v="0"/>
  </r>
  <r>
    <n v="328"/>
    <d v="2026-05-07T13:19:38"/>
    <d v="2026-05-07T13:21:30"/>
    <x v="160"/>
    <x v="160"/>
    <x v="0"/>
    <s v="079195029833"/>
    <s v="0765217394"/>
    <s v="No"/>
    <m/>
    <x v="0"/>
    <m/>
    <x v="2"/>
    <x v="10"/>
    <x v="26"/>
    <s v="In"/>
    <x v="0"/>
    <n v="0"/>
    <n v="0"/>
    <n v="0"/>
    <n v="1"/>
    <x v="7"/>
    <x v="93"/>
    <m/>
    <m/>
    <m/>
    <m/>
    <x v="0"/>
    <x v="0"/>
  </r>
  <r>
    <n v="52"/>
    <d v="2026-04-22T17:40:01"/>
    <d v="2026-04-22T18:04:59"/>
    <x v="161"/>
    <x v="161"/>
    <x v="0"/>
    <s v="060303007588"/>
    <s v="0835255477"/>
    <s v="No"/>
    <m/>
    <x v="0"/>
    <m/>
    <x v="2"/>
    <x v="5"/>
    <x v="27"/>
    <s v="In"/>
    <x v="0"/>
    <n v="0"/>
    <n v="0"/>
    <n v="0"/>
    <n v="1"/>
    <x v="7"/>
    <x v="90"/>
    <m/>
    <m/>
    <m/>
    <m/>
    <x v="0"/>
    <x v="0"/>
  </r>
  <r>
    <n v="306"/>
    <d v="2026-05-05T18:27:10"/>
    <d v="2026-05-06T12:35:21"/>
    <x v="162"/>
    <x v="162"/>
    <x v="0"/>
    <s v="079302023454"/>
    <s v="0902912836"/>
    <s v="No"/>
    <m/>
    <x v="0"/>
    <m/>
    <x v="2"/>
    <x v="5"/>
    <x v="27"/>
    <s v="In"/>
    <x v="0"/>
    <n v="0"/>
    <n v="0"/>
    <n v="0"/>
    <n v="1"/>
    <x v="7"/>
    <x v="94"/>
    <m/>
    <m/>
    <m/>
    <m/>
    <x v="0"/>
    <x v="0"/>
  </r>
  <r>
    <n v="193"/>
    <d v="2026-05-04T13:57:22"/>
    <d v="2026-05-04T13:58:44"/>
    <x v="163"/>
    <x v="163"/>
    <x v="0"/>
    <s v="079303023390"/>
    <s v="0828740008"/>
    <s v="No"/>
    <m/>
    <x v="0"/>
    <m/>
    <x v="2"/>
    <x v="5"/>
    <x v="28"/>
    <s v="In"/>
    <x v="0"/>
    <n v="0"/>
    <n v="0"/>
    <n v="0"/>
    <n v="1"/>
    <x v="7"/>
    <x v="95"/>
    <m/>
    <m/>
    <m/>
    <m/>
    <x v="0"/>
    <x v="0"/>
  </r>
  <r>
    <n v="278"/>
    <d v="2026-05-05T18:20:50"/>
    <d v="2026-05-05T18:22:43"/>
    <x v="164"/>
    <x v="164"/>
    <x v="0"/>
    <s v="066303001193"/>
    <s v="0971993024"/>
    <s v="No"/>
    <m/>
    <x v="0"/>
    <m/>
    <x v="2"/>
    <x v="5"/>
    <x v="28"/>
    <s v="In"/>
    <x v="0"/>
    <n v="0"/>
    <n v="0"/>
    <n v="0"/>
    <n v="1"/>
    <x v="7"/>
    <x v="92"/>
    <m/>
    <m/>
    <m/>
    <m/>
    <x v="0"/>
    <x v="0"/>
  </r>
  <r>
    <n v="296"/>
    <d v="2026-05-06T09:29:19"/>
    <d v="2026-05-06T09:30:23"/>
    <x v="165"/>
    <x v="165"/>
    <x v="0"/>
    <s v="095304000809"/>
    <s v="0941219254"/>
    <s v="No"/>
    <m/>
    <x v="0"/>
    <m/>
    <x v="2"/>
    <x v="5"/>
    <x v="28"/>
    <s v="In"/>
    <x v="0"/>
    <n v="0"/>
    <n v="0"/>
    <n v="0"/>
    <n v="1"/>
    <x v="7"/>
    <x v="94"/>
    <m/>
    <m/>
    <m/>
    <m/>
    <x v="0"/>
    <x v="0"/>
  </r>
  <r>
    <n v="13"/>
    <d v="2026-04-22T15:41:59"/>
    <d v="2026-04-22T15:42:36"/>
    <x v="166"/>
    <x v="166"/>
    <x v="0"/>
    <s v="070093006594"/>
    <s v="0909321830"/>
    <s v="No"/>
    <m/>
    <x v="0"/>
    <m/>
    <x v="2"/>
    <x v="8"/>
    <x v="29"/>
    <s v="In"/>
    <x v="0"/>
    <n v="0"/>
    <n v="0"/>
    <n v="0"/>
    <n v="1"/>
    <x v="7"/>
    <x v="84"/>
    <m/>
    <m/>
    <m/>
    <m/>
    <x v="1"/>
    <x v="1"/>
  </r>
  <r>
    <n v="194"/>
    <d v="2026-05-04T13:57:07"/>
    <d v="2026-05-04T13:59:01"/>
    <x v="167"/>
    <x v="167"/>
    <x v="0"/>
    <s v="052303001134"/>
    <s v="0394301209"/>
    <s v="No"/>
    <m/>
    <x v="0"/>
    <m/>
    <x v="2"/>
    <x v="5"/>
    <x v="30"/>
    <s v="In"/>
    <x v="0"/>
    <n v="0"/>
    <n v="0"/>
    <n v="0"/>
    <n v="1"/>
    <x v="7"/>
    <x v="95"/>
    <m/>
    <m/>
    <m/>
    <m/>
    <x v="0"/>
    <x v="0"/>
  </r>
  <r>
    <n v="243"/>
    <d v="2026-05-05T10:22:29"/>
    <d v="2026-05-05T10:22:34"/>
    <x v="168"/>
    <x v="168"/>
    <x v="0"/>
    <s v="074092001617"/>
    <s v="0944234096"/>
    <s v="No"/>
    <m/>
    <x v="0"/>
    <m/>
    <x v="2"/>
    <x v="8"/>
    <x v="31"/>
    <s v="In"/>
    <x v="0"/>
    <n v="0"/>
    <n v="0"/>
    <n v="0"/>
    <n v="1"/>
    <x v="7"/>
    <x v="88"/>
    <m/>
    <m/>
    <m/>
    <m/>
    <x v="1"/>
    <x v="1"/>
  </r>
  <r>
    <n v="312"/>
    <d v="2026-05-06T18:19:15"/>
    <d v="2026-05-06T18:20:27"/>
    <x v="169"/>
    <x v="169"/>
    <x v="0"/>
    <s v="23FV09763"/>
    <s v="+33613234722"/>
    <s v="No"/>
    <m/>
    <x v="0"/>
    <s v="Any quality whisky (or wine) will do"/>
    <x v="4"/>
    <x v="11"/>
    <x v="32"/>
    <s v="In"/>
    <x v="0"/>
    <n v="0"/>
    <n v="0"/>
    <n v="0"/>
    <n v="1"/>
    <x v="1"/>
    <x v="96"/>
    <m/>
    <m/>
    <m/>
    <m/>
    <x v="1"/>
    <x v="0"/>
  </r>
  <r>
    <n v="46"/>
    <d v="2026-04-22T16:36:52"/>
    <d v="2026-04-22T16:39:50"/>
    <x v="170"/>
    <x v="170"/>
    <x v="0"/>
    <s v="079301029723"/>
    <s v="0908488723"/>
    <s v="No"/>
    <m/>
    <x v="0"/>
    <m/>
    <x v="4"/>
    <x v="12"/>
    <x v="33"/>
    <s v="In"/>
    <x v="0"/>
    <n v="0"/>
    <n v="0"/>
    <n v="0"/>
    <n v="1"/>
    <x v="8"/>
    <x v="97"/>
    <m/>
    <m/>
    <m/>
    <m/>
    <x v="0"/>
    <x v="0"/>
  </r>
  <r>
    <n v="68"/>
    <d v="2026-04-23T10:01:48"/>
    <d v="2026-04-23T10:03:09"/>
    <x v="171"/>
    <x v="171"/>
    <x v="0"/>
    <s v="091086018626"/>
    <s v="0935717578"/>
    <s v="No"/>
    <m/>
    <x v="0"/>
    <m/>
    <x v="4"/>
    <x v="13"/>
    <x v="33"/>
    <s v="In"/>
    <x v="0"/>
    <n v="0"/>
    <n v="0"/>
    <n v="0"/>
    <n v="1"/>
    <x v="8"/>
    <x v="96"/>
    <m/>
    <m/>
    <m/>
    <m/>
    <x v="1"/>
    <x v="0"/>
  </r>
  <r>
    <n v="109"/>
    <d v="2026-04-24T13:55:59"/>
    <d v="2026-04-24T14:00:25"/>
    <x v="172"/>
    <x v="172"/>
    <x v="0"/>
    <s v="079095017425"/>
    <s v="0984678726"/>
    <s v="No"/>
    <m/>
    <x v="0"/>
    <m/>
    <x v="4"/>
    <x v="13"/>
    <x v="33"/>
    <s v="In"/>
    <x v="0"/>
    <n v="0"/>
    <n v="0"/>
    <n v="0"/>
    <n v="1"/>
    <x v="8"/>
    <x v="98"/>
    <m/>
    <m/>
    <m/>
    <m/>
    <x v="1"/>
    <x v="0"/>
  </r>
  <r>
    <n v="1"/>
    <d v="2026-04-21T17:23:25"/>
    <d v="2026-04-21T17:23:34"/>
    <x v="173"/>
    <x v="173"/>
    <x v="0"/>
    <s v="040302018133"/>
    <s v="0826900204"/>
    <s v="No"/>
    <m/>
    <x v="0"/>
    <s v="I have plans after the next two days, so I’ll arrange my own travel back to HCM."/>
    <x v="4"/>
    <x v="14"/>
    <x v="34"/>
    <s v="In"/>
    <x v="0"/>
    <n v="0"/>
    <n v="0"/>
    <n v="0"/>
    <n v="1"/>
    <x v="8"/>
    <x v="97"/>
    <m/>
    <m/>
    <m/>
    <m/>
    <x v="0"/>
    <x v="0"/>
  </r>
  <r>
    <n v="100"/>
    <d v="2026-04-24T10:49:58"/>
    <d v="2026-04-24T10:53:43"/>
    <x v="174"/>
    <x v="174"/>
    <x v="0"/>
    <s v="079196031161"/>
    <s v="0707205096"/>
    <s v="No"/>
    <m/>
    <x v="0"/>
    <m/>
    <x v="4"/>
    <x v="12"/>
    <x v="34"/>
    <s v="In"/>
    <x v="0"/>
    <n v="0"/>
    <n v="0"/>
    <n v="0"/>
    <n v="1"/>
    <x v="8"/>
    <x v="99"/>
    <m/>
    <m/>
    <m/>
    <m/>
    <x v="0"/>
    <x v="0"/>
  </r>
  <r>
    <n v="162"/>
    <d v="2026-05-04T09:37:32"/>
    <d v="2026-05-04T09:39:35"/>
    <x v="175"/>
    <x v="175"/>
    <x v="0"/>
    <s v="079203014457"/>
    <s v="0968080085"/>
    <s v="No"/>
    <m/>
    <x v="0"/>
    <m/>
    <x v="4"/>
    <x v="12"/>
    <x v="34"/>
    <s v="In"/>
    <x v="0"/>
    <n v="0"/>
    <n v="0"/>
    <n v="0"/>
    <n v="1"/>
    <x v="8"/>
    <x v="98"/>
    <m/>
    <m/>
    <m/>
    <m/>
    <x v="1"/>
    <x v="0"/>
  </r>
  <r>
    <n v="66"/>
    <d v="2026-04-23T09:58:51"/>
    <d v="2026-04-23T10:00:10"/>
    <x v="176"/>
    <x v="176"/>
    <x v="0"/>
    <s v="066201002422"/>
    <s v="0372015192"/>
    <s v="No"/>
    <m/>
    <x v="0"/>
    <m/>
    <x v="4"/>
    <x v="13"/>
    <x v="35"/>
    <s v="In"/>
    <x v="0"/>
    <n v="0"/>
    <n v="0"/>
    <n v="0"/>
    <n v="1"/>
    <x v="8"/>
    <x v="100"/>
    <m/>
    <m/>
    <m/>
    <m/>
    <x v="1"/>
    <x v="0"/>
  </r>
  <r>
    <n v="67"/>
    <d v="2026-04-23T09:59:51"/>
    <d v="2026-04-23T10:00:46"/>
    <x v="177"/>
    <x v="177"/>
    <x v="0"/>
    <s v="080087011699"/>
    <s v="0352176769"/>
    <s v="No"/>
    <m/>
    <x v="0"/>
    <m/>
    <x v="4"/>
    <x v="13"/>
    <x v="35"/>
    <s v="In"/>
    <x v="0"/>
    <n v="0"/>
    <n v="0"/>
    <n v="0"/>
    <n v="1"/>
    <x v="8"/>
    <x v="100"/>
    <m/>
    <m/>
    <m/>
    <m/>
    <x v="1"/>
    <x v="0"/>
  </r>
  <r>
    <n v="69"/>
    <d v="2026-04-23T13:34:33"/>
    <d v="2026-04-23T13:44:48"/>
    <x v="178"/>
    <x v="178"/>
    <x v="0"/>
    <s v="079087017793"/>
    <s v="0903322044"/>
    <s v="No"/>
    <m/>
    <x v="0"/>
    <m/>
    <x v="4"/>
    <x v="13"/>
    <x v="35"/>
    <s v="In"/>
    <x v="0"/>
    <n v="0"/>
    <n v="0"/>
    <n v="0"/>
    <n v="1"/>
    <x v="8"/>
    <x v="101"/>
    <m/>
    <m/>
    <m/>
    <m/>
    <x v="1"/>
    <x v="0"/>
  </r>
  <r>
    <n v="71"/>
    <d v="2026-04-23T15:10:36"/>
    <d v="2026-04-23T15:12:25"/>
    <x v="179"/>
    <x v="179"/>
    <x v="0"/>
    <s v="079302019473"/>
    <s v="0918597387"/>
    <s v="No"/>
    <m/>
    <x v="0"/>
    <m/>
    <x v="4"/>
    <x v="13"/>
    <x v="35"/>
    <s v="In"/>
    <x v="0"/>
    <n v="0"/>
    <n v="0"/>
    <n v="0"/>
    <n v="1"/>
    <x v="8"/>
    <x v="99"/>
    <m/>
    <m/>
    <m/>
    <m/>
    <x v="0"/>
    <x v="0"/>
  </r>
  <r>
    <n v="74"/>
    <d v="2026-04-23T15:20:31"/>
    <d v="2026-04-23T15:43:40"/>
    <x v="180"/>
    <x v="180"/>
    <x v="0"/>
    <s v="051095009095 "/>
    <s v="0985752395"/>
    <s v="No"/>
    <m/>
    <x v="0"/>
    <m/>
    <x v="4"/>
    <x v="13"/>
    <x v="35"/>
    <s v="In"/>
    <x v="0"/>
    <n v="0"/>
    <n v="0"/>
    <n v="0"/>
    <n v="1"/>
    <x v="8"/>
    <x v="101"/>
    <m/>
    <m/>
    <m/>
    <m/>
    <x v="1"/>
    <x v="0"/>
  </r>
  <r>
    <n v="83"/>
    <d v="2026-04-23T17:32:34"/>
    <d v="2026-04-23T17:34:46"/>
    <x v="181"/>
    <x v="181"/>
    <x v="0"/>
    <s v="079078022487"/>
    <s v="0934181732"/>
    <s v="No"/>
    <m/>
    <x v="0"/>
    <m/>
    <x v="4"/>
    <x v="13"/>
    <x v="35"/>
    <s v="In"/>
    <x v="0"/>
    <n v="0"/>
    <n v="0"/>
    <n v="0"/>
    <n v="1"/>
    <x v="8"/>
    <x v="102"/>
    <m/>
    <m/>
    <m/>
    <m/>
    <x v="1"/>
    <x v="0"/>
  </r>
  <r>
    <n v="234"/>
    <d v="2026-05-04T23:36:27"/>
    <d v="2026-05-04T23:55:17"/>
    <x v="182"/>
    <x v="182"/>
    <x v="0"/>
    <s v="083096004407"/>
    <s v="0964072710"/>
    <s v="No"/>
    <m/>
    <x v="0"/>
    <m/>
    <x v="4"/>
    <x v="13"/>
    <x v="35"/>
    <s v="In"/>
    <x v="0"/>
    <n v="0"/>
    <n v="0"/>
    <n v="0"/>
    <n v="1"/>
    <x v="8"/>
    <x v="102"/>
    <m/>
    <m/>
    <m/>
    <m/>
    <x v="1"/>
    <x v="0"/>
  </r>
  <r>
    <n v="297"/>
    <d v="2026-05-06T10:35:20"/>
    <d v="2026-05-06T10:35:44"/>
    <x v="183"/>
    <x v="183"/>
    <x v="0"/>
    <s v="079087016493"/>
    <s v="0362685720"/>
    <s v="No"/>
    <m/>
    <x v="0"/>
    <m/>
    <x v="4"/>
    <x v="13"/>
    <x v="35"/>
    <s v="In"/>
    <x v="0"/>
    <n v="0"/>
    <n v="0"/>
    <n v="0"/>
    <n v="1"/>
    <x v="8"/>
    <x v="103"/>
    <m/>
    <m/>
    <m/>
    <m/>
    <x v="1"/>
    <x v="0"/>
  </r>
  <r>
    <n v="18"/>
    <d v="2026-04-22T15:49:45"/>
    <d v="2026-04-22T15:51:15"/>
    <x v="184"/>
    <x v="184"/>
    <x v="0"/>
    <s v="082089018141"/>
    <s v="0909857832"/>
    <s v="No"/>
    <m/>
    <x v="0"/>
    <m/>
    <x v="4"/>
    <x v="13"/>
    <x v="36"/>
    <s v="In"/>
    <x v="0"/>
    <n v="0"/>
    <n v="0"/>
    <n v="0"/>
    <n v="1"/>
    <x v="8"/>
    <x v="103"/>
    <m/>
    <m/>
    <m/>
    <m/>
    <x v="1"/>
    <x v="0"/>
  </r>
  <r>
    <n v="129"/>
    <d v="2026-04-25T10:42:52"/>
    <d v="2026-04-25T17:02:44"/>
    <x v="185"/>
    <x v="185"/>
    <x v="0"/>
    <s v="079096007068"/>
    <s v="0328971812"/>
    <s v="No"/>
    <m/>
    <x v="0"/>
    <m/>
    <x v="4"/>
    <x v="13"/>
    <x v="36"/>
    <s v="In"/>
    <x v="0"/>
    <n v="0"/>
    <n v="0"/>
    <n v="0"/>
    <n v="1"/>
    <x v="8"/>
    <x v="104"/>
    <m/>
    <m/>
    <m/>
    <m/>
    <x v="1"/>
    <x v="0"/>
  </r>
  <r>
    <n v="204"/>
    <d v="2026-05-04T14:37:07"/>
    <d v="2026-05-04T14:38:00"/>
    <x v="186"/>
    <x v="186"/>
    <x v="0"/>
    <s v="082098005823"/>
    <s v="0979622203"/>
    <s v="No"/>
    <m/>
    <x v="2"/>
    <m/>
    <x v="4"/>
    <x v="13"/>
    <x v="36"/>
    <s v="In"/>
    <x v="0"/>
    <n v="0"/>
    <n v="0"/>
    <n v="0"/>
    <n v="1"/>
    <x v="3"/>
    <x v="104"/>
    <m/>
    <m/>
    <m/>
    <m/>
    <x v="1"/>
    <x v="0"/>
  </r>
  <r>
    <n v="80"/>
    <d v="2026-04-23T15:54:06"/>
    <d v="2026-04-23T16:25:42"/>
    <x v="187"/>
    <x v="187"/>
    <x v="0"/>
    <s v="075099004545"/>
    <s v="0792909998"/>
    <s v="No"/>
    <m/>
    <x v="0"/>
    <s v="please have low fat, low cholesterol, easy to chew food_x000a_I want to be fit and have a nice body :)"/>
    <x v="4"/>
    <x v="14"/>
    <x v="37"/>
    <s v="In"/>
    <x v="0"/>
    <n v="0"/>
    <n v="0"/>
    <n v="0"/>
    <n v="1"/>
    <x v="8"/>
    <x v="105"/>
    <m/>
    <m/>
    <m/>
    <m/>
    <x v="1"/>
    <x v="0"/>
  </r>
  <r>
    <n v="144"/>
    <d v="2026-04-29T10:46:28"/>
    <d v="2026-04-29T10:55:00"/>
    <x v="188"/>
    <x v="188"/>
    <x v="0"/>
    <s v="066087005950"/>
    <s v="0948912119"/>
    <s v="Yes"/>
    <s v="1. Lưu Hồng Phương Thủy - Female - 27/10/1990 - 06619007476_x000a_2. Trần Hồng Như Ý - Female - 13/7/2025 - 079325017288"/>
    <x v="0"/>
    <m/>
    <x v="4"/>
    <x v="15"/>
    <x v="38"/>
    <s v="In"/>
    <x v="1"/>
    <n v="1"/>
    <n v="1"/>
    <n v="2"/>
    <n v="3"/>
    <x v="8"/>
    <x v="106"/>
    <m/>
    <m/>
    <m/>
    <m/>
    <x v="1"/>
    <x v="0"/>
  </r>
  <r>
    <n v="97"/>
    <d v="2026-04-24T10:00:44"/>
    <d v="2026-04-24T10:11:33"/>
    <x v="189"/>
    <x v="189"/>
    <x v="0"/>
    <s v="066303014236"/>
    <s v="0852489626"/>
    <s v="No"/>
    <m/>
    <x v="0"/>
    <m/>
    <x v="4"/>
    <x v="12"/>
    <x v="39"/>
    <s v="In"/>
    <x v="0"/>
    <n v="0"/>
    <n v="0"/>
    <n v="0"/>
    <n v="1"/>
    <x v="8"/>
    <x v="107"/>
    <m/>
    <m/>
    <m/>
    <m/>
    <x v="0"/>
    <x v="0"/>
  </r>
  <r>
    <n v="127"/>
    <d v="2026-04-25T14:57:03"/>
    <d v="2026-04-25T15:03:11"/>
    <x v="190"/>
    <x v="190"/>
    <x v="0"/>
    <s v="079088031980"/>
    <s v="0938004161"/>
    <s v="No"/>
    <m/>
    <x v="0"/>
    <s v="I need a private room"/>
    <x v="4"/>
    <x v="14"/>
    <x v="39"/>
    <s v="In"/>
    <x v="0"/>
    <n v="0"/>
    <n v="0"/>
    <n v="0"/>
    <n v="1"/>
    <x v="8"/>
    <x v="108"/>
    <m/>
    <m/>
    <m/>
    <m/>
    <x v="1"/>
    <x v="0"/>
  </r>
  <r>
    <n v="20"/>
    <d v="2026-04-22T15:49:20"/>
    <d v="2026-04-22T15:52:33"/>
    <x v="191"/>
    <x v="191"/>
    <x v="0"/>
    <s v="045201007690"/>
    <s v="0973743542"/>
    <s v="No"/>
    <m/>
    <x v="0"/>
    <m/>
    <x v="4"/>
    <x v="13"/>
    <x v="40"/>
    <s v="In"/>
    <x v="0"/>
    <n v="0"/>
    <n v="0"/>
    <n v="0"/>
    <n v="1"/>
    <x v="8"/>
    <x v="109"/>
    <m/>
    <m/>
    <m/>
    <m/>
    <x v="1"/>
    <x v="0"/>
  </r>
  <r>
    <n v="57"/>
    <d v="2026-04-22T17:44:20"/>
    <d v="2026-04-22T19:44:16"/>
    <x v="192"/>
    <x v="192"/>
    <x v="0"/>
    <s v="066203000250"/>
    <s v="0914 119 624"/>
    <s v="No"/>
    <m/>
    <x v="0"/>
    <m/>
    <x v="4"/>
    <x v="13"/>
    <x v="40"/>
    <s v="In"/>
    <x v="0"/>
    <n v="0"/>
    <n v="0"/>
    <n v="0"/>
    <n v="1"/>
    <x v="8"/>
    <x v="109"/>
    <m/>
    <m/>
    <m/>
    <m/>
    <x v="1"/>
    <x v="0"/>
  </r>
  <r>
    <n v="84"/>
    <d v="2026-04-23T17:45:55"/>
    <d v="2026-04-23T17:46:52"/>
    <x v="193"/>
    <x v="193"/>
    <x v="0"/>
    <s v="080094006419"/>
    <s v="0979891673"/>
    <s v="No"/>
    <m/>
    <x v="0"/>
    <m/>
    <x v="4"/>
    <x v="13"/>
    <x v="40"/>
    <s v="In"/>
    <x v="0"/>
    <n v="0"/>
    <n v="0"/>
    <n v="0"/>
    <n v="1"/>
    <x v="8"/>
    <x v="110"/>
    <m/>
    <m/>
    <m/>
    <m/>
    <x v="1"/>
    <x v="0"/>
  </r>
  <r>
    <n v="94"/>
    <d v="2026-04-24T09:49:17"/>
    <d v="2026-04-24T09:55:52"/>
    <x v="194"/>
    <x v="194"/>
    <x v="0"/>
    <s v="079302018741"/>
    <s v="0773215575"/>
    <s v="No"/>
    <m/>
    <x v="0"/>
    <s v="motion sickness medicine"/>
    <x v="4"/>
    <x v="13"/>
    <x v="40"/>
    <s v="In"/>
    <x v="0"/>
    <n v="0"/>
    <n v="0"/>
    <n v="0"/>
    <n v="1"/>
    <x v="8"/>
    <x v="107"/>
    <m/>
    <m/>
    <m/>
    <m/>
    <x v="0"/>
    <x v="0"/>
  </r>
  <r>
    <n v="126"/>
    <d v="2026-04-25T12:55:45"/>
    <d v="2026-04-25T12:58:58"/>
    <x v="195"/>
    <x v="195"/>
    <x v="0"/>
    <s v="001203053053"/>
    <s v="0853355397"/>
    <s v="No"/>
    <m/>
    <x v="0"/>
    <m/>
    <x v="4"/>
    <x v="13"/>
    <x v="40"/>
    <s v="In"/>
    <x v="0"/>
    <n v="0"/>
    <n v="0"/>
    <n v="0"/>
    <n v="1"/>
    <x v="8"/>
    <x v="110"/>
    <m/>
    <m/>
    <m/>
    <m/>
    <x v="1"/>
    <x v="0"/>
  </r>
  <r>
    <n v="19"/>
    <d v="2026-04-22T15:47:15"/>
    <d v="2026-04-22T15:51:48"/>
    <x v="196"/>
    <x v="196"/>
    <x v="0"/>
    <s v="049203006602"/>
    <s v="0367304351"/>
    <s v="No"/>
    <m/>
    <x v="0"/>
    <m/>
    <x v="4"/>
    <x v="13"/>
    <x v="41"/>
    <s v="In"/>
    <x v="0"/>
    <n v="0"/>
    <n v="0"/>
    <n v="0"/>
    <n v="1"/>
    <x v="8"/>
    <x v="111"/>
    <m/>
    <m/>
    <m/>
    <m/>
    <x v="1"/>
    <x v="0"/>
  </r>
  <r>
    <n v="181"/>
    <d v="2026-05-04T13:47:17"/>
    <d v="2026-05-04T13:47:29"/>
    <x v="197"/>
    <x v="197"/>
    <x v="0"/>
    <s v="067202006321"/>
    <s v="0867455918"/>
    <s v="No"/>
    <m/>
    <x v="0"/>
    <m/>
    <x v="4"/>
    <x v="13"/>
    <x v="41"/>
    <s v="In"/>
    <x v="0"/>
    <n v="0"/>
    <n v="0"/>
    <n v="0"/>
    <n v="1"/>
    <x v="8"/>
    <x v="111"/>
    <m/>
    <m/>
    <m/>
    <m/>
    <x v="1"/>
    <x v="0"/>
  </r>
  <r>
    <n v="184"/>
    <d v="2026-05-04T13:52:02"/>
    <d v="2026-05-04T13:53:29"/>
    <x v="198"/>
    <x v="198"/>
    <x v="0"/>
    <s v="089192001289"/>
    <s v="0933595559"/>
    <s v="No"/>
    <m/>
    <x v="0"/>
    <s v="Food allergies: shrimps"/>
    <x v="4"/>
    <x v="12"/>
    <x v="42"/>
    <s v="In"/>
    <x v="0"/>
    <n v="0"/>
    <n v="0"/>
    <n v="0"/>
    <n v="1"/>
    <x v="8"/>
    <x v="112"/>
    <m/>
    <m/>
    <m/>
    <m/>
    <x v="0"/>
    <x v="0"/>
  </r>
  <r>
    <n v="298"/>
    <d v="2026-05-06T10:59:36"/>
    <d v="2026-05-06T11:09:24"/>
    <x v="199"/>
    <x v="199"/>
    <x v="0"/>
    <s v="079188037007"/>
    <s v="0886311686"/>
    <s v="No"/>
    <m/>
    <x v="0"/>
    <m/>
    <x v="4"/>
    <x v="16"/>
    <x v="39"/>
    <s v="In"/>
    <x v="0"/>
    <n v="0"/>
    <n v="0"/>
    <n v="0"/>
    <n v="1"/>
    <x v="8"/>
    <x v="113"/>
    <m/>
    <m/>
    <m/>
    <m/>
    <x v="0"/>
    <x v="0"/>
  </r>
  <r>
    <n v="206"/>
    <d v="2026-05-04T14:02:19"/>
    <d v="2026-05-04T14:47:30"/>
    <x v="200"/>
    <x v="200"/>
    <x v="0"/>
    <s v="24HC90633"/>
    <s v="0896948417"/>
    <s v="No"/>
    <m/>
    <x v="0"/>
    <s v="Xếp chung phòng với Ruby"/>
    <x v="0"/>
    <x v="17"/>
    <x v="43"/>
    <s v="In"/>
    <x v="0"/>
    <n v="0"/>
    <n v="0"/>
    <n v="0"/>
    <n v="1"/>
    <x v="1"/>
    <x v="113"/>
    <m/>
    <m/>
    <m/>
    <m/>
    <x v="0"/>
    <x v="0"/>
  </r>
  <r>
    <n v="24"/>
    <d v="2026-04-22T15:52:57"/>
    <d v="2026-04-22T15:56:40"/>
    <x v="201"/>
    <x v="201"/>
    <x v="1"/>
    <s v="079098030469"/>
    <s v="0328807722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89"/>
    <d v="2026-04-23T20:45:04"/>
    <d v="2026-04-23T20:48:27"/>
    <x v="202"/>
    <x v="202"/>
    <x v="0"/>
    <s v="082196012509"/>
    <s v="0793830996"/>
    <s v="No"/>
    <m/>
    <x v="0"/>
    <m/>
    <x v="0"/>
    <x v="0"/>
    <x v="12"/>
    <s v="In"/>
    <x v="0"/>
    <n v="0"/>
    <n v="0"/>
    <n v="0"/>
    <n v="1"/>
    <x v="5"/>
    <x v="75"/>
    <m/>
    <m/>
    <m/>
    <m/>
    <x v="0"/>
    <x v="0"/>
  </r>
  <r>
    <n v="104"/>
    <d v="2026-04-24T11:39:18"/>
    <d v="2026-04-24T11:40:57"/>
    <x v="203"/>
    <x v="203"/>
    <x v="0"/>
    <s v="048097003639"/>
    <s v="0799010869"/>
    <s v="No"/>
    <m/>
    <x v="0"/>
    <m/>
    <x v="0"/>
    <x v="0"/>
    <x v="12"/>
    <s v="In"/>
    <x v="0"/>
    <n v="0"/>
    <n v="0"/>
    <n v="0"/>
    <n v="1"/>
    <x v="6"/>
    <x v="114"/>
    <m/>
    <m/>
    <m/>
    <m/>
    <x v="1"/>
    <x v="1"/>
  </r>
  <r>
    <n v="107"/>
    <d v="2026-04-24T13:38:05"/>
    <d v="2026-04-24T13:39:15"/>
    <x v="204"/>
    <x v="204"/>
    <x v="0"/>
    <s v="096197008684"/>
    <s v="0971732462"/>
    <s v="No"/>
    <m/>
    <x v="0"/>
    <m/>
    <x v="0"/>
    <x v="0"/>
    <x v="12"/>
    <s v="In"/>
    <x v="0"/>
    <n v="0"/>
    <n v="0"/>
    <n v="0"/>
    <n v="1"/>
    <x v="5"/>
    <x v="73"/>
    <m/>
    <m/>
    <m/>
    <m/>
    <x v="0"/>
    <x v="0"/>
  </r>
  <r>
    <n v="137"/>
    <d v="2026-04-28T10:31:44"/>
    <d v="2026-04-28T10:33:02"/>
    <x v="205"/>
    <x v="205"/>
    <x v="0"/>
    <s v="067094005805"/>
    <s v="0976551265"/>
    <s v="No"/>
    <m/>
    <x v="0"/>
    <m/>
    <x v="0"/>
    <x v="0"/>
    <x v="12"/>
    <s v="In"/>
    <x v="0"/>
    <n v="0"/>
    <n v="0"/>
    <n v="0"/>
    <n v="1"/>
    <x v="6"/>
    <x v="114"/>
    <m/>
    <m/>
    <m/>
    <m/>
    <x v="1"/>
    <x v="1"/>
  </r>
  <r>
    <n v="167"/>
    <d v="2026-05-04T11:17:39"/>
    <d v="2026-05-04T11:18:47"/>
    <x v="206"/>
    <x v="206"/>
    <x v="0"/>
    <s v="079198003401"/>
    <s v="0397430707"/>
    <s v="No"/>
    <m/>
    <x v="0"/>
    <m/>
    <x v="0"/>
    <x v="0"/>
    <x v="12"/>
    <s v="In"/>
    <x v="0"/>
    <n v="0"/>
    <n v="0"/>
    <n v="0"/>
    <n v="1"/>
    <x v="6"/>
    <x v="47"/>
    <m/>
    <m/>
    <m/>
    <m/>
    <x v="0"/>
    <x v="0"/>
  </r>
  <r>
    <n v="7"/>
    <d v="2026-04-22T15:38:50"/>
    <d v="2026-04-22T15:40:12"/>
    <x v="207"/>
    <x v="207"/>
    <x v="0"/>
    <s v="077302000543"/>
    <s v="0931231740"/>
    <s v="No"/>
    <m/>
    <x v="0"/>
    <m/>
    <x v="5"/>
    <x v="18"/>
    <x v="44"/>
    <s v="In"/>
    <x v="0"/>
    <n v="0"/>
    <n v="0"/>
    <n v="0"/>
    <n v="1"/>
    <x v="6"/>
    <x v="115"/>
    <m/>
    <m/>
    <m/>
    <m/>
    <x v="0"/>
    <x v="0"/>
  </r>
  <r>
    <n v="9"/>
    <d v="2026-04-22T15:39:31"/>
    <d v="2026-04-22T15:40:54"/>
    <x v="208"/>
    <x v="208"/>
    <x v="0"/>
    <s v="075203000646"/>
    <s v="0986245303"/>
    <s v="No"/>
    <m/>
    <x v="0"/>
    <m/>
    <x v="5"/>
    <x v="18"/>
    <x v="44"/>
    <s v="In"/>
    <x v="0"/>
    <n v="0"/>
    <n v="0"/>
    <n v="0"/>
    <n v="1"/>
    <x v="6"/>
    <x v="116"/>
    <m/>
    <m/>
    <m/>
    <m/>
    <x v="1"/>
    <x v="1"/>
  </r>
  <r>
    <n v="195"/>
    <d v="2026-05-04T13:56:56"/>
    <d v="2026-05-04T13:59:41"/>
    <x v="209"/>
    <x v="209"/>
    <x v="0"/>
    <s v="079201011530"/>
    <s v="0965654937"/>
    <s v="No"/>
    <m/>
    <x v="0"/>
    <m/>
    <x v="5"/>
    <x v="18"/>
    <x v="44"/>
    <s v="In"/>
    <x v="0"/>
    <n v="0"/>
    <n v="0"/>
    <n v="0"/>
    <n v="1"/>
    <x v="6"/>
    <x v="116"/>
    <m/>
    <m/>
    <m/>
    <m/>
    <x v="1"/>
    <x v="1"/>
  </r>
  <r>
    <n v="226"/>
    <d v="2026-05-04T17:51:53"/>
    <d v="2026-05-04T17:53:32"/>
    <x v="210"/>
    <x v="210"/>
    <x v="0"/>
    <s v="079203008685"/>
    <s v="0776932589"/>
    <s v="No"/>
    <m/>
    <x v="0"/>
    <m/>
    <x v="5"/>
    <x v="18"/>
    <x v="44"/>
    <s v="In"/>
    <x v="0"/>
    <n v="0"/>
    <n v="0"/>
    <n v="0"/>
    <n v="1"/>
    <x v="6"/>
    <x v="117"/>
    <m/>
    <m/>
    <m/>
    <m/>
    <x v="1"/>
    <x v="1"/>
  </r>
  <r>
    <n v="269"/>
    <d v="2026-05-05T15:43:55"/>
    <d v="2026-05-05T15:46:36"/>
    <x v="211"/>
    <x v="211"/>
    <x v="0"/>
    <s v="079096012234"/>
    <s v="0909120296"/>
    <s v="No"/>
    <m/>
    <x v="0"/>
    <s v="Team event cho Hào đi bus chung từ Bến Tre đến Cần Thơ nhé, chiều về Hào đi xe riêng. Cảm ơn mọi người!"/>
    <x v="5"/>
    <x v="19"/>
    <x v="45"/>
    <s v="In"/>
    <x v="0"/>
    <n v="0"/>
    <n v="0"/>
    <n v="0"/>
    <n v="1"/>
    <x v="6"/>
    <x v="117"/>
    <m/>
    <m/>
    <m/>
    <m/>
    <x v="1"/>
    <x v="1"/>
  </r>
  <r>
    <n v="72"/>
    <d v="2026-04-23T15:30:57"/>
    <d v="2026-04-23T15:32:06"/>
    <x v="212"/>
    <x v="212"/>
    <x v="0"/>
    <s v="062195004991"/>
    <s v="0964455190"/>
    <s v="No"/>
    <m/>
    <x v="0"/>
    <s v="I wont take company bus on the depart day but i will take the return, pls help to count on me"/>
    <x v="5"/>
    <x v="20"/>
    <x v="46"/>
    <s v="In"/>
    <x v="0"/>
    <n v="0"/>
    <n v="0"/>
    <n v="0"/>
    <n v="1"/>
    <x v="6"/>
    <x v="118"/>
    <m/>
    <m/>
    <m/>
    <m/>
    <x v="0"/>
    <x v="0"/>
  </r>
  <r>
    <n v="91"/>
    <d v="2026-04-23T23:02:49"/>
    <d v="2026-04-23T23:03:17"/>
    <x v="213"/>
    <x v="213"/>
    <x v="0"/>
    <s v="079202006608"/>
    <s v="0983941396"/>
    <s v="No"/>
    <m/>
    <x v="0"/>
    <m/>
    <x v="0"/>
    <x v="0"/>
    <x v="7"/>
    <s v="In"/>
    <x v="0"/>
    <n v="0"/>
    <n v="0"/>
    <n v="0"/>
    <n v="1"/>
    <x v="6"/>
    <x v="119"/>
    <m/>
    <m/>
    <m/>
    <m/>
    <x v="1"/>
    <x v="1"/>
  </r>
  <r>
    <n v="121"/>
    <d v="2026-04-25T09:02:32"/>
    <d v="2026-04-25T09:37:11"/>
    <x v="214"/>
    <x v="214"/>
    <x v="0"/>
    <s v="066200002973"/>
    <s v="0769781003"/>
    <s v="No"/>
    <m/>
    <x v="0"/>
    <s v="I have a mild seafood allergy"/>
    <x v="0"/>
    <x v="0"/>
    <x v="7"/>
    <s v="In"/>
    <x v="0"/>
    <n v="0"/>
    <n v="0"/>
    <n v="0"/>
    <n v="1"/>
    <x v="6"/>
    <x v="119"/>
    <m/>
    <m/>
    <m/>
    <m/>
    <x v="1"/>
    <x v="1"/>
  </r>
  <r>
    <n v="124"/>
    <d v="2026-04-25T11:45:27"/>
    <d v="2026-04-25T11:46:03"/>
    <x v="215"/>
    <x v="215"/>
    <x v="0"/>
    <s v="086203010658"/>
    <s v="0799549878"/>
    <s v="No"/>
    <m/>
    <x v="0"/>
    <m/>
    <x v="0"/>
    <x v="0"/>
    <x v="7"/>
    <s v="In"/>
    <x v="0"/>
    <n v="0"/>
    <n v="0"/>
    <n v="0"/>
    <n v="1"/>
    <x v="6"/>
    <x v="120"/>
    <m/>
    <m/>
    <m/>
    <m/>
    <x v="1"/>
    <x v="1"/>
  </r>
  <r>
    <n v="165"/>
    <d v="2026-05-04T09:56:34"/>
    <d v="2026-05-04T09:57:50"/>
    <x v="216"/>
    <x v="216"/>
    <x v="0"/>
    <s v="052201013763"/>
    <s v="0398324011"/>
    <s v="No"/>
    <m/>
    <x v="0"/>
    <m/>
    <x v="0"/>
    <x v="0"/>
    <x v="7"/>
    <s v="In"/>
    <x v="0"/>
    <n v="0"/>
    <n v="0"/>
    <n v="0"/>
    <n v="1"/>
    <x v="6"/>
    <x v="120"/>
    <m/>
    <m/>
    <m/>
    <m/>
    <x v="1"/>
    <x v="1"/>
  </r>
  <r>
    <n v="249"/>
    <d v="2026-05-05T11:31:12"/>
    <d v="2026-05-05T11:31:55"/>
    <x v="217"/>
    <x v="217"/>
    <x v="0"/>
    <s v="079201007186"/>
    <s v="0919990145"/>
    <s v="No"/>
    <m/>
    <x v="0"/>
    <m/>
    <x v="0"/>
    <x v="0"/>
    <x v="7"/>
    <s v="In"/>
    <x v="0"/>
    <n v="0"/>
    <n v="0"/>
    <n v="0"/>
    <n v="1"/>
    <x v="6"/>
    <x v="25"/>
    <m/>
    <m/>
    <m/>
    <m/>
    <x v="1"/>
    <x v="1"/>
  </r>
  <r>
    <n v="257"/>
    <d v="2026-05-05T13:12:48"/>
    <d v="2026-05-05T13:14:04"/>
    <x v="218"/>
    <x v="218"/>
    <x v="0"/>
    <s v="031198014430"/>
    <s v="0901857690"/>
    <s v="No"/>
    <m/>
    <x v="0"/>
    <m/>
    <x v="0"/>
    <x v="1"/>
    <x v="14"/>
    <s v="In"/>
    <x v="0"/>
    <n v="0"/>
    <n v="0"/>
    <n v="0"/>
    <n v="1"/>
    <x v="6"/>
    <x v="4"/>
    <m/>
    <m/>
    <m/>
    <m/>
    <x v="0"/>
    <x v="0"/>
  </r>
  <r>
    <n v="166"/>
    <d v="2026-05-04T10:58:05"/>
    <d v="2026-05-04T10:59:32"/>
    <x v="219"/>
    <x v="219"/>
    <x v="0"/>
    <s v="064301004400"/>
    <s v="0961910015"/>
    <s v="No"/>
    <m/>
    <x v="0"/>
    <m/>
    <x v="5"/>
    <x v="21"/>
    <x v="47"/>
    <s v="In"/>
    <x v="0"/>
    <n v="0"/>
    <n v="0"/>
    <n v="0"/>
    <n v="1"/>
    <x v="6"/>
    <x v="121"/>
    <m/>
    <m/>
    <m/>
    <m/>
    <x v="0"/>
    <x v="0"/>
  </r>
  <r>
    <n v="3"/>
    <d v="2026-04-21T18:00:21"/>
    <d v="2026-04-21T18:03:15"/>
    <x v="220"/>
    <x v="220"/>
    <x v="0"/>
    <s v="077199007614"/>
    <s v="0778819618"/>
    <s v="No"/>
    <m/>
    <x v="0"/>
    <m/>
    <x v="5"/>
    <x v="19"/>
    <x v="48"/>
    <s v="In"/>
    <x v="0"/>
    <n v="0"/>
    <n v="0"/>
    <n v="0"/>
    <n v="1"/>
    <x v="6"/>
    <x v="118"/>
    <m/>
    <m/>
    <m/>
    <m/>
    <x v="0"/>
    <x v="0"/>
  </r>
  <r>
    <n v="73"/>
    <d v="2026-04-23T15:31:24"/>
    <d v="2026-04-23T15:34:08"/>
    <x v="221"/>
    <x v="221"/>
    <x v="0"/>
    <s v="'048300007642"/>
    <s v="'0984060780"/>
    <s v="No"/>
    <m/>
    <x v="0"/>
    <s v="Dạ từ HCM -&gt; Bến Tre: em tự đi xe riêng. Từ Tiền Giang -&gt; HCM: em đi bus với cty nha. Em cảm ơn mn đã hỗ trợ"/>
    <x v="5"/>
    <x v="19"/>
    <x v="48"/>
    <s v="In"/>
    <x v="0"/>
    <n v="0"/>
    <n v="0"/>
    <n v="0"/>
    <n v="1"/>
    <x v="6"/>
    <x v="115"/>
    <m/>
    <m/>
    <m/>
    <m/>
    <x v="0"/>
    <x v="0"/>
  </r>
  <r>
    <n v="200"/>
    <d v="2026-05-04T14:02:51"/>
    <d v="2026-05-04T14:04:34"/>
    <x v="222"/>
    <x v="222"/>
    <x v="0"/>
    <s v="079193025094"/>
    <s v="+84901393648"/>
    <s v="No"/>
    <m/>
    <x v="0"/>
    <s v="I take company bus the way back only. "/>
    <x v="5"/>
    <x v="19"/>
    <x v="49"/>
    <s v="In"/>
    <x v="0"/>
    <n v="0"/>
    <n v="0"/>
    <n v="0"/>
    <n v="1"/>
    <x v="6"/>
    <x v="121"/>
    <m/>
    <m/>
    <m/>
    <m/>
    <x v="0"/>
    <x v="0"/>
  </r>
  <r>
    <n v="122"/>
    <d v="2026-04-25T09:45:53"/>
    <d v="2026-04-25T09:51:10"/>
    <x v="223"/>
    <x v="223"/>
    <x v="0"/>
    <s v="079085028522"/>
    <s v="0909988822"/>
    <s v="No"/>
    <m/>
    <x v="0"/>
    <m/>
    <x v="0"/>
    <x v="0"/>
    <x v="2"/>
    <s v="In"/>
    <x v="0"/>
    <n v="0"/>
    <n v="0"/>
    <n v="0"/>
    <n v="1"/>
    <x v="6"/>
    <x v="21"/>
    <m/>
    <m/>
    <m/>
    <m/>
    <x v="1"/>
    <x v="1"/>
  </r>
  <r>
    <n v="171"/>
    <d v="2026-05-04T11:46:16"/>
    <d v="2026-05-04T11:50:58"/>
    <x v="224"/>
    <x v="224"/>
    <x v="0"/>
    <s v="075096010782"/>
    <s v="0985788540"/>
    <s v="No"/>
    <m/>
    <x v="0"/>
    <m/>
    <x v="0"/>
    <x v="0"/>
    <x v="2"/>
    <s v="In"/>
    <x v="0"/>
    <n v="0"/>
    <n v="0"/>
    <n v="0"/>
    <n v="1"/>
    <x v="6"/>
    <x v="122"/>
    <m/>
    <m/>
    <m/>
    <m/>
    <x v="1"/>
    <x v="1"/>
  </r>
  <r>
    <n v="253"/>
    <d v="2026-05-05T12:14:58"/>
    <d v="2026-05-05T12:16:06"/>
    <x v="225"/>
    <x v="225"/>
    <x v="0"/>
    <s v="001201015108"/>
    <s v="0328005399"/>
    <s v="No"/>
    <m/>
    <x v="0"/>
    <m/>
    <x v="0"/>
    <x v="0"/>
    <x v="2"/>
    <s v="In"/>
    <x v="0"/>
    <n v="0"/>
    <n v="0"/>
    <n v="0"/>
    <n v="1"/>
    <x v="6"/>
    <x v="122"/>
    <m/>
    <m/>
    <m/>
    <m/>
    <x v="1"/>
    <x v="1"/>
  </r>
  <r>
    <n v="284"/>
    <d v="2026-05-05T19:30:43"/>
    <d v="2026-05-05T19:33:45"/>
    <x v="226"/>
    <x v="226"/>
    <x v="0"/>
    <s v="079094014846"/>
    <s v="0338330044"/>
    <s v="No"/>
    <m/>
    <x v="0"/>
    <m/>
    <x v="0"/>
    <x v="0"/>
    <x v="2"/>
    <s v="In"/>
    <x v="0"/>
    <n v="0"/>
    <n v="0"/>
    <n v="0"/>
    <n v="1"/>
    <x v="6"/>
    <x v="123"/>
    <m/>
    <m/>
    <m/>
    <m/>
    <x v="1"/>
    <x v="1"/>
  </r>
  <r>
    <n v="308"/>
    <d v="2026-05-06T14:15:10"/>
    <d v="2026-05-06T14:16:11"/>
    <x v="227"/>
    <x v="227"/>
    <x v="0"/>
    <s v="079192033623"/>
    <s v="0903747427"/>
    <s v="No"/>
    <m/>
    <x v="0"/>
    <s v="Dị ứng Hải sản, phô mai, sữa "/>
    <x v="0"/>
    <x v="0"/>
    <x v="2"/>
    <s v="In"/>
    <x v="0"/>
    <n v="0"/>
    <n v="0"/>
    <n v="0"/>
    <n v="1"/>
    <x v="6"/>
    <x v="67"/>
    <m/>
    <m/>
    <m/>
    <m/>
    <x v="0"/>
    <x v="0"/>
  </r>
  <r>
    <n v="315"/>
    <d v="2026-05-06T22:57:48"/>
    <d v="2026-05-06T22:59:11"/>
    <x v="228"/>
    <x v="228"/>
    <x v="0"/>
    <s v="045099007148"/>
    <s v="0335533732"/>
    <s v="No"/>
    <m/>
    <x v="0"/>
    <m/>
    <x v="0"/>
    <x v="0"/>
    <x v="2"/>
    <s v="In"/>
    <x v="0"/>
    <n v="0"/>
    <n v="0"/>
    <n v="0"/>
    <n v="1"/>
    <x v="6"/>
    <x v="123"/>
    <m/>
    <m/>
    <m/>
    <m/>
    <x v="1"/>
    <x v="1"/>
  </r>
  <r>
    <n v="178"/>
    <d v="2026-05-04T13:43:05"/>
    <d v="2026-05-04T13:44:08"/>
    <x v="229"/>
    <x v="229"/>
    <x v="0"/>
    <s v="048195006450"/>
    <s v="0943149780"/>
    <s v="No"/>
    <m/>
    <x v="0"/>
    <m/>
    <x v="0"/>
    <x v="1"/>
    <x v="10"/>
    <s v="In"/>
    <x v="0"/>
    <n v="0"/>
    <n v="0"/>
    <n v="0"/>
    <n v="1"/>
    <x v="6"/>
    <x v="78"/>
    <m/>
    <m/>
    <m/>
    <m/>
    <x v="0"/>
    <x v="0"/>
  </r>
  <r>
    <n v="10"/>
    <d v="2026-04-22T15:39:10"/>
    <d v="2026-04-22T15:40:57"/>
    <x v="230"/>
    <x v="230"/>
    <x v="0"/>
    <s v="056079000075"/>
    <s v="0974674081"/>
    <s v="No"/>
    <m/>
    <x v="0"/>
    <m/>
    <x v="0"/>
    <x v="4"/>
    <x v="50"/>
    <s v="In"/>
    <x v="0"/>
    <n v="0"/>
    <n v="0"/>
    <n v="0"/>
    <n v="1"/>
    <x v="1"/>
    <x v="124"/>
    <m/>
    <m/>
    <m/>
    <m/>
    <x v="1"/>
    <x v="0"/>
  </r>
  <r>
    <n v="321"/>
    <d v="2026-05-07T13:19:38"/>
    <d v="2026-05-07T13:21:30"/>
    <x v="231"/>
    <x v="231"/>
    <x v="0"/>
    <s v="079197000483"/>
    <s v="0909915834"/>
    <s v="No"/>
    <m/>
    <x v="0"/>
    <m/>
    <x v="0"/>
    <x v="0"/>
    <x v="51"/>
    <s v="In"/>
    <x v="0"/>
    <n v="0"/>
    <n v="0"/>
    <n v="0"/>
    <n v="1"/>
    <x v="1"/>
    <x v="79"/>
    <m/>
    <m/>
    <m/>
    <m/>
    <x v="0"/>
    <x v="0"/>
  </r>
  <r>
    <n v="95"/>
    <d v="2026-04-24T09:59:55"/>
    <d v="2026-04-24T10:03:05"/>
    <x v="232"/>
    <x v="232"/>
    <x v="0"/>
    <s v="079197014206"/>
    <s v="0839022665"/>
    <s v="No"/>
    <m/>
    <x v="0"/>
    <m/>
    <x v="4"/>
    <x v="22"/>
    <x v="37"/>
    <s v="In"/>
    <x v="0"/>
    <n v="0"/>
    <n v="0"/>
    <n v="0"/>
    <n v="1"/>
    <x v="1"/>
    <x v="91"/>
    <m/>
    <m/>
    <m/>
    <m/>
    <x v="0"/>
    <x v="0"/>
  </r>
  <r>
    <n v="40"/>
    <d v="2026-04-22T16:22:37"/>
    <d v="2026-04-22T16:24:55"/>
    <x v="233"/>
    <x v="233"/>
    <x v="0"/>
    <s v="075184001102"/>
    <s v="0945745944"/>
    <s v="No"/>
    <m/>
    <x v="0"/>
    <m/>
    <x v="4"/>
    <x v="23"/>
    <x v="52"/>
    <s v="In"/>
    <x v="0"/>
    <n v="0"/>
    <n v="0"/>
    <n v="0"/>
    <n v="1"/>
    <x v="1"/>
    <x v="125"/>
    <m/>
    <m/>
    <m/>
    <m/>
    <x v="0"/>
    <x v="0"/>
  </r>
  <r>
    <n v="44"/>
    <d v="2026-04-22T16:36:10"/>
    <d v="2026-04-22T16:37:16"/>
    <x v="234"/>
    <x v="234"/>
    <x v="0"/>
    <s v="051202007260"/>
    <s v="0943527674"/>
    <s v="No"/>
    <m/>
    <x v="0"/>
    <m/>
    <x v="4"/>
    <x v="23"/>
    <x v="52"/>
    <s v="In"/>
    <x v="0"/>
    <n v="0"/>
    <n v="0"/>
    <n v="0"/>
    <n v="1"/>
    <x v="1"/>
    <x v="126"/>
    <m/>
    <m/>
    <m/>
    <m/>
    <x v="1"/>
    <x v="0"/>
  </r>
  <r>
    <n v="179"/>
    <d v="2026-05-04T13:41:49"/>
    <d v="2026-05-04T13:44:49"/>
    <x v="235"/>
    <x v="235"/>
    <x v="0"/>
    <s v="079199035294"/>
    <s v="84899286919"/>
    <s v="No"/>
    <m/>
    <x v="0"/>
    <m/>
    <x v="6"/>
    <x v="24"/>
    <x v="53"/>
    <s v="In"/>
    <x v="0"/>
    <n v="0"/>
    <n v="0"/>
    <n v="0"/>
    <n v="1"/>
    <x v="1"/>
    <x v="125"/>
    <m/>
    <m/>
    <m/>
    <m/>
    <x v="0"/>
    <x v="0"/>
  </r>
  <r>
    <n v="305"/>
    <d v="2026-05-06T12:04:47"/>
    <d v="2026-05-06T12:05:52"/>
    <x v="236"/>
    <x v="236"/>
    <x v="0"/>
    <s v="079202019928"/>
    <s v="0898313181"/>
    <s v="No"/>
    <m/>
    <x v="0"/>
    <m/>
    <x v="6"/>
    <x v="24"/>
    <x v="53"/>
    <s v="In"/>
    <x v="0"/>
    <n v="0"/>
    <n v="0"/>
    <n v="0"/>
    <n v="1"/>
    <x v="1"/>
    <x v="124"/>
    <m/>
    <m/>
    <m/>
    <m/>
    <x v="1"/>
    <x v="0"/>
  </r>
  <r>
    <n v="51"/>
    <d v="2026-04-22T17:40:44"/>
    <d v="2026-04-22T17:41:45"/>
    <x v="237"/>
    <x v="237"/>
    <x v="0"/>
    <s v="079203005175"/>
    <s v="0968412361"/>
    <s v="No"/>
    <m/>
    <x v="0"/>
    <m/>
    <x v="4"/>
    <x v="25"/>
    <x v="54"/>
    <s v="In"/>
    <x v="0"/>
    <n v="0"/>
    <n v="0"/>
    <n v="0"/>
    <n v="1"/>
    <x v="1"/>
    <x v="127"/>
    <m/>
    <m/>
    <m/>
    <m/>
    <x v="1"/>
    <x v="0"/>
  </r>
  <r>
    <n v="125"/>
    <d v="2026-04-25T12:04:17"/>
    <d v="2026-04-25T12:05:00"/>
    <x v="238"/>
    <x v="238"/>
    <x v="0"/>
    <s v="074093002317"/>
    <s v="0906 406 613 "/>
    <s v="No"/>
    <m/>
    <x v="2"/>
    <m/>
    <x v="4"/>
    <x v="25"/>
    <x v="54"/>
    <s v="In"/>
    <x v="0"/>
    <n v="0"/>
    <n v="0"/>
    <n v="0"/>
    <n v="1"/>
    <x v="3"/>
    <x v="128"/>
    <m/>
    <m/>
    <m/>
    <m/>
    <x v="1"/>
    <x v="1"/>
  </r>
  <r>
    <n v="203"/>
    <d v="2026-05-04T14:20:05"/>
    <d v="2026-05-04T14:28:54"/>
    <x v="239"/>
    <x v="239"/>
    <x v="0"/>
    <s v="075200000345"/>
    <s v="0339526385"/>
    <s v="No"/>
    <m/>
    <x v="0"/>
    <m/>
    <x v="4"/>
    <x v="26"/>
    <x v="55"/>
    <s v="In"/>
    <x v="0"/>
    <n v="0"/>
    <n v="0"/>
    <n v="0"/>
    <n v="1"/>
    <x v="1"/>
    <x v="126"/>
    <m/>
    <m/>
    <m/>
    <m/>
    <x v="1"/>
    <x v="0"/>
  </r>
  <r>
    <n v="41"/>
    <d v="2026-04-22T16:26:31"/>
    <d v="2026-04-22T16:27:16"/>
    <x v="240"/>
    <x v="240"/>
    <x v="0"/>
    <s v="079097016581"/>
    <s v="0942229030"/>
    <s v="No"/>
    <m/>
    <x v="0"/>
    <m/>
    <x v="4"/>
    <x v="16"/>
    <x v="33"/>
    <s v="In"/>
    <x v="0"/>
    <n v="0"/>
    <n v="0"/>
    <n v="0"/>
    <n v="1"/>
    <x v="8"/>
    <x v="129"/>
    <m/>
    <m/>
    <m/>
    <m/>
    <x v="1"/>
    <x v="0"/>
  </r>
  <r>
    <n v="260"/>
    <d v="2026-05-05T13:41:49"/>
    <d v="2026-05-05T13:44:29"/>
    <x v="241"/>
    <x v="241"/>
    <x v="0"/>
    <s v="079195004762"/>
    <s v="0945686674"/>
    <s v="No"/>
    <m/>
    <x v="0"/>
    <m/>
    <x v="4"/>
    <x v="16"/>
    <x v="33"/>
    <s v="In"/>
    <x v="0"/>
    <n v="0"/>
    <n v="0"/>
    <n v="0"/>
    <n v="1"/>
    <x v="8"/>
    <x v="130"/>
    <m/>
    <m/>
    <m/>
    <m/>
    <x v="0"/>
    <x v="0"/>
  </r>
  <r>
    <n v="70"/>
    <d v="2026-04-23T15:03:16"/>
    <d v="2026-04-23T15:04:56"/>
    <x v="242"/>
    <x v="242"/>
    <x v="0"/>
    <s v="038301000546"/>
    <s v="0376622565"/>
    <s v="No"/>
    <m/>
    <x v="0"/>
    <m/>
    <x v="4"/>
    <x v="16"/>
    <x v="34"/>
    <s v="In"/>
    <x v="0"/>
    <n v="0"/>
    <n v="0"/>
    <n v="0"/>
    <n v="1"/>
    <x v="8"/>
    <x v="112"/>
    <m/>
    <m/>
    <m/>
    <m/>
    <x v="0"/>
    <x v="0"/>
  </r>
  <r>
    <n v="119"/>
    <d v="2026-04-24T17:44:43"/>
    <d v="2026-04-24T17:47:55"/>
    <x v="243"/>
    <x v="243"/>
    <x v="0"/>
    <s v="079301028966"/>
    <s v="0763889811"/>
    <s v="No"/>
    <m/>
    <x v="0"/>
    <m/>
    <x v="4"/>
    <x v="16"/>
    <x v="34"/>
    <s v="In"/>
    <x v="0"/>
    <n v="0"/>
    <n v="0"/>
    <n v="0"/>
    <n v="1"/>
    <x v="8"/>
    <x v="130"/>
    <m/>
    <m/>
    <m/>
    <m/>
    <x v="0"/>
    <x v="0"/>
  </r>
  <r>
    <n v="62"/>
    <d v="2026-04-23T08:45:53"/>
    <d v="2026-04-23T08:47:06"/>
    <x v="244"/>
    <x v="244"/>
    <x v="0"/>
    <s v="17EH77400"/>
    <s v="+33679194344"/>
    <s v="No"/>
    <m/>
    <x v="0"/>
    <m/>
    <x v="4"/>
    <x v="16"/>
    <x v="37"/>
    <s v="In"/>
    <x v="0"/>
    <n v="0"/>
    <n v="0"/>
    <n v="0"/>
    <n v="1"/>
    <x v="8"/>
    <x v="129"/>
    <m/>
    <m/>
    <m/>
    <m/>
    <x v="1"/>
    <x v="0"/>
  </r>
  <r>
    <n v="116"/>
    <d v="2026-04-24T16:35:35"/>
    <d v="2026-04-24T16:37:20"/>
    <x v="245"/>
    <x v="245"/>
    <x v="0"/>
    <s v="079202015216"/>
    <s v="0812900824"/>
    <s v="No"/>
    <m/>
    <x v="0"/>
    <m/>
    <x v="4"/>
    <x v="16"/>
    <x v="37"/>
    <s v="In"/>
    <x v="0"/>
    <n v="0"/>
    <n v="0"/>
    <n v="0"/>
    <n v="1"/>
    <x v="8"/>
    <x v="131"/>
    <m/>
    <m/>
    <m/>
    <m/>
    <x v="1"/>
    <x v="1"/>
  </r>
  <r>
    <n v="34"/>
    <d v="2026-04-22T15:43:48"/>
    <d v="2026-04-22T16:15:38"/>
    <x v="246"/>
    <x v="246"/>
    <x v="0"/>
    <s v="077197001261"/>
    <s v="0785670597"/>
    <s v="No"/>
    <m/>
    <x v="0"/>
    <m/>
    <x v="7"/>
    <x v="27"/>
    <x v="56"/>
    <s v="In"/>
    <x v="0"/>
    <n v="0"/>
    <n v="0"/>
    <n v="0"/>
    <n v="1"/>
    <x v="1"/>
    <x v="87"/>
    <m/>
    <m/>
    <m/>
    <m/>
    <x v="0"/>
    <x v="0"/>
  </r>
  <r>
    <n v="143"/>
    <d v="2026-04-28T17:24:08"/>
    <d v="2026-04-28T17:38:18"/>
    <x v="247"/>
    <x v="247"/>
    <x v="0"/>
    <s v="074301006998"/>
    <s v="0967486292"/>
    <s v="No"/>
    <m/>
    <x v="0"/>
    <m/>
    <x v="7"/>
    <x v="27"/>
    <x v="56"/>
    <s v="In"/>
    <x v="0"/>
    <n v="0"/>
    <n v="0"/>
    <n v="0"/>
    <n v="1"/>
    <x v="1"/>
    <x v="132"/>
    <m/>
    <m/>
    <m/>
    <m/>
    <x v="0"/>
    <x v="0"/>
  </r>
  <r>
    <n v="145"/>
    <d v="2026-04-29T10:59:50"/>
    <d v="2026-04-29T11:02:43"/>
    <x v="248"/>
    <x v="248"/>
    <x v="0"/>
    <s v="045198003359"/>
    <s v="0355042483"/>
    <s v="No"/>
    <m/>
    <x v="0"/>
    <s v="Mình muốn request ở phòng 3 người với team OC: NGUYEN Thi Thanh Nhan, TRAN Thị Anh Minh và NGUYEN Thu Hong"/>
    <x v="7"/>
    <x v="27"/>
    <x v="56"/>
    <s v="In"/>
    <x v="0"/>
    <n v="0"/>
    <n v="0"/>
    <n v="0"/>
    <n v="1"/>
    <x v="1"/>
    <x v="132"/>
    <m/>
    <m/>
    <m/>
    <m/>
    <x v="0"/>
    <x v="0"/>
  </r>
  <r>
    <n v="174"/>
    <d v="2026-05-04T13:15:24"/>
    <d v="2026-05-04T13:25:05"/>
    <x v="249"/>
    <x v="249"/>
    <x v="0"/>
    <s v="068300004128"/>
    <s v="+84 389420759 "/>
    <s v="No"/>
    <m/>
    <x v="0"/>
    <m/>
    <x v="8"/>
    <x v="28"/>
    <x v="57"/>
    <s v="In"/>
    <x v="0"/>
    <n v="0"/>
    <n v="0"/>
    <n v="0"/>
    <n v="1"/>
    <x v="1"/>
    <x v="133"/>
    <m/>
    <m/>
    <m/>
    <m/>
    <x v="0"/>
    <x v="0"/>
  </r>
  <r>
    <n v="196"/>
    <d v="2026-05-04T13:58:50"/>
    <d v="2026-05-04T14:00:09"/>
    <x v="250"/>
    <x v="250"/>
    <x v="0"/>
    <s v="079076006834"/>
    <s v="0913676060"/>
    <s v="No"/>
    <m/>
    <x v="0"/>
    <m/>
    <x v="0"/>
    <x v="4"/>
    <x v="58"/>
    <s v="In"/>
    <x v="0"/>
    <n v="0"/>
    <n v="0"/>
    <n v="0"/>
    <n v="1"/>
    <x v="1"/>
    <x v="134"/>
    <m/>
    <m/>
    <m/>
    <m/>
    <x v="1"/>
    <x v="1"/>
  </r>
  <r>
    <n v="79"/>
    <d v="2026-04-23T16:12:43"/>
    <d v="2026-04-23T16:15:26"/>
    <x v="251"/>
    <x v="251"/>
    <x v="0"/>
    <s v="082196015477"/>
    <s v="0984016140"/>
    <s v="No"/>
    <m/>
    <x v="0"/>
    <m/>
    <x v="0"/>
    <x v="29"/>
    <x v="59"/>
    <s v="In"/>
    <x v="0"/>
    <n v="0"/>
    <n v="0"/>
    <n v="0"/>
    <n v="1"/>
    <x v="1"/>
    <x v="135"/>
    <m/>
    <m/>
    <m/>
    <m/>
    <x v="0"/>
    <x v="0"/>
  </r>
  <r>
    <n v="223"/>
    <d v="2026-05-04T17:28:47"/>
    <d v="2026-05-04T17:29:45"/>
    <x v="252"/>
    <x v="252"/>
    <x v="0"/>
    <s v="079301005911"/>
    <s v="0327649437"/>
    <s v="No"/>
    <m/>
    <x v="0"/>
    <m/>
    <x v="0"/>
    <x v="29"/>
    <x v="60"/>
    <s v="In"/>
    <x v="0"/>
    <n v="0"/>
    <n v="0"/>
    <n v="0"/>
    <n v="1"/>
    <x v="1"/>
    <x v="136"/>
    <m/>
    <m/>
    <m/>
    <m/>
    <x v="0"/>
    <x v="0"/>
  </r>
  <r>
    <n v="320"/>
    <d v="2026-05-07T12:47:40"/>
    <d v="2026-05-07T12:47:53"/>
    <x v="253"/>
    <x v="253"/>
    <x v="0"/>
    <s v="22IK50629"/>
    <s v="0902612360"/>
    <s v="No"/>
    <m/>
    <x v="0"/>
    <m/>
    <x v="0"/>
    <x v="17"/>
    <x v="61"/>
    <s v="In"/>
    <x v="0"/>
    <n v="0"/>
    <n v="0"/>
    <n v="0"/>
    <n v="1"/>
    <x v="1"/>
    <x v="134"/>
    <m/>
    <m/>
    <m/>
    <m/>
    <x v="1"/>
    <x v="1"/>
  </r>
  <r>
    <n v="25"/>
    <d v="2026-04-22T15:42:40"/>
    <d v="2026-04-22T15:57:45"/>
    <x v="254"/>
    <x v="254"/>
    <x v="0"/>
    <s v="060199000392"/>
    <s v="0975488340"/>
    <s v="Yes"/>
    <s v="Nguyen Tran Bao Phu - Male - 28/03/1999 - 080099002154"/>
    <x v="0"/>
    <m/>
    <x v="0"/>
    <x v="29"/>
    <x v="62"/>
    <s v="In"/>
    <x v="1"/>
    <n v="0"/>
    <n v="1"/>
    <n v="1"/>
    <n v="2"/>
    <x v="1"/>
    <x v="137"/>
    <m/>
    <m/>
    <m/>
    <m/>
    <x v="0"/>
    <x v="0"/>
  </r>
  <r>
    <n v="35"/>
    <d v="2026-04-22T16:15:52"/>
    <d v="2026-04-22T16:17:41"/>
    <x v="255"/>
    <x v="255"/>
    <x v="0"/>
    <s v="079302019770"/>
    <s v="0708319701"/>
    <s v="No"/>
    <m/>
    <x v="0"/>
    <m/>
    <x v="0"/>
    <x v="29"/>
    <x v="62"/>
    <s v="In"/>
    <x v="0"/>
    <n v="0"/>
    <n v="0"/>
    <n v="0"/>
    <n v="1"/>
    <x v="1"/>
    <x v="135"/>
    <m/>
    <m/>
    <m/>
    <m/>
    <x v="0"/>
    <x v="0"/>
  </r>
  <r>
    <n v="36"/>
    <d v="2026-04-22T16:16:56"/>
    <d v="2026-04-22T16:18:03"/>
    <x v="256"/>
    <x v="256"/>
    <x v="0"/>
    <s v="079198027964"/>
    <s v="0374428877"/>
    <s v="No"/>
    <m/>
    <x v="0"/>
    <m/>
    <x v="0"/>
    <x v="29"/>
    <x v="62"/>
    <s v="In"/>
    <x v="0"/>
    <n v="0"/>
    <n v="0"/>
    <n v="0"/>
    <n v="1"/>
    <x v="1"/>
    <x v="136"/>
    <m/>
    <m/>
    <m/>
    <m/>
    <x v="0"/>
    <x v="0"/>
  </r>
  <r>
    <n v="98"/>
    <d v="2026-04-24T10:17:11"/>
    <d v="2026-04-24T10:20:00"/>
    <x v="257"/>
    <x v="257"/>
    <x v="0"/>
    <s v="031199002762"/>
    <s v="0363031131"/>
    <s v="Yes"/>
    <s v="Do Chi Thanh - Male - 20/10/2002 - 001202005933"/>
    <x v="0"/>
    <m/>
    <x v="0"/>
    <x v="29"/>
    <x v="62"/>
    <s v="In"/>
    <x v="1"/>
    <n v="0"/>
    <n v="1"/>
    <n v="1"/>
    <n v="2"/>
    <x v="1"/>
    <x v="138"/>
    <m/>
    <m/>
    <m/>
    <m/>
    <x v="0"/>
    <x v="0"/>
  </r>
  <r>
    <n v="8"/>
    <d v="2026-04-22T15:38:01"/>
    <d v="2026-04-22T15:40:25"/>
    <x v="258"/>
    <x v="258"/>
    <x v="0"/>
    <s v="079 303 003 034"/>
    <s v="0903 175 838"/>
    <s v="No"/>
    <m/>
    <x v="0"/>
    <m/>
    <x v="0"/>
    <x v="29"/>
    <x v="63"/>
    <s v="In"/>
    <x v="0"/>
    <n v="0"/>
    <n v="0"/>
    <n v="0"/>
    <n v="1"/>
    <x v="1"/>
    <x v="139"/>
    <m/>
    <m/>
    <m/>
    <m/>
    <x v="0"/>
    <x v="0"/>
  </r>
  <r>
    <n v="163"/>
    <d v="2026-05-04T09:43:00"/>
    <d v="2026-05-04T09:44:00"/>
    <x v="259"/>
    <x v="259"/>
    <x v="0"/>
    <s v="068203012626"/>
    <s v="0985291931"/>
    <s v="No"/>
    <m/>
    <x v="0"/>
    <s v="I am allergic to seafood and eggs"/>
    <x v="0"/>
    <x v="29"/>
    <x v="63"/>
    <s v="In"/>
    <x v="0"/>
    <n v="0"/>
    <n v="0"/>
    <n v="0"/>
    <n v="1"/>
    <x v="1"/>
    <x v="131"/>
    <m/>
    <m/>
    <m/>
    <m/>
    <x v="1"/>
    <x v="1"/>
  </r>
  <r>
    <n v="224"/>
    <d v="2026-05-04T17:40:27"/>
    <d v="2026-05-04T17:42:35"/>
    <x v="260"/>
    <x v="260"/>
    <x v="0"/>
    <s v="064304011457"/>
    <s v="0905435679"/>
    <s v="No"/>
    <m/>
    <x v="0"/>
    <m/>
    <x v="0"/>
    <x v="29"/>
    <x v="63"/>
    <s v="In"/>
    <x v="0"/>
    <n v="0"/>
    <n v="0"/>
    <n v="0"/>
    <n v="1"/>
    <x v="1"/>
    <x v="139"/>
    <m/>
    <m/>
    <m/>
    <m/>
    <x v="0"/>
    <x v="0"/>
  </r>
  <r>
    <n v="105"/>
    <d v="2026-04-24T11:52:38"/>
    <d v="2026-04-24T11:53:16"/>
    <x v="261"/>
    <x v="261"/>
    <x v="0"/>
    <s v="049303014137"/>
    <s v="+84868772661"/>
    <s v="No"/>
    <m/>
    <x v="0"/>
    <m/>
    <x v="0"/>
    <x v="29"/>
    <x v="64"/>
    <s v="In"/>
    <x v="0"/>
    <n v="0"/>
    <n v="0"/>
    <n v="0"/>
    <n v="1"/>
    <x v="1"/>
    <x v="64"/>
    <m/>
    <m/>
    <m/>
    <m/>
    <x v="0"/>
    <x v="0"/>
  </r>
  <r>
    <n v="2"/>
    <d v="2026-04-21T17:58:57"/>
    <d v="2026-04-21T17:59:51"/>
    <x v="262"/>
    <x v="262"/>
    <x v="0"/>
    <s v="037303000012"/>
    <s v="0961760721"/>
    <s v="No"/>
    <m/>
    <x v="0"/>
    <m/>
    <x v="8"/>
    <x v="28"/>
    <x v="65"/>
    <s v="In"/>
    <x v="0"/>
    <n v="0"/>
    <n v="0"/>
    <n v="0"/>
    <n v="1"/>
    <x v="1"/>
    <x v="133"/>
    <m/>
    <m/>
    <m/>
    <m/>
    <x v="0"/>
    <x v="0"/>
  </r>
  <r>
    <n v="6"/>
    <d v="2026-04-22T15:37:19"/>
    <d v="2026-04-22T15:39:35"/>
    <x v="263"/>
    <x v="263"/>
    <x v="0"/>
    <s v="079193009931"/>
    <s v="0909083103"/>
    <s v="No"/>
    <m/>
    <x v="0"/>
    <m/>
    <x v="9"/>
    <x v="30"/>
    <x v="66"/>
    <s v="In"/>
    <x v="0"/>
    <n v="0"/>
    <n v="0"/>
    <n v="0"/>
    <n v="1"/>
    <x v="1"/>
    <x v="140"/>
    <m/>
    <m/>
    <m/>
    <m/>
    <x v="0"/>
    <x v="0"/>
  </r>
  <r>
    <n v="201"/>
    <d v="2026-05-04T14:16:55"/>
    <d v="2026-05-04T14:22:04"/>
    <x v="264"/>
    <x v="264"/>
    <x v="0"/>
    <s v="079193040594"/>
    <s v="0931439977"/>
    <s v="No"/>
    <m/>
    <x v="0"/>
    <m/>
    <x v="9"/>
    <x v="30"/>
    <x v="66"/>
    <s v="In"/>
    <x v="0"/>
    <n v="0"/>
    <n v="0"/>
    <n v="0"/>
    <n v="1"/>
    <x v="1"/>
    <x v="140"/>
    <m/>
    <m/>
    <m/>
    <m/>
    <x v="0"/>
    <x v="0"/>
  </r>
  <r>
    <n v="11"/>
    <d v="2026-04-22T15:40:26"/>
    <d v="2026-04-22T15:42:10"/>
    <x v="265"/>
    <x v="265"/>
    <x v="0"/>
    <s v="079093042207"/>
    <s v="0937756145"/>
    <s v="No"/>
    <m/>
    <x v="2"/>
    <m/>
    <x v="4"/>
    <x v="26"/>
    <x v="55"/>
    <s v="In"/>
    <x v="0"/>
    <n v="0"/>
    <n v="0"/>
    <n v="0"/>
    <n v="1"/>
    <x v="3"/>
    <x v="127"/>
    <m/>
    <m/>
    <m/>
    <m/>
    <x v="1"/>
    <x v="0"/>
  </r>
  <r>
    <n v="16"/>
    <d v="2026-04-22T15:49:58"/>
    <d v="2026-04-22T15:50:33"/>
    <x v="266"/>
    <x v="26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1"/>
    <d v="2026-04-22T15:51:15"/>
    <d v="2026-04-22T15:53:36"/>
    <x v="267"/>
    <x v="267"/>
    <x v="0"/>
    <s v="079091022899"/>
    <s v="0987646085"/>
    <s v="No"/>
    <m/>
    <x v="2"/>
    <m/>
    <x v="4"/>
    <x v="25"/>
    <x v="67"/>
    <s v="In"/>
    <x v="0"/>
    <n v="0"/>
    <n v="0"/>
    <n v="0"/>
    <n v="1"/>
    <x v="3"/>
    <x v="128"/>
    <m/>
    <m/>
    <m/>
    <m/>
    <x v="1"/>
    <x v="1"/>
  </r>
  <r>
    <n v="23"/>
    <d v="2026-04-22T15:50:40"/>
    <d v="2026-04-22T15:54:24"/>
    <x v="268"/>
    <x v="268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6"/>
    <d v="2026-04-22T15:54:28"/>
    <d v="2026-04-22T15:59:16"/>
    <x v="269"/>
    <x v="269"/>
    <x v="1"/>
    <s v="070189010077"/>
    <s v="0986474406"/>
    <s v="Yes"/>
    <s v="1. Trần Văn Năm - Male - 08/09/1989_x000a_2. Trần Phan Yến Nhi - Female - 23/10/2015_x000a_3. Trần Văn Minh - Male - 17/08/2020"/>
    <x v="0"/>
    <m/>
    <x v="1"/>
    <x v="3"/>
    <x v="8"/>
    <s v="Not joining"/>
    <x v="1"/>
    <n v="0"/>
    <n v="0"/>
    <n v="0"/>
    <n v="1"/>
    <x v="3"/>
    <x v="31"/>
    <m/>
    <m/>
    <m/>
    <m/>
    <x v="0"/>
    <x v="0"/>
  </r>
  <r>
    <n v="42"/>
    <d v="2026-04-22T16:23:12"/>
    <d v="2026-04-22T16:27:33"/>
    <x v="270"/>
    <x v="270"/>
    <x v="0"/>
    <s v="079092012567"/>
    <s v="0972708318"/>
    <s v="Yes"/>
    <s v="1. Truong Ngoc Tinh Anh - 10/12/1993 - 060193015462_x000a_2. Phan Nhat Thien Dang - 28/11/2023 - 079223047176"/>
    <x v="2"/>
    <m/>
    <x v="4"/>
    <x v="13"/>
    <x v="33"/>
    <s v="In"/>
    <x v="1"/>
    <n v="1"/>
    <n v="1"/>
    <n v="2"/>
    <n v="3"/>
    <x v="3"/>
    <x v="141"/>
    <m/>
    <m/>
    <m/>
    <m/>
    <x v="1"/>
    <x v="0"/>
  </r>
  <r>
    <n v="58"/>
    <d v="2026-04-22T20:11:31"/>
    <d v="2026-04-22T20:12:03"/>
    <x v="271"/>
    <x v="271"/>
    <x v="0"/>
    <s v="079204009259"/>
    <s v="0834132707"/>
    <s v="No"/>
    <m/>
    <x v="2"/>
    <m/>
    <x v="0"/>
    <x v="0"/>
    <x v="5"/>
    <s v="In"/>
    <x v="0"/>
    <n v="0"/>
    <n v="0"/>
    <n v="0"/>
    <n v="1"/>
    <x v="3"/>
    <x v="142"/>
    <m/>
    <m/>
    <m/>
    <m/>
    <x v="1"/>
    <x v="1"/>
  </r>
  <r>
    <n v="59"/>
    <d v="2026-04-22T20:16:19"/>
    <d v="2026-04-22T20:16:30"/>
    <x v="272"/>
    <x v="27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65"/>
    <d v="2026-04-23T09:51:21"/>
    <d v="2026-04-23T09:52:44"/>
    <x v="273"/>
    <x v="27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23"/>
    <d v="2026-04-25T11:04:06"/>
    <d v="2026-04-25T11:07:13"/>
    <x v="274"/>
    <x v="274"/>
    <x v="1"/>
    <s v="001199007182"/>
    <s v="0965847061"/>
    <s v="No"/>
    <m/>
    <x v="0"/>
    <m/>
    <x v="1"/>
    <x v="3"/>
    <x v="8"/>
    <s v="Not joining"/>
    <x v="0"/>
    <n v="0"/>
    <n v="0"/>
    <n v="0"/>
    <n v="1"/>
    <x v="3"/>
    <x v="31"/>
    <m/>
    <m/>
    <m/>
    <m/>
    <x v="0"/>
    <x v="0"/>
  </r>
  <r>
    <n v="76"/>
    <d v="2026-04-23T16:05:56"/>
    <d v="2026-04-23T16:06:31"/>
    <x v="275"/>
    <x v="275"/>
    <x v="1"/>
    <m/>
    <s v=""/>
    <s v=""/>
    <s v=""/>
    <x v="3"/>
    <m/>
    <x v="1"/>
    <x v="3"/>
    <x v="8"/>
    <s v="Not joining"/>
    <x v="0"/>
    <n v="0"/>
    <n v="0"/>
    <n v="0"/>
    <n v="1"/>
    <x v="3"/>
    <x v="31"/>
    <m/>
    <m/>
    <m/>
    <m/>
    <x v="0"/>
    <x v="0"/>
  </r>
  <r>
    <n v="90"/>
    <d v="2026-04-23T21:19:11"/>
    <d v="2026-04-23T21:20:23"/>
    <x v="276"/>
    <x v="27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96"/>
    <d v="2026-04-24T10:06:58"/>
    <d v="2026-04-24T10:07:10"/>
    <x v="277"/>
    <x v="277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99"/>
    <d v="2026-04-24T10:48:46"/>
    <d v="2026-04-24T10:49:51"/>
    <x v="278"/>
    <x v="278"/>
    <x v="0"/>
    <s v="079084023994"/>
    <s v="0909009984"/>
    <s v="Yes"/>
    <s v="Hồ Thị Minh Hoàng- Female-19/11/1984-046184001362"/>
    <x v="2"/>
    <m/>
    <x v="0"/>
    <x v="0"/>
    <x v="12"/>
    <s v="In"/>
    <x v="1"/>
    <n v="0"/>
    <n v="1"/>
    <n v="1"/>
    <n v="2"/>
    <x v="3"/>
    <x v="143"/>
    <m/>
    <m/>
    <m/>
    <m/>
    <x v="1"/>
    <x v="0"/>
  </r>
  <r>
    <n v="114"/>
    <d v="2026-04-24T15:04:25"/>
    <d v="2026-04-24T15:06:22"/>
    <x v="279"/>
    <x v="279"/>
    <x v="1"/>
    <s v="054098007348"/>
    <s v="0364911302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117"/>
    <d v="2026-04-24T16:40:22"/>
    <d v="2026-04-24T16:40:25"/>
    <x v="280"/>
    <x v="28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120"/>
    <d v="2026-04-24T21:04:50"/>
    <d v="2026-04-24T21:05:38"/>
    <x v="281"/>
    <x v="281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28"/>
    <d v="2026-04-25T16:00:49"/>
    <d v="2026-04-25T16:01:32"/>
    <x v="282"/>
    <x v="28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32"/>
    <d v="2026-04-27T08:42:05"/>
    <d v="2026-04-27T08:42:28"/>
    <x v="283"/>
    <x v="28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47"/>
    <d v="2026-04-29T19:34:02"/>
    <d v="2026-04-29T19:34:42"/>
    <x v="284"/>
    <x v="28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49"/>
    <d v="2026-05-01T09:53:05"/>
    <d v="2026-05-01T09:55:33"/>
    <x v="285"/>
    <x v="28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51"/>
    <d v="2026-05-01T19:56:06"/>
    <d v="2026-05-01T19:56:24"/>
    <x v="286"/>
    <x v="28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27"/>
    <d v="2026-05-04T18:03:36"/>
    <d v="2026-05-04T18:04:33"/>
    <x v="287"/>
    <x v="287"/>
    <x v="1"/>
    <s v="079200014682"/>
    <s v="0707323959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175"/>
    <d v="2026-05-04T13:40:11"/>
    <d v="2026-05-04T13:40:18"/>
    <x v="288"/>
    <x v="288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76"/>
    <d v="2026-05-04T13:40:44"/>
    <d v="2026-05-04T13:40:57"/>
    <x v="289"/>
    <x v="289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83"/>
    <d v="2026-05-04T13:51:06"/>
    <d v="2026-05-04T13:51:19"/>
    <x v="290"/>
    <x v="29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85"/>
    <d v="2026-05-04T13:52:39"/>
    <d v="2026-05-04T13:53:53"/>
    <x v="291"/>
    <x v="291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192"/>
    <d v="2026-05-04T13:57:37"/>
    <d v="2026-05-04T13:57:43"/>
    <x v="292"/>
    <x v="29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197"/>
    <d v="2026-05-04T14:00:14"/>
    <d v="2026-05-04T14:00:26"/>
    <x v="293"/>
    <x v="29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08"/>
    <d v="2026-05-04T14:58:08"/>
    <d v="2026-05-04T14:58:15"/>
    <x v="294"/>
    <x v="29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09"/>
    <d v="2026-05-04T15:31:15"/>
    <d v="2026-05-04T15:40:55"/>
    <x v="295"/>
    <x v="29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11"/>
    <d v="2026-05-04T15:49:22"/>
    <d v="2026-05-04T15:49:46"/>
    <x v="296"/>
    <x v="29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12"/>
    <d v="2026-05-04T16:18:19"/>
    <d v="2026-05-04T16:18:26"/>
    <x v="297"/>
    <x v="297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13"/>
    <d v="2026-05-04T16:20:35"/>
    <d v="2026-05-04T16:20:38"/>
    <x v="298"/>
    <x v="298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17"/>
    <d v="2026-05-04T16:53:32"/>
    <d v="2026-05-04T16:59:14"/>
    <x v="299"/>
    <x v="299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18"/>
    <d v="2026-05-04T17:08:00"/>
    <d v="2026-05-04T17:08:06"/>
    <x v="300"/>
    <x v="30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21"/>
    <d v="2026-05-04T15:17:58"/>
    <d v="2026-05-04T17:27:08"/>
    <x v="301"/>
    <x v="301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31"/>
    <d v="2026-05-04T21:59:17"/>
    <d v="2026-05-04T22:03:18"/>
    <x v="302"/>
    <x v="302"/>
    <x v="1"/>
    <s v="075201007668"/>
    <s v="0898522510"/>
    <s v="No"/>
    <m/>
    <x v="0"/>
    <m/>
    <x v="1"/>
    <x v="3"/>
    <x v="8"/>
    <s v="Not joining"/>
    <x v="0"/>
    <n v="0"/>
    <n v="0"/>
    <n v="0"/>
    <n v="1"/>
    <x v="3"/>
    <x v="31"/>
    <m/>
    <m/>
    <m/>
    <m/>
    <x v="1"/>
    <x v="0"/>
  </r>
  <r>
    <n v="237"/>
    <d v="2026-05-05T08:09:47"/>
    <d v="2026-05-05T08:09:53"/>
    <x v="303"/>
    <x v="30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39"/>
    <d v="2026-05-05T09:44:12"/>
    <d v="2026-05-05T09:44:18"/>
    <x v="304"/>
    <x v="30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45"/>
    <d v="2026-05-05T10:39:03"/>
    <d v="2026-05-05T10:39:08"/>
    <x v="305"/>
    <x v="30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50"/>
    <d v="2026-05-05T11:34:30"/>
    <d v="2026-05-05T11:34:41"/>
    <x v="306"/>
    <x v="30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52"/>
    <d v="2026-05-05T12:08:40"/>
    <d v="2026-05-05T12:11:28"/>
    <x v="307"/>
    <x v="307"/>
    <x v="0"/>
    <s v="068088003980"/>
    <s v="0773820182"/>
    <s v="No"/>
    <m/>
    <x v="2"/>
    <m/>
    <x v="4"/>
    <x v="15"/>
    <x v="38"/>
    <s v="In"/>
    <x v="0"/>
    <n v="0"/>
    <n v="0"/>
    <n v="0"/>
    <n v="1"/>
    <x v="3"/>
    <x v="105"/>
    <m/>
    <m/>
    <m/>
    <m/>
    <x v="1"/>
    <x v="0"/>
  </r>
  <r>
    <n v="254"/>
    <d v="2026-05-05T12:23:22"/>
    <d v="2026-05-05T12:23:32"/>
    <x v="308"/>
    <x v="308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59"/>
    <d v="2026-05-05T13:16:35"/>
    <d v="2026-05-05T13:16:52"/>
    <x v="309"/>
    <x v="309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63"/>
    <d v="2026-05-05T14:05:03"/>
    <d v="2026-05-05T14:05:09"/>
    <x v="310"/>
    <x v="31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65"/>
    <d v="2026-05-05T14:17:04"/>
    <d v="2026-05-05T14:18:29"/>
    <x v="311"/>
    <x v="311"/>
    <x v="0"/>
    <s v="082093010991"/>
    <s v="0345864246"/>
    <s v="No"/>
    <m/>
    <x v="2"/>
    <m/>
    <x v="0"/>
    <x v="0"/>
    <x v="12"/>
    <s v="In"/>
    <x v="0"/>
    <n v="0"/>
    <n v="0"/>
    <n v="0"/>
    <n v="1"/>
    <x v="3"/>
    <x v="71"/>
    <m/>
    <m/>
    <m/>
    <m/>
    <x v="1"/>
    <x v="1"/>
  </r>
  <r>
    <n v="266"/>
    <d v="2026-05-05T14:40:01"/>
    <d v="2026-05-05T14:40:22"/>
    <x v="312"/>
    <x v="31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68"/>
    <d v="2026-05-05T15:36:44"/>
    <d v="2026-05-05T15:37:25"/>
    <x v="313"/>
    <x v="313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71"/>
    <d v="2026-05-05T16:30:29"/>
    <d v="2026-05-05T16:30:37"/>
    <x v="314"/>
    <x v="31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72"/>
    <d v="2026-05-05T16:33:24"/>
    <d v="2026-05-05T16:33:37"/>
    <x v="315"/>
    <x v="31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274"/>
    <d v="2026-05-05T16:57:07"/>
    <d v="2026-05-05T17:04:23"/>
    <x v="316"/>
    <x v="316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75"/>
    <d v="2026-05-05T16:57:07"/>
    <d v="2026-05-05T17:04:23"/>
    <x v="317"/>
    <x v="317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2"/>
    <x v="0"/>
  </r>
  <r>
    <n v="279"/>
    <d v="2026-05-05T18:24:47"/>
    <d v="2026-05-05T18:26:12"/>
    <x v="318"/>
    <x v="318"/>
    <x v="0"/>
    <s v="079200004309"/>
    <s v="0963357143"/>
    <s v="No"/>
    <m/>
    <x v="2"/>
    <m/>
    <x v="0"/>
    <x v="0"/>
    <x v="7"/>
    <s v="In"/>
    <x v="0"/>
    <n v="0"/>
    <n v="0"/>
    <n v="0"/>
    <n v="1"/>
    <x v="3"/>
    <x v="142"/>
    <m/>
    <m/>
    <m/>
    <m/>
    <x v="1"/>
    <x v="1"/>
  </r>
  <r>
    <n v="280"/>
    <d v="2026-05-05T18:46:41"/>
    <d v="2026-05-05T18:47:02"/>
    <x v="319"/>
    <x v="319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92"/>
    <d v="2026-05-06T07:08:30"/>
    <d v="2026-05-06T07:08:36"/>
    <x v="320"/>
    <x v="320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295"/>
    <d v="2026-05-06T09:29:33"/>
    <d v="2026-05-06T09:29:48"/>
    <x v="321"/>
    <x v="321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0"/>
    <x v="0"/>
  </r>
  <r>
    <n v="300"/>
    <d v="2026-05-06T11:26:18"/>
    <d v="2026-05-06T11:29:11"/>
    <x v="322"/>
    <x v="322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302"/>
    <d v="2026-05-06T11:42:40"/>
    <d v="2026-05-06T11:44:57"/>
    <x v="323"/>
    <x v="323"/>
    <x v="1"/>
    <s v="052300000056"/>
    <s v="0914845799"/>
    <s v="No"/>
    <m/>
    <x v="0"/>
    <m/>
    <x v="1"/>
    <x v="3"/>
    <x v="8"/>
    <s v="Not joining"/>
    <x v="0"/>
    <n v="0"/>
    <n v="0"/>
    <n v="0"/>
    <n v="1"/>
    <x v="3"/>
    <x v="31"/>
    <m/>
    <m/>
    <m/>
    <m/>
    <x v="0"/>
    <x v="0"/>
  </r>
  <r>
    <n v="309"/>
    <d v="2026-05-06T14:17:57"/>
    <d v="2026-05-06T14:18:01"/>
    <x v="324"/>
    <x v="324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310"/>
    <d v="2026-05-06T16:37:44"/>
    <d v="2026-05-06T16:38:07"/>
    <x v="325"/>
    <x v="325"/>
    <x v="1"/>
    <m/>
    <m/>
    <m/>
    <m/>
    <x v="1"/>
    <m/>
    <x v="1"/>
    <x v="3"/>
    <x v="8"/>
    <s v="Not joining"/>
    <x v="0"/>
    <n v="0"/>
    <n v="0"/>
    <n v="0"/>
    <n v="1"/>
    <x v="3"/>
    <x v="31"/>
    <m/>
    <m/>
    <m/>
    <m/>
    <x v="1"/>
    <x v="0"/>
  </r>
  <r>
    <n v="317"/>
    <d v="2026-05-06T19:34:21"/>
    <d v="2026-05-06T23:51:45"/>
    <x v="326"/>
    <x v="326"/>
    <x v="0"/>
    <s v="056202000056"/>
    <s v="0908617538"/>
    <m/>
    <m/>
    <x v="0"/>
    <m/>
    <x v="0"/>
    <x v="0"/>
    <x v="13"/>
    <s v="In"/>
    <x v="0"/>
    <n v="0"/>
    <n v="0"/>
    <n v="0"/>
    <n v="1"/>
    <x v="5"/>
    <x v="144"/>
    <m/>
    <m/>
    <m/>
    <m/>
    <x v="1"/>
    <x v="1"/>
  </r>
  <r>
    <m/>
    <m/>
    <m/>
    <x v="327"/>
    <x v="327"/>
    <x v="0"/>
    <s v="079098028738"/>
    <s v="0903040298"/>
    <m/>
    <m/>
    <x v="0"/>
    <m/>
    <x v="0"/>
    <x v="0"/>
    <x v="7"/>
    <s v="In"/>
    <x v="0"/>
    <n v="0"/>
    <n v="0"/>
    <n v="0"/>
    <n v="1"/>
    <x v="6"/>
    <x v="77"/>
    <m/>
    <m/>
    <m/>
    <m/>
    <x v="1"/>
    <x v="1"/>
  </r>
  <r>
    <m/>
    <m/>
    <m/>
    <x v="328"/>
    <x v="328"/>
    <x v="0"/>
    <s v="079194006686"/>
    <s v="0973239494"/>
    <m/>
    <m/>
    <x v="0"/>
    <m/>
    <x v="2"/>
    <x v="6"/>
    <x v="68"/>
    <s v="In"/>
    <x v="0"/>
    <n v="0"/>
    <n v="0"/>
    <n v="0"/>
    <n v="1"/>
    <x v="7"/>
    <x v="93"/>
    <m/>
    <m/>
    <m/>
    <m/>
    <x v="0"/>
    <x v="0"/>
  </r>
  <r>
    <m/>
    <m/>
    <m/>
    <x v="329"/>
    <x v="329"/>
    <x v="1"/>
    <s v="052303002007"/>
    <m/>
    <m/>
    <m/>
    <x v="0"/>
    <m/>
    <x v="10"/>
    <x v="31"/>
    <x v="69"/>
    <s v="Not joining"/>
    <x v="0"/>
    <n v="0"/>
    <n v="0"/>
    <n v="0"/>
    <n v="1"/>
    <x v="3"/>
    <x v="31"/>
    <m/>
    <m/>
    <m/>
    <m/>
    <x v="0"/>
    <x v="0"/>
  </r>
  <r>
    <m/>
    <m/>
    <m/>
    <x v="330"/>
    <x v="330"/>
    <x v="0"/>
    <s v="060200001473"/>
    <s v="+84 327 629 830"/>
    <s v="No"/>
    <m/>
    <x v="0"/>
    <m/>
    <x v="0"/>
    <x v="0"/>
    <x v="13"/>
    <s v="In"/>
    <x v="0"/>
    <n v="0"/>
    <n v="0"/>
    <n v="0"/>
    <n v="1"/>
    <x v="5"/>
    <x v="144"/>
    <m/>
    <m/>
    <m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F3434-D800-4A4F-BAD4-7144CF10244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I3:AO134" firstHeaderRow="0" firstDataRow="1" firstDataCol="5" rowPageCount="1" colPageCount="1"/>
  <pivotFields count="20">
    <pivotField axis="axisRow" compact="0" outline="0" showAll="0" defaultSubtotal="0">
      <items count="274">
        <item x="172"/>
        <item x="127"/>
        <item x="251"/>
        <item x="91"/>
        <item x="140"/>
        <item x="205"/>
        <item x="256"/>
        <item x="211"/>
        <item x="74"/>
        <item x="190"/>
        <item x="157"/>
        <item x="11"/>
        <item x="173"/>
        <item x="107"/>
        <item x="208"/>
        <item x="59"/>
        <item x="128"/>
        <item x="114"/>
        <item x="96"/>
        <item x="240"/>
        <item x="209"/>
        <item x="29"/>
        <item x="33"/>
        <item x="142"/>
        <item x="137"/>
        <item x="252"/>
        <item x="264"/>
        <item x="129"/>
        <item x="122"/>
        <item x="196"/>
        <item x="221"/>
        <item x="236"/>
        <item x="130"/>
        <item x="131"/>
        <item x="189"/>
        <item x="58"/>
        <item x="212"/>
        <item x="255"/>
        <item m="1" x="272"/>
        <item x="97"/>
        <item x="1"/>
        <item x="101"/>
        <item x="6"/>
        <item x="132"/>
        <item x="100"/>
        <item x="98"/>
        <item x="126"/>
        <item x="46"/>
        <item x="50"/>
        <item x="249"/>
        <item x="204"/>
        <item x="259"/>
        <item x="178"/>
        <item x="92"/>
        <item x="262"/>
        <item x="108"/>
        <item x="167"/>
        <item x="216"/>
        <item x="220"/>
        <item x="182"/>
        <item x="235"/>
        <item x="41"/>
        <item x="225"/>
        <item x="207"/>
        <item x="257"/>
        <item x="2"/>
        <item x="170"/>
        <item x="102"/>
        <item x="181"/>
        <item x="261"/>
        <item x="200"/>
        <item x="187"/>
        <item x="7"/>
        <item x="69"/>
        <item x="254"/>
        <item x="13"/>
        <item x="18"/>
        <item x="109"/>
        <item x="47"/>
        <item x="49"/>
        <item x="199"/>
        <item x="143"/>
        <item x="123"/>
        <item x="99"/>
        <item x="24"/>
        <item x="141"/>
        <item x="52"/>
        <item x="30"/>
        <item x="42"/>
        <item x="136"/>
        <item x="268"/>
        <item x="87"/>
        <item x="194"/>
        <item x="232"/>
        <item x="121"/>
        <item x="25"/>
        <item x="81"/>
        <item x="166"/>
        <item x="188"/>
        <item x="185"/>
        <item x="155"/>
        <item x="218"/>
        <item x="153"/>
        <item x="21"/>
        <item x="227"/>
        <item x="226"/>
        <item x="203"/>
        <item x="45"/>
        <item x="48"/>
        <item x="148"/>
        <item x="78"/>
        <item x="154"/>
        <item x="4"/>
        <item x="55"/>
        <item x="253"/>
        <item x="72"/>
        <item x="124"/>
        <item x="12"/>
        <item x="245"/>
        <item x="266"/>
        <item x="191"/>
        <item x="117"/>
        <item x="63"/>
        <item x="171"/>
        <item x="234"/>
        <item x="192"/>
        <item x="146"/>
        <item x="38"/>
        <item x="242"/>
        <item x="64"/>
        <item x="67"/>
        <item x="88"/>
        <item x="15"/>
        <item x="119"/>
        <item x="158"/>
        <item x="14"/>
        <item x="90"/>
        <item x="206"/>
        <item x="168"/>
        <item x="247"/>
        <item x="223"/>
        <item x="186"/>
        <item x="138"/>
        <item x="94"/>
        <item x="244"/>
        <item x="40"/>
        <item x="0"/>
        <item x="250"/>
        <item x="265"/>
        <item x="110"/>
        <item x="61"/>
        <item x="159"/>
        <item x="233"/>
        <item x="77"/>
        <item x="201"/>
        <item x="28"/>
        <item x="36"/>
        <item x="10"/>
        <item x="31"/>
        <item x="144"/>
        <item x="145"/>
        <item x="43"/>
        <item x="57"/>
        <item x="183"/>
        <item x="35"/>
        <item x="103"/>
        <item x="73"/>
        <item x="224"/>
        <item x="65"/>
        <item x="104"/>
        <item x="269"/>
        <item x="133"/>
        <item x="34"/>
        <item x="53"/>
        <item x="75"/>
        <item x="160"/>
        <item x="270"/>
        <item x="243"/>
        <item x="22"/>
        <item x="16"/>
        <item x="20"/>
        <item x="19"/>
        <item x="139"/>
        <item x="89"/>
        <item x="111"/>
        <item x="82"/>
        <item x="70"/>
        <item x="197"/>
        <item x="161"/>
        <item x="228"/>
        <item x="222"/>
        <item x="163"/>
        <item x="246"/>
        <item m="1" x="273"/>
        <item x="135"/>
        <item x="134"/>
        <item x="237"/>
        <item x="165"/>
        <item x="164"/>
        <item x="231"/>
        <item x="241"/>
        <item x="152"/>
        <item x="85"/>
        <item x="184"/>
        <item x="84"/>
        <item x="156"/>
        <item x="116"/>
        <item x="60"/>
        <item x="230"/>
        <item x="180"/>
        <item x="176"/>
        <item x="62"/>
        <item x="177"/>
        <item x="86"/>
        <item x="3"/>
        <item x="229"/>
        <item x="151"/>
        <item x="162"/>
        <item x="238"/>
        <item x="147"/>
        <item x="248"/>
        <item x="56"/>
        <item x="54"/>
        <item x="179"/>
        <item x="193"/>
        <item x="118"/>
        <item x="219"/>
        <item x="120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x="214"/>
        <item x="66"/>
        <item x="258"/>
        <item x="150"/>
        <item x="51"/>
        <item x="195"/>
        <item x="113"/>
        <item x="217"/>
        <item x="174"/>
        <item x="260"/>
        <item x="9"/>
        <item x="44"/>
        <item x="80"/>
        <item x="105"/>
        <item x="149"/>
        <item x="23"/>
        <item x="5"/>
        <item x="76"/>
        <item x="83"/>
        <item x="32"/>
        <item x="125"/>
        <item x="37"/>
        <item x="112"/>
        <item x="106"/>
        <item x="17"/>
        <item x="210"/>
        <item x="79"/>
        <item x="202"/>
        <item x="39"/>
        <item x="175"/>
        <item x="2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h="1" sd="0" x="1"/>
        <item sd="0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7"/>
        <item x="8"/>
        <item x="5"/>
        <item x="6"/>
        <item x="9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4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m="1" x="144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m="1" x="145"/>
        <item sd="0" x="1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9"/>
    <field x="18"/>
    <field x="12"/>
    <field x="17"/>
    <field x="0"/>
  </rowFields>
  <rowItems count="131">
    <i>
      <x/>
      <x/>
    </i>
    <i r="1">
      <x v="1"/>
    </i>
    <i r="1">
      <x v="30"/>
    </i>
    <i r="1">
      <x v="31"/>
    </i>
    <i r="1">
      <x v="32"/>
    </i>
    <i r="1">
      <x v="33"/>
    </i>
    <i r="1">
      <x v="43"/>
    </i>
    <i r="1">
      <x v="44"/>
    </i>
    <i r="1">
      <x v="59"/>
    </i>
    <i r="1">
      <x v="60"/>
    </i>
    <i r="1">
      <x v="61"/>
    </i>
    <i r="1">
      <x v="67"/>
    </i>
    <i r="1">
      <x v="68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15"/>
    </i>
    <i r="1">
      <x v="116"/>
    </i>
    <i r="1">
      <x v="117"/>
    </i>
    <i r="1">
      <x v="118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77"/>
    </i>
    <i r="1">
      <x v="78"/>
    </i>
    <i r="1">
      <x v="79"/>
    </i>
    <i r="1">
      <x v="80"/>
    </i>
    <i r="1">
      <x v="89"/>
    </i>
    <i r="1">
      <x v="91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>
      <x v="2"/>
      <x v="14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am Q" fld="15" baseField="0" baseItem="0"/>
    <dataField name="Sum of Total Hc" fld="16" baseField="0" baseItem="0"/>
  </dataFields>
  <formats count="1">
    <format dxfId="122">
      <pivotArea outline="0" collapsedLevelsAreSubtotals="1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E6ED4-CB87-431B-82A5-63037C4853D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A3:AE286" firstHeaderRow="0" firstDataRow="1" firstDataCol="3" rowPageCount="1" colPageCount="1"/>
  <pivotFields count="20">
    <pivotField axis="axisRow" compact="0" outline="0" showAll="0">
      <items count="275">
        <item x="172"/>
        <item x="127"/>
        <item x="251"/>
        <item x="91"/>
        <item x="140"/>
        <item x="205"/>
        <item x="256"/>
        <item x="211"/>
        <item x="74"/>
        <item x="190"/>
        <item x="157"/>
        <item x="11"/>
        <item x="173"/>
        <item x="107"/>
        <item x="208"/>
        <item x="59"/>
        <item x="128"/>
        <item x="114"/>
        <item x="96"/>
        <item x="240"/>
        <item x="209"/>
        <item x="29"/>
        <item x="33"/>
        <item x="142"/>
        <item x="137"/>
        <item x="252"/>
        <item x="264"/>
        <item x="129"/>
        <item x="122"/>
        <item x="196"/>
        <item x="221"/>
        <item x="236"/>
        <item x="130"/>
        <item x="131"/>
        <item x="189"/>
        <item x="58"/>
        <item x="212"/>
        <item x="255"/>
        <item m="1" x="273"/>
        <item x="97"/>
        <item x="1"/>
        <item x="101"/>
        <item x="6"/>
        <item x="132"/>
        <item x="100"/>
        <item x="98"/>
        <item x="126"/>
        <item x="46"/>
        <item x="50"/>
        <item x="249"/>
        <item x="204"/>
        <item x="259"/>
        <item x="178"/>
        <item x="92"/>
        <item x="262"/>
        <item x="108"/>
        <item x="167"/>
        <item x="216"/>
        <item x="220"/>
        <item x="182"/>
        <item x="235"/>
        <item x="41"/>
        <item x="225"/>
        <item x="207"/>
        <item x="257"/>
        <item x="2"/>
        <item x="170"/>
        <item x="102"/>
        <item x="181"/>
        <item x="261"/>
        <item x="200"/>
        <item x="187"/>
        <item x="7"/>
        <item x="69"/>
        <item x="254"/>
        <item x="13"/>
        <item x="18"/>
        <item x="109"/>
        <item x="47"/>
        <item x="49"/>
        <item x="199"/>
        <item x="143"/>
        <item x="123"/>
        <item x="99"/>
        <item x="24"/>
        <item x="141"/>
        <item x="52"/>
        <item x="30"/>
        <item x="42"/>
        <item x="136"/>
        <item x="268"/>
        <item x="87"/>
        <item x="194"/>
        <item x="232"/>
        <item x="121"/>
        <item x="25"/>
        <item x="81"/>
        <item x="166"/>
        <item x="188"/>
        <item x="185"/>
        <item x="155"/>
        <item x="218"/>
        <item x="153"/>
        <item x="21"/>
        <item x="227"/>
        <item x="226"/>
        <item x="203"/>
        <item x="45"/>
        <item x="48"/>
        <item x="148"/>
        <item x="78"/>
        <item x="154"/>
        <item x="4"/>
        <item x="55"/>
        <item x="253"/>
        <item x="72"/>
        <item x="124"/>
        <item x="12"/>
        <item x="245"/>
        <item x="266"/>
        <item x="191"/>
        <item x="117"/>
        <item x="63"/>
        <item x="171"/>
        <item x="234"/>
        <item x="192"/>
        <item x="146"/>
        <item x="38"/>
        <item x="242"/>
        <item x="64"/>
        <item x="67"/>
        <item x="88"/>
        <item x="15"/>
        <item x="119"/>
        <item x="158"/>
        <item x="14"/>
        <item x="90"/>
        <item x="206"/>
        <item x="168"/>
        <item x="247"/>
        <item x="223"/>
        <item x="186"/>
        <item x="138"/>
        <item x="94"/>
        <item x="244"/>
        <item x="40"/>
        <item x="0"/>
        <item x="250"/>
        <item x="265"/>
        <item x="110"/>
        <item x="61"/>
        <item x="159"/>
        <item x="233"/>
        <item x="77"/>
        <item x="201"/>
        <item x="28"/>
        <item x="36"/>
        <item x="10"/>
        <item x="31"/>
        <item x="144"/>
        <item x="145"/>
        <item x="43"/>
        <item x="57"/>
        <item x="183"/>
        <item x="35"/>
        <item x="103"/>
        <item x="73"/>
        <item x="224"/>
        <item x="65"/>
        <item x="104"/>
        <item x="269"/>
        <item x="133"/>
        <item x="34"/>
        <item x="53"/>
        <item x="75"/>
        <item x="160"/>
        <item x="270"/>
        <item x="243"/>
        <item x="22"/>
        <item x="16"/>
        <item x="20"/>
        <item x="19"/>
        <item x="139"/>
        <item x="89"/>
        <item x="111"/>
        <item x="82"/>
        <item x="70"/>
        <item x="197"/>
        <item x="161"/>
        <item x="228"/>
        <item x="222"/>
        <item x="163"/>
        <item x="246"/>
        <item m="1" x="272"/>
        <item x="135"/>
        <item x="134"/>
        <item x="237"/>
        <item x="165"/>
        <item x="164"/>
        <item x="231"/>
        <item x="241"/>
        <item x="152"/>
        <item x="85"/>
        <item x="184"/>
        <item x="84"/>
        <item x="156"/>
        <item x="116"/>
        <item x="60"/>
        <item x="230"/>
        <item x="180"/>
        <item x="176"/>
        <item x="62"/>
        <item x="177"/>
        <item x="86"/>
        <item x="3"/>
        <item x="229"/>
        <item x="151"/>
        <item x="162"/>
        <item x="238"/>
        <item x="147"/>
        <item x="248"/>
        <item x="56"/>
        <item x="54"/>
        <item x="179"/>
        <item x="193"/>
        <item x="118"/>
        <item x="219"/>
        <item x="120"/>
        <item x="68"/>
        <item x="215"/>
        <item x="239"/>
        <item x="169"/>
        <item x="27"/>
        <item x="198"/>
        <item x="95"/>
        <item x="8"/>
        <item x="26"/>
        <item x="263"/>
        <item x="93"/>
        <item x="71"/>
        <item x="267"/>
        <item x="213"/>
        <item x="115"/>
        <item x="214"/>
        <item x="66"/>
        <item x="258"/>
        <item x="150"/>
        <item x="51"/>
        <item x="195"/>
        <item x="113"/>
        <item x="217"/>
        <item x="174"/>
        <item x="260"/>
        <item x="9"/>
        <item x="44"/>
        <item x="80"/>
        <item x="105"/>
        <item x="149"/>
        <item x="23"/>
        <item x="5"/>
        <item x="76"/>
        <item x="83"/>
        <item x="32"/>
        <item x="125"/>
        <item x="37"/>
        <item x="112"/>
        <item x="106"/>
        <item x="17"/>
        <item x="210"/>
        <item x="79"/>
        <item x="202"/>
        <item x="39"/>
        <item x="175"/>
        <item x="27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1"/>
        <item x="2"/>
        <item x="3"/>
        <item x="7"/>
        <item x="8"/>
        <item x="5"/>
        <item x="6"/>
        <item x="9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m="1" x="144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m="1" x="145"/>
        <item x="143"/>
        <item x="2"/>
        <item x="70"/>
        <item x="71"/>
        <item x="72"/>
        <item x="73"/>
        <item x="74"/>
        <item x="75"/>
        <item x="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7"/>
    <field x="18"/>
    <field x="0"/>
  </rowFields>
  <rowItems count="283">
    <i>
      <x/>
      <x/>
      <x v="40"/>
    </i>
    <i r="2">
      <x v="146"/>
    </i>
    <i r="1">
      <x v="1"/>
      <x v="65"/>
    </i>
    <i r="2">
      <x v="214"/>
    </i>
    <i r="1">
      <x v="2"/>
      <x v="42"/>
    </i>
    <i r="2">
      <x v="72"/>
    </i>
    <i r="1">
      <x v="3"/>
      <x v="235"/>
    </i>
    <i r="2">
      <x v="253"/>
    </i>
    <i r="1">
      <x v="4"/>
      <x v="11"/>
    </i>
    <i r="2">
      <x v="157"/>
    </i>
    <i r="1">
      <x v="5"/>
      <x v="75"/>
    </i>
    <i r="2">
      <x v="117"/>
    </i>
    <i r="1">
      <x v="6"/>
      <x v="132"/>
    </i>
    <i r="2">
      <x v="135"/>
    </i>
    <i r="1">
      <x v="7"/>
      <x v="179"/>
    </i>
    <i r="2">
      <x v="267"/>
    </i>
    <i r="1">
      <x v="8"/>
      <x v="76"/>
    </i>
    <i r="2">
      <x v="181"/>
    </i>
    <i r="1">
      <x v="9"/>
      <x v="103"/>
    </i>
    <i r="2">
      <x v="180"/>
    </i>
    <i r="1">
      <x v="10"/>
      <x v="178"/>
    </i>
    <i r="2">
      <x v="258"/>
    </i>
    <i r="1">
      <x v="11"/>
      <x v="84"/>
    </i>
    <i r="2">
      <x v="95"/>
    </i>
    <i r="1">
      <x v="12"/>
      <x v="232"/>
    </i>
    <i r="2">
      <x v="236"/>
    </i>
    <i r="1">
      <x v="13"/>
      <x v="21"/>
    </i>
    <i r="2">
      <x v="155"/>
    </i>
    <i r="1">
      <x v="14"/>
      <x v="87"/>
    </i>
    <i r="2">
      <x v="158"/>
    </i>
    <i r="1">
      <x v="76"/>
      <x v="134"/>
    </i>
    <i r="2">
      <x v="151"/>
    </i>
    <i r="1">
      <x v="77"/>
      <x v="175"/>
    </i>
    <i r="1">
      <x v="81"/>
      <x v="138"/>
    </i>
    <i r="1">
      <x v="138"/>
      <x v="112"/>
    </i>
    <i r="2">
      <x v="259"/>
    </i>
    <i r="1">
      <x v="141"/>
      <x v="182"/>
    </i>
    <i t="default">
      <x/>
    </i>
    <i>
      <x v="1"/>
      <x v="15"/>
      <x v="22"/>
    </i>
    <i r="2">
      <x v="262"/>
    </i>
    <i r="1">
      <x v="16"/>
      <x v="164"/>
    </i>
    <i r="2">
      <x v="172"/>
    </i>
    <i r="1">
      <x v="17"/>
      <x v="156"/>
    </i>
    <i r="2">
      <x v="264"/>
    </i>
    <i r="1">
      <x v="18"/>
      <x v="127"/>
    </i>
    <i r="2">
      <x v="271"/>
    </i>
    <i r="1">
      <x v="19"/>
      <x v="61"/>
    </i>
    <i r="2">
      <x v="145"/>
    </i>
    <i r="1">
      <x v="20"/>
      <x v="88"/>
    </i>
    <i r="2">
      <x v="161"/>
    </i>
    <i r="1">
      <x v="21"/>
      <x v="107"/>
    </i>
    <i r="2">
      <x v="254"/>
    </i>
    <i r="1">
      <x v="22"/>
      <x v="47"/>
    </i>
    <i r="2">
      <x v="78"/>
    </i>
    <i r="1">
      <x v="23"/>
      <x v="79"/>
    </i>
    <i r="2">
      <x v="108"/>
    </i>
    <i r="1">
      <x v="24"/>
      <x v="48"/>
    </i>
    <i r="2">
      <x v="247"/>
    </i>
    <i r="1">
      <x v="25"/>
      <x v="86"/>
    </i>
    <i r="2">
      <x v="173"/>
    </i>
    <i r="1">
      <x v="26"/>
      <x v="113"/>
    </i>
    <i r="2">
      <x v="222"/>
    </i>
    <i r="1">
      <x v="27"/>
      <x v="162"/>
    </i>
    <i r="2">
      <x v="221"/>
    </i>
    <i r="1">
      <x v="28"/>
      <x v="15"/>
    </i>
    <i r="2">
      <x v="35"/>
    </i>
    <i r="1">
      <x v="29"/>
      <x v="150"/>
    </i>
    <i r="2">
      <x v="207"/>
    </i>
    <i r="1">
      <x v="30"/>
      <x v="122"/>
    </i>
    <i r="2">
      <x v="211"/>
    </i>
    <i r="1">
      <x v="31"/>
      <x v="129"/>
    </i>
    <i r="2">
      <x v="168"/>
    </i>
    <i r="1">
      <x v="32"/>
      <x v="130"/>
    </i>
    <i r="2">
      <x v="244"/>
    </i>
    <i r="1">
      <x v="78"/>
      <x v="217"/>
    </i>
    <i t="default">
      <x v="1"/>
    </i>
    <i>
      <x v="2"/>
      <x v="33"/>
      <x v="73"/>
    </i>
    <i r="2">
      <x v="228"/>
    </i>
    <i r="1">
      <x v="34"/>
      <x v="186"/>
    </i>
    <i r="2">
      <x v="239"/>
    </i>
    <i r="1">
      <x v="35"/>
      <x v="115"/>
    </i>
    <i r="2">
      <x v="166"/>
    </i>
    <i r="1">
      <x v="36"/>
      <x v="8"/>
    </i>
    <i r="2">
      <x v="174"/>
    </i>
    <i r="1">
      <x v="37"/>
      <x v="153"/>
    </i>
    <i r="2">
      <x v="260"/>
    </i>
    <i r="1">
      <x v="38"/>
      <x v="110"/>
    </i>
    <i r="2">
      <x v="269"/>
    </i>
    <i r="1">
      <x v="39"/>
      <x v="96"/>
    </i>
    <i r="2">
      <x v="255"/>
    </i>
    <i r="1">
      <x v="40"/>
      <x v="185"/>
    </i>
    <i r="2">
      <x v="261"/>
    </i>
    <i r="1">
      <x v="41"/>
      <x v="204"/>
    </i>
    <i r="1">
      <x v="42"/>
      <x v="202"/>
    </i>
    <i r="2">
      <x v="213"/>
    </i>
    <i r="1">
      <x v="43"/>
      <x v="91"/>
    </i>
    <i r="2">
      <x v="131"/>
    </i>
    <i r="1">
      <x v="77"/>
      <x v="188"/>
    </i>
    <i r="1">
      <x v="78"/>
      <x v="191"/>
    </i>
    <i r="1">
      <x v="139"/>
      <x v="24"/>
    </i>
    <i r="1">
      <x v="140"/>
      <x v="142"/>
    </i>
    <i r="1">
      <x v="142"/>
      <x v="4"/>
    </i>
    <i r="1">
      <x v="143"/>
      <x v="85"/>
    </i>
    <i r="1">
      <x v="144"/>
      <x v="23"/>
    </i>
    <i t="default">
      <x v="2"/>
    </i>
    <i>
      <x v="3"/>
      <x v="44"/>
      <x v="136"/>
    </i>
    <i r="2">
      <x v="183"/>
    </i>
    <i r="1">
      <x v="45"/>
      <x v="3"/>
    </i>
    <i r="2">
      <x v="53"/>
    </i>
    <i r="1">
      <x v="46"/>
      <x v="143"/>
    </i>
    <i r="2">
      <x v="238"/>
    </i>
    <i r="1">
      <x v="47"/>
      <x v="234"/>
    </i>
    <i r="1">
      <x v="48"/>
      <x v="18"/>
    </i>
    <i r="2">
      <x v="39"/>
    </i>
    <i r="1">
      <x v="49"/>
      <x v="45"/>
    </i>
    <i r="2">
      <x v="83"/>
    </i>
    <i r="1">
      <x v="50"/>
      <x v="41"/>
    </i>
    <i r="2">
      <x v="44"/>
    </i>
    <i r="1">
      <x v="51"/>
      <x v="67"/>
    </i>
    <i r="2">
      <x v="165"/>
    </i>
    <i r="1">
      <x v="52"/>
      <x v="169"/>
    </i>
    <i r="2">
      <x v="256"/>
    </i>
    <i r="1">
      <x v="53"/>
      <x v="266"/>
    </i>
    <i r="1">
      <x v="54"/>
      <x v="55"/>
    </i>
    <i r="2">
      <x v="77"/>
    </i>
    <i r="1">
      <x v="55"/>
      <x v="149"/>
    </i>
    <i r="2">
      <x v="184"/>
    </i>
    <i r="1">
      <x v="56"/>
      <x v="249"/>
    </i>
    <i r="2">
      <x v="265"/>
    </i>
    <i r="1">
      <x v="57"/>
      <x v="17"/>
    </i>
    <i r="2">
      <x v="242"/>
    </i>
    <i r="1">
      <x v="58"/>
      <x v="121"/>
    </i>
    <i r="2">
      <x v="206"/>
    </i>
    <i r="1">
      <x v="59"/>
      <x v="133"/>
    </i>
    <i r="2">
      <x v="225"/>
    </i>
    <i r="1">
      <x v="66"/>
      <x v="43"/>
    </i>
    <i r="1">
      <x v="68"/>
      <x v="89"/>
    </i>
    <i r="1">
      <x v="79"/>
      <x v="198"/>
    </i>
    <i r="1">
      <x v="80"/>
      <x v="97"/>
    </i>
    <i t="default">
      <x v="3"/>
    </i>
    <i>
      <x v="4"/>
      <x v="85"/>
      <x v="12"/>
    </i>
    <i r="2">
      <x v="251"/>
    </i>
    <i r="1">
      <x v="86"/>
      <x v="210"/>
    </i>
    <i r="2">
      <x v="272"/>
    </i>
    <i r="1">
      <x v="87"/>
      <x v="52"/>
    </i>
    <i r="2">
      <x v="212"/>
    </i>
    <i r="1">
      <x v="88"/>
      <x v="209"/>
    </i>
    <i r="2">
      <x v="223"/>
    </i>
    <i r="1">
      <x v="89"/>
      <x v="59"/>
    </i>
    <i r="2">
      <x v="68"/>
    </i>
    <i r="1">
      <x v="90"/>
      <x v="163"/>
    </i>
    <i r="2">
      <x v="203"/>
    </i>
    <i r="1">
      <x v="91"/>
      <x v="99"/>
    </i>
    <i r="2">
      <x v="141"/>
    </i>
    <i r="1">
      <x v="92"/>
      <x v="71"/>
    </i>
    <i r="2">
      <x v="98"/>
    </i>
    <i r="1">
      <x v="93"/>
      <x v="9"/>
    </i>
    <i r="2">
      <x v="34"/>
    </i>
    <i r="1">
      <x v="94"/>
      <x v="120"/>
    </i>
    <i r="2">
      <x v="125"/>
    </i>
    <i r="1">
      <x v="95"/>
      <x v="92"/>
    </i>
    <i r="2">
      <x v="224"/>
    </i>
    <i r="1">
      <x v="96"/>
      <x v="248"/>
    </i>
    <i r="1">
      <x v="97"/>
      <x v="29"/>
    </i>
    <i r="2">
      <x v="187"/>
    </i>
    <i r="1">
      <x v="98"/>
      <x v="80"/>
    </i>
    <i r="2">
      <x v="233"/>
    </i>
    <i r="1">
      <x v="99"/>
      <x v="70"/>
    </i>
    <i r="2">
      <x v="154"/>
    </i>
    <i r="1">
      <x v="100"/>
      <x v="106"/>
    </i>
    <i r="2">
      <x v="270"/>
    </i>
    <i r="1">
      <x v="101"/>
      <x v="50"/>
    </i>
    <i t="default">
      <x v="4"/>
    </i>
    <i>
      <x v="5"/>
      <x v="118"/>
      <x v="196"/>
    </i>
    <i r="1">
      <x v="119"/>
      <x v="19"/>
    </i>
    <i r="2">
      <x v="230"/>
    </i>
    <i r="1">
      <x v="120"/>
      <x v="128"/>
    </i>
    <i r="2">
      <x v="200"/>
    </i>
    <i r="1">
      <x v="121"/>
      <x v="144"/>
    </i>
    <i r="2">
      <x v="177"/>
    </i>
    <i r="1">
      <x v="122"/>
      <x v="118"/>
    </i>
    <i r="2">
      <x v="192"/>
    </i>
    <i r="1">
      <x v="123"/>
      <x v="139"/>
    </i>
    <i r="2">
      <x v="220"/>
    </i>
    <i r="1">
      <x v="124"/>
      <x v="49"/>
    </i>
    <i r="2">
      <x v="147"/>
    </i>
    <i r="1">
      <x v="125"/>
      <x v="2"/>
    </i>
    <i r="2">
      <x v="25"/>
    </i>
    <i r="1">
      <x v="126"/>
      <x v="114"/>
    </i>
    <i r="1">
      <x v="127"/>
      <x v="6"/>
    </i>
    <i r="2">
      <x v="37"/>
    </i>
    <i r="1">
      <x v="128"/>
      <x v="64"/>
    </i>
    <i r="2">
      <x v="245"/>
    </i>
    <i r="1">
      <x v="129"/>
      <x v="51"/>
    </i>
    <i r="2">
      <x v="252"/>
    </i>
    <i r="1">
      <x v="130"/>
      <x v="54"/>
    </i>
    <i r="2">
      <x v="69"/>
    </i>
    <i r="1">
      <x v="131"/>
      <x v="26"/>
    </i>
    <i r="2">
      <x v="237"/>
    </i>
    <i r="1">
      <x v="132"/>
      <x v="119"/>
    </i>
    <i r="2">
      <x v="148"/>
    </i>
    <i r="1">
      <x v="133"/>
      <x v="90"/>
    </i>
    <i r="2">
      <x v="240"/>
    </i>
    <i r="1">
      <x v="134"/>
      <x v="170"/>
    </i>
    <i r="1">
      <x v="135"/>
      <x v="176"/>
    </i>
    <i t="default">
      <x v="5"/>
    </i>
    <i>
      <x v="6"/>
      <x v="60"/>
      <x v="94"/>
    </i>
    <i r="2">
      <x v="227"/>
    </i>
    <i r="1">
      <x v="61"/>
      <x v="28"/>
    </i>
    <i r="2">
      <x v="82"/>
    </i>
    <i r="1">
      <x v="62"/>
      <x v="116"/>
    </i>
    <i r="2">
      <x v="263"/>
    </i>
    <i r="1">
      <x v="63"/>
      <x v="1"/>
    </i>
    <i r="2">
      <x v="46"/>
    </i>
    <i r="1">
      <x v="64"/>
      <x v="16"/>
    </i>
    <i r="2">
      <x v="27"/>
    </i>
    <i r="1">
      <x v="65"/>
      <x v="32"/>
    </i>
    <i r="2">
      <x v="33"/>
    </i>
    <i r="1">
      <x v="66"/>
      <x v="171"/>
    </i>
    <i r="1">
      <x v="67"/>
      <x v="194"/>
    </i>
    <i r="2">
      <x v="195"/>
    </i>
    <i r="1">
      <x v="70"/>
      <x v="126"/>
    </i>
    <i r="2">
      <x v="219"/>
    </i>
    <i r="1">
      <x v="71"/>
      <x v="109"/>
    </i>
    <i r="2">
      <x v="257"/>
    </i>
    <i r="1">
      <x v="72"/>
      <x v="216"/>
    </i>
    <i r="2">
      <x v="246"/>
    </i>
    <i r="1">
      <x v="73"/>
      <x v="102"/>
    </i>
    <i r="2">
      <x v="201"/>
    </i>
    <i r="1">
      <x v="74"/>
      <x v="100"/>
    </i>
    <i r="2">
      <x v="111"/>
    </i>
    <i r="1">
      <x v="75"/>
      <x v="10"/>
    </i>
    <i r="2">
      <x v="205"/>
    </i>
    <i r="1">
      <x v="79"/>
      <x v="197"/>
    </i>
    <i t="default">
      <x v="6"/>
    </i>
    <i>
      <x v="7"/>
      <x v="80"/>
      <x v="56"/>
    </i>
    <i r="1">
      <x v="81"/>
      <x v="231"/>
    </i>
    <i r="1">
      <x v="101"/>
      <x v="5"/>
    </i>
    <i r="1">
      <x v="102"/>
      <x v="63"/>
    </i>
    <i r="2">
      <x v="137"/>
    </i>
    <i r="1">
      <x v="103"/>
      <x v="14"/>
    </i>
    <i r="2">
      <x v="20"/>
    </i>
    <i r="1">
      <x v="104"/>
      <x v="7"/>
    </i>
    <i r="2">
      <x v="268"/>
    </i>
    <i r="1">
      <x v="105"/>
      <x v="36"/>
    </i>
    <i r="2">
      <x v="241"/>
    </i>
    <i r="1">
      <x v="106"/>
      <x v="229"/>
    </i>
    <i r="2">
      <x v="243"/>
    </i>
    <i r="1">
      <x v="107"/>
      <x v="57"/>
    </i>
    <i r="2">
      <x v="250"/>
    </i>
    <i r="1">
      <x v="108"/>
      <x v="101"/>
    </i>
    <i r="2">
      <x v="226"/>
    </i>
    <i r="1">
      <x v="109"/>
      <x v="30"/>
    </i>
    <i r="2">
      <x v="58"/>
    </i>
    <i r="1">
      <x v="110"/>
      <x v="140"/>
    </i>
    <i r="2">
      <x v="190"/>
    </i>
    <i r="1">
      <x v="111"/>
      <x v="167"/>
    </i>
    <i r="1">
      <x v="112"/>
      <x v="62"/>
    </i>
    <i r="1">
      <x v="113"/>
      <x v="104"/>
    </i>
    <i r="2">
      <x v="105"/>
    </i>
    <i r="1">
      <x v="114"/>
      <x v="189"/>
    </i>
    <i r="2">
      <x v="208"/>
    </i>
    <i r="2">
      <x v="215"/>
    </i>
    <i r="1">
      <x v="115"/>
      <x v="93"/>
    </i>
    <i r="2">
      <x v="199"/>
    </i>
    <i r="1">
      <x v="116"/>
      <x v="124"/>
    </i>
    <i r="2">
      <x v="152"/>
    </i>
    <i r="1">
      <x v="117"/>
      <x v="31"/>
    </i>
    <i r="2">
      <x v="60"/>
    </i>
    <i r="1">
      <x v="118"/>
      <x v="218"/>
    </i>
    <i t="default">
      <x v="7"/>
    </i>
    <i>
      <x v="8"/>
      <x v="137"/>
      <x v="273"/>
    </i>
    <i t="default">
      <x v="8"/>
    </i>
    <i>
      <x v="9"/>
      <x v="53"/>
      <x v="13"/>
    </i>
    <i r="1">
      <x v="69"/>
      <x v="159"/>
    </i>
    <i r="2">
      <x v="160"/>
    </i>
    <i r="1">
      <x v="83"/>
      <x v="66"/>
    </i>
    <i r="2">
      <x v="123"/>
    </i>
    <i r="1">
      <x v="84"/>
      <x/>
    </i>
    <i r="1">
      <x v="126"/>
      <x v="74"/>
    </i>
    <i r="1">
      <x v="145"/>
      <x v="81"/>
    </i>
    <i t="default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Fam Q" fld="15" baseField="0" baseItem="0"/>
    <dataField name="Sum of Total Hc" fld="16" baseField="0" baseItem="0"/>
  </dataFields>
  <formats count="1">
    <format dxfId="1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0F648-DA61-481D-B211-030081367B7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Z132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4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37"/>
        <item x="38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1"/>
        <item x="42"/>
        <item x="44"/>
        <item x="45"/>
        <item x="46"/>
        <item x="47"/>
        <item x="49"/>
        <item x="50"/>
        <item x="51"/>
        <item x="52"/>
        <item x="0"/>
        <item x="59"/>
        <item x="60"/>
        <item x="61"/>
        <item x="62"/>
        <item x="63"/>
        <item x="64"/>
        <item x="65"/>
        <item x="66"/>
        <item x="67"/>
        <item x="69"/>
        <item x="68"/>
        <item x="48"/>
        <item x="43"/>
        <item x="70"/>
        <item x="71"/>
        <item x="53"/>
        <item x="72"/>
        <item x="115"/>
        <item x="116"/>
        <item x="112"/>
        <item x="113"/>
        <item x="114"/>
        <item x="74"/>
        <item x="73"/>
        <item x="75"/>
        <item x="54"/>
        <item x="55"/>
        <item x="17"/>
        <item x="56"/>
        <item x="57"/>
        <item x="58"/>
        <item x="139"/>
        <item x="140"/>
        <item x="117"/>
        <item x="118"/>
        <item x="119"/>
        <item x="120"/>
        <item x="121"/>
        <item x="122"/>
        <item x="18"/>
        <item x="40"/>
        <item x="39"/>
        <item x="19"/>
        <item x="76"/>
        <item x="20"/>
        <item x="141"/>
        <item x="142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</pivotFields>
  <rowFields count="1">
    <field x="18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2"/>
    </i>
    <i t="grand">
      <x/>
    </i>
  </rowItems>
  <colItems count="1">
    <i/>
  </colItems>
  <pageFields count="1">
    <pageField fld="12" item="0" hier="-1"/>
  </pageFields>
  <dataFields count="1">
    <dataField name="Sum of Total Hc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A6437-052E-4B5B-9F67-EAFA32910B9D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E3:AP275" firstHeaderRow="0" firstDataRow="1" firstDataCol="8" rowPageCount="1" colPageCount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2">
        <item x="253"/>
        <item x="277"/>
        <item x="235"/>
        <item x="223"/>
        <item x="104"/>
        <item x="312"/>
        <item x="78"/>
        <item x="270"/>
        <item x="191"/>
        <item x="313"/>
        <item x="289"/>
        <item x="84"/>
        <item x="130"/>
        <item x="222"/>
        <item x="239"/>
        <item x="168"/>
        <item x="186"/>
        <item x="308"/>
        <item x="15"/>
        <item x="167"/>
        <item x="263"/>
        <item x="7"/>
        <item x="192"/>
        <item x="244"/>
        <item x="311"/>
        <item x="110"/>
        <item x="215"/>
        <item x="127"/>
        <item x="171"/>
        <item x="200"/>
        <item x="162"/>
        <item x="34"/>
        <item x="43"/>
        <item x="97"/>
        <item x="177"/>
        <item x="163"/>
        <item x="216"/>
        <item x="226"/>
        <item x="298"/>
        <item x="213"/>
        <item x="214"/>
        <item x="185"/>
        <item x="144"/>
        <item x="237"/>
        <item x="316"/>
        <item x="255"/>
        <item x="12"/>
        <item x="287"/>
        <item x="111"/>
        <item x="116"/>
        <item x="326"/>
        <item x="115"/>
        <item x="51"/>
        <item x="112"/>
        <item x="217"/>
        <item x="55"/>
        <item x="60"/>
        <item x="283"/>
        <item x="169"/>
        <item x="150"/>
        <item x="105"/>
        <item x="271"/>
        <item x="119"/>
        <item x="299"/>
        <item x="280"/>
        <item x="261"/>
        <item x="305"/>
        <item x="174"/>
        <item x="275"/>
        <item x="170"/>
        <item x="73"/>
        <item x="259"/>
        <item x="292"/>
        <item x="307"/>
        <item x="140"/>
        <item x="172"/>
        <item x="155"/>
        <item x="175"/>
        <item x="183"/>
        <item x="152"/>
        <item x="256"/>
        <item x="297"/>
        <item x="241"/>
        <item x="49"/>
        <item x="296"/>
        <item x="325"/>
        <item x="2"/>
        <item x="286"/>
        <item x="117"/>
        <item x="285"/>
        <item x="8"/>
        <item x="79"/>
        <item x="279"/>
        <item x="25"/>
        <item x="16"/>
        <item x="138"/>
        <item x="188"/>
        <item x="158"/>
        <item x="56"/>
        <item x="58"/>
        <item x="278"/>
        <item x="228"/>
        <item x="113"/>
        <item x="295"/>
        <item x="24"/>
        <item x="320"/>
        <item x="72"/>
        <item x="35"/>
        <item x="63"/>
        <item x="265"/>
        <item x="6"/>
        <item x="133"/>
        <item x="86"/>
        <item x="122"/>
        <item x="284"/>
        <item x="227"/>
        <item x="18"/>
        <item x="96"/>
        <item x="108"/>
        <item x="240"/>
        <item x="182"/>
        <item x="148"/>
        <item x="201"/>
        <item x="157"/>
        <item x="269"/>
        <item x="303"/>
        <item x="180"/>
        <item x="22"/>
        <item x="17"/>
        <item x="137"/>
        <item x="218"/>
        <item x="262"/>
        <item x="304"/>
        <item x="219"/>
        <item x="258"/>
        <item x="249"/>
        <item x="147"/>
        <item x="207"/>
        <item x="107"/>
        <item x="57"/>
        <item x="90"/>
        <item x="10"/>
        <item x="67"/>
        <item x="290"/>
        <item x="187"/>
        <item x="179"/>
        <item x="233"/>
        <item x="80"/>
        <item x="81"/>
        <item x="301"/>
        <item x="245"/>
        <item x="135"/>
        <item x="224"/>
        <item x="50"/>
        <item x="42"/>
        <item x="59"/>
        <item x="65"/>
        <item x="89"/>
        <item x="19"/>
        <item x="94"/>
        <item x="54"/>
        <item x="120"/>
        <item x="29"/>
        <item x="91"/>
        <item x="103"/>
        <item x="92"/>
        <item x="211"/>
        <item x="121"/>
        <item x="164"/>
        <item x="47"/>
        <item x="319"/>
        <item x="243"/>
        <item x="154"/>
        <item x="323"/>
        <item x="229"/>
        <item x="267"/>
        <item x="232"/>
        <item x="220"/>
        <item x="194"/>
        <item x="33"/>
        <item x="248"/>
        <item x="196"/>
        <item x="160"/>
        <item x="300"/>
        <item x="178"/>
        <item x="5"/>
        <item x="131"/>
        <item x="310"/>
        <item x="0"/>
        <item x="195"/>
        <item x="309"/>
        <item x="306"/>
        <item x="123"/>
        <item x="114"/>
        <item x="88"/>
        <item x="46"/>
        <item x="231"/>
        <item x="109"/>
        <item x="149"/>
        <item x="193"/>
        <item x="151"/>
        <item x="257"/>
        <item x="146"/>
        <item x="209"/>
        <item x="153"/>
        <item x="145"/>
        <item x="234"/>
        <item x="128"/>
        <item x="208"/>
        <item x="31"/>
        <item x="40"/>
        <item x="13"/>
        <item x="36"/>
        <item x="288"/>
        <item x="276"/>
        <item x="318"/>
        <item x="52"/>
        <item x="70"/>
        <item x="129"/>
        <item x="39"/>
        <item x="136"/>
        <item x="83"/>
        <item x="118"/>
        <item x="14"/>
        <item x="317"/>
        <item x="238"/>
        <item x="266"/>
        <item x="197"/>
        <item x="221"/>
        <item x="69"/>
        <item x="132"/>
        <item x="38"/>
        <item x="64"/>
        <item x="85"/>
        <item x="23"/>
        <item x="302"/>
        <item x="20"/>
        <item x="281"/>
        <item x="282"/>
        <item x="32"/>
        <item x="28"/>
        <item x="11"/>
        <item x="102"/>
        <item x="124"/>
        <item x="71"/>
        <item x="98"/>
        <item x="77"/>
        <item x="3"/>
        <item x="274"/>
        <item x="204"/>
        <item x="202"/>
        <item x="75"/>
        <item x="99"/>
        <item x="321"/>
        <item x="45"/>
        <item x="82"/>
        <item x="272"/>
        <item x="293"/>
        <item x="198"/>
        <item x="294"/>
        <item x="176"/>
        <item x="93"/>
        <item x="1"/>
        <item x="322"/>
        <item x="205"/>
        <item x="68"/>
        <item x="315"/>
        <item x="212"/>
        <item x="264"/>
        <item x="242"/>
        <item x="143"/>
        <item x="324"/>
        <item x="159"/>
        <item x="246"/>
        <item x="199"/>
        <item x="210"/>
        <item x="250"/>
        <item x="184"/>
        <item x="230"/>
        <item x="142"/>
        <item x="166"/>
        <item x="74"/>
        <item x="190"/>
        <item x="254"/>
        <item x="247"/>
        <item x="173"/>
        <item x="181"/>
        <item x="314"/>
        <item x="260"/>
        <item x="48"/>
        <item x="203"/>
        <item x="44"/>
        <item x="66"/>
        <item x="206"/>
        <item x="236"/>
        <item x="76"/>
        <item x="27"/>
        <item x="9"/>
        <item x="21"/>
        <item x="106"/>
        <item x="273"/>
        <item x="189"/>
        <item x="252"/>
        <item x="101"/>
        <item x="62"/>
        <item x="126"/>
        <item x="41"/>
        <item x="61"/>
        <item x="141"/>
        <item x="4"/>
        <item x="161"/>
        <item x="165"/>
        <item x="53"/>
        <item x="95"/>
        <item x="30"/>
        <item x="87"/>
        <item x="100"/>
        <item x="37"/>
        <item x="291"/>
        <item x="225"/>
        <item x="268"/>
        <item x="251"/>
        <item x="125"/>
        <item x="134"/>
        <item x="139"/>
        <item x="26"/>
        <item x="156"/>
        <item m="1" x="331"/>
        <item x="327"/>
        <item x="328"/>
        <item x="329"/>
        <item x="3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4">
        <item x="270"/>
        <item x="223"/>
        <item x="191"/>
        <item x="104"/>
        <item x="91"/>
        <item x="312"/>
        <item x="253"/>
        <item x="313"/>
        <item x="186"/>
        <item x="239"/>
        <item x="84"/>
        <item x="167"/>
        <item x="222"/>
        <item x="308"/>
        <item x="15"/>
        <item m="1" x="331"/>
        <item x="162"/>
        <item x="311"/>
        <item x="240"/>
        <item x="72"/>
        <item x="215"/>
        <item x="127"/>
        <item x="110"/>
        <item x="200"/>
        <item x="244"/>
        <item x="34"/>
        <item x="43"/>
        <item x="97"/>
        <item x="101"/>
        <item x="192"/>
        <item x="177"/>
        <item x="216"/>
        <item x="226"/>
        <item x="144"/>
        <item x="255"/>
        <item x="243"/>
        <item x="213"/>
        <item x="214"/>
        <item x="163"/>
        <item x="71"/>
        <item x="237"/>
        <item x="185"/>
        <item x="287"/>
        <item x="111"/>
        <item x="1"/>
        <item x="116"/>
        <item x="7"/>
        <item x="288"/>
        <item x="135"/>
        <item x="115"/>
        <item x="316"/>
        <item x="112"/>
        <item x="217"/>
        <item x="55"/>
        <item x="60"/>
        <item x="193"/>
        <item x="150"/>
        <item x="169"/>
        <item x="152"/>
        <item x="105"/>
        <item x="175"/>
        <item x="119"/>
        <item x="299"/>
        <item x="280"/>
        <item x="261"/>
        <item x="263"/>
        <item x="279"/>
        <item x="251"/>
        <item x="140"/>
        <item x="241"/>
        <item x="49"/>
        <item x="254"/>
        <item x="259"/>
        <item x="325"/>
        <item x="183"/>
        <item x="2"/>
        <item x="286"/>
        <item x="265"/>
        <item x="117"/>
        <item x="138"/>
        <item x="305"/>
        <item x="172"/>
        <item x="151"/>
        <item x="285"/>
        <item x="155"/>
        <item x="8"/>
        <item x="79"/>
        <item x="307"/>
        <item x="16"/>
        <item x="25"/>
        <item x="120"/>
        <item x="56"/>
        <item x="58"/>
        <item x="158"/>
        <item x="278"/>
        <item x="228"/>
        <item x="113"/>
        <item x="273"/>
        <item x="295"/>
        <item x="24"/>
        <item x="320"/>
        <item x="94"/>
        <item x="63"/>
        <item x="275"/>
        <item x="35"/>
        <item x="283"/>
        <item x="51"/>
        <item x="121"/>
        <item x="182"/>
        <item x="86"/>
        <item x="157"/>
        <item x="201"/>
        <item x="235"/>
        <item x="227"/>
        <item x="18"/>
        <item x="96"/>
        <item x="108"/>
        <item x="303"/>
        <item x="164"/>
        <item x="137"/>
        <item x="221"/>
        <item x="258"/>
        <item x="220"/>
        <item x="22"/>
        <item x="262"/>
        <item x="249"/>
        <item x="304"/>
        <item x="284"/>
        <item x="290"/>
        <item x="147"/>
        <item x="54"/>
        <item x="57"/>
        <item x="208"/>
        <item x="90"/>
        <item x="207"/>
        <item x="10"/>
        <item x="67"/>
        <item x="187"/>
        <item x="81"/>
        <item x="224"/>
        <item x="14"/>
        <item x="300"/>
        <item x="301"/>
        <item x="170"/>
        <item x="180"/>
        <item x="154"/>
        <item x="122"/>
        <item x="50"/>
        <item x="267"/>
        <item x="232"/>
        <item x="161"/>
        <item x="203"/>
        <item x="42"/>
        <item x="194"/>
        <item x="59"/>
        <item x="65"/>
        <item x="89"/>
        <item x="19"/>
        <item x="289"/>
        <item x="130"/>
        <item x="326"/>
        <item x="317"/>
        <item x="4"/>
        <item x="17"/>
        <item x="103"/>
        <item x="323"/>
        <item x="245"/>
        <item x="33"/>
        <item x="196"/>
        <item x="256"/>
        <item x="160"/>
        <item x="92"/>
        <item x="107"/>
        <item x="179"/>
        <item x="47"/>
        <item x="319"/>
        <item x="0"/>
        <item x="195"/>
        <item x="178"/>
        <item x="309"/>
        <item x="306"/>
        <item x="123"/>
        <item x="46"/>
        <item x="292"/>
        <item x="5"/>
        <item x="231"/>
        <item x="88"/>
        <item x="168"/>
        <item x="31"/>
        <item x="40"/>
        <item x="13"/>
        <item x="36"/>
        <item x="276"/>
        <item x="277"/>
        <item x="271"/>
        <item x="318"/>
        <item x="52"/>
        <item x="70"/>
        <item x="145"/>
        <item x="136"/>
        <item x="39"/>
        <item x="118"/>
        <item x="83"/>
        <item x="257"/>
        <item x="69"/>
        <item x="132"/>
        <item x="188"/>
        <item x="229"/>
        <item x="38"/>
        <item x="64"/>
        <item x="85"/>
        <item x="6"/>
        <item x="190"/>
        <item x="174"/>
        <item x="23"/>
        <item x="302"/>
        <item x="20"/>
        <item x="281"/>
        <item x="282"/>
        <item x="32"/>
        <item x="28"/>
        <item x="29"/>
        <item x="102"/>
        <item x="124"/>
        <item x="98"/>
        <item x="77"/>
        <item x="166"/>
        <item x="74"/>
        <item x="246"/>
        <item x="252"/>
        <item x="80"/>
        <item x="173"/>
        <item x="274"/>
        <item x="204"/>
        <item x="202"/>
        <item x="269"/>
        <item x="198"/>
        <item x="218"/>
        <item x="109"/>
        <item x="233"/>
        <item x="189"/>
        <item x="212"/>
        <item x="298"/>
        <item x="315"/>
        <item x="266"/>
        <item x="75"/>
        <item x="146"/>
        <item x="99"/>
        <item x="219"/>
        <item x="321"/>
        <item x="114"/>
        <item x="45"/>
        <item x="248"/>
        <item x="142"/>
        <item x="291"/>
        <item x="159"/>
        <item x="48"/>
        <item x="143"/>
        <item x="82"/>
        <item x="272"/>
        <item x="296"/>
        <item x="3"/>
        <item x="247"/>
        <item x="324"/>
        <item x="211"/>
        <item x="73"/>
        <item x="242"/>
        <item x="322"/>
        <item x="205"/>
        <item x="197"/>
        <item x="68"/>
        <item x="66"/>
        <item x="141"/>
        <item x="149"/>
        <item x="128"/>
        <item x="260"/>
        <item x="206"/>
        <item x="76"/>
        <item x="236"/>
        <item x="199"/>
        <item x="250"/>
        <item x="27"/>
        <item x="148"/>
        <item x="131"/>
        <item x="9"/>
        <item x="21"/>
        <item x="176"/>
        <item x="106"/>
        <item x="78"/>
        <item x="181"/>
        <item x="238"/>
        <item x="129"/>
        <item m="1" x="333"/>
        <item x="230"/>
        <item x="61"/>
        <item x="184"/>
        <item x="293"/>
        <item x="210"/>
        <item x="62"/>
        <item x="153"/>
        <item x="126"/>
        <item x="264"/>
        <item x="165"/>
        <item x="171"/>
        <item x="12"/>
        <item x="53"/>
        <item x="95"/>
        <item x="133"/>
        <item x="268"/>
        <item x="209"/>
        <item x="30"/>
        <item x="11"/>
        <item x="87"/>
        <item x="100"/>
        <item x="314"/>
        <item x="37"/>
        <item x="297"/>
        <item x="225"/>
        <item x="294"/>
        <item x="41"/>
        <item m="1" x="332"/>
        <item x="125"/>
        <item x="134"/>
        <item x="26"/>
        <item x="234"/>
        <item x="93"/>
        <item x="139"/>
        <item x="44"/>
        <item x="310"/>
        <item x="156"/>
        <item x="327"/>
        <item x="328"/>
        <item x="329"/>
        <item x="3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2"/>
        <item x="0"/>
        <item x="5"/>
        <item x="4"/>
        <item x="9"/>
        <item m="1" x="12"/>
        <item x="1"/>
        <item x="7"/>
        <item x="3"/>
        <item x="8"/>
        <item m="1"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x="24"/>
        <item x="14"/>
        <item x="18"/>
        <item x="0"/>
        <item x="29"/>
        <item x="28"/>
        <item x="4"/>
        <item x="30"/>
        <item m="1" x="32"/>
        <item x="2"/>
        <item x="11"/>
        <item x="8"/>
        <item x="5"/>
        <item x="6"/>
        <item x="10"/>
        <item x="25"/>
        <item x="1"/>
        <item m="1" x="33"/>
        <item x="3"/>
        <item x="9"/>
        <item x="27"/>
        <item x="7"/>
        <item x="20"/>
        <item x="21"/>
        <item x="19"/>
        <item x="17"/>
        <item x="16"/>
        <item x="12"/>
        <item x="15"/>
        <item x="13"/>
        <item x="26"/>
        <item x="23"/>
        <item x="22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4">
        <item x="16"/>
        <item x="56"/>
        <item x="17"/>
        <item x="18"/>
        <item x="32"/>
        <item x="43"/>
        <item x="45"/>
        <item x="44"/>
        <item x="57"/>
        <item x="19"/>
        <item x="20"/>
        <item x="46"/>
        <item x="21"/>
        <item x="33"/>
        <item x="22"/>
        <item x="58"/>
        <item x="59"/>
        <item x="0"/>
        <item x="23"/>
        <item x="1"/>
        <item x="5"/>
        <item x="60"/>
        <item x="34"/>
        <item x="6"/>
        <item x="13"/>
        <item x="35"/>
        <item x="36"/>
        <item x="61"/>
        <item x="7"/>
        <item x="37"/>
        <item x="52"/>
        <item x="67"/>
        <item x="38"/>
        <item x="53"/>
        <item m="1" x="72"/>
        <item x="54"/>
        <item x="39"/>
        <item x="14"/>
        <item m="1" x="71"/>
        <item x="62"/>
        <item x="63"/>
        <item x="11"/>
        <item x="47"/>
        <item x="2"/>
        <item x="24"/>
        <item x="9"/>
        <item x="15"/>
        <item x="48"/>
        <item x="4"/>
        <item m="1" x="70"/>
        <item x="50"/>
        <item x="25"/>
        <item x="8"/>
        <item x="40"/>
        <item x="26"/>
        <item x="64"/>
        <item x="41"/>
        <item x="65"/>
        <item x="27"/>
        <item x="42"/>
        <item x="28"/>
        <item x="49"/>
        <item x="66"/>
        <item x="29"/>
        <item x="55"/>
        <item m="1" x="73"/>
        <item x="3"/>
        <item x="12"/>
        <item x="51"/>
        <item x="30"/>
        <item x="10"/>
        <item x="31"/>
        <item x="69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148">
        <item m="1" x="147"/>
        <item x="1"/>
        <item x="2"/>
        <item x="7"/>
        <item x="5"/>
        <item x="6"/>
        <item x="8"/>
        <item x="9"/>
        <item x="10"/>
        <item x="12"/>
        <item x="16"/>
        <item x="14"/>
        <item x="15"/>
        <item x="11"/>
        <item x="13"/>
        <item x="18"/>
        <item x="20"/>
        <item x="25"/>
        <item x="120"/>
        <item x="119"/>
        <item x="24"/>
        <item x="27"/>
        <item x="29"/>
        <item x="30"/>
        <item x="32"/>
        <item x="33"/>
        <item x="35"/>
        <item x="37"/>
        <item x="38"/>
        <item x="39"/>
        <item x="40"/>
        <item x="26"/>
        <item x="28"/>
        <item x="34"/>
        <item x="36"/>
        <item x="43"/>
        <item x="44"/>
        <item x="48"/>
        <item x="49"/>
        <item x="50"/>
        <item x="51"/>
        <item x="56"/>
        <item x="58"/>
        <item x="59"/>
        <item x="47"/>
        <item x="0"/>
        <item x="61"/>
        <item x="62"/>
        <item x="63"/>
        <item x="76"/>
        <item x="65"/>
        <item x="66"/>
        <item x="68"/>
        <item x="69"/>
        <item x="77"/>
        <item x="71"/>
        <item x="70"/>
        <item x="54"/>
        <item x="46"/>
        <item x="74"/>
        <item x="67"/>
        <item x="45"/>
        <item x="73"/>
        <item x="123"/>
        <item x="122"/>
        <item x="21"/>
        <item x="22"/>
        <item x="23"/>
        <item x="78"/>
        <item x="75"/>
        <item x="72"/>
        <item x="60"/>
        <item x="53"/>
        <item x="17"/>
        <item x="52"/>
        <item x="55"/>
        <item x="57"/>
        <item x="143"/>
        <item x="142"/>
        <item x="114"/>
        <item x="116"/>
        <item x="117"/>
        <item x="118"/>
        <item x="115"/>
        <item x="121"/>
        <item x="3"/>
        <item x="41"/>
        <item x="42"/>
        <item x="4"/>
        <item x="64"/>
        <item x="134"/>
        <item x="144"/>
        <item x="128"/>
        <item x="141"/>
        <item x="94"/>
        <item x="92"/>
        <item x="83"/>
        <item x="82"/>
        <item x="80"/>
        <item x="85"/>
        <item x="93"/>
        <item x="79"/>
        <item x="95"/>
        <item x="90"/>
        <item x="87"/>
        <item x="89"/>
        <item x="84"/>
        <item x="86"/>
        <item x="88"/>
        <item x="81"/>
        <item x="19"/>
        <item x="131"/>
        <item x="129"/>
        <item x="126"/>
        <item x="127"/>
        <item x="124"/>
        <item x="140"/>
        <item x="139"/>
        <item x="135"/>
        <item x="136"/>
        <item x="138"/>
        <item x="137"/>
        <item x="133"/>
        <item x="132"/>
        <item x="125"/>
        <item x="91"/>
        <item x="130"/>
        <item x="112"/>
        <item x="113"/>
        <item x="107"/>
        <item x="99"/>
        <item x="97"/>
        <item x="111"/>
        <item x="110"/>
        <item x="109"/>
        <item x="105"/>
        <item x="104"/>
        <item x="103"/>
        <item x="96"/>
        <item x="98"/>
        <item x="100"/>
        <item x="101"/>
        <item x="102"/>
        <item x="106"/>
        <item x="108"/>
        <item m="1" x="146"/>
        <item m="1" x="145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0"/>
        <item m="1"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27"/>
    <field x="16"/>
    <field x="22"/>
    <field x="12"/>
    <field x="13"/>
    <field x="14"/>
    <field x="3"/>
    <field x="4"/>
  </rowFields>
  <rowItems count="272">
    <i>
      <x/>
      <x/>
      <x v="1"/>
      <x v="2"/>
      <x v="3"/>
      <x v="19"/>
      <x v="262"/>
      <x v="44"/>
    </i>
    <i r="5">
      <x v="67"/>
      <x v="112"/>
      <x v="109"/>
    </i>
    <i r="2">
      <x v="2"/>
      <x v="2"/>
      <x v="3"/>
      <x v="19"/>
      <x v="86"/>
      <x v="75"/>
    </i>
    <i r="6">
      <x v="247"/>
      <x v="261"/>
    </i>
    <i r="2">
      <x v="31"/>
      <x v="2"/>
      <x v="3"/>
      <x v="23"/>
      <x v="254"/>
      <x v="251"/>
    </i>
    <i r="5">
      <x v="28"/>
      <x v="195"/>
      <x v="182"/>
    </i>
    <i r="2">
      <x v="32"/>
      <x v="2"/>
      <x v="3"/>
      <x v="28"/>
      <x v="153"/>
      <x v="147"/>
    </i>
    <i r="6">
      <x v="289"/>
      <x v="256"/>
    </i>
    <i r="2">
      <x v="33"/>
      <x v="2"/>
      <x v="3"/>
      <x v="28"/>
      <x v="155"/>
      <x v="154"/>
    </i>
    <i r="6">
      <x v="229"/>
      <x v="204"/>
    </i>
    <i r="2">
      <x v="34"/>
      <x v="2"/>
      <x v="3"/>
      <x v="28"/>
      <x v="156"/>
      <x v="155"/>
    </i>
    <i r="6">
      <x v="307"/>
      <x v="294"/>
    </i>
    <i r="2">
      <x v="44"/>
      <x v="2"/>
      <x v="3"/>
      <x v="67"/>
      <x v="255"/>
      <x v="258"/>
    </i>
    <i r="6">
      <x v="293"/>
      <x v="276"/>
    </i>
    <i r="2">
      <x v="45"/>
      <x v="2"/>
      <x v="3"/>
      <x v="17"/>
      <x v="188"/>
      <x v="176"/>
    </i>
    <i r="5">
      <x v="41"/>
      <x v="251"/>
      <x v="245"/>
    </i>
    <i r="2">
      <x v="60"/>
      <x v="2"/>
      <x v="3"/>
      <x v="43"/>
      <x v="115"/>
      <x v="113"/>
    </i>
    <i r="5">
      <x v="46"/>
      <x v="193"/>
      <x v="250"/>
    </i>
    <i r="2">
      <x v="61"/>
      <x v="2"/>
      <x v="3"/>
      <x v="67"/>
      <x v="207"/>
      <x v="274"/>
    </i>
    <i r="4">
      <x v="6"/>
      <x v="45"/>
      <x v="147"/>
      <x v="230"/>
    </i>
    <i r="2">
      <x v="62"/>
      <x v="2"/>
      <x v="3"/>
      <x v="67"/>
      <x v="113"/>
      <x v="146"/>
    </i>
    <i r="6">
      <x v="249"/>
      <x v="233"/>
    </i>
    <i r="2">
      <x v="68"/>
      <x v="2"/>
      <x v="16"/>
      <x v="70"/>
      <x v="174"/>
      <x v="207"/>
    </i>
    <i r="2">
      <x v="69"/>
      <x v="2"/>
      <x v="3"/>
      <x v="67"/>
      <x v="12"/>
      <x v="159"/>
    </i>
    <i r="6">
      <x v="250"/>
      <x v="234"/>
    </i>
    <i r="2">
      <x v="82"/>
      <x v="3"/>
      <x v="22"/>
      <x v="11"/>
      <x v="267"/>
      <x v="241"/>
    </i>
    <i r="4">
      <x v="24"/>
      <x v="47"/>
      <x v="177"/>
      <x v="122"/>
    </i>
    <i r="2">
      <x v="83"/>
      <x v="3"/>
      <x v="2"/>
      <x v="7"/>
      <x v="137"/>
      <x v="134"/>
    </i>
    <i r="4">
      <x v="24"/>
      <x v="47"/>
      <x v="228"/>
      <x v="120"/>
    </i>
    <i r="2">
      <x v="84"/>
      <x v="3"/>
      <x v="23"/>
      <x v="42"/>
      <x v="133"/>
      <x v="248"/>
    </i>
    <i r="4">
      <x v="24"/>
      <x v="61"/>
      <x v="13"/>
      <x v="12"/>
    </i>
    <i r="2">
      <x v="85"/>
      <x v="2"/>
      <x v="9"/>
      <x v="66"/>
      <x v="110"/>
      <x v="211"/>
    </i>
    <i r="4">
      <x v="16"/>
      <x v="43"/>
      <x v="309"/>
      <x v="162"/>
    </i>
    <i r="2">
      <x v="86"/>
      <x v="2"/>
      <x v="6"/>
      <x v="45"/>
      <x v="70"/>
      <x v="265"/>
    </i>
    <i r="4">
      <x v="16"/>
      <x v="37"/>
      <x v="197"/>
      <x v="238"/>
    </i>
    <i r="2">
      <x v="87"/>
      <x v="2"/>
      <x v="3"/>
      <x v="67"/>
      <x v="157"/>
      <x v="156"/>
    </i>
    <i r="4">
      <x v="6"/>
      <x v="70"/>
      <x v="281"/>
      <x v="227"/>
    </i>
    <i r="2">
      <x v="88"/>
      <x v="2"/>
      <x v="16"/>
      <x v="37"/>
      <x v="130"/>
      <x v="237"/>
    </i>
    <i r="5">
      <x v="43"/>
      <x v="185"/>
      <x v="184"/>
    </i>
    <i r="2">
      <x v="89"/>
      <x v="2"/>
      <x v="3"/>
      <x v="24"/>
      <x v="118"/>
      <x v="116"/>
    </i>
    <i r="4">
      <x v="4"/>
      <x v="55"/>
      <x v="65"/>
      <x v="64"/>
    </i>
    <i r="2">
      <x v="94"/>
      <x v="1"/>
      <x v="12"/>
      <x v="58"/>
      <x v="30"/>
      <x v="16"/>
    </i>
    <i r="5">
      <x v="60"/>
      <x v="311"/>
      <x v="302"/>
    </i>
    <i r="2">
      <x v="95"/>
      <x v="1"/>
      <x v="12"/>
      <x v="60"/>
      <x v="168"/>
      <x v="118"/>
    </i>
    <i r="4">
      <x v="14"/>
      <x v="51"/>
      <x v="272"/>
      <x v="255"/>
    </i>
    <i r="2">
      <x v="96"/>
      <x v="1"/>
      <x v="12"/>
      <x v="2"/>
      <x v="270"/>
      <x v="257"/>
    </i>
    <i r="4">
      <x v="21"/>
      <x v="14"/>
      <x v="79"/>
      <x v="58"/>
    </i>
    <i r="2">
      <x v="97"/>
      <x v="1"/>
      <x v="12"/>
      <x v="2"/>
      <x v="279"/>
      <x v="253"/>
    </i>
    <i r="6">
      <x v="308"/>
      <x v="272"/>
    </i>
    <i r="2">
      <x v="98"/>
      <x v="1"/>
      <x v="12"/>
      <x v="2"/>
      <x v="74"/>
      <x v="68"/>
    </i>
    <i r="6">
      <x v="95"/>
      <x v="79"/>
    </i>
    <i r="2">
      <x v="99"/>
      <x v="1"/>
      <x v="13"/>
      <x v="3"/>
      <x v="202"/>
      <x v="246"/>
    </i>
    <i r="6">
      <x v="205"/>
      <x v="198"/>
    </i>
    <i r="2">
      <x v="100"/>
      <x v="1"/>
      <x v="13"/>
      <x v="73"/>
      <x v="329"/>
      <x v="331"/>
    </i>
    <i r="4">
      <x v="14"/>
      <x v="54"/>
      <x v="182"/>
      <x v="170"/>
    </i>
    <i r="2">
      <x v="101"/>
      <x v="1"/>
      <x v="12"/>
      <x/>
      <x v="129"/>
      <x v="119"/>
    </i>
    <i r="3">
      <x v="2"/>
      <x v="3"/>
      <x v="68"/>
      <x v="196"/>
      <x v="185"/>
    </i>
    <i r="2">
      <x v="102"/>
      <x v="1"/>
      <x v="12"/>
      <x v="60"/>
      <x v="35"/>
      <x v="38"/>
    </i>
    <i r="5">
      <x v="69"/>
      <x v="19"/>
      <x v="11"/>
    </i>
    <i r="2">
      <x v="103"/>
      <x v="1"/>
      <x v="12"/>
      <x v="44"/>
      <x v="172"/>
      <x v="145"/>
    </i>
    <i r="5">
      <x v="58"/>
      <x v="310"/>
      <x v="150"/>
    </i>
    <i r="2">
      <x v="104"/>
      <x v="1"/>
      <x v="12"/>
      <x v="10"/>
      <x v="198"/>
      <x v="273"/>
    </i>
    <i r="3">
      <x v="8"/>
      <x v="20"/>
      <x v="1"/>
      <x v="273"/>
      <x v="228"/>
    </i>
    <i r="2">
      <x v="116"/>
      <x v="5"/>
      <x v="7"/>
      <x v="62"/>
      <x v="20"/>
      <x v="65"/>
    </i>
    <i r="6">
      <x v="268"/>
      <x v="301"/>
    </i>
    <i r="2">
      <x v="117"/>
      <x v="2"/>
      <x v="4"/>
      <x v="40"/>
      <x v="134"/>
      <x v="121"/>
    </i>
    <i r="6">
      <x v="288"/>
      <x v="275"/>
    </i>
    <i r="2">
      <x v="118"/>
      <x v="2"/>
      <x v="4"/>
      <x v="16"/>
      <x v="321"/>
      <x v="67"/>
    </i>
    <i r="5">
      <x v="39"/>
      <x v="45"/>
      <x v="34"/>
    </i>
    <i r="2">
      <x v="119"/>
      <x v="2"/>
      <x v="4"/>
      <x v="21"/>
      <x v="302"/>
      <x v="229"/>
    </i>
    <i r="5">
      <x v="39"/>
      <x v="80"/>
      <x v="169"/>
    </i>
    <i r="2">
      <x v="122"/>
      <x v="10"/>
      <x v="5"/>
      <x v="8"/>
      <x v="135"/>
      <x v="125"/>
    </i>
    <i r="5">
      <x v="57"/>
      <x v="131"/>
      <x v="124"/>
    </i>
    <i r="2">
      <x v="123"/>
      <x v="8"/>
      <x v="20"/>
      <x v="1"/>
      <x v="180"/>
      <x v="252"/>
    </i>
    <i r="6">
      <x v="284"/>
      <x v="262"/>
    </i>
    <i r="2">
      <x v="124"/>
      <x/>
      <x/>
      <x v="33"/>
      <x v="2"/>
      <x v="112"/>
    </i>
    <i r="3">
      <x v="4"/>
      <x v="31"/>
      <x v="30"/>
      <x v="146"/>
      <x v="239"/>
    </i>
    <i r="2">
      <x v="125"/>
      <x v="4"/>
      <x v="32"/>
      <x v="29"/>
      <x v="176"/>
      <x v="149"/>
    </i>
    <i r="3">
      <x v="9"/>
      <x v="19"/>
      <x v="45"/>
      <x v="326"/>
      <x v="329"/>
    </i>
    <i r="2">
      <x v="126"/>
      <x v="4"/>
      <x v="26"/>
      <x v="13"/>
      <x v="82"/>
      <x v="69"/>
    </i>
    <i r="5">
      <x v="22"/>
      <x v="171"/>
      <x v="35"/>
    </i>
    <i r="2">
      <x v="127"/>
      <x v="4"/>
      <x v="26"/>
      <x v="22"/>
      <x v="269"/>
      <x v="266"/>
    </i>
    <i r="4">
      <x v="27"/>
      <x v="59"/>
      <x v="258"/>
      <x v="236"/>
    </i>
    <i r="2">
      <x v="128"/>
      <x v="2"/>
      <x v="25"/>
      <x v="5"/>
      <x v="29"/>
      <x v="23"/>
    </i>
    <i r="3">
      <x v="4"/>
      <x v="26"/>
      <x v="36"/>
      <x v="274"/>
      <x v="279"/>
    </i>
    <i r="2">
      <x v="129"/>
      <x v="4"/>
      <x v="27"/>
      <x v="36"/>
      <x v="301"/>
      <x v="240"/>
    </i>
    <i r="4">
      <x v="29"/>
      <x v="53"/>
      <x v="178"/>
      <x v="153"/>
    </i>
    <i r="2">
      <x v="130"/>
      <x v="4"/>
      <x v="27"/>
      <x v="22"/>
      <x v="67"/>
      <x v="213"/>
    </i>
    <i r="4">
      <x v="29"/>
      <x v="25"/>
      <x v="145"/>
      <x v="173"/>
    </i>
    <i r="2">
      <x v="131"/>
      <x v="4"/>
      <x v="1"/>
      <x v="22"/>
      <x v="285"/>
      <x v="231"/>
    </i>
    <i r="4">
      <x v="27"/>
      <x v="13"/>
      <x v="69"/>
      <x v="143"/>
    </i>
    <i r="1">
      <x v="1"/>
      <x v="43"/>
      <x v="2"/>
      <x v="3"/>
      <x v="67"/>
      <x v="252"/>
      <x v="247"/>
    </i>
    <i r="2">
      <x v="105"/>
      <x v="1"/>
      <x v="12"/>
      <x v="18"/>
      <x v="204"/>
      <x v="299"/>
    </i>
    <i r="2">
      <x v="120"/>
      <x v="2"/>
      <x v="4"/>
      <x v="39"/>
      <x v="201"/>
      <x v="203"/>
    </i>
    <i r="2">
      <x v="121"/>
      <x v="2"/>
      <x v="4"/>
      <x v="39"/>
      <x v="283"/>
      <x v="71"/>
    </i>
    <i>
      <x v="3"/>
      <x/>
      <x v="3"/>
      <x v="2"/>
      <x v="3"/>
      <x v="17"/>
      <x v="141"/>
      <x v="135"/>
    </i>
    <i r="6">
      <x v="241"/>
      <x v="311"/>
    </i>
    <i r="2">
      <x v="4"/>
      <x v="2"/>
      <x v="3"/>
      <x v="17"/>
      <x v="21"/>
      <x v="46"/>
    </i>
    <i r="6">
      <x v="90"/>
      <x v="85"/>
    </i>
    <i r="2">
      <x v="5"/>
      <x v="2"/>
      <x v="3"/>
      <x v="17"/>
      <x v="46"/>
      <x v="304"/>
    </i>
    <i r="6">
      <x v="297"/>
      <x v="284"/>
    </i>
    <i r="2">
      <x v="6"/>
      <x v="2"/>
      <x v="3"/>
      <x v="17"/>
      <x v="18"/>
      <x v="14"/>
    </i>
    <i r="6">
      <x v="211"/>
      <x v="190"/>
    </i>
    <i r="2">
      <x v="7"/>
      <x v="2"/>
      <x v="3"/>
      <x v="17"/>
      <x v="128"/>
      <x v="163"/>
    </i>
    <i r="6">
      <x v="223"/>
      <x v="140"/>
    </i>
    <i r="2">
      <x v="8"/>
      <x v="2"/>
      <x v="3"/>
      <x v="17"/>
      <x v="94"/>
      <x v="88"/>
    </i>
    <i r="5">
      <x v="19"/>
      <x v="158"/>
      <x v="157"/>
    </i>
    <i r="2">
      <x v="9"/>
      <x v="2"/>
      <x v="3"/>
      <x v="19"/>
      <x v="236"/>
      <x v="216"/>
    </i>
    <i r="6">
      <x v="325"/>
      <x v="323"/>
    </i>
    <i r="2">
      <x v="10"/>
      <x v="2"/>
      <x v="3"/>
      <x v="19"/>
      <x v="93"/>
      <x v="89"/>
    </i>
    <i r="6">
      <x v="240"/>
      <x v="220"/>
    </i>
    <i r="2">
      <x v="11"/>
      <x v="2"/>
      <x v="3"/>
      <x v="19"/>
      <x v="127"/>
      <x v="123"/>
    </i>
    <i r="6">
      <x v="239"/>
      <x v="219"/>
    </i>
    <i r="2">
      <x v="12"/>
      <x v="2"/>
      <x v="3"/>
      <x v="19"/>
      <x v="234"/>
      <x v="214"/>
    </i>
    <i r="6">
      <x v="314"/>
      <x v="310"/>
    </i>
    <i r="2">
      <x v="13"/>
      <x v="2"/>
      <x v="3"/>
      <x v="19"/>
      <x v="104"/>
      <x v="99"/>
    </i>
    <i r="6">
      <x v="116"/>
      <x v="114"/>
    </i>
    <i r="2">
      <x v="14"/>
      <x v="2"/>
      <x v="3"/>
      <x v="19"/>
      <x v="296"/>
      <x v="281"/>
    </i>
    <i r="6">
      <x v="298"/>
      <x v="285"/>
    </i>
    <i r="2">
      <x v="15"/>
      <x v="2"/>
      <x v="3"/>
      <x v="19"/>
      <x v="209"/>
      <x v="188"/>
    </i>
    <i r="5">
      <x v="48"/>
      <x v="31"/>
      <x v="25"/>
    </i>
    <i r="2">
      <x v="16"/>
      <x v="2"/>
      <x v="3"/>
      <x v="48"/>
      <x v="107"/>
      <x v="104"/>
    </i>
    <i r="6">
      <x v="212"/>
      <x v="191"/>
    </i>
    <i r="2">
      <x v="17"/>
      <x v="2"/>
      <x v="3"/>
      <x v="23"/>
      <x v="32"/>
      <x v="26"/>
    </i>
    <i r="5">
      <x v="28"/>
      <x v="54"/>
      <x v="52"/>
    </i>
    <i r="2">
      <x v="18"/>
      <x v="2"/>
      <x v="3"/>
      <x v="28"/>
      <x v="26"/>
      <x v="20"/>
    </i>
    <i r="6">
      <x v="36"/>
      <x v="31"/>
    </i>
    <i r="2">
      <x v="19"/>
      <x v="2"/>
      <x v="3"/>
      <x v="28"/>
      <x v="39"/>
      <x v="36"/>
    </i>
    <i r="6">
      <x v="40"/>
      <x v="37"/>
    </i>
    <i r="2">
      <x v="20"/>
      <x v="2"/>
      <x v="3"/>
      <x v="23"/>
      <x v="154"/>
      <x v="152"/>
    </i>
    <i r="6">
      <x v="291"/>
      <x v="327"/>
    </i>
    <i r="2">
      <x v="21"/>
      <x v="2"/>
      <x v="3"/>
      <x v="28"/>
      <x v="83"/>
      <x v="70"/>
    </i>
    <i r="6">
      <x v="169"/>
      <x v="174"/>
    </i>
    <i r="2">
      <x v="22"/>
      <x v="2"/>
      <x v="3"/>
      <x v="28"/>
      <x v="52"/>
      <x v="106"/>
    </i>
    <i r="6">
      <x v="216"/>
      <x v="196"/>
    </i>
    <i r="2">
      <x v="23"/>
      <x v="2"/>
      <x v="3"/>
      <x v="28"/>
      <x v="160"/>
      <x v="130"/>
    </i>
    <i r="6">
      <x v="312"/>
      <x v="305"/>
    </i>
    <i r="2">
      <x v="24"/>
      <x v="2"/>
      <x v="3"/>
      <x v="28"/>
      <x v="98"/>
      <x v="91"/>
    </i>
    <i r="2">
      <x v="25"/>
      <x v="2"/>
      <x v="3"/>
      <x v="28"/>
      <x v="99"/>
      <x v="92"/>
    </i>
    <i r="6">
      <x v="139"/>
      <x v="131"/>
    </i>
    <i r="2">
      <x v="26"/>
      <x v="2"/>
      <x v="3"/>
      <x v="28"/>
      <x v="56"/>
      <x v="54"/>
    </i>
    <i r="6">
      <x v="304"/>
      <x v="298"/>
    </i>
    <i r="2">
      <x v="27"/>
      <x v="2"/>
      <x v="3"/>
      <x v="28"/>
      <x v="108"/>
      <x v="102"/>
    </i>
    <i r="6">
      <x v="232"/>
      <x v="209"/>
    </i>
    <i r="2">
      <x v="28"/>
      <x v="2"/>
      <x v="3"/>
      <x v="28"/>
      <x v="142"/>
      <x v="136"/>
    </i>
    <i r="6">
      <x v="292"/>
      <x v="271"/>
    </i>
    <i r="2">
      <x v="29"/>
      <x v="2"/>
      <x v="3"/>
      <x v="28"/>
      <x v="217"/>
      <x v="197"/>
    </i>
    <i r="6">
      <x v="265"/>
      <x v="270"/>
    </i>
    <i r="2">
      <x v="30"/>
      <x v="2"/>
      <x v="3"/>
      <x v="28"/>
      <x v="244"/>
      <x v="39"/>
    </i>
    <i r="5">
      <x v="45"/>
      <x v="106"/>
      <x v="19"/>
    </i>
    <i r="2">
      <x v="35"/>
      <x v="2"/>
      <x v="3"/>
      <x v="41"/>
      <x v="295"/>
      <x v="277"/>
    </i>
    <i r="5">
      <x v="45"/>
      <x v="91"/>
      <x v="86"/>
    </i>
    <i r="2">
      <x v="36"/>
      <x v="2"/>
      <x v="3"/>
      <x v="41"/>
      <x v="6"/>
      <x v="288"/>
    </i>
    <i r="6">
      <x v="246"/>
      <x v="225"/>
    </i>
    <i r="2">
      <x v="37"/>
      <x v="2"/>
      <x v="3"/>
      <x v="67"/>
      <x v="27"/>
      <x v="21"/>
    </i>
    <i r="6">
      <x v="221"/>
      <x v="202"/>
    </i>
    <i r="2">
      <x v="38"/>
      <x v="2"/>
      <x v="3"/>
      <x v="67"/>
      <x v="11"/>
      <x v="10"/>
    </i>
    <i r="6">
      <x v="233"/>
      <x v="210"/>
    </i>
    <i r="2">
      <x v="39"/>
      <x v="2"/>
      <x v="3"/>
      <x v="67"/>
      <x v="194"/>
      <x v="186"/>
    </i>
    <i r="6">
      <x v="315"/>
      <x v="312"/>
    </i>
    <i r="2">
      <x v="40"/>
      <x v="2"/>
      <x v="3"/>
      <x v="67"/>
      <x v="140"/>
      <x v="133"/>
    </i>
    <i r="6">
      <x v="192"/>
      <x v="181"/>
    </i>
    <i r="2">
      <x v="41"/>
      <x v="2"/>
      <x v="3"/>
      <x v="67"/>
      <x v="117"/>
      <x v="115"/>
    </i>
    <i r="6">
      <x v="313"/>
      <x v="306"/>
    </i>
    <i r="2">
      <x v="42"/>
      <x v="2"/>
      <x v="3"/>
      <x v="67"/>
      <x v="245"/>
      <x v="224"/>
    </i>
    <i r="6">
      <x v="316"/>
      <x v="313"/>
    </i>
    <i r="2">
      <x v="46"/>
      <x v="2"/>
      <x v="3"/>
      <x v="24"/>
      <x v="164"/>
      <x v="164"/>
    </i>
    <i r="6">
      <x v="242"/>
      <x v="222"/>
    </i>
    <i r="2">
      <x v="47"/>
      <x v="2"/>
      <x v="3"/>
      <x v="24"/>
      <x v="4"/>
      <x v="3"/>
    </i>
    <i r="6">
      <x v="60"/>
      <x v="59"/>
    </i>
    <i r="2">
      <x v="48"/>
      <x v="2"/>
      <x v="3"/>
      <x v="24"/>
      <x v="138"/>
      <x v="172"/>
    </i>
    <i r="6">
      <x v="299"/>
      <x v="287"/>
    </i>
    <i r="2">
      <x v="50"/>
      <x v="2"/>
      <x v="3"/>
      <x v="46"/>
      <x v="25"/>
      <x v="22"/>
    </i>
    <i r="6">
      <x v="48"/>
      <x v="43"/>
    </i>
    <i r="2">
      <x v="51"/>
      <x v="2"/>
      <x v="3"/>
      <x v="46"/>
      <x v="53"/>
      <x v="51"/>
    </i>
    <i r="6">
      <x v="102"/>
      <x v="96"/>
    </i>
    <i r="2">
      <x v="52"/>
      <x v="2"/>
      <x v="3"/>
      <x v="46"/>
      <x v="49"/>
      <x v="45"/>
    </i>
    <i r="6">
      <x v="51"/>
      <x v="49"/>
    </i>
    <i r="2">
      <x v="53"/>
      <x v="2"/>
      <x v="3"/>
      <x v="46"/>
      <x v="88"/>
      <x v="78"/>
    </i>
    <i r="6">
      <x v="222"/>
      <x v="201"/>
    </i>
    <i r="2">
      <x v="54"/>
      <x v="2"/>
      <x v="3"/>
      <x v="28"/>
      <x v="328"/>
      <x v="330"/>
    </i>
    <i r="5">
      <x v="37"/>
      <x v="111"/>
      <x v="307"/>
    </i>
    <i r="2">
      <x v="55"/>
      <x v="2"/>
      <x v="3"/>
      <x v="67"/>
      <x v="24"/>
      <x v="17"/>
    </i>
    <i r="6">
      <x v="161"/>
      <x v="90"/>
    </i>
    <i r="2">
      <x v="56"/>
      <x v="2"/>
      <x v="3"/>
      <x v="37"/>
      <x v="323"/>
      <x v="322"/>
    </i>
    <i r="5">
      <x v="46"/>
      <x v="62"/>
      <x v="61"/>
    </i>
    <i r="2">
      <x v="57"/>
      <x v="2"/>
      <x v="3"/>
      <x v="67"/>
      <x v="243"/>
      <x v="223"/>
    </i>
    <i r="6">
      <x v="261"/>
      <x v="325"/>
    </i>
    <i r="2">
      <x v="58"/>
      <x v="2"/>
      <x v="3"/>
      <x v="67"/>
      <x v="148"/>
      <x v="138"/>
    </i>
    <i r="6">
      <x v="322"/>
      <x v="321"/>
    </i>
    <i r="2">
      <x v="59"/>
      <x v="2"/>
      <x v="3"/>
      <x v="67"/>
      <x v="218"/>
      <x v="291"/>
    </i>
    <i r="6">
      <x v="305"/>
      <x v="300"/>
    </i>
    <i r="2">
      <x v="63"/>
      <x v="2"/>
      <x v="3"/>
      <x v="43"/>
      <x v="37"/>
      <x v="32"/>
    </i>
    <i r="6">
      <x v="101"/>
      <x v="95"/>
    </i>
    <i r="2">
      <x v="64"/>
      <x v="2"/>
      <x v="3"/>
      <x v="43"/>
      <x v="152"/>
      <x v="139"/>
    </i>
    <i r="6">
      <x v="319"/>
      <x v="317"/>
    </i>
    <i r="2">
      <x v="65"/>
      <x v="2"/>
      <x v="3"/>
      <x v="20"/>
      <x v="317"/>
      <x v="315"/>
    </i>
    <i r="5">
      <x v="43"/>
      <x v="3"/>
      <x v="1"/>
    </i>
    <i r="2">
      <x v="66"/>
      <x v="2"/>
      <x v="3"/>
      <x v="20"/>
      <x v="219"/>
      <x v="200"/>
    </i>
    <i r="6">
      <x v="231"/>
      <x v="208"/>
    </i>
    <i r="2">
      <x v="67"/>
      <x v="2"/>
      <x v="3"/>
      <x v="20"/>
      <x v="210"/>
      <x v="189"/>
    </i>
    <i r="6">
      <x v="306"/>
      <x v="319"/>
    </i>
    <i r="2">
      <x v="68"/>
      <x v="2"/>
      <x v="16"/>
      <x v="70"/>
      <x v="151"/>
      <x v="48"/>
    </i>
    <i r="2">
      <x v="78"/>
      <x v="2"/>
      <x v="3"/>
      <x v="20"/>
      <x v="61"/>
      <x v="194"/>
    </i>
    <i r="5">
      <x v="28"/>
      <x v="215"/>
      <x v="195"/>
    </i>
    <i r="2">
      <x v="79"/>
      <x v="2"/>
      <x v="3"/>
      <x v="67"/>
      <x v="264"/>
      <x v="268"/>
    </i>
    <i r="6">
      <x v="290"/>
      <x v="151"/>
    </i>
    <i r="2">
      <x v="80"/>
      <x v="3"/>
      <x v="2"/>
      <x v="7"/>
      <x v="203"/>
      <x v="309"/>
    </i>
    <i r="6">
      <x v="208"/>
      <x v="132"/>
    </i>
    <i r="2">
      <x v="81"/>
      <x v="3"/>
      <x v="2"/>
      <x v="7"/>
      <x v="275"/>
      <x v="297"/>
    </i>
    <i r="4">
      <x v="24"/>
      <x v="6"/>
      <x v="166"/>
      <x v="264"/>
    </i>
    <i r="2">
      <x v="90"/>
      <x v="2"/>
      <x v="6"/>
      <x v="15"/>
      <x v="276"/>
      <x v="280"/>
    </i>
    <i r="4">
      <x v="25"/>
      <x v="27"/>
      <x/>
      <x v="6"/>
    </i>
    <i r="2">
      <x v="91"/>
      <x v="2"/>
      <x v="3"/>
      <x v="24"/>
      <x v="50"/>
      <x v="160"/>
    </i>
    <i r="6">
      <x v="331"/>
      <x v="333"/>
    </i>
    <i r="2">
      <x v="92"/>
      <x v="4"/>
      <x v="15"/>
      <x v="31"/>
      <x v="175"/>
      <x v="148"/>
    </i>
    <i r="5">
      <x v="35"/>
      <x v="225"/>
      <x v="290"/>
    </i>
    <i r="2">
      <x v="106"/>
      <x v="1"/>
      <x v="11"/>
      <x v="63"/>
      <x v="280"/>
      <x v="226"/>
    </i>
    <i r="4">
      <x v="13"/>
      <x v="3"/>
      <x v="42"/>
      <x v="33"/>
    </i>
    <i r="2">
      <x v="107"/>
      <x v="1"/>
      <x v="13"/>
      <x v="9"/>
      <x v="121"/>
      <x v="282"/>
    </i>
    <i r="4">
      <x v="14"/>
      <x v="51"/>
      <x v="97"/>
      <x v="93"/>
    </i>
    <i r="2">
      <x v="108"/>
      <x v="1"/>
      <x v="11"/>
      <x v="12"/>
      <x v="200"/>
      <x v="82"/>
    </i>
    <i r="5">
      <x v="71"/>
      <x v="15"/>
      <x v="187"/>
    </i>
    <i r="2">
      <x v="109"/>
      <x v="1"/>
      <x v="12"/>
      <x v="2"/>
      <x v="324"/>
      <x v="326"/>
    </i>
    <i r="5">
      <x v="3"/>
      <x v="136"/>
      <x v="129"/>
    </i>
    <i r="2">
      <x v="110"/>
      <x v="1"/>
      <x v="21"/>
      <x v="12"/>
      <x v="59"/>
      <x v="56"/>
    </i>
    <i r="3">
      <x v="2"/>
      <x v="16"/>
      <x v="43"/>
      <x v="179"/>
      <x v="167"/>
    </i>
    <i r="2">
      <x v="111"/>
      <x v="2"/>
      <x v="4"/>
      <x v="40"/>
      <x v="71"/>
      <x v="72"/>
    </i>
    <i r="3">
      <x v="4"/>
      <x v="26"/>
      <x v="29"/>
      <x v="150"/>
      <x v="166"/>
    </i>
    <i r="2">
      <x v="112"/>
      <x v="4"/>
      <x v="26"/>
      <x v="13"/>
      <x v="119"/>
      <x v="18"/>
    </i>
    <i r="5">
      <x v="29"/>
      <x v="23"/>
      <x v="24"/>
    </i>
    <i r="2">
      <x v="113"/>
      <x v="4"/>
      <x v="30"/>
      <x v="64"/>
      <x v="14"/>
      <x v="9"/>
    </i>
    <i r="4">
      <x v="31"/>
      <x v="30"/>
      <x v="206"/>
      <x v="324"/>
    </i>
    <i r="2">
      <x v="114"/>
      <x v="4"/>
      <x v="15"/>
      <x v="35"/>
      <x v="43"/>
      <x v="40"/>
    </i>
    <i r="4">
      <x v="30"/>
      <x v="64"/>
      <x v="109"/>
      <x v="77"/>
    </i>
    <i r="2">
      <x v="115"/>
      <x/>
      <x/>
      <x v="33"/>
      <x v="294"/>
      <x v="278"/>
    </i>
    <i r="3">
      <x v="2"/>
      <x v="6"/>
      <x v="50"/>
      <x v="278"/>
      <x v="293"/>
    </i>
    <i r="2">
      <x v="132"/>
      <x v="4"/>
      <x v="29"/>
      <x v="56"/>
      <x v="181"/>
      <x v="168"/>
    </i>
    <i r="6">
      <x v="227"/>
      <x v="269"/>
    </i>
    <i r="2">
      <x v="133"/>
      <x v="4"/>
      <x v="29"/>
      <x v="53"/>
      <x v="189"/>
      <x v="177"/>
    </i>
    <i r="6">
      <x v="199"/>
      <x v="55"/>
    </i>
    <i r="2">
      <x v="134"/>
      <x v="4"/>
      <x v="29"/>
      <x v="53"/>
      <x v="8"/>
      <x v="2"/>
    </i>
    <i r="6">
      <x v="22"/>
      <x v="29"/>
    </i>
    <i r="2">
      <x v="135"/>
      <x v="4"/>
      <x v="1"/>
      <x v="29"/>
      <x v="144"/>
      <x v="137"/>
    </i>
    <i r="4">
      <x v="28"/>
      <x v="32"/>
      <x v="73"/>
      <x v="87"/>
    </i>
    <i r="2">
      <x v="136"/>
      <x v="4"/>
      <x v="29"/>
      <x v="26"/>
      <x v="16"/>
      <x v="8"/>
    </i>
    <i r="6">
      <x v="41"/>
      <x v="41"/>
    </i>
    <i r="2">
      <x v="137"/>
      <x v="4"/>
      <x v="29"/>
      <x v="25"/>
      <x v="78"/>
      <x v="74"/>
    </i>
    <i r="5">
      <x v="26"/>
      <x v="277"/>
      <x v="295"/>
    </i>
    <i r="2">
      <x v="138"/>
      <x v="4"/>
      <x v="10"/>
      <x v="4"/>
      <x v="58"/>
      <x v="57"/>
    </i>
    <i r="4">
      <x v="29"/>
      <x v="13"/>
      <x v="28"/>
      <x v="303"/>
    </i>
    <i r="2">
      <x v="139"/>
      <x v="4"/>
      <x v="27"/>
      <x v="22"/>
      <x v="77"/>
      <x v="60"/>
    </i>
    <i r="4">
      <x v="29"/>
      <x v="13"/>
      <x v="75"/>
      <x v="81"/>
    </i>
    <i r="2">
      <x v="140"/>
      <x v="4"/>
      <x v="29"/>
      <x v="25"/>
      <x v="34"/>
      <x v="30"/>
    </i>
    <i r="6">
      <x v="260"/>
      <x v="286"/>
    </i>
    <i r="2">
      <x v="141"/>
      <x v="4"/>
      <x v="29"/>
      <x v="25"/>
      <x v="126"/>
      <x v="144"/>
    </i>
    <i r="6">
      <x v="184"/>
      <x v="178"/>
    </i>
    <i r="2">
      <x v="142"/>
      <x v="4"/>
      <x v="29"/>
      <x v="25"/>
      <x v="120"/>
      <x v="108"/>
    </i>
    <i r="6">
      <x v="286"/>
      <x v="289"/>
    </i>
    <i r="2">
      <x v="144"/>
      <x v="4"/>
      <x v="1"/>
      <x v="36"/>
      <x v="282"/>
      <x v="212"/>
    </i>
    <i r="1">
      <x v="1"/>
      <x v="49"/>
      <x v="2"/>
      <x v="3"/>
      <x v="37"/>
      <x v="186"/>
      <x v="283"/>
    </i>
    <i r="2">
      <x v="70"/>
      <x v="2"/>
      <x v="3"/>
      <x v="67"/>
      <x v="167"/>
      <x v="107"/>
    </i>
    <i r="2">
      <x v="71"/>
      <x v="2"/>
      <x v="3"/>
      <x v="67"/>
      <x v="303"/>
      <x v="28"/>
    </i>
    <i r="2">
      <x v="72"/>
      <x v="2"/>
      <x v="3"/>
      <x v="67"/>
      <x v="165"/>
      <x v="171"/>
    </i>
    <i r="2">
      <x v="73"/>
      <x v="2"/>
      <x v="3"/>
      <x v="19"/>
      <x v="162"/>
      <x v="221"/>
    </i>
    <i r="2">
      <x v="74"/>
      <x v="2"/>
      <x v="3"/>
      <x v="67"/>
      <x v="163"/>
      <x v="4"/>
    </i>
    <i r="2">
      <x v="75"/>
      <x v="2"/>
      <x v="3"/>
      <x v="67"/>
      <x v="159"/>
      <x v="101"/>
    </i>
    <i r="2">
      <x v="76"/>
      <x v="2"/>
      <x v="3"/>
      <x v="67"/>
      <x v="33"/>
      <x v="27"/>
    </i>
    <i r="2">
      <x v="77"/>
      <x v="2"/>
      <x v="3"/>
      <x v="67"/>
      <x v="100"/>
      <x v="94"/>
    </i>
    <i r="2">
      <x v="93"/>
      <x v="4"/>
      <x v="29"/>
      <x v="13"/>
      <x v="7"/>
      <x/>
    </i>
    <i r="2">
      <x v="143"/>
      <x v="4"/>
      <x v="28"/>
      <x v="32"/>
      <x v="96"/>
      <x v="20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item="1" hier="-1"/>
  </pageFields>
  <dataFields count="4">
    <dataField name="Sum of C Fam" fld="17" baseField="0" baseItem="0"/>
    <dataField name="Sum of A Fam" fld="18" baseField="0" baseItem="0"/>
    <dataField name="Sum of Fam Q" fld="19" baseField="0" baseItem="0"/>
    <dataField name="Sum of Total Hc" fld="20" baseField="0" baseItem="0"/>
  </dataField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2678B-E079-4F74-9C1C-8EE0EAC31A9F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46" firstHeaderRow="0" firstDataRow="1" firstDataCol="6" rowPageCount="1" colPageCount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4">
        <item x="270"/>
        <item x="223"/>
        <item x="191"/>
        <item x="104"/>
        <item x="91"/>
        <item x="312"/>
        <item x="253"/>
        <item x="313"/>
        <item x="186"/>
        <item x="239"/>
        <item x="84"/>
        <item x="167"/>
        <item x="222"/>
        <item x="308"/>
        <item x="15"/>
        <item x="162"/>
        <item x="311"/>
        <item x="240"/>
        <item x="72"/>
        <item x="215"/>
        <item x="127"/>
        <item x="110"/>
        <item x="200"/>
        <item x="244"/>
        <item x="34"/>
        <item x="43"/>
        <item x="97"/>
        <item x="101"/>
        <item x="192"/>
        <item x="177"/>
        <item x="216"/>
        <item x="226"/>
        <item x="144"/>
        <item x="255"/>
        <item x="243"/>
        <item x="213"/>
        <item x="214"/>
        <item x="163"/>
        <item x="237"/>
        <item x="185"/>
        <item x="287"/>
        <item x="111"/>
        <item x="1"/>
        <item x="116"/>
        <item x="7"/>
        <item x="288"/>
        <item x="135"/>
        <item x="115"/>
        <item x="316"/>
        <item x="112"/>
        <item x="217"/>
        <item x="55"/>
        <item x="60"/>
        <item x="193"/>
        <item x="150"/>
        <item x="169"/>
        <item x="152"/>
        <item x="105"/>
        <item x="175"/>
        <item x="119"/>
        <item x="299"/>
        <item x="280"/>
        <item x="261"/>
        <item x="263"/>
        <item x="279"/>
        <item x="251"/>
        <item x="140"/>
        <item x="241"/>
        <item x="49"/>
        <item x="254"/>
        <item x="259"/>
        <item x="325"/>
        <item x="183"/>
        <item x="2"/>
        <item x="286"/>
        <item x="265"/>
        <item x="117"/>
        <item x="138"/>
        <item x="305"/>
        <item x="172"/>
        <item x="151"/>
        <item x="285"/>
        <item x="155"/>
        <item x="8"/>
        <item x="79"/>
        <item x="307"/>
        <item x="16"/>
        <item x="25"/>
        <item x="120"/>
        <item x="56"/>
        <item x="58"/>
        <item x="158"/>
        <item x="278"/>
        <item x="228"/>
        <item x="113"/>
        <item x="273"/>
        <item x="295"/>
        <item x="24"/>
        <item x="320"/>
        <item x="94"/>
        <item x="63"/>
        <item x="275"/>
        <item x="35"/>
        <item x="283"/>
        <item x="51"/>
        <item x="121"/>
        <item x="182"/>
        <item x="86"/>
        <item x="157"/>
        <item x="201"/>
        <item x="235"/>
        <item x="227"/>
        <item x="18"/>
        <item x="96"/>
        <item x="108"/>
        <item x="303"/>
        <item x="164"/>
        <item x="137"/>
        <item x="221"/>
        <item x="258"/>
        <item x="220"/>
        <item x="22"/>
        <item x="262"/>
        <item x="249"/>
        <item x="304"/>
        <item x="284"/>
        <item x="290"/>
        <item x="147"/>
        <item x="54"/>
        <item x="57"/>
        <item x="208"/>
        <item x="90"/>
        <item x="207"/>
        <item x="10"/>
        <item x="67"/>
        <item x="187"/>
        <item x="81"/>
        <item x="224"/>
        <item x="14"/>
        <item x="300"/>
        <item x="301"/>
        <item x="170"/>
        <item x="180"/>
        <item x="154"/>
        <item x="122"/>
        <item x="50"/>
        <item x="267"/>
        <item x="232"/>
        <item x="161"/>
        <item x="203"/>
        <item x="42"/>
        <item x="194"/>
        <item x="59"/>
        <item x="65"/>
        <item x="89"/>
        <item x="19"/>
        <item x="289"/>
        <item x="130"/>
        <item x="326"/>
        <item x="317"/>
        <item x="4"/>
        <item x="17"/>
        <item x="103"/>
        <item x="323"/>
        <item x="245"/>
        <item x="196"/>
        <item x="256"/>
        <item x="92"/>
        <item x="107"/>
        <item x="179"/>
        <item x="47"/>
        <item x="319"/>
        <item x="0"/>
        <item x="195"/>
        <item x="178"/>
        <item x="309"/>
        <item x="306"/>
        <item x="123"/>
        <item x="46"/>
        <item x="292"/>
        <item x="5"/>
        <item x="231"/>
        <item x="88"/>
        <item x="168"/>
        <item x="31"/>
        <item x="40"/>
        <item x="13"/>
        <item x="36"/>
        <item x="276"/>
        <item x="277"/>
        <item x="271"/>
        <item x="318"/>
        <item x="52"/>
        <item x="70"/>
        <item x="145"/>
        <item x="136"/>
        <item x="39"/>
        <item x="118"/>
        <item x="83"/>
        <item x="257"/>
        <item x="69"/>
        <item x="132"/>
        <item x="188"/>
        <item x="229"/>
        <item x="38"/>
        <item x="64"/>
        <item x="85"/>
        <item x="6"/>
        <item x="190"/>
        <item x="174"/>
        <item x="23"/>
        <item x="302"/>
        <item x="20"/>
        <item x="281"/>
        <item x="282"/>
        <item x="32"/>
        <item x="28"/>
        <item x="29"/>
        <item x="102"/>
        <item x="124"/>
        <item x="98"/>
        <item x="77"/>
        <item x="166"/>
        <item x="74"/>
        <item x="246"/>
        <item x="252"/>
        <item x="80"/>
        <item x="173"/>
        <item x="274"/>
        <item x="204"/>
        <item x="202"/>
        <item x="269"/>
        <item x="198"/>
        <item x="218"/>
        <item x="109"/>
        <item x="233"/>
        <item x="189"/>
        <item x="212"/>
        <item x="298"/>
        <item x="315"/>
        <item x="266"/>
        <item x="75"/>
        <item x="146"/>
        <item x="99"/>
        <item x="219"/>
        <item x="321"/>
        <item x="114"/>
        <item x="45"/>
        <item x="248"/>
        <item x="142"/>
        <item x="291"/>
        <item x="159"/>
        <item x="48"/>
        <item x="143"/>
        <item x="82"/>
        <item x="272"/>
        <item x="296"/>
        <item x="3"/>
        <item x="247"/>
        <item x="324"/>
        <item x="211"/>
        <item x="73"/>
        <item x="242"/>
        <item x="322"/>
        <item x="205"/>
        <item x="197"/>
        <item x="68"/>
        <item x="66"/>
        <item x="141"/>
        <item x="149"/>
        <item x="128"/>
        <item x="260"/>
        <item x="206"/>
        <item x="76"/>
        <item x="236"/>
        <item x="199"/>
        <item x="250"/>
        <item x="27"/>
        <item x="148"/>
        <item x="131"/>
        <item x="9"/>
        <item x="21"/>
        <item x="176"/>
        <item x="106"/>
        <item x="78"/>
        <item x="181"/>
        <item x="238"/>
        <item m="1" x="333"/>
        <item x="230"/>
        <item x="61"/>
        <item x="184"/>
        <item x="293"/>
        <item x="210"/>
        <item x="62"/>
        <item x="153"/>
        <item x="126"/>
        <item x="264"/>
        <item x="165"/>
        <item x="171"/>
        <item x="12"/>
        <item x="53"/>
        <item x="95"/>
        <item x="133"/>
        <item x="268"/>
        <item x="209"/>
        <item x="30"/>
        <item x="11"/>
        <item x="87"/>
        <item x="100"/>
        <item x="314"/>
        <item x="37"/>
        <item x="297"/>
        <item x="225"/>
        <item x="294"/>
        <item x="125"/>
        <item x="134"/>
        <item x="26"/>
        <item x="234"/>
        <item x="93"/>
        <item x="139"/>
        <item x="44"/>
        <item x="310"/>
        <item x="156"/>
        <item x="129"/>
        <item x="71"/>
        <item x="33"/>
        <item m="1" x="332"/>
        <item x="41"/>
        <item m="1" x="331"/>
        <item x="160"/>
        <item x="327"/>
        <item x="328"/>
        <item x="329"/>
        <item x="3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3"/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6"/>
        <item x="2"/>
        <item x="0"/>
        <item x="5"/>
        <item x="4"/>
        <item x="9"/>
        <item m="1" x="12"/>
        <item x="1"/>
        <item x="7"/>
        <item x="3"/>
        <item x="8"/>
        <item m="1"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x="24"/>
        <item x="14"/>
        <item x="18"/>
        <item x="0"/>
        <item x="29"/>
        <item x="28"/>
        <item x="4"/>
        <item x="30"/>
        <item x="2"/>
        <item x="11"/>
        <item x="8"/>
        <item x="5"/>
        <item x="6"/>
        <item x="10"/>
        <item x="25"/>
        <item x="1"/>
        <item m="1" x="33"/>
        <item x="3"/>
        <item x="9"/>
        <item x="27"/>
        <item x="7"/>
        <item x="20"/>
        <item x="21"/>
        <item x="19"/>
        <item x="17"/>
        <item x="16"/>
        <item x="12"/>
        <item x="15"/>
        <item x="13"/>
        <item x="26"/>
        <item x="23"/>
        <item x="22"/>
        <item m="1" x="32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4">
        <item x="16"/>
        <item x="56"/>
        <item x="17"/>
        <item x="18"/>
        <item x="32"/>
        <item x="45"/>
        <item x="44"/>
        <item x="57"/>
        <item x="19"/>
        <item x="20"/>
        <item x="46"/>
        <item x="21"/>
        <item x="33"/>
        <item x="22"/>
        <item x="58"/>
        <item x="59"/>
        <item x="0"/>
        <item x="23"/>
        <item x="1"/>
        <item x="5"/>
        <item x="60"/>
        <item x="34"/>
        <item x="6"/>
        <item x="13"/>
        <item x="35"/>
        <item x="36"/>
        <item x="61"/>
        <item x="7"/>
        <item x="37"/>
        <item x="52"/>
        <item x="67"/>
        <item x="38"/>
        <item x="53"/>
        <item m="1" x="72"/>
        <item x="54"/>
        <item x="39"/>
        <item x="14"/>
        <item x="62"/>
        <item x="63"/>
        <item x="11"/>
        <item x="47"/>
        <item x="2"/>
        <item x="24"/>
        <item x="9"/>
        <item x="15"/>
        <item x="48"/>
        <item x="4"/>
        <item m="1" x="70"/>
        <item x="50"/>
        <item x="25"/>
        <item x="8"/>
        <item x="40"/>
        <item x="64"/>
        <item x="41"/>
        <item x="65"/>
        <item x="27"/>
        <item x="42"/>
        <item x="28"/>
        <item x="49"/>
        <item x="66"/>
        <item x="29"/>
        <item x="55"/>
        <item m="1" x="73"/>
        <item x="3"/>
        <item x="51"/>
        <item x="30"/>
        <item x="10"/>
        <item m="1" x="71"/>
        <item x="69"/>
        <item x="43"/>
        <item x="31"/>
        <item x="26"/>
        <item x="68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">
        <item sd="0" x="0"/>
        <item sd="0" x="2"/>
        <item sd="0" x="4"/>
        <item sd="0" x="5"/>
        <item sd="0" x="7"/>
        <item sd="0" x="8"/>
        <item sd="0" x="6"/>
        <item x="1"/>
        <item m="1" x="9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21"/>
    <field x="12"/>
    <field x="13"/>
    <field x="14"/>
    <field x="4"/>
  </rowFields>
  <rowItems count="43">
    <i>
      <x v="1"/>
      <x v="9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  <x/>
      <x/>
      <x v="32"/>
      <x v="110"/>
    </i>
    <i r="5">
      <x v="274"/>
    </i>
    <i r="2">
      <x v="1"/>
      <x v="20"/>
      <x v="11"/>
      <x v="54"/>
    </i>
    <i r="2">
      <x v="2"/>
      <x v="3"/>
      <x v="64"/>
      <x v="181"/>
    </i>
    <i r="3">
      <x v="4"/>
      <x v="15"/>
      <x v="65"/>
    </i>
    <i r="4">
      <x v="20"/>
      <x v="225"/>
    </i>
    <i r="4">
      <x v="37"/>
      <x v="33"/>
    </i>
    <i r="5">
      <x v="69"/>
    </i>
    <i r="5">
      <x v="166"/>
    </i>
    <i r="5">
      <x v="199"/>
    </i>
    <i r="4">
      <x v="38"/>
      <x v="70"/>
    </i>
    <i r="5">
      <x v="119"/>
    </i>
    <i r="5">
      <x v="271"/>
    </i>
    <i r="4">
      <x v="52"/>
      <x v="62"/>
    </i>
    <i r="3">
      <x v="6"/>
      <x v="14"/>
      <x v="276"/>
    </i>
    <i r="4">
      <x v="48"/>
      <x v="288"/>
    </i>
    <i r="3">
      <x v="15"/>
      <x v="41"/>
      <x v="325"/>
    </i>
    <i r="3">
      <x v="24"/>
      <x v="26"/>
      <x v="6"/>
    </i>
    <i r="4">
      <x v="69"/>
      <x v="22"/>
    </i>
    <i r="2">
      <x v="4"/>
      <x v="9"/>
      <x v="4"/>
      <x v="55"/>
    </i>
    <i r="3">
      <x v="14"/>
      <x v="34"/>
      <x v="38"/>
    </i>
    <i r="3">
      <x v="29"/>
      <x v="61"/>
      <x v="9"/>
    </i>
    <i r="3">
      <x v="30"/>
      <x v="29"/>
      <x v="235"/>
    </i>
    <i r="5">
      <x v="317"/>
    </i>
    <i r="3">
      <x v="31"/>
      <x v="28"/>
      <x v="147"/>
    </i>
    <i r="2">
      <x v="5"/>
      <x v="7"/>
      <x v="59"/>
      <x v="63"/>
    </i>
    <i r="5">
      <x v="296"/>
    </i>
    <i r="2">
      <x v="8"/>
      <x v="19"/>
      <x v="1"/>
      <x v="224"/>
    </i>
    <i r="5">
      <x v="248"/>
    </i>
    <i r="5">
      <x v="258"/>
    </i>
    <i r="2">
      <x v="10"/>
      <x v="5"/>
      <x v="7"/>
      <x v="123"/>
    </i>
    <i r="4">
      <x v="54"/>
      <x v="122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item="1" hier="-1"/>
  </pageFields>
  <dataFields count="3">
    <dataField name="Sum of C Fam" fld="17" baseField="0" baseItem="0"/>
    <dataField name="Sum of A Fam" fld="18" baseField="0" baseItem="0"/>
    <dataField name="Sum of Total Hc" fld="20" baseField="0" baseItem="0"/>
  </dataFields>
  <formats count="83">
    <format dxfId="121">
      <pivotArea outline="0" collapsedLevelsAreSubtotals="1" fieldPosition="0"/>
    </format>
    <format dxfId="120">
      <pivotArea dataOnly="0" labelOnly="1" outline="0" offset="IV12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0"/>
          </reference>
        </references>
      </pivotArea>
    </format>
    <format dxfId="119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118">
      <pivotArea dataOnly="0" labelOnly="1" outline="0" offset="IV12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0"/>
          </reference>
        </references>
      </pivotArea>
    </format>
    <format dxfId="117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116">
      <pivotArea dataOnly="0" labelOnly="1" outline="0" fieldPosition="0">
        <references count="6">
          <reference field="4" count="5">
            <x v="19"/>
            <x v="30"/>
            <x v="35"/>
            <x v="36"/>
            <x v="50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27"/>
          </reference>
          <reference field="21" count="1" selected="0">
            <x v="1"/>
          </reference>
        </references>
      </pivotArea>
    </format>
    <format dxfId="115">
      <pivotArea dataOnly="0" labelOnly="1" outline="0" fieldPosition="0">
        <references count="6">
          <reference field="4" count="1">
            <x v="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4">
      <pivotArea dataOnly="0" labelOnly="1" outline="0" fieldPosition="0">
        <references count="6">
          <reference field="4" count="1">
            <x v="10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3">
      <pivotArea dataOnly="0" labelOnly="1" outline="0" fieldPosition="0">
        <references count="6">
          <reference field="4" count="1">
            <x v="16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73"/>
          </reference>
          <reference field="21" count="1" selected="0">
            <x v="2"/>
          </reference>
        </references>
      </pivotArea>
    </format>
    <format dxfId="112">
      <pivotArea dataOnly="0" labelOnly="1" outline="0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111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6"/>
          </reference>
        </references>
      </pivotArea>
    </format>
    <format dxfId="11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18"/>
          </reference>
          <reference field="21" count="1" selected="0">
            <x v="6"/>
          </reference>
        </references>
      </pivotArea>
    </format>
    <format dxfId="109">
      <pivotArea dataOnly="0" labelOnly="1" outline="0" fieldPosition="0">
        <references count="6">
          <reference field="4" count="1">
            <x v="21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6"/>
          </reference>
        </references>
      </pivotArea>
    </format>
    <format dxfId="10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41"/>
          </reference>
          <reference field="21" count="1" selected="0">
            <x v="0"/>
          </reference>
        </references>
      </pivotArea>
    </format>
    <format dxfId="107">
      <pivotArea dataOnly="0" labelOnly="1" outline="0" fieldPosition="0">
        <references count="6">
          <reference field="4" count="3">
            <x v="160"/>
            <x v="180"/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0"/>
          </reference>
        </references>
      </pivotArea>
    </format>
    <format dxfId="106">
      <pivotArea dataOnly="0" labelOnly="1" outline="0" fieldPosition="0">
        <references count="6">
          <reference field="4" count="1">
            <x v="261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43"/>
          </reference>
          <reference field="21" count="1" selected="0">
            <x v="1"/>
          </reference>
        </references>
      </pivotArea>
    </format>
    <format dxfId="105">
      <pivotArea dataOnly="0" labelOnly="1" outline="0" fieldPosition="0">
        <references count="6">
          <reference field="4" count="1">
            <x v="18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43"/>
          </reference>
          <reference field="21" count="1" selected="0">
            <x v="1"/>
          </reference>
        </references>
      </pivotArea>
    </format>
    <format dxfId="104">
      <pivotArea dataOnly="0" labelOnly="1" outline="0" offset="IV31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103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6"/>
          </reference>
          <reference field="21" count="1" selected="0">
            <x v="2"/>
          </reference>
        </references>
      </pivotArea>
    </format>
    <format dxfId="10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43"/>
          </reference>
          <reference field="21" count="1" selected="0">
            <x v="2"/>
          </reference>
        </references>
      </pivotArea>
    </format>
    <format dxfId="101">
      <pivotArea dataOnly="0" labelOnly="1" outline="0" fieldPosition="0">
        <references count="6">
          <reference field="4" count="1">
            <x v="22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43"/>
          </reference>
          <reference field="21" count="1" selected="0">
            <x v="2"/>
          </reference>
        </references>
      </pivotArea>
    </format>
    <format dxfId="100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99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3"/>
          </reference>
        </references>
      </pivotArea>
    </format>
    <format dxfId="9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36"/>
          </reference>
          <reference field="21" count="1" selected="0">
            <x v="3"/>
          </reference>
        </references>
      </pivotArea>
    </format>
    <format dxfId="97">
      <pivotArea dataOnly="0" labelOnly="1" outline="0" fieldPosition="0">
        <references count="6">
          <reference field="4" count="1">
            <x v="23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3"/>
          </reference>
        </references>
      </pivotArea>
    </format>
    <format dxfId="96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95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6"/>
          </reference>
        </references>
      </pivotArea>
    </format>
    <format dxfId="94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36"/>
          </reference>
          <reference field="21" count="1" selected="0">
            <x v="6"/>
          </reference>
        </references>
      </pivotArea>
    </format>
    <format dxfId="93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92">
      <pivotArea dataOnly="0" labelOnly="1" outline="0" offset="IV9: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91">
      <pivotArea dataOnly="0" labelOnly="1" outline="0" offset="IV1:IV3" fieldPosition="0">
        <references count="3">
          <reference field="10" count="1" selected="0">
            <x v="2"/>
          </reference>
          <reference field="12" count="1">
            <x v="3"/>
          </reference>
          <reference field="21" count="1" selected="0">
            <x v="6"/>
          </reference>
        </references>
      </pivotArea>
    </format>
    <format dxfId="90">
      <pivotArea dataOnly="0" labelOnly="1" outline="0" offset="IV9:IV256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6"/>
          </reference>
        </references>
      </pivotArea>
    </format>
    <format dxfId="89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3"/>
          </reference>
          <reference field="13" count="2">
            <x v="21"/>
            <x v="22"/>
          </reference>
          <reference field="21" count="1" selected="0">
            <x v="6"/>
          </reference>
        </references>
      </pivotArea>
    </format>
    <format dxfId="88">
      <pivotArea dataOnly="0" labelOnly="1" outline="0" offset="IV1" fieldPosition="0">
        <references count="4">
          <reference field="10" count="1" selected="0">
            <x v="2"/>
          </reference>
          <reference field="12" count="1" selected="0">
            <x v="3"/>
          </reference>
          <reference field="13" count="1">
            <x v="23"/>
          </reference>
          <reference field="21" count="1" selected="0">
            <x v="6"/>
          </reference>
        </references>
      </pivotArea>
    </format>
    <format dxfId="87">
      <pivotArea dataOnly="0" labelOnly="1" outline="0" offset="IV4: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36"/>
          </reference>
          <reference field="21" count="1" selected="0">
            <x v="6"/>
          </reference>
        </references>
      </pivotArea>
    </format>
    <format dxfId="8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1"/>
          </reference>
          <reference field="14" count="1">
            <x v="10"/>
          </reference>
          <reference field="21" count="1" selected="0">
            <x v="6"/>
          </reference>
        </references>
      </pivotArea>
    </format>
    <format dxfId="8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2"/>
          </reference>
          <reference field="14" count="1">
            <x v="40"/>
          </reference>
          <reference field="21" count="1" selected="0">
            <x v="6"/>
          </reference>
        </references>
      </pivotArea>
    </format>
    <format dxfId="8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3"/>
          </reference>
          <reference field="14" count="1">
            <x v="5"/>
          </reference>
          <reference field="21" count="1" selected="0">
            <x v="6"/>
          </reference>
        </references>
      </pivotArea>
    </format>
    <format dxfId="83">
      <pivotArea dataOnly="0" labelOnly="1" outline="0" fieldPosition="0">
        <references count="6">
          <reference field="4" count="2">
            <x v="302"/>
            <x v="31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82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6"/>
          </reference>
        </references>
      </pivotArea>
    </format>
    <format dxfId="81">
      <pivotArea dataOnly="0" labelOnly="1" outline="0" fieldPosition="0">
        <references count="6">
          <reference field="4" count="1">
            <x v="237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1"/>
          </reference>
          <reference field="14" count="1" selected="0">
            <x v="10"/>
          </reference>
          <reference field="21" count="1" selected="0">
            <x v="6"/>
          </reference>
        </references>
      </pivotArea>
    </format>
    <format dxfId="80">
      <pivotArea dataOnly="0" labelOnly="1" outline="0" fieldPosition="0">
        <references count="6">
          <reference field="4" count="1">
            <x v="244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2"/>
          </reference>
          <reference field="14" count="1" selected="0">
            <x v="40"/>
          </reference>
          <reference field="21" count="1" selected="0">
            <x v="6"/>
          </reference>
        </references>
      </pivotArea>
    </format>
    <format dxfId="79">
      <pivotArea dataOnly="0" labelOnly="1" outline="0" fieldPosition="0">
        <references count="6">
          <reference field="4" count="1">
            <x v="260"/>
          </reference>
          <reference field="10" count="1" selected="0">
            <x v="2"/>
          </reference>
          <reference field="12" count="1" selected="0">
            <x v="3"/>
          </reference>
          <reference field="13" count="1" selected="0">
            <x v="23"/>
          </reference>
          <reference field="14" count="1" selected="0">
            <x v="5"/>
          </reference>
          <reference field="21" count="1" selected="0">
            <x v="6"/>
          </reference>
        </references>
      </pivotArea>
    </format>
    <format dxfId="7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2">
            <x v="14"/>
            <x v="66"/>
          </reference>
          <reference field="21" count="1" selected="0">
            <x v="7"/>
          </reference>
        </references>
      </pivotArea>
    </format>
    <format dxfId="77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>
            <x v="63"/>
          </reference>
          <reference field="21" count="1" selected="0">
            <x v="7"/>
          </reference>
        </references>
      </pivotArea>
    </format>
    <format dxfId="7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7"/>
          </reference>
        </references>
      </pivotArea>
    </format>
    <format dxfId="75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2">
            <x v="26"/>
            <x v="69"/>
          </reference>
          <reference field="21" count="1" selected="0">
            <x v="7"/>
          </reference>
        </references>
      </pivotArea>
    </format>
    <format dxfId="74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4"/>
          </reference>
          <reference field="13" count="1" selected="0">
            <x v="25"/>
          </reference>
          <reference field="14" count="1">
            <x v="35"/>
          </reference>
          <reference field="21" count="1" selected="0">
            <x v="7"/>
          </reference>
        </references>
      </pivotArea>
    </format>
    <format dxfId="73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7"/>
          </reference>
        </references>
      </pivotArea>
    </format>
    <format dxfId="72">
      <pivotArea dataOnly="0" labelOnly="1" outline="0" fieldPosition="0">
        <references count="6">
          <reference field="4" count="1">
            <x v="22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66"/>
          </reference>
          <reference field="21" count="1" selected="0">
            <x v="7"/>
          </reference>
        </references>
      </pivotArea>
    </format>
    <format dxfId="71">
      <pivotArea dataOnly="0" labelOnly="1" outline="0" fieldPosition="0">
        <references count="6">
          <reference field="4" count="1">
            <x v="20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 selected="0">
            <x v="63"/>
          </reference>
          <reference field="21" count="1" selected="0">
            <x v="7"/>
          </reference>
        </references>
      </pivotArea>
    </format>
    <format dxfId="70">
      <pivotArea dataOnly="0" labelOnly="1" outline="0" fieldPosition="0">
        <references count="6">
          <reference field="4" count="2">
            <x v="46"/>
            <x v="20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7"/>
          </reference>
        </references>
      </pivotArea>
    </format>
    <format dxfId="69">
      <pivotArea dataOnly="0" labelOnly="1" outline="0" fieldPosition="0">
        <references count="6">
          <reference field="4" count="1">
            <x v="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1" selected="0">
            <x v="26"/>
          </reference>
          <reference field="21" count="1" selected="0">
            <x v="7"/>
          </reference>
        </references>
      </pivotArea>
    </format>
    <format dxfId="68">
      <pivotArea dataOnly="0" labelOnly="1" outline="0" fieldPosition="0">
        <references count="6">
          <reference field="4" count="1">
            <x v="22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24"/>
          </reference>
          <reference field="14" count="1" selected="0">
            <x v="69"/>
          </reference>
          <reference field="21" count="1" selected="0">
            <x v="7"/>
          </reference>
        </references>
      </pivotArea>
    </format>
    <format dxfId="67">
      <pivotArea dataOnly="0" labelOnly="1" outline="0" fieldPosition="0">
        <references count="6">
          <reference field="4" count="1">
            <x v="275"/>
          </reference>
          <reference field="10" count="1" selected="0">
            <x v="2"/>
          </reference>
          <reference field="12" count="1" selected="0">
            <x v="4"/>
          </reference>
          <reference field="13" count="1" selected="0">
            <x v="25"/>
          </reference>
          <reference field="14" count="1" selected="0">
            <x v="35"/>
          </reference>
          <reference field="21" count="1" selected="0">
            <x v="7"/>
          </reference>
        </references>
      </pivotArea>
    </format>
    <format dxfId="66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3"/>
          </reference>
          <reference field="21" count="1" selected="0">
            <x v="2"/>
          </reference>
        </references>
      </pivotArea>
    </format>
    <format dxfId="65">
      <pivotArea dataOnly="0" labelOnly="1" outline="0" fieldPosition="0">
        <references count="6">
          <reference field="4" count="1">
            <x v="84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43"/>
          </reference>
          <reference field="21" count="1" selected="0">
            <x v="2"/>
          </reference>
        </references>
      </pivotArea>
    </format>
    <format dxfId="64">
      <pivotArea dataOnly="0" labelOnly="1" outline="0" offset="IV12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2"/>
          </reference>
        </references>
      </pivotArea>
    </format>
    <format dxfId="63">
      <pivotArea dataOnly="0" labelOnly="1" outline="0" offset="IV12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3"/>
          </reference>
          <reference field="21" count="1" selected="0">
            <x v="2"/>
          </reference>
        </references>
      </pivotArea>
    </format>
    <format dxfId="62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41"/>
          </reference>
          <reference field="21" count="1" selected="0">
            <x v="3"/>
          </reference>
        </references>
      </pivotArea>
    </format>
    <format dxfId="61">
      <pivotArea dataOnly="0" labelOnly="1" outline="0" fieldPosition="0">
        <references count="6">
          <reference field="4" count="1"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3"/>
          </reference>
        </references>
      </pivotArea>
    </format>
    <format dxfId="60">
      <pivotArea dataOnly="0" labelOnly="1" outline="0" offset="IV1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6"/>
          </reference>
          <reference field="21" count="1" selected="0">
            <x v="3"/>
          </reference>
        </references>
      </pivotArea>
    </format>
    <format dxfId="59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14"/>
          </reference>
          <reference field="21" count="1" selected="0">
            <x v="3"/>
          </reference>
        </references>
      </pivotArea>
    </format>
    <format dxfId="58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3"/>
          </reference>
        </references>
      </pivotArea>
    </format>
    <format dxfId="57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1"/>
          </reference>
          <reference field="21" count="1" selected="0">
            <x v="6"/>
          </reference>
        </references>
      </pivotArea>
    </format>
    <format dxfId="56">
      <pivotArea dataOnly="0" labelOnly="1" outline="0" fieldPosition="0">
        <references count="6">
          <reference field="4" count="1">
            <x v="325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41"/>
          </reference>
          <reference field="21" count="1" selected="0">
            <x v="6"/>
          </reference>
        </references>
      </pivotArea>
    </format>
    <format dxfId="55">
      <pivotArea dataOnly="0" labelOnly="1" outline="0" offset="IV256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54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6"/>
          </reference>
        </references>
      </pivotArea>
    </format>
    <format dxfId="5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6"/>
          </reference>
        </references>
      </pivotArea>
    </format>
    <format dxfId="52">
      <pivotArea dataOnly="0" labelOnly="1" outline="0" fieldPosition="0">
        <references count="6">
          <reference field="4" count="1">
            <x v="20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6"/>
          </reference>
        </references>
      </pivotArea>
    </format>
    <format dxfId="51">
      <pivotArea dataOnly="0" labelOnly="1" outline="0" offset="IV256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1">
            <x v="15"/>
          </reference>
          <reference field="21" count="1" selected="0">
            <x v="3"/>
          </reference>
        </references>
      </pivotArea>
    </format>
    <format dxfId="50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66"/>
          </reference>
          <reference field="21" count="1" selected="0">
            <x v="3"/>
          </reference>
        </references>
      </pivotArea>
    </format>
    <format dxfId="49">
      <pivotArea dataOnly="0" labelOnly="1" outline="0" fieldPosition="0">
        <references count="6">
          <reference field="4" count="1">
            <x v="4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66"/>
          </reference>
          <reference field="21" count="1" selected="0">
            <x v="3"/>
          </reference>
        </references>
      </pivotArea>
    </format>
    <format dxfId="48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>
            <x v="36"/>
          </reference>
          <reference field="21" count="1" selected="0">
            <x v="0"/>
          </reference>
        </references>
      </pivotArea>
    </format>
    <format dxfId="47">
      <pivotArea dataOnly="0" labelOnly="1" outline="0" fieldPosition="0">
        <references count="6">
          <reference field="4" count="1">
            <x v="233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36"/>
          </reference>
          <reference field="21" count="1" selected="0">
            <x v="0"/>
          </reference>
        </references>
      </pivotArea>
    </format>
    <format dxfId="46">
      <pivotArea dataOnly="0" labelOnly="1" outline="0" fieldPosition="0">
        <references count="6">
          <reference field="4" count="5">
            <x v="257"/>
            <x v="277"/>
            <x v="281"/>
            <x v="305"/>
            <x v="31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18"/>
          </reference>
          <reference field="21" count="1" selected="0">
            <x v="0"/>
          </reference>
        </references>
      </pivotArea>
    </format>
    <format dxfId="45">
      <pivotArea dataOnly="0" labelOnly="1" outline="0" fieldPosition="0">
        <references count="3">
          <reference field="10" count="1" selected="0">
            <x v="2"/>
          </reference>
          <reference field="12" count="1">
            <x v="2"/>
          </reference>
          <reference field="21" count="1" selected="0">
            <x v="6"/>
          </reference>
        </references>
      </pivotArea>
    </format>
    <format dxfId="44">
      <pivotArea dataOnly="0" labelOnly="1" outline="0" fieldPosition="0">
        <references count="4">
          <reference field="10" count="1" selected="0">
            <x v="2"/>
          </reference>
          <reference field="12" count="1" selected="0">
            <x v="2"/>
          </reference>
          <reference field="13" count="2">
            <x v="3"/>
            <x v="15"/>
          </reference>
          <reference field="21" count="1" selected="0">
            <x v="6"/>
          </reference>
        </references>
      </pivotArea>
    </format>
    <format dxfId="43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14"/>
          </reference>
          <reference field="21" count="1" selected="0">
            <x v="0"/>
          </reference>
        </references>
      </pivotArea>
    </format>
    <format dxfId="42">
      <pivotArea dataOnly="0" labelOnly="1" outline="0" fieldPosition="0">
        <references count="6">
          <reference field="4" count="1">
            <x v="276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14"/>
          </reference>
          <reference field="21" count="1" selected="0">
            <x v="0"/>
          </reference>
        </references>
      </pivotArea>
    </format>
    <format dxfId="41">
      <pivotArea dataOnly="0" labelOnly="1" outline="0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>
            <x v="63"/>
          </reference>
          <reference field="21" count="1" selected="0">
            <x v="0"/>
          </reference>
        </references>
      </pivotArea>
    </format>
    <format dxfId="40">
      <pivotArea dataOnly="0" labelOnly="1" outline="0" fieldPosition="0">
        <references count="6">
          <reference field="4" count="1">
            <x v="207"/>
          </reference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8"/>
          </reference>
          <reference field="14" count="1" selected="0">
            <x v="63"/>
          </reference>
          <reference field="21" count="1" selected="0">
            <x v="0"/>
          </reference>
        </references>
      </pivotArea>
    </format>
    <format dxfId="39">
      <pivotArea dataOnly="0" labelOnly="1" outline="0" offset="IV256" fieldPosition="0">
        <references count="5">
          <reference field="10" count="1" selected="0">
            <x v="2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41"/>
          </reference>
          <reference field="21" count="1" selected="0">
            <x v="6"/>
          </reference>
        </references>
      </pivotArea>
    </format>
  </formats>
  <pivotTableStyleInfo name="PivotStyleMedium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H272" totalsRowShown="0" headerRowDxfId="131" dataDxfId="130">
  <autoFilter ref="A1:H272" xr:uid="{00000000-0009-0000-0100-000001000000}"/>
  <tableColumns count="8">
    <tableColumn id="1" xr3:uid="{00000000-0010-0000-0000-000001000000}" name="No" dataDxfId="129">
      <extLst>
        <ext xmlns:xlmsforms="http://schemas.microsoft.com/office/spreadsheetml/2023/msForms" uri="{FCC71383-01E1-4257-9335-427F07BE8D7F}">
          <xlmsforms:question id="id"/>
        </ext>
      </extLst>
    </tableColumn>
    <tableColumn id="4" xr3:uid="{00000000-0010-0000-0000-000004000000}" name="Email" dataDxfId="27">
      <extLst>
        <ext xmlns:xlmsforms="http://schemas.microsoft.com/office/spreadsheetml/2023/msForms" uri="{FCC71383-01E1-4257-9335-427F07BE8D7F}">
          <xlmsforms:question id="responder"/>
        </ext>
      </extLst>
    </tableColumn>
    <tableColumn id="2" xr3:uid="{1C85E945-6AE1-674A-849C-D377D73EAD3D}" name="Full name" dataDxfId="26">
      <calculatedColumnFormula>_xlfn.XLOOKUP(OfficeForms.Table[[#This Row],[Email]],Table2[Email],Table2[FullName],"")</calculatedColumnFormula>
    </tableColumn>
    <tableColumn id="10" xr3:uid="{00000000-0010-0000-0000-00000A000000}" name="Người nhà" dataDxfId="128">
      <extLst>
        <ext xmlns:xlmsforms="http://schemas.microsoft.com/office/spreadsheetml/2023/msForms" uri="{FCC71383-01E1-4257-9335-427F07BE8D7F}">
          <xlmsforms:question id="rf62ce9fbef4a40509596bb39e15f52ae"/>
        </ext>
      </extLst>
    </tableColumn>
    <tableColumn id="27" xr3:uid="{D3AF54FD-B270-4FE9-AC05-AD2992383C26}" name="Bus" dataDxfId="127"/>
    <tableColumn id="29" xr3:uid="{06591FFA-F5CF-4443-BD8E-758C76E5F60B}" name="Room" dataDxfId="126"/>
    <tableColumn id="24" xr3:uid="{4467F033-B108-4507-815C-F396E2BECAD9}" name="Gender" dataDxfId="125">
      <calculatedColumnFormula>IFERROR(_xlfn.XLOOKUP(OfficeForms.Table[[#This Row],[Email]],EE!C:C,EE!H:H,"Missing"),"Missing")</calculatedColumnFormula>
    </tableColumn>
    <tableColumn id="28" xr3:uid="{8D7239CF-B5C4-4150-8AD7-EECB88937E73}" name="Room Type" dataDxfId="124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-tXzj2mCEe1z8J0tIvSbHfkfIRVs65Cidt-u7qE-fJUNTM0QUdTTTJLMTFIRThDQjNYVlVaSlEwQy4u" isFormConnected="1" maxResponseId="319" latestEventMarker="29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r690353a6c8d146af86a7dbe7af00a5d1</xlmsforms:syncedQuestionId>
        <xlmsforms:syncedQuestionId>rc4bdaf020f4047728a47041eaa4aa165</xlmsforms:syncedQuestionId>
        <xlmsforms:syncedQuestionId>r71ded247169e4660b3f385ac1a25ebc4</xlmsforms:syncedQuestionId>
        <xlmsforms:syncedQuestionId>r92c4790bab064c4d9cb408517431da58</xlmsforms:syncedQuestionId>
        <xlmsforms:syncedQuestionId>rf62ce9fbef4a40509596bb39e15f52ae</xlmsforms:syncedQuestionId>
        <xlmsforms:syncedQuestionId>r4fc6111e80d54a2baeaff4b43e9fb194</xlmsforms:syncedQuestionId>
        <xlmsforms:syncedQuestionId>rab0b3f9f7f954a9e9fd3714687fb2df5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4447DA-A53B-4B48-942E-9160C328A9A8}" name="Table4" displayName="Table4" ref="J3:L306" totalsRowShown="0">
  <autoFilter ref="J3:L306" xr:uid="{1B4447DA-A53B-4B48-942E-9160C328A9A8}"/>
  <tableColumns count="3">
    <tableColumn id="1" xr3:uid="{3E4AD810-94EB-4AAD-BF74-E0D40E47F9CE}" name="Bus No."/>
    <tableColumn id="3" xr3:uid="{17204792-668F-4BCE-95C0-05E1C74245C0}" name="Room No,"/>
    <tableColumn id="2" xr3:uid="{09C5CCA6-E21B-4FEC-895F-89B6BF02F3CD}" name="With Fam" dataDxfId="38">
      <calculatedColumnFormula>IF(E4="",0,IF(I4=1,0.5,1))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3076DB-B208-4A8F-9D05-23F2C267DD4C}" name="Table5" displayName="Table5" ref="O3:T11" totalsRowShown="0">
  <autoFilter ref="O3:T11" xr:uid="{103076DB-B208-4A8F-9D05-23F2C267DD4C}"/>
  <tableColumns count="6">
    <tableColumn id="1" xr3:uid="{58D4C085-6ACC-42D8-B238-B4FC0D9A592C}" name="Bus"/>
    <tableColumn id="5" xr3:uid="{6EF245C7-FEE6-4E28-8DE3-E6DFC7B902A1}" name="Current"/>
    <tableColumn id="2" xr3:uid="{D335D951-72A6-4C0B-B6D0-F3292D30D432}" name="Remaining" dataDxfId="37">
      <calculatedColumnFormula>45-Table5[[#This Row],[Current]]</calculatedColumnFormula>
    </tableColumn>
    <tableColumn id="3" xr3:uid="{E9B6D921-4EB7-4ACD-8437-FD9A1E9D049D}" name="Note"/>
    <tableColumn id="4" xr3:uid="{12CACC8A-A1A8-4B80-A448-97F9564CC007}" name="Bus Leader"/>
    <tableColumn id="6" xr3:uid="{5D69948F-BB4B-4C43-9F7B-74FC0DE3B0A8}" name="Leader Mail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79274-4DE9-4757-A36A-BEC5838CC2D7}" name="Table2" displayName="Table2" ref="A1:H457" totalsRowShown="0" headerRowDxfId="36" dataDxfId="35">
  <autoFilter ref="A1:H457" xr:uid="{BEA79274-4DE9-4757-A36A-BEC5838CC2D7}">
    <filterColumn colId="7">
      <filters>
        <filter val="Female"/>
      </filters>
    </filterColumn>
  </autoFilter>
  <tableColumns count="8">
    <tableColumn id="1" xr3:uid="{93F5726D-2A75-4499-9CDF-2A2392160ED5}" name="EmployeeId" dataDxfId="34"/>
    <tableColumn id="2" xr3:uid="{F7DEBE01-4308-486D-8B19-4E44E97FEDA6}" name="FullName" dataDxfId="33"/>
    <tableColumn id="3" xr3:uid="{8E01B04B-564E-4708-85C7-A2341EC0127C}" name="Email" dataDxfId="32"/>
    <tableColumn id="4" xr3:uid="{B5580FC6-8AEE-4B85-90B3-077F94E3A7E2}" name="ManagerFullName" dataDxfId="31"/>
    <tableColumn id="5" xr3:uid="{C06E9FF0-EF3D-4C29-9085-F7964E23E544}" name="Governance" dataDxfId="30"/>
    <tableColumn id="6" xr3:uid="{61F56178-5E0C-48FF-B1C0-63D3991E51CD}" name="Department" dataDxfId="29"/>
    <tableColumn id="7" xr3:uid="{12D8CF1D-81F0-45EC-8C90-FC6CA22E8698}" name="EmployeeStatus" dataDxfId="28"/>
    <tableColumn id="8" xr3:uid="{DD873F96-45D1-463C-A90C-2716FD1CD37B}" name="Gen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8A6CF8-83E2-46DE-A645-8E99653D82E3}" name="Table6" displayName="Table6" ref="H1:I8" totalsRowShown="0">
  <autoFilter ref="H1:I8" xr:uid="{A18A6CF8-83E2-46DE-A645-8E99653D82E3}"/>
  <sortState xmlns:xlrd2="http://schemas.microsoft.com/office/spreadsheetml/2017/richdata2" ref="H2:I8">
    <sortCondition ref="H1:H8"/>
  </sortState>
  <tableColumns count="2">
    <tableColumn id="1" xr3:uid="{F0A7442D-72E9-451F-80CA-640815D110CA}" name="Tuổi"/>
    <tableColumn id="2" xr3:uid="{F5124623-5807-42B3-8354-5BCB0B22CF8C}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.tai3@amaris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yhong@mantu.com" TargetMode="External"/><Relationship Id="rId1" Type="http://schemas.openxmlformats.org/officeDocument/2006/relationships/hyperlink" Target="mailto:qtran5@amaris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ienthinh.le@amaris.com" TargetMode="External"/><Relationship Id="rId4" Type="http://schemas.openxmlformats.org/officeDocument/2006/relationships/hyperlink" Target="mailto:thanhviet.dinh@amari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mailto:hoaitrinh.do@amari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hanhviet.dinh@amaris.com" TargetMode="External"/><Relationship Id="rId2" Type="http://schemas.openxmlformats.org/officeDocument/2006/relationships/hyperlink" Target="mailto:nguyen.tai3@amaris.com" TargetMode="External"/><Relationship Id="rId1" Type="http://schemas.openxmlformats.org/officeDocument/2006/relationships/hyperlink" Target="mailto:qtran5@amaris.com" TargetMode="External"/><Relationship Id="rId5" Type="http://schemas.openxmlformats.org/officeDocument/2006/relationships/hyperlink" Target="mailto:tienthinh.le@amaris.com" TargetMode="External"/><Relationship Id="rId4" Type="http://schemas.openxmlformats.org/officeDocument/2006/relationships/hyperlink" Target="mailto:yhong@mant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tabSelected="1" zoomScaleNormal="100" workbookViewId="0">
      <selection activeCell="D1" sqref="D1:D1048576"/>
    </sheetView>
  </sheetViews>
  <sheetFormatPr baseColWidth="10" defaultColWidth="8.83203125" defaultRowHeight="15" customHeight="1" x14ac:dyDescent="0.2"/>
  <cols>
    <col min="1" max="1" width="5.33203125" customWidth="1"/>
    <col min="2" max="2" width="37" bestFit="1" customWidth="1"/>
    <col min="3" max="3" width="37" style="87" customWidth="1"/>
    <col min="4" max="4" width="60.6640625" bestFit="1" customWidth="1"/>
    <col min="5" max="5" width="10.33203125" bestFit="1" customWidth="1"/>
    <col min="6" max="6" width="12.1640625" bestFit="1" customWidth="1"/>
    <col min="7" max="7" width="14.1640625" bestFit="1" customWidth="1"/>
    <col min="8" max="8" width="13.5" bestFit="1" customWidth="1"/>
    <col min="9" max="9" width="8.83203125" customWidth="1"/>
  </cols>
  <sheetData>
    <row r="1" spans="1:8" x14ac:dyDescent="0.2">
      <c r="A1" t="s">
        <v>26</v>
      </c>
      <c r="B1" t="s">
        <v>0</v>
      </c>
      <c r="C1" t="s">
        <v>2229</v>
      </c>
      <c r="D1" t="s">
        <v>2230</v>
      </c>
      <c r="E1" t="s">
        <v>1343</v>
      </c>
      <c r="F1" t="s">
        <v>2231</v>
      </c>
      <c r="G1" t="s">
        <v>20</v>
      </c>
      <c r="H1" t="s">
        <v>2228</v>
      </c>
    </row>
    <row r="2" spans="1:8" x14ac:dyDescent="0.2">
      <c r="A2">
        <v>1</v>
      </c>
      <c r="B2" s="2" t="s">
        <v>849</v>
      </c>
      <c r="C2" s="87" t="str">
        <f>_xlfn.XLOOKUP(OfficeForms.Table[[#This Row],[Email]],Table2[Email],Table2[FullName],"")</f>
        <v>TRAN Pham Khanh Linh</v>
      </c>
      <c r="D2" s="2"/>
      <c r="E2">
        <v>1</v>
      </c>
      <c r="F2">
        <v>45</v>
      </c>
      <c r="G2" t="str">
        <f>IFERROR(_xlfn.XLOOKUP(OfficeForms.Table[[#This Row],[Email]],EE!C:C,EE!H:H,"Missing"),"Missing")</f>
        <v>Female</v>
      </c>
      <c r="H2" t="s">
        <v>2227</v>
      </c>
    </row>
    <row r="3" spans="1:8" x14ac:dyDescent="0.2">
      <c r="A3">
        <v>2</v>
      </c>
      <c r="B3" s="2" t="s">
        <v>1200</v>
      </c>
      <c r="C3" s="87" t="str">
        <f>_xlfn.XLOOKUP(OfficeForms.Table[[#This Row],[Email]],Table2[Email],Table2[FullName],"")</f>
        <v>PHAM Do Thuy Tien</v>
      </c>
      <c r="D3" s="2"/>
      <c r="E3">
        <v>1</v>
      </c>
      <c r="F3">
        <v>1</v>
      </c>
      <c r="G3" t="str">
        <f>IFERROR(_xlfn.XLOOKUP(OfficeForms.Table[[#This Row],[Email]],EE!C:C,EE!H:H,"Missing"),"Missing")</f>
        <v>Female</v>
      </c>
      <c r="H3" t="s">
        <v>2227</v>
      </c>
    </row>
    <row r="4" spans="1:8" x14ac:dyDescent="0.2">
      <c r="A4">
        <v>3</v>
      </c>
      <c r="B4" s="2" t="s">
        <v>1191</v>
      </c>
      <c r="C4" s="87" t="str">
        <f>_xlfn.XLOOKUP(OfficeForms.Table[[#This Row],[Email]],Table2[Email],Table2[FullName],"")</f>
        <v>NGUYEN Hoang Ha Quyen</v>
      </c>
      <c r="D4" s="2"/>
      <c r="E4">
        <v>1</v>
      </c>
      <c r="F4">
        <v>2</v>
      </c>
      <c r="G4" t="str">
        <f>IFERROR(_xlfn.XLOOKUP(OfficeForms.Table[[#This Row],[Email]],EE!C:C,EE!H:H,"Missing"),"Missing")</f>
        <v>Female</v>
      </c>
      <c r="H4" t="s">
        <v>2227</v>
      </c>
    </row>
    <row r="5" spans="1:8" x14ac:dyDescent="0.2">
      <c r="A5">
        <v>4</v>
      </c>
      <c r="B5" s="2" t="s">
        <v>1195</v>
      </c>
      <c r="C5" s="87" t="str">
        <f>_xlfn.XLOOKUP(OfficeForms.Table[[#This Row],[Email]],Table2[Email],Table2[FullName],"")</f>
        <v>DOAN Thien Trang</v>
      </c>
      <c r="D5" s="2"/>
      <c r="E5">
        <v>1</v>
      </c>
      <c r="F5">
        <v>2</v>
      </c>
      <c r="G5" t="str">
        <f>IFERROR(_xlfn.XLOOKUP(OfficeForms.Table[[#This Row],[Email]],EE!C:C,EE!H:H,"Missing"),"Missing")</f>
        <v>Female</v>
      </c>
      <c r="H5" t="s">
        <v>2227</v>
      </c>
    </row>
    <row r="6" spans="1:8" x14ac:dyDescent="0.2">
      <c r="A6">
        <v>5</v>
      </c>
      <c r="B6" s="2" t="s">
        <v>556</v>
      </c>
      <c r="C6" s="87" t="str">
        <f>_xlfn.XLOOKUP(OfficeForms.Table[[#This Row],[Email]],Table2[Email],Table2[FullName],"")</f>
        <v>HO Nguyen Hong Uyen</v>
      </c>
      <c r="D6" s="2"/>
      <c r="E6" s="25">
        <v>1</v>
      </c>
      <c r="F6">
        <v>85</v>
      </c>
      <c r="G6" t="str">
        <f>IFERROR(_xlfn.XLOOKUP(OfficeForms.Table[[#This Row],[Email]],EE!C:C,EE!H:H,"Missing"),"Missing")</f>
        <v>Female</v>
      </c>
      <c r="H6" t="s">
        <v>2227</v>
      </c>
    </row>
    <row r="7" spans="1:8" x14ac:dyDescent="0.2">
      <c r="A7">
        <v>6</v>
      </c>
      <c r="B7" s="2" t="s">
        <v>531</v>
      </c>
      <c r="C7" s="87" t="str">
        <f>_xlfn.XLOOKUP(OfficeForms.Table[[#This Row],[Email]],Table2[Email],Table2[FullName],"")</f>
        <v>HA Phuong Thao</v>
      </c>
      <c r="D7" s="2"/>
      <c r="E7" s="25">
        <v>1</v>
      </c>
      <c r="F7">
        <v>88</v>
      </c>
      <c r="G7" t="str">
        <f>IFERROR(_xlfn.XLOOKUP(OfficeForms.Table[[#This Row],[Email]],EE!C:C,EE!H:H,"Missing"),"Missing")</f>
        <v>Female</v>
      </c>
      <c r="H7" t="s">
        <v>2227</v>
      </c>
    </row>
    <row r="8" spans="1:8" x14ac:dyDescent="0.2">
      <c r="A8">
        <v>7</v>
      </c>
      <c r="B8" s="2" t="s">
        <v>560</v>
      </c>
      <c r="C8" s="87" t="str">
        <f>_xlfn.XLOOKUP(OfficeForms.Table[[#This Row],[Email]],Table2[Email],Table2[FullName],"")</f>
        <v>VU Thanh Hang</v>
      </c>
      <c r="D8" s="2"/>
      <c r="E8" s="25">
        <v>1</v>
      </c>
      <c r="F8">
        <v>85</v>
      </c>
      <c r="G8" t="str">
        <f>IFERROR(_xlfn.XLOOKUP(OfficeForms.Table[[#This Row],[Email]],EE!C:C,EE!H:H,"Missing"),"Missing")</f>
        <v>Female</v>
      </c>
      <c r="H8" t="s">
        <v>2227</v>
      </c>
    </row>
    <row r="9" spans="1:8" x14ac:dyDescent="0.2">
      <c r="A9">
        <v>8</v>
      </c>
      <c r="B9" s="2" t="s">
        <v>1174</v>
      </c>
      <c r="C9" s="87" t="str">
        <f>_xlfn.XLOOKUP(OfficeForms.Table[[#This Row],[Email]],Table2[Email],Table2[FullName],"")</f>
        <v>CAO Duc Minh</v>
      </c>
      <c r="D9" s="2"/>
      <c r="E9">
        <v>1</v>
      </c>
      <c r="F9">
        <v>4</v>
      </c>
      <c r="G9" t="str">
        <f>IFERROR(_xlfn.XLOOKUP(OfficeForms.Table[[#This Row],[Email]],EE!C:C,EE!H:H,"Missing"),"Missing")</f>
        <v>Male</v>
      </c>
      <c r="H9" t="s">
        <v>2217</v>
      </c>
    </row>
    <row r="10" spans="1:8" x14ac:dyDescent="0.2">
      <c r="A10">
        <v>9</v>
      </c>
      <c r="B10" s="2" t="s">
        <v>1178</v>
      </c>
      <c r="C10" s="87" t="str">
        <f>_xlfn.XLOOKUP(OfficeForms.Table[[#This Row],[Email]],Table2[Email],Table2[FullName],"")</f>
        <v>LA Hoang Tu</v>
      </c>
      <c r="D10" s="2"/>
      <c r="E10">
        <v>1</v>
      </c>
      <c r="F10">
        <v>4</v>
      </c>
      <c r="G10" t="str">
        <f>IFERROR(_xlfn.XLOOKUP(OfficeForms.Table[[#This Row],[Email]],EE!C:C,EE!H:H,"Missing"),"Missing")</f>
        <v>Male</v>
      </c>
      <c r="H10" t="s">
        <v>2217</v>
      </c>
    </row>
    <row r="11" spans="1:8" x14ac:dyDescent="0.2">
      <c r="A11">
        <v>10</v>
      </c>
      <c r="B11" s="2" t="s">
        <v>1166</v>
      </c>
      <c r="C11" s="87" t="str">
        <f>_xlfn.XLOOKUP(OfficeForms.Table[[#This Row],[Email]],Table2[Email],Table2[FullName],"")</f>
        <v>CAO Trung Nghia</v>
      </c>
      <c r="D11" s="2"/>
      <c r="E11">
        <v>1</v>
      </c>
      <c r="F11">
        <v>5</v>
      </c>
      <c r="G11" t="str">
        <f>IFERROR(_xlfn.XLOOKUP(OfficeForms.Table[[#This Row],[Email]],EE!C:C,EE!H:H,"Missing"),"Missing")</f>
        <v>Male</v>
      </c>
      <c r="H11" t="s">
        <v>2217</v>
      </c>
    </row>
    <row r="12" spans="1:8" x14ac:dyDescent="0.2">
      <c r="A12">
        <v>11</v>
      </c>
      <c r="B12" s="2" t="s">
        <v>1182</v>
      </c>
      <c r="C12" s="87" t="str">
        <f>_xlfn.XLOOKUP(OfficeForms.Table[[#This Row],[Email]],Table2[Email],Table2[FullName],"")</f>
        <v>LE Minh Thuan</v>
      </c>
      <c r="D12" s="2"/>
      <c r="E12">
        <v>1</v>
      </c>
      <c r="F12">
        <v>3</v>
      </c>
      <c r="G12" t="str">
        <f>IFERROR(_xlfn.XLOOKUP(OfficeForms.Table[[#This Row],[Email]],EE!C:C,EE!H:H,"Missing"),"Missing")</f>
        <v>Male</v>
      </c>
      <c r="H12" t="s">
        <v>2217</v>
      </c>
    </row>
    <row r="13" spans="1:8" x14ac:dyDescent="0.2">
      <c r="A13">
        <v>12</v>
      </c>
      <c r="B13" s="2" t="s">
        <v>1186</v>
      </c>
      <c r="C13" s="87" t="str">
        <f>_xlfn.XLOOKUP(OfficeForms.Table[[#This Row],[Email]],Table2[Email],Table2[FullName],"")</f>
        <v>NGUYEN Van Thanh Thuan</v>
      </c>
      <c r="D13" s="2"/>
      <c r="E13">
        <v>1</v>
      </c>
      <c r="F13">
        <v>3</v>
      </c>
      <c r="G13" t="str">
        <f>IFERROR(_xlfn.XLOOKUP(OfficeForms.Table[[#This Row],[Email]],EE!C:C,EE!H:H,"Missing"),"Missing")</f>
        <v>Male</v>
      </c>
      <c r="H13" t="s">
        <v>2217</v>
      </c>
    </row>
    <row r="14" spans="1:8" x14ac:dyDescent="0.2">
      <c r="A14">
        <v>13</v>
      </c>
      <c r="B14" s="2" t="s">
        <v>1170</v>
      </c>
      <c r="C14" s="87" t="str">
        <f>_xlfn.XLOOKUP(OfficeForms.Table[[#This Row],[Email]],Table2[Email],Table2[FullName],"")</f>
        <v>TRAN Van Do</v>
      </c>
      <c r="D14" s="2"/>
      <c r="E14">
        <v>1</v>
      </c>
      <c r="F14">
        <v>5</v>
      </c>
      <c r="G14" t="str">
        <f>IFERROR(_xlfn.XLOOKUP(OfficeForms.Table[[#This Row],[Email]],EE!C:C,EE!H:H,"Missing"),"Missing")</f>
        <v>Male</v>
      </c>
      <c r="H14" t="s">
        <v>2217</v>
      </c>
    </row>
    <row r="15" spans="1:8" x14ac:dyDescent="0.2">
      <c r="A15">
        <v>14</v>
      </c>
      <c r="B15" s="2" t="s">
        <v>1158</v>
      </c>
      <c r="C15" s="87" t="str">
        <f>_xlfn.XLOOKUP(OfficeForms.Table[[#This Row],[Email]],Table2[Email],Table2[FullName],"")</f>
        <v>HA Quang Trinh</v>
      </c>
      <c r="D15" s="2"/>
      <c r="E15">
        <v>1</v>
      </c>
      <c r="F15">
        <v>6</v>
      </c>
      <c r="G15" t="str">
        <f>IFERROR(_xlfn.XLOOKUP(OfficeForms.Table[[#This Row],[Email]],EE!C:C,EE!H:H,"Missing"),"Missing")</f>
        <v>Male</v>
      </c>
      <c r="H15" t="s">
        <v>2217</v>
      </c>
    </row>
    <row r="16" spans="1:8" x14ac:dyDescent="0.2">
      <c r="A16">
        <v>15</v>
      </c>
      <c r="B16" s="2" t="s">
        <v>1150</v>
      </c>
      <c r="C16" s="87" t="str">
        <f>_xlfn.XLOOKUP(OfficeForms.Table[[#This Row],[Email]],Table2[Email],Table2[FullName],"")</f>
        <v>Ngô Tấn Thành</v>
      </c>
      <c r="D16" s="2"/>
      <c r="E16">
        <v>1</v>
      </c>
      <c r="F16">
        <v>7</v>
      </c>
      <c r="G16" t="str">
        <f>IFERROR(_xlfn.XLOOKUP(OfficeForms.Table[[#This Row],[Email]],EE!C:C,EE!H:H,"Missing"),"Missing")</f>
        <v>Male</v>
      </c>
      <c r="H16" t="s">
        <v>2217</v>
      </c>
    </row>
    <row r="17" spans="1:8" x14ac:dyDescent="0.2">
      <c r="A17">
        <v>16</v>
      </c>
      <c r="B17" s="2" t="s">
        <v>1162</v>
      </c>
      <c r="C17" s="87" t="str">
        <f>_xlfn.XLOOKUP(OfficeForms.Table[[#This Row],[Email]],Table2[Email],Table2[FullName],"")</f>
        <v>MAI Binh Nam</v>
      </c>
      <c r="D17" s="2"/>
      <c r="E17">
        <v>1</v>
      </c>
      <c r="F17">
        <v>6</v>
      </c>
      <c r="G17" t="str">
        <f>IFERROR(_xlfn.XLOOKUP(OfficeForms.Table[[#This Row],[Email]],EE!C:C,EE!H:H,"Missing"),"Missing")</f>
        <v>Male</v>
      </c>
      <c r="H17" t="s">
        <v>2217</v>
      </c>
    </row>
    <row r="18" spans="1:8" x14ac:dyDescent="0.2">
      <c r="A18">
        <v>17</v>
      </c>
      <c r="B18" s="2" t="s">
        <v>1142</v>
      </c>
      <c r="C18" s="87" t="str">
        <f>_xlfn.XLOOKUP(OfficeForms.Table[[#This Row],[Email]],Table2[Email],Table2[FullName],"")</f>
        <v>NGUYEN Hong Chuong</v>
      </c>
      <c r="D18" s="2"/>
      <c r="E18">
        <v>1</v>
      </c>
      <c r="F18">
        <v>8</v>
      </c>
      <c r="G18" t="str">
        <f>IFERROR(_xlfn.XLOOKUP(OfficeForms.Table[[#This Row],[Email]],EE!C:C,EE!H:H,"Missing"),"Missing")</f>
        <v>Male</v>
      </c>
      <c r="H18" t="s">
        <v>2217</v>
      </c>
    </row>
    <row r="19" spans="1:8" x14ac:dyDescent="0.2">
      <c r="A19">
        <v>18</v>
      </c>
      <c r="B19" s="2" t="s">
        <v>1154</v>
      </c>
      <c r="C19" s="87" t="str">
        <f>_xlfn.XLOOKUP(OfficeForms.Table[[#This Row],[Email]],Table2[Email],Table2[FullName],"")</f>
        <v>Nguyễn Lê Thành</v>
      </c>
      <c r="D19" s="2"/>
      <c r="E19">
        <v>1</v>
      </c>
      <c r="F19">
        <v>7</v>
      </c>
      <c r="G19" t="str">
        <f>IFERROR(_xlfn.XLOOKUP(OfficeForms.Table[[#This Row],[Email]],EE!C:C,EE!H:H,"Missing"),"Missing")</f>
        <v>Male</v>
      </c>
      <c r="H19" t="s">
        <v>2217</v>
      </c>
    </row>
    <row r="20" spans="1:8" x14ac:dyDescent="0.2">
      <c r="A20">
        <v>19</v>
      </c>
      <c r="B20" t="s">
        <v>1102</v>
      </c>
      <c r="C20" s="87" t="str">
        <f>_xlfn.XLOOKUP(OfficeForms.Table[[#This Row],[Email]],Table2[Email],Table2[FullName],"")</f>
        <v>NGUYEN Kim Cong</v>
      </c>
      <c r="E20">
        <v>1</v>
      </c>
      <c r="F20">
        <v>13</v>
      </c>
      <c r="G20" t="str">
        <f>IFERROR(_xlfn.XLOOKUP(OfficeForms.Table[[#This Row],[Email]],EE!C:C,EE!H:H,"Missing"),"Missing")</f>
        <v>Male</v>
      </c>
      <c r="H20" t="s">
        <v>2217</v>
      </c>
    </row>
    <row r="21" spans="1:8" x14ac:dyDescent="0.2">
      <c r="A21">
        <v>20</v>
      </c>
      <c r="B21" s="2" t="s">
        <v>1146</v>
      </c>
      <c r="C21" s="87" t="str">
        <f>_xlfn.XLOOKUP(OfficeForms.Table[[#This Row],[Email]],Table2[Email],Table2[FullName],"")</f>
        <v>NGUYEN Ngoc Tuan</v>
      </c>
      <c r="D21" s="2"/>
      <c r="E21">
        <v>1</v>
      </c>
      <c r="F21">
        <v>8</v>
      </c>
      <c r="G21" t="str">
        <f>IFERROR(_xlfn.XLOOKUP(OfficeForms.Table[[#This Row],[Email]],EE!C:C,EE!H:H,"Missing"),"Missing")</f>
        <v>Male</v>
      </c>
      <c r="H21" t="s">
        <v>2217</v>
      </c>
    </row>
    <row r="22" spans="1:8" x14ac:dyDescent="0.2">
      <c r="A22">
        <v>21</v>
      </c>
      <c r="B22" s="2" t="s">
        <v>1134</v>
      </c>
      <c r="C22" s="87" t="str">
        <f>_xlfn.XLOOKUP(OfficeForms.Table[[#This Row],[Email]],Table2[Email],Table2[FullName],"")</f>
        <v>PHAN Thanh Nhan</v>
      </c>
      <c r="D22" s="2"/>
      <c r="E22">
        <v>1</v>
      </c>
      <c r="F22">
        <v>9</v>
      </c>
      <c r="G22" t="str">
        <f>IFERROR(_xlfn.XLOOKUP(OfficeForms.Table[[#This Row],[Email]],EE!C:C,EE!H:H,"Missing"),"Missing")</f>
        <v>Male</v>
      </c>
      <c r="H22" t="s">
        <v>2217</v>
      </c>
    </row>
    <row r="23" spans="1:8" x14ac:dyDescent="0.2">
      <c r="A23">
        <v>22</v>
      </c>
      <c r="B23" s="2" t="s">
        <v>1094</v>
      </c>
      <c r="C23" s="87" t="str">
        <f>_xlfn.XLOOKUP(OfficeForms.Table[[#This Row],[Email]],Table2[Email],Table2[FullName],"")</f>
        <v>NGUYEN Trung Nghia</v>
      </c>
      <c r="D23" s="2"/>
      <c r="E23">
        <v>1</v>
      </c>
      <c r="F23">
        <v>14</v>
      </c>
      <c r="G23" t="str">
        <f>IFERROR(_xlfn.XLOOKUP(OfficeForms.Table[[#This Row],[Email]],EE!C:C,EE!H:H,"Missing"),"Missing")</f>
        <v>Male</v>
      </c>
      <c r="H23" t="s">
        <v>2217</v>
      </c>
    </row>
    <row r="24" spans="1:8" x14ac:dyDescent="0.2">
      <c r="A24">
        <v>23</v>
      </c>
      <c r="B24" s="2" t="s">
        <v>1118</v>
      </c>
      <c r="C24" s="87" t="str">
        <f>_xlfn.XLOOKUP(OfficeForms.Table[[#This Row],[Email]],Table2[Email],Table2[FullName],"")</f>
        <v>NGUYEN Le Man Dat</v>
      </c>
      <c r="D24" s="2"/>
      <c r="E24">
        <v>1</v>
      </c>
      <c r="F24">
        <v>11</v>
      </c>
      <c r="G24" t="str">
        <f>IFERROR(_xlfn.XLOOKUP(OfficeForms.Table[[#This Row],[Email]],EE!C:C,EE!H:H,"Missing"),"Missing")</f>
        <v>Male</v>
      </c>
      <c r="H24" t="s">
        <v>2217</v>
      </c>
    </row>
    <row r="25" spans="1:8" x14ac:dyDescent="0.2">
      <c r="A25">
        <v>24</v>
      </c>
      <c r="B25" s="2" t="s">
        <v>1110</v>
      </c>
      <c r="C25" s="87" t="str">
        <f>_xlfn.XLOOKUP(OfficeForms.Table[[#This Row],[Email]],Table2[Email],Table2[FullName],"")</f>
        <v>NGUYEN Thanh Loc</v>
      </c>
      <c r="D25" s="2"/>
      <c r="E25">
        <v>1</v>
      </c>
      <c r="F25">
        <v>12</v>
      </c>
      <c r="G25" t="str">
        <f>IFERROR(_xlfn.XLOOKUP(OfficeForms.Table[[#This Row],[Email]],EE!C:C,EE!H:H,"Missing"),"Missing")</f>
        <v>Male</v>
      </c>
      <c r="H25" t="s">
        <v>2217</v>
      </c>
    </row>
    <row r="26" spans="1:8" x14ac:dyDescent="0.2">
      <c r="A26">
        <v>25</v>
      </c>
      <c r="B26" s="2" t="s">
        <v>1106</v>
      </c>
      <c r="C26" s="87" t="str">
        <f>_xlfn.XLOOKUP(OfficeForms.Table[[#This Row],[Email]],Table2[Email],Table2[FullName],"")</f>
        <v>NGUYEN Huu Vinh</v>
      </c>
      <c r="D26" s="2"/>
      <c r="E26">
        <v>1</v>
      </c>
      <c r="F26">
        <v>13</v>
      </c>
      <c r="G26" t="str">
        <f>IFERROR(_xlfn.XLOOKUP(OfficeForms.Table[[#This Row],[Email]],EE!C:C,EE!H:H,"Missing"),"Missing")</f>
        <v>Male</v>
      </c>
      <c r="H26" t="s">
        <v>2217</v>
      </c>
    </row>
    <row r="27" spans="1:8" x14ac:dyDescent="0.2">
      <c r="A27">
        <v>26</v>
      </c>
      <c r="B27" s="2" t="s">
        <v>1126</v>
      </c>
      <c r="C27" s="87" t="str">
        <f>_xlfn.XLOOKUP(OfficeForms.Table[[#This Row],[Email]],Table2[Email],Table2[FullName],"")</f>
        <v>DAO Hong Son</v>
      </c>
      <c r="D27" s="2"/>
      <c r="E27">
        <v>1</v>
      </c>
      <c r="F27">
        <v>10</v>
      </c>
      <c r="G27" t="str">
        <f>IFERROR(_xlfn.XLOOKUP(OfficeForms.Table[[#This Row],[Email]],EE!C:C,EE!H:H,"Missing"),"Missing")</f>
        <v>Male</v>
      </c>
      <c r="H27" t="s">
        <v>2217</v>
      </c>
    </row>
    <row r="28" spans="1:8" x14ac:dyDescent="0.2">
      <c r="A28">
        <v>27</v>
      </c>
      <c r="B28" s="2" t="s">
        <v>1138</v>
      </c>
      <c r="C28" s="87" t="str">
        <f>_xlfn.XLOOKUP(OfficeForms.Table[[#This Row],[Email]],Table2[Email],Table2[FullName],"")</f>
        <v>HOANG Xuan Dat</v>
      </c>
      <c r="D28" s="2"/>
      <c r="E28">
        <v>1</v>
      </c>
      <c r="F28">
        <v>9</v>
      </c>
      <c r="G28" t="str">
        <f>IFERROR(_xlfn.XLOOKUP(OfficeForms.Table[[#This Row],[Email]],EE!C:C,EE!H:H,"Missing"),"Missing")</f>
        <v>Male</v>
      </c>
      <c r="H28" t="s">
        <v>2217</v>
      </c>
    </row>
    <row r="29" spans="1:8" x14ac:dyDescent="0.2">
      <c r="A29">
        <v>28</v>
      </c>
      <c r="B29" s="2" t="s">
        <v>1098</v>
      </c>
      <c r="C29" s="87" t="str">
        <f>_xlfn.XLOOKUP(OfficeForms.Table[[#This Row],[Email]],Table2[Email],Table2[FullName],"")</f>
        <v>PHAM Trung Hieu</v>
      </c>
      <c r="D29" s="2"/>
      <c r="E29">
        <v>1</v>
      </c>
      <c r="F29">
        <v>14</v>
      </c>
      <c r="G29" t="str">
        <f>IFERROR(_xlfn.XLOOKUP(OfficeForms.Table[[#This Row],[Email]],EE!C:C,EE!H:H,"Missing"),"Missing")</f>
        <v>Male</v>
      </c>
      <c r="H29" t="s">
        <v>2217</v>
      </c>
    </row>
    <row r="30" spans="1:8" x14ac:dyDescent="0.2">
      <c r="A30">
        <v>29</v>
      </c>
      <c r="B30" s="2" t="s">
        <v>1130</v>
      </c>
      <c r="C30" s="87" t="str">
        <f>_xlfn.XLOOKUP(OfficeForms.Table[[#This Row],[Email]],Table2[Email],Table2[FullName],"")</f>
        <v>NGUYEN Thanh Son</v>
      </c>
      <c r="D30" s="2"/>
      <c r="E30">
        <v>1</v>
      </c>
      <c r="F30">
        <v>10</v>
      </c>
      <c r="G30" t="str">
        <f>IFERROR(_xlfn.XLOOKUP(OfficeForms.Table[[#This Row],[Email]],EE!C:C,EE!H:H,"Missing"),"Missing")</f>
        <v>Male</v>
      </c>
      <c r="H30" t="s">
        <v>2217</v>
      </c>
    </row>
    <row r="31" spans="1:8" x14ac:dyDescent="0.2">
      <c r="A31">
        <v>30</v>
      </c>
      <c r="B31" s="80" t="s">
        <v>644</v>
      </c>
      <c r="C31" s="88" t="str">
        <f>_xlfn.XLOOKUP(OfficeForms.Table[[#This Row],[Email]],Table2[Email],Table2[FullName],"")</f>
        <v>NGUYEN Thanh Tai</v>
      </c>
      <c r="D31" s="2" t="s">
        <v>648</v>
      </c>
      <c r="E31">
        <v>1</v>
      </c>
      <c r="F31">
        <v>73</v>
      </c>
      <c r="G31" t="str">
        <f>IFERROR(_xlfn.XLOOKUP(OfficeForms.Table[[#This Row],[Email]],EE!C:C,EE!H:H,"Missing"),"Missing")</f>
        <v>Male</v>
      </c>
      <c r="H31" t="s">
        <v>2227</v>
      </c>
    </row>
    <row r="32" spans="1:8" x14ac:dyDescent="0.2">
      <c r="A32">
        <v>31</v>
      </c>
      <c r="B32" s="2" t="s">
        <v>1114</v>
      </c>
      <c r="C32" s="87" t="str">
        <f>_xlfn.XLOOKUP(OfficeForms.Table[[#This Row],[Email]],Table2[Email],Table2[FullName],"")</f>
        <v>KHUAT Van Thanh Danh</v>
      </c>
      <c r="D32" s="2"/>
      <c r="E32">
        <v>1</v>
      </c>
      <c r="F32">
        <v>12</v>
      </c>
      <c r="G32" t="str">
        <f>IFERROR(_xlfn.XLOOKUP(OfficeForms.Table[[#This Row],[Email]],EE!C:C,EE!H:H,"Missing"),"Missing")</f>
        <v>Male</v>
      </c>
      <c r="H32" t="s">
        <v>2217</v>
      </c>
    </row>
    <row r="33" spans="1:8" x14ac:dyDescent="0.2">
      <c r="A33">
        <v>32</v>
      </c>
      <c r="B33" s="2" t="s">
        <v>1085</v>
      </c>
      <c r="C33" s="87" t="str">
        <f>_xlfn.XLOOKUP(OfficeForms.Table[[#This Row],[Email]],Table2[Email],Table2[FullName],"")</f>
        <v>NGUYEN Quang Nien</v>
      </c>
      <c r="D33" s="2"/>
      <c r="E33">
        <v>1</v>
      </c>
      <c r="F33">
        <v>15</v>
      </c>
      <c r="G33" t="str">
        <f>IFERROR(_xlfn.XLOOKUP(OfficeForms.Table[[#This Row],[Email]],EE!C:C,EE!H:H,"Missing"),"Missing")</f>
        <v>Male</v>
      </c>
      <c r="H33" t="s">
        <v>2217</v>
      </c>
    </row>
    <row r="34" spans="1:8" x14ac:dyDescent="0.2">
      <c r="A34">
        <v>33</v>
      </c>
      <c r="B34" s="2" t="s">
        <v>1122</v>
      </c>
      <c r="C34" s="87" t="str">
        <f>_xlfn.XLOOKUP(OfficeForms.Table[[#This Row],[Email]],Table2[Email],Table2[FullName],"")</f>
        <v>LE Thanh Phuoc</v>
      </c>
      <c r="D34" s="2"/>
      <c r="E34">
        <v>1</v>
      </c>
      <c r="F34">
        <v>11</v>
      </c>
      <c r="G34" t="str">
        <f>IFERROR(_xlfn.XLOOKUP(OfficeForms.Table[[#This Row],[Email]],EE!C:C,EE!H:H,"Missing"),"Missing")</f>
        <v>Male</v>
      </c>
      <c r="H34" t="s">
        <v>2217</v>
      </c>
    </row>
    <row r="35" spans="1:8" x14ac:dyDescent="0.2">
      <c r="A35">
        <v>34</v>
      </c>
      <c r="B35" s="2" t="s">
        <v>515</v>
      </c>
      <c r="C35" s="87" t="str">
        <f>_xlfn.XLOOKUP(OfficeForms.Table[[#This Row],[Email]],Table2[Email],Table2[FullName],"")</f>
        <v>NGUYEN Tien Nam</v>
      </c>
      <c r="D35" s="2"/>
      <c r="E35" s="25">
        <v>8</v>
      </c>
      <c r="F35">
        <v>110</v>
      </c>
      <c r="G35" t="str">
        <f>IFERROR(_xlfn.XLOOKUP(OfficeForms.Table[[#This Row],[Email]],EE!C:C,EE!H:H,"Missing"),"Missing")</f>
        <v>Male</v>
      </c>
      <c r="H35" t="s">
        <v>2217</v>
      </c>
    </row>
    <row r="36" spans="1:8" x14ac:dyDescent="0.2">
      <c r="A36">
        <v>35</v>
      </c>
      <c r="B36" s="2" t="s">
        <v>1089</v>
      </c>
      <c r="C36" s="87" t="str">
        <f>_xlfn.XLOOKUP(OfficeForms.Table[[#This Row],[Email]],Table2[Email],Table2[FullName],"")</f>
        <v>BUI Cong Danh</v>
      </c>
      <c r="D36" s="2"/>
      <c r="E36">
        <v>1</v>
      </c>
      <c r="F36">
        <v>15</v>
      </c>
      <c r="G36" t="str">
        <f>IFERROR(_xlfn.XLOOKUP(OfficeForms.Table[[#This Row],[Email]],EE!C:C,EE!H:H,"Missing"),"Missing")</f>
        <v>Male</v>
      </c>
      <c r="H36" t="s">
        <v>2217</v>
      </c>
    </row>
    <row r="37" spans="1:8" x14ac:dyDescent="0.2">
      <c r="A37">
        <v>36</v>
      </c>
      <c r="B37" s="2" t="s">
        <v>1077</v>
      </c>
      <c r="C37" s="87" t="str">
        <f>_xlfn.XLOOKUP(OfficeForms.Table[[#This Row],[Email]],Table2[Email],Table2[FullName],"")</f>
        <v>VO Huynh Chi Tin</v>
      </c>
      <c r="D37" s="2"/>
      <c r="E37">
        <v>1</v>
      </c>
      <c r="F37">
        <v>16</v>
      </c>
      <c r="G37" t="str">
        <f>IFERROR(_xlfn.XLOOKUP(OfficeForms.Table[[#This Row],[Email]],EE!C:C,EE!H:H,"Missing"),"Missing")</f>
        <v>Male</v>
      </c>
      <c r="H37" t="s">
        <v>2217</v>
      </c>
    </row>
    <row r="38" spans="1:8" x14ac:dyDescent="0.2">
      <c r="A38">
        <v>37</v>
      </c>
      <c r="B38" s="2" t="s">
        <v>1081</v>
      </c>
      <c r="C38" s="87" t="str">
        <f>_xlfn.XLOOKUP(OfficeForms.Table[[#This Row],[Email]],Table2[Email],Table2[FullName],"")</f>
        <v>DO Quang Trung</v>
      </c>
      <c r="D38" s="2"/>
      <c r="E38">
        <v>1</v>
      </c>
      <c r="F38">
        <v>16</v>
      </c>
      <c r="G38" t="str">
        <f>IFERROR(_xlfn.XLOOKUP(OfficeForms.Table[[#This Row],[Email]],EE!C:C,EE!H:H,"Missing"),"Missing")</f>
        <v>Male</v>
      </c>
      <c r="H38" t="s">
        <v>2217</v>
      </c>
    </row>
    <row r="39" spans="1:8" x14ac:dyDescent="0.2">
      <c r="A39">
        <v>38</v>
      </c>
      <c r="B39" s="2" t="s">
        <v>696</v>
      </c>
      <c r="C39" s="87" t="str">
        <f>_xlfn.XLOOKUP(OfficeForms.Table[[#This Row],[Email]],Table2[Email],Table2[FullName],"")</f>
        <v>DANG Van Trien</v>
      </c>
      <c r="D39" s="2"/>
      <c r="E39">
        <v>2</v>
      </c>
      <c r="F39">
        <v>65</v>
      </c>
      <c r="G39" t="str">
        <f>IFERROR(_xlfn.XLOOKUP(OfficeForms.Table[[#This Row],[Email]],EE!C:C,EE!H:H,"Missing"),"Missing")</f>
        <v>Male</v>
      </c>
      <c r="H39" t="s">
        <v>2217</v>
      </c>
    </row>
    <row r="40" spans="1:8" x14ac:dyDescent="0.2">
      <c r="A40">
        <v>39</v>
      </c>
      <c r="B40" s="2" t="s">
        <v>688</v>
      </c>
      <c r="C40" s="87" t="str">
        <f>_xlfn.XLOOKUP(OfficeForms.Table[[#This Row],[Email]],Table2[Email],Table2[FullName],"")</f>
        <v>NGUYEN Thanh Dat</v>
      </c>
      <c r="D40" s="2"/>
      <c r="E40">
        <v>2</v>
      </c>
      <c r="F40">
        <v>66</v>
      </c>
      <c r="G40" t="str">
        <f>IFERROR(_xlfn.XLOOKUP(OfficeForms.Table[[#This Row],[Email]],EE!C:C,EE!H:H,"Missing"),"Missing")</f>
        <v>Male</v>
      </c>
      <c r="H40" t="s">
        <v>2217</v>
      </c>
    </row>
    <row r="41" spans="1:8" x14ac:dyDescent="0.2">
      <c r="A41">
        <v>40</v>
      </c>
      <c r="B41" s="2" t="s">
        <v>692</v>
      </c>
      <c r="C41" s="87" t="str">
        <f>_xlfn.XLOOKUP(OfficeForms.Table[[#This Row],[Email]],Table2[Email],Table2[FullName],"")</f>
        <v>VU Song Toan</v>
      </c>
      <c r="D41" s="2"/>
      <c r="E41">
        <v>2</v>
      </c>
      <c r="F41">
        <v>66</v>
      </c>
      <c r="G41" t="str">
        <f>IFERROR(_xlfn.XLOOKUP(OfficeForms.Table[[#This Row],[Email]],EE!C:C,EE!H:H,"Missing"),"Missing")</f>
        <v>Male</v>
      </c>
      <c r="H41" t="s">
        <v>2217</v>
      </c>
    </row>
    <row r="42" spans="1:8" x14ac:dyDescent="0.2">
      <c r="A42">
        <v>41</v>
      </c>
      <c r="B42" s="2" t="s">
        <v>680</v>
      </c>
      <c r="C42" s="87" t="str">
        <f>_xlfn.XLOOKUP(OfficeForms.Table[[#This Row],[Email]],Table2[Email],Table2[FullName],"")</f>
        <v>TRAN Quang Tin</v>
      </c>
      <c r="D42" s="2"/>
      <c r="E42">
        <v>2</v>
      </c>
      <c r="F42">
        <v>67</v>
      </c>
      <c r="G42" t="str">
        <f>IFERROR(_xlfn.XLOOKUP(OfficeForms.Table[[#This Row],[Email]],EE!C:C,EE!H:H,"Missing"),"Missing")</f>
        <v>Male</v>
      </c>
      <c r="H42" t="s">
        <v>2217</v>
      </c>
    </row>
    <row r="43" spans="1:8" x14ac:dyDescent="0.2">
      <c r="A43">
        <v>42</v>
      </c>
      <c r="B43" s="2" t="s">
        <v>684</v>
      </c>
      <c r="C43" s="87" t="str">
        <f>_xlfn.XLOOKUP(OfficeForms.Table[[#This Row],[Email]],Table2[Email],Table2[FullName],"")</f>
        <v>VO Tuong Duy</v>
      </c>
      <c r="D43" s="2"/>
      <c r="E43">
        <v>2</v>
      </c>
      <c r="F43">
        <v>67</v>
      </c>
      <c r="G43" t="str">
        <f>IFERROR(_xlfn.XLOOKUP(OfficeForms.Table[[#This Row],[Email]],EE!C:C,EE!H:H,"Missing"),"Missing")</f>
        <v>Male</v>
      </c>
      <c r="H43" t="s">
        <v>2217</v>
      </c>
    </row>
    <row r="44" spans="1:8" x14ac:dyDescent="0.2">
      <c r="A44">
        <v>43</v>
      </c>
      <c r="B44" t="s">
        <v>1044</v>
      </c>
      <c r="C44" s="87" t="str">
        <f>_xlfn.XLOOKUP(OfficeForms.Table[[#This Row],[Email]],Table2[Email],Table2[FullName],"")</f>
        <v>PHAM Ngoc Thanh</v>
      </c>
      <c r="E44">
        <v>2</v>
      </c>
      <c r="F44">
        <v>20</v>
      </c>
      <c r="G44" t="str">
        <f>IFERROR(_xlfn.XLOOKUP(OfficeForms.Table[[#This Row],[Email]],EE!C:C,EE!H:H,"Missing"),"Missing")</f>
        <v>Male</v>
      </c>
      <c r="H44" t="s">
        <v>2217</v>
      </c>
    </row>
    <row r="45" spans="1:8" x14ac:dyDescent="0.2">
      <c r="A45">
        <v>44</v>
      </c>
      <c r="B45" s="2" t="s">
        <v>1069</v>
      </c>
      <c r="C45" s="87" t="str">
        <f>_xlfn.XLOOKUP(OfficeForms.Table[[#This Row],[Email]],Table2[Email],Table2[FullName],"")</f>
        <v>HUYNH Cong Khanh</v>
      </c>
      <c r="D45" s="2"/>
      <c r="E45">
        <v>2</v>
      </c>
      <c r="F45">
        <v>17</v>
      </c>
      <c r="G45" t="str">
        <f>IFERROR(_xlfn.XLOOKUP(OfficeForms.Table[[#This Row],[Email]],EE!C:C,EE!H:H,"Missing"),"Missing")</f>
        <v>Male</v>
      </c>
      <c r="H45" t="s">
        <v>2217</v>
      </c>
    </row>
    <row r="46" spans="1:8" x14ac:dyDescent="0.2">
      <c r="A46">
        <v>45</v>
      </c>
      <c r="B46" s="2" t="s">
        <v>1048</v>
      </c>
      <c r="C46" s="87" t="str">
        <f>_xlfn.XLOOKUP(OfficeForms.Table[[#This Row],[Email]],Table2[Email],Table2[FullName],"")</f>
        <v>TRAN Xuan Vu</v>
      </c>
      <c r="D46" s="2"/>
      <c r="E46">
        <v>2</v>
      </c>
      <c r="F46">
        <v>20</v>
      </c>
      <c r="G46" t="str">
        <f>IFERROR(_xlfn.XLOOKUP(OfficeForms.Table[[#This Row],[Email]],EE!C:C,EE!H:H,"Missing"),"Missing")</f>
        <v>Male</v>
      </c>
      <c r="H46" t="s">
        <v>2217</v>
      </c>
    </row>
    <row r="47" spans="1:8" x14ac:dyDescent="0.2">
      <c r="A47">
        <v>46</v>
      </c>
      <c r="B47" s="2" t="s">
        <v>86</v>
      </c>
      <c r="C47" s="87" t="str">
        <f>_xlfn.XLOOKUP(OfficeForms.Table[[#This Row],[Email]],Table2[Email],Table2[FullName],"")</f>
        <v>LE Thi Thanh Huong</v>
      </c>
      <c r="D47" s="2"/>
      <c r="E47">
        <v>2</v>
      </c>
      <c r="F47">
        <v>31</v>
      </c>
      <c r="G47" t="str">
        <f>IFERROR(_xlfn.XLOOKUP(OfficeForms.Table[[#This Row],[Email]],EE!C:C,EE!H:H,"Missing"),"Missing")</f>
        <v>Female</v>
      </c>
      <c r="H47" t="s">
        <v>2227</v>
      </c>
    </row>
    <row r="48" spans="1:8" x14ac:dyDescent="0.2">
      <c r="A48">
        <v>47</v>
      </c>
      <c r="B48" t="s">
        <v>958</v>
      </c>
      <c r="C48" s="87" t="str">
        <f>_xlfn.XLOOKUP(OfficeForms.Table[[#This Row],[Email]],Table2[Email],Table2[FullName],"")</f>
        <v>LE THI Phuong Hang</v>
      </c>
      <c r="E48">
        <v>2</v>
      </c>
      <c r="F48">
        <v>31</v>
      </c>
      <c r="G48" t="str">
        <f>IFERROR(_xlfn.XLOOKUP(OfficeForms.Table[[#This Row],[Email]],EE!C:C,EE!H:H,"Missing"),"Missing")</f>
        <v>Female</v>
      </c>
      <c r="H48" t="s">
        <v>2227</v>
      </c>
    </row>
    <row r="49" spans="1:8" x14ac:dyDescent="0.2">
      <c r="A49">
        <v>48</v>
      </c>
      <c r="B49" t="s">
        <v>1036</v>
      </c>
      <c r="C49" s="87" t="str">
        <f>_xlfn.XLOOKUP(OfficeForms.Table[[#This Row],[Email]],Table2[Email],Table2[FullName],"")</f>
        <v>PHAN Nhu Hai Luu</v>
      </c>
      <c r="E49">
        <v>2</v>
      </c>
      <c r="F49">
        <v>21</v>
      </c>
      <c r="G49" t="str">
        <f>IFERROR(_xlfn.XLOOKUP(OfficeForms.Table[[#This Row],[Email]],EE!C:C,EE!H:H,"Missing"),"Missing")</f>
        <v>Male</v>
      </c>
      <c r="H49" t="s">
        <v>2217</v>
      </c>
    </row>
    <row r="50" spans="1:8" x14ac:dyDescent="0.2">
      <c r="A50">
        <v>49</v>
      </c>
      <c r="B50" t="s">
        <v>950</v>
      </c>
      <c r="C50" s="87" t="str">
        <f>_xlfn.XLOOKUP(OfficeForms.Table[[#This Row],[Email]],Table2[Email],Table2[FullName],"")</f>
        <v>TRAN Thi Tram Ngan</v>
      </c>
      <c r="E50">
        <v>2</v>
      </c>
      <c r="F50">
        <v>32</v>
      </c>
      <c r="G50" t="str">
        <f>IFERROR(_xlfn.XLOOKUP(OfficeForms.Table[[#This Row],[Email]],EE!C:C,EE!H:H,"Missing"),"Missing")</f>
        <v>Female</v>
      </c>
      <c r="H50" t="s">
        <v>2227</v>
      </c>
    </row>
    <row r="51" spans="1:8" x14ac:dyDescent="0.2">
      <c r="A51">
        <v>50</v>
      </c>
      <c r="B51" t="s">
        <v>1040</v>
      </c>
      <c r="C51" s="87" t="str">
        <f>_xlfn.XLOOKUP(OfficeForms.Table[[#This Row],[Email]],Table2[Email],Table2[FullName],"")</f>
        <v>CAO Hoai Sang</v>
      </c>
      <c r="E51">
        <v>2</v>
      </c>
      <c r="F51">
        <v>21</v>
      </c>
      <c r="G51" t="str">
        <f>IFERROR(_xlfn.XLOOKUP(OfficeForms.Table[[#This Row],[Email]],EE!C:C,EE!H:H,"Missing"),"Missing")</f>
        <v>Male</v>
      </c>
      <c r="H51" t="s">
        <v>2217</v>
      </c>
    </row>
    <row r="52" spans="1:8" x14ac:dyDescent="0.2">
      <c r="A52">
        <v>51</v>
      </c>
      <c r="B52" t="s">
        <v>954</v>
      </c>
      <c r="C52" s="87" t="str">
        <f>_xlfn.XLOOKUP(OfficeForms.Table[[#This Row],[Email]],Table2[Email],Table2[FullName],"")</f>
        <v>HA Ngoc My</v>
      </c>
      <c r="E52">
        <v>2</v>
      </c>
      <c r="F52">
        <v>32</v>
      </c>
      <c r="G52" t="str">
        <f>IFERROR(_xlfn.XLOOKUP(OfficeForms.Table[[#This Row],[Email]],EE!C:C,EE!H:H,"Missing"),"Missing")</f>
        <v>Female</v>
      </c>
      <c r="H52" t="s">
        <v>2227</v>
      </c>
    </row>
    <row r="53" spans="1:8" x14ac:dyDescent="0.2">
      <c r="A53">
        <v>52</v>
      </c>
      <c r="B53" t="s">
        <v>1028</v>
      </c>
      <c r="C53" s="87" t="str">
        <f>_xlfn.XLOOKUP(OfficeForms.Table[[#This Row],[Email]],Table2[Email],Table2[FullName],"")</f>
        <v>NGUYEN Huynh Duy Duc</v>
      </c>
      <c r="E53">
        <v>2</v>
      </c>
      <c r="F53">
        <v>22</v>
      </c>
      <c r="G53" t="str">
        <f>IFERROR(_xlfn.XLOOKUP(OfficeForms.Table[[#This Row],[Email]],EE!C:C,EE!H:H,"Missing"),"Missing")</f>
        <v>Male</v>
      </c>
      <c r="H53" t="s">
        <v>2217</v>
      </c>
    </row>
    <row r="54" spans="1:8" x14ac:dyDescent="0.2">
      <c r="A54">
        <v>53</v>
      </c>
      <c r="B54" t="s">
        <v>1032</v>
      </c>
      <c r="C54" s="87" t="str">
        <f>_xlfn.XLOOKUP(OfficeForms.Table[[#This Row],[Email]],Table2[Email],Table2[FullName],"")</f>
        <v>TRAN Quoc Linh</v>
      </c>
      <c r="E54">
        <v>2</v>
      </c>
      <c r="F54">
        <v>22</v>
      </c>
      <c r="G54" t="str">
        <f>IFERROR(_xlfn.XLOOKUP(OfficeForms.Table[[#This Row],[Email]],EE!C:C,EE!H:H,"Missing"),"Missing")</f>
        <v>Male</v>
      </c>
      <c r="H54" t="s">
        <v>2217</v>
      </c>
    </row>
    <row r="55" spans="1:8" x14ac:dyDescent="0.2">
      <c r="A55">
        <v>54</v>
      </c>
      <c r="B55" s="2" t="s">
        <v>1020</v>
      </c>
      <c r="C55" s="87" t="str">
        <f>_xlfn.XLOOKUP(OfficeForms.Table[[#This Row],[Email]],Table2[Email],Table2[FullName],"")</f>
        <v>LE Van Hao</v>
      </c>
      <c r="D55" s="2"/>
      <c r="E55">
        <v>2</v>
      </c>
      <c r="F55">
        <v>23</v>
      </c>
      <c r="G55" t="str">
        <f>IFERROR(_xlfn.XLOOKUP(OfficeForms.Table[[#This Row],[Email]],EE!C:C,EE!H:H,"Missing"),"Missing")</f>
        <v>Male</v>
      </c>
      <c r="H55" t="s">
        <v>2217</v>
      </c>
    </row>
    <row r="56" spans="1:8" x14ac:dyDescent="0.2">
      <c r="A56">
        <v>55</v>
      </c>
      <c r="B56" s="2" t="s">
        <v>1024</v>
      </c>
      <c r="C56" s="87" t="str">
        <f>_xlfn.XLOOKUP(OfficeForms.Table[[#This Row],[Email]],Table2[Email],Table2[FullName],"")</f>
        <v>NGUYEN Minh Phuoc</v>
      </c>
      <c r="D56" s="2"/>
      <c r="E56">
        <v>2</v>
      </c>
      <c r="F56">
        <v>23</v>
      </c>
      <c r="G56" t="str">
        <f>IFERROR(_xlfn.XLOOKUP(OfficeForms.Table[[#This Row],[Email]],EE!C:C,EE!H:H,"Missing"),"Missing")</f>
        <v>Male</v>
      </c>
      <c r="H56" t="s">
        <v>2217</v>
      </c>
    </row>
    <row r="57" spans="1:8" x14ac:dyDescent="0.2">
      <c r="A57">
        <v>56</v>
      </c>
      <c r="B57" s="2" t="s">
        <v>1016</v>
      </c>
      <c r="C57" s="87" t="str">
        <f>_xlfn.XLOOKUP(OfficeForms.Table[[#This Row],[Email]],Table2[Email],Table2[FullName],"")</f>
        <v>MAI Huu Ngan</v>
      </c>
      <c r="D57" s="2"/>
      <c r="E57">
        <v>2</v>
      </c>
      <c r="F57">
        <v>24</v>
      </c>
      <c r="G57" t="str">
        <f>IFERROR(_xlfn.XLOOKUP(OfficeForms.Table[[#This Row],[Email]],EE!C:C,EE!H:H,"Missing"),"Missing")</f>
        <v>Male</v>
      </c>
      <c r="H57" t="s">
        <v>2227</v>
      </c>
    </row>
    <row r="58" spans="1:8" x14ac:dyDescent="0.2">
      <c r="A58">
        <v>57</v>
      </c>
      <c r="B58" s="2" t="s">
        <v>1004</v>
      </c>
      <c r="C58" s="87" t="str">
        <f>_xlfn.XLOOKUP(OfficeForms.Table[[#This Row],[Email]],Table2[Email],Table2[FullName],"")</f>
        <v>DANG Minh Quan</v>
      </c>
      <c r="D58" s="2"/>
      <c r="E58">
        <v>2</v>
      </c>
      <c r="F58">
        <v>25</v>
      </c>
      <c r="G58" t="str">
        <f>IFERROR(_xlfn.XLOOKUP(OfficeForms.Table[[#This Row],[Email]],EE!C:C,EE!H:H,"Missing"),"Missing")</f>
        <v>Male</v>
      </c>
      <c r="H58" t="s">
        <v>2217</v>
      </c>
    </row>
    <row r="59" spans="1:8" x14ac:dyDescent="0.2">
      <c r="A59">
        <v>58</v>
      </c>
      <c r="B59" s="2" t="s">
        <v>1008</v>
      </c>
      <c r="C59" s="87" t="str">
        <f>_xlfn.XLOOKUP(OfficeForms.Table[[#This Row],[Email]],Table2[Email],Table2[FullName],"")</f>
        <v>PHAM Huu Nghia</v>
      </c>
      <c r="D59" s="2"/>
      <c r="E59">
        <v>2</v>
      </c>
      <c r="F59">
        <v>25</v>
      </c>
      <c r="G59" t="str">
        <f>IFERROR(_xlfn.XLOOKUP(OfficeForms.Table[[#This Row],[Email]],EE!C:C,EE!H:H,"Missing"),"Missing")</f>
        <v>Male</v>
      </c>
      <c r="H59" t="s">
        <v>2217</v>
      </c>
    </row>
    <row r="60" spans="1:8" x14ac:dyDescent="0.2">
      <c r="A60">
        <v>59</v>
      </c>
      <c r="B60" s="2" t="s">
        <v>942</v>
      </c>
      <c r="C60" s="87" t="str">
        <f>_xlfn.XLOOKUP(OfficeForms.Table[[#This Row],[Email]],Table2[Email],Table2[FullName],"")</f>
        <v>PHAM Ngoc Thuy Trang</v>
      </c>
      <c r="D60" s="2"/>
      <c r="E60">
        <v>2</v>
      </c>
      <c r="F60">
        <v>33</v>
      </c>
      <c r="G60" t="str">
        <f>IFERROR(_xlfn.XLOOKUP(OfficeForms.Table[[#This Row],[Email]],EE!C:C,EE!H:H,"Missing"),"Missing")</f>
        <v>Female</v>
      </c>
      <c r="H60" t="s">
        <v>2227</v>
      </c>
    </row>
    <row r="61" spans="1:8" x14ac:dyDescent="0.2">
      <c r="A61">
        <v>60</v>
      </c>
      <c r="B61" s="2" t="s">
        <v>996</v>
      </c>
      <c r="C61" s="87" t="str">
        <f>_xlfn.XLOOKUP(OfficeForms.Table[[#This Row],[Email]],Table2[Email],Table2[FullName],"")</f>
        <v>NGUYEN Duy Phong</v>
      </c>
      <c r="D61" s="2"/>
      <c r="E61">
        <v>2</v>
      </c>
      <c r="F61">
        <v>26</v>
      </c>
      <c r="G61" t="str">
        <f>IFERROR(_xlfn.XLOOKUP(OfficeForms.Table[[#This Row],[Email]],EE!C:C,EE!H:H,"Missing"),"Missing")</f>
        <v>Male</v>
      </c>
      <c r="H61" t="s">
        <v>2217</v>
      </c>
    </row>
    <row r="62" spans="1:8" x14ac:dyDescent="0.2">
      <c r="A62">
        <v>61</v>
      </c>
      <c r="B62" s="2" t="s">
        <v>934</v>
      </c>
      <c r="C62" s="87" t="str">
        <f>_xlfn.XLOOKUP(OfficeForms.Table[[#This Row],[Email]],Table2[Email],Table2[FullName],"")</f>
        <v>DINH THI Tu Uyen</v>
      </c>
      <c r="D62" s="2"/>
      <c r="E62">
        <v>2</v>
      </c>
      <c r="F62">
        <v>34</v>
      </c>
      <c r="G62" t="str">
        <f>IFERROR(_xlfn.XLOOKUP(OfficeForms.Table[[#This Row],[Email]],EE!C:C,EE!H:H,"Missing"),"Missing")</f>
        <v>Female</v>
      </c>
      <c r="H62" t="s">
        <v>2227</v>
      </c>
    </row>
    <row r="63" spans="1:8" x14ac:dyDescent="0.2">
      <c r="A63">
        <v>62</v>
      </c>
      <c r="B63" s="2" t="s">
        <v>1000</v>
      </c>
      <c r="C63" s="87" t="str">
        <f>_xlfn.XLOOKUP(OfficeForms.Table[[#This Row],[Email]],Table2[Email],Table2[FullName],"")</f>
        <v>TRAN Tuan Thanh</v>
      </c>
      <c r="D63" s="2"/>
      <c r="E63">
        <v>2</v>
      </c>
      <c r="F63">
        <v>26</v>
      </c>
      <c r="G63" t="str">
        <f>IFERROR(_xlfn.XLOOKUP(OfficeForms.Table[[#This Row],[Email]],EE!C:C,EE!H:H,"Missing"),"Missing")</f>
        <v>Male</v>
      </c>
      <c r="H63" t="s">
        <v>2217</v>
      </c>
    </row>
    <row r="64" spans="1:8" x14ac:dyDescent="0.2">
      <c r="A64">
        <v>63</v>
      </c>
      <c r="B64" s="2" t="s">
        <v>988</v>
      </c>
      <c r="C64" s="87" t="str">
        <f>_xlfn.XLOOKUP(OfficeForms.Table[[#This Row],[Email]],Table2[Email],Table2[FullName],"")</f>
        <v>NGUYEN Huy Tri</v>
      </c>
      <c r="D64" s="2"/>
      <c r="E64">
        <v>2</v>
      </c>
      <c r="F64">
        <v>27</v>
      </c>
      <c r="G64" t="str">
        <f>IFERROR(_xlfn.XLOOKUP(OfficeForms.Table[[#This Row],[Email]],EE!C:C,EE!H:H,"Missing"),"Missing")</f>
        <v>Male</v>
      </c>
      <c r="H64" t="s">
        <v>2217</v>
      </c>
    </row>
    <row r="65" spans="1:8" x14ac:dyDescent="0.2">
      <c r="A65">
        <v>64</v>
      </c>
      <c r="B65" s="2" t="s">
        <v>992</v>
      </c>
      <c r="C65" s="87" t="str">
        <f>_xlfn.XLOOKUP(OfficeForms.Table[[#This Row],[Email]],Table2[Email],Table2[FullName],"")</f>
        <v>LE Thanh Duc</v>
      </c>
      <c r="D65" s="2"/>
      <c r="E65">
        <v>2</v>
      </c>
      <c r="F65">
        <v>27</v>
      </c>
      <c r="G65" t="str">
        <f>IFERROR(_xlfn.XLOOKUP(OfficeForms.Table[[#This Row],[Email]],EE!C:C,EE!H:H,"Missing"),"Missing")</f>
        <v>Male</v>
      </c>
      <c r="H65" t="s">
        <v>2217</v>
      </c>
    </row>
    <row r="66" spans="1:8" x14ac:dyDescent="0.2">
      <c r="A66">
        <v>65</v>
      </c>
      <c r="B66" s="2" t="s">
        <v>938</v>
      </c>
      <c r="C66" s="87" t="str">
        <f>_xlfn.XLOOKUP(OfficeForms.Table[[#This Row],[Email]],Table2[Email],Table2[FullName],"")</f>
        <v>TA THI Ngoc Tran</v>
      </c>
      <c r="D66" s="2"/>
      <c r="E66">
        <v>2</v>
      </c>
      <c r="F66">
        <v>34</v>
      </c>
      <c r="G66" t="str">
        <f>IFERROR(_xlfn.XLOOKUP(OfficeForms.Table[[#This Row],[Email]],EE!C:C,EE!H:H,"Missing"),"Missing")</f>
        <v>Female</v>
      </c>
      <c r="H66" t="s">
        <v>2227</v>
      </c>
    </row>
    <row r="67" spans="1:8" x14ac:dyDescent="0.2">
      <c r="A67">
        <v>66</v>
      </c>
      <c r="B67" s="2" t="s">
        <v>981</v>
      </c>
      <c r="C67" s="87" t="str">
        <f>_xlfn.XLOOKUP(OfficeForms.Table[[#This Row],[Email]],Table2[Email],Table2[FullName],"")</f>
        <v>Tran Nhat Duc NGUYEN</v>
      </c>
      <c r="D67" s="2"/>
      <c r="E67">
        <v>2</v>
      </c>
      <c r="F67">
        <v>28</v>
      </c>
      <c r="G67" t="str">
        <f>IFERROR(_xlfn.XLOOKUP(OfficeForms.Table[[#This Row],[Email]],EE!C:C,EE!H:H,"Missing"),"Missing")</f>
        <v>Male</v>
      </c>
      <c r="H67" t="s">
        <v>2217</v>
      </c>
    </row>
    <row r="68" spans="1:8" x14ac:dyDescent="0.2">
      <c r="A68">
        <v>67</v>
      </c>
      <c r="B68" s="2" t="s">
        <v>985</v>
      </c>
      <c r="C68" s="87" t="str">
        <f>_xlfn.XLOOKUP(OfficeForms.Table[[#This Row],[Email]],Table2[Email],Table2[FullName],"")</f>
        <v>Minh Tri DO</v>
      </c>
      <c r="D68" s="2"/>
      <c r="E68">
        <v>2</v>
      </c>
      <c r="F68">
        <v>28</v>
      </c>
      <c r="G68" t="str">
        <f>IFERROR(_xlfn.XLOOKUP(OfficeForms.Table[[#This Row],[Email]],EE!C:C,EE!H:H,"Missing"),"Missing")</f>
        <v>Male</v>
      </c>
      <c r="H68" t="s">
        <v>2217</v>
      </c>
    </row>
    <row r="69" spans="1:8" x14ac:dyDescent="0.2">
      <c r="A69">
        <v>68</v>
      </c>
      <c r="B69" s="2" t="s">
        <v>973</v>
      </c>
      <c r="C69" s="87" t="str">
        <f>_xlfn.XLOOKUP(OfficeForms.Table[[#This Row],[Email]],Table2[Email],Table2[FullName],"")</f>
        <v>NGUYEN Tien Manh</v>
      </c>
      <c r="D69" s="2"/>
      <c r="E69">
        <v>2</v>
      </c>
      <c r="F69">
        <v>29</v>
      </c>
      <c r="G69" t="str">
        <f>IFERROR(_xlfn.XLOOKUP(OfficeForms.Table[[#This Row],[Email]],EE!C:C,EE!H:H,"Missing"),"Missing")</f>
        <v>Male</v>
      </c>
      <c r="H69" t="s">
        <v>2217</v>
      </c>
    </row>
    <row r="70" spans="1:8" x14ac:dyDescent="0.2">
      <c r="A70">
        <v>69</v>
      </c>
      <c r="B70" s="2" t="s">
        <v>946</v>
      </c>
      <c r="C70" s="87" t="str">
        <f>_xlfn.XLOOKUP(OfficeForms.Table[[#This Row],[Email]],Table2[Email],Table2[FullName],"")</f>
        <v>PHAM THUY Thai An</v>
      </c>
      <c r="D70" s="2"/>
      <c r="E70">
        <v>2</v>
      </c>
      <c r="F70">
        <v>33</v>
      </c>
      <c r="G70" t="str">
        <f>IFERROR(_xlfn.XLOOKUP(OfficeForms.Table[[#This Row],[Email]],EE!C:C,EE!H:H,"Missing"),"Missing")</f>
        <v>Female</v>
      </c>
      <c r="H70" t="s">
        <v>2227</v>
      </c>
    </row>
    <row r="71" spans="1:8" x14ac:dyDescent="0.2">
      <c r="A71">
        <v>70</v>
      </c>
      <c r="B71" s="2" t="s">
        <v>977</v>
      </c>
      <c r="C71" s="87" t="str">
        <f>_xlfn.XLOOKUP(OfficeForms.Table[[#This Row],[Email]],Table2[Email],Table2[FullName],"")</f>
        <v>KIEU Quoc Trung</v>
      </c>
      <c r="D71" s="2"/>
      <c r="E71">
        <v>2</v>
      </c>
      <c r="F71">
        <v>29</v>
      </c>
      <c r="G71" t="str">
        <f>IFERROR(_xlfn.XLOOKUP(OfficeForms.Table[[#This Row],[Email]],EE!C:C,EE!H:H,"Missing"),"Missing")</f>
        <v>Male</v>
      </c>
      <c r="H71" t="s">
        <v>2217</v>
      </c>
    </row>
    <row r="72" spans="1:8" x14ac:dyDescent="0.2">
      <c r="A72">
        <v>71</v>
      </c>
      <c r="B72" s="80" t="s">
        <v>964</v>
      </c>
      <c r="C72" s="88" t="str">
        <f>_xlfn.XLOOKUP(OfficeForms.Table[[#This Row],[Email]],Table2[Email],Table2[FullName],"")</f>
        <v>DINH Thanh Viet</v>
      </c>
      <c r="D72" s="2"/>
      <c r="E72">
        <v>2</v>
      </c>
      <c r="F72">
        <v>30</v>
      </c>
      <c r="G72" t="str">
        <f>IFERROR(_xlfn.XLOOKUP(OfficeForms.Table[[#This Row],[Email]],EE!C:C,EE!H:H,"Missing"),"Missing")</f>
        <v>Male</v>
      </c>
      <c r="H72" t="s">
        <v>2217</v>
      </c>
    </row>
    <row r="73" spans="1:8" x14ac:dyDescent="0.2">
      <c r="A73">
        <v>72</v>
      </c>
      <c r="B73" s="2" t="s">
        <v>968</v>
      </c>
      <c r="C73" s="87" t="str">
        <f>_xlfn.XLOOKUP(OfficeForms.Table[[#This Row],[Email]],Table2[Email],Table2[FullName],"")</f>
        <v>HUYNH Chi Cuong</v>
      </c>
      <c r="D73" s="2"/>
      <c r="E73">
        <v>2</v>
      </c>
      <c r="F73">
        <v>30</v>
      </c>
      <c r="G73" t="str">
        <f>IFERROR(_xlfn.XLOOKUP(OfficeForms.Table[[#This Row],[Email]],EE!C:C,EE!H:H,"Missing"),"Missing")</f>
        <v>Male</v>
      </c>
      <c r="H73" t="s">
        <v>2217</v>
      </c>
    </row>
    <row r="74" spans="1:8" x14ac:dyDescent="0.2">
      <c r="A74">
        <v>73</v>
      </c>
      <c r="B74" s="2" t="s">
        <v>548</v>
      </c>
      <c r="C74" s="87" t="str">
        <f>_xlfn.XLOOKUP(OfficeForms.Table[[#This Row],[Email]],Table2[Email],Table2[FullName],"")</f>
        <v>LA Thuy My Hao</v>
      </c>
      <c r="D74" s="2"/>
      <c r="E74">
        <v>2</v>
      </c>
      <c r="F74">
        <v>86</v>
      </c>
      <c r="G74" t="str">
        <f>IFERROR(_xlfn.XLOOKUP(OfficeForms.Table[[#This Row],[Email]],EE!C:C,EE!H:H,"Missing"),"Missing")</f>
        <v>Female</v>
      </c>
      <c r="H74" t="s">
        <v>2227</v>
      </c>
    </row>
    <row r="75" spans="1:8" x14ac:dyDescent="0.2">
      <c r="A75">
        <v>74</v>
      </c>
      <c r="B75" t="s">
        <v>539</v>
      </c>
      <c r="C75" s="87" t="str">
        <f>_xlfn.XLOOKUP(OfficeForms.Table[[#This Row],[Email]],Table2[Email],Table2[FullName],"")</f>
        <v>NGUYEN The Trinh</v>
      </c>
      <c r="E75">
        <v>2</v>
      </c>
      <c r="F75">
        <v>87</v>
      </c>
      <c r="G75" t="str">
        <f>IFERROR(_xlfn.XLOOKUP(OfficeForms.Table[[#This Row],[Email]],EE!C:C,EE!H:H,"Missing"),"Missing")</f>
        <v>Female</v>
      </c>
      <c r="H75" t="s">
        <v>2227</v>
      </c>
    </row>
    <row r="76" spans="1:8" x14ac:dyDescent="0.2">
      <c r="A76">
        <v>75</v>
      </c>
      <c r="B76" t="s">
        <v>853</v>
      </c>
      <c r="C76" s="87" t="str">
        <f>_xlfn.XLOOKUP(OfficeForms.Table[[#This Row],[Email]],Table2[Email],Table2[FullName],"")</f>
        <v>NONG Thi Nguyet</v>
      </c>
      <c r="E76">
        <v>3</v>
      </c>
      <c r="F76">
        <v>45</v>
      </c>
      <c r="G76" t="str">
        <f>IFERROR(_xlfn.XLOOKUP(OfficeForms.Table[[#This Row],[Email]],EE!C:C,EE!H:H,"Missing"),"Missing")</f>
        <v>Female</v>
      </c>
      <c r="H76" t="s">
        <v>2227</v>
      </c>
    </row>
    <row r="77" spans="1:8" x14ac:dyDescent="0.2">
      <c r="A77">
        <v>76</v>
      </c>
      <c r="B77" t="s">
        <v>926</v>
      </c>
      <c r="C77" s="87" t="str">
        <f>_xlfn.XLOOKUP(OfficeForms.Table[[#This Row],[Email]],Table2[Email],Table2[FullName],"")</f>
        <v>NGUYEN Tri Hung</v>
      </c>
      <c r="E77">
        <v>3</v>
      </c>
      <c r="F77">
        <v>35</v>
      </c>
      <c r="G77" t="str">
        <f>IFERROR(_xlfn.XLOOKUP(OfficeForms.Table[[#This Row],[Email]],EE!C:C,EE!H:H,"Missing"),"Missing")</f>
        <v>Male</v>
      </c>
      <c r="H77" t="s">
        <v>2217</v>
      </c>
    </row>
    <row r="78" spans="1:8" x14ac:dyDescent="0.2">
      <c r="A78">
        <v>77</v>
      </c>
      <c r="B78" s="2" t="s">
        <v>918</v>
      </c>
      <c r="C78" s="87" t="str">
        <f>_xlfn.XLOOKUP(OfficeForms.Table[[#This Row],[Email]],Table2[Email],Table2[FullName],"")</f>
        <v>TON That Viet Anh</v>
      </c>
      <c r="D78" s="2"/>
      <c r="E78">
        <v>3</v>
      </c>
      <c r="F78">
        <v>36</v>
      </c>
      <c r="G78" t="str">
        <f>IFERROR(_xlfn.XLOOKUP(OfficeForms.Table[[#This Row],[Email]],EE!C:C,EE!H:H,"Missing"),"Missing")</f>
        <v>Male</v>
      </c>
      <c r="H78" t="s">
        <v>2217</v>
      </c>
    </row>
    <row r="79" spans="1:8" x14ac:dyDescent="0.2">
      <c r="A79">
        <v>78</v>
      </c>
      <c r="B79" s="2" t="s">
        <v>922</v>
      </c>
      <c r="C79" s="87" t="str">
        <f>_xlfn.XLOOKUP(OfficeForms.Table[[#This Row],[Email]],Table2[Email],Table2[FullName],"")</f>
        <v>NGUYEN Truong An</v>
      </c>
      <c r="D79" s="2"/>
      <c r="E79">
        <v>3</v>
      </c>
      <c r="F79">
        <v>36</v>
      </c>
      <c r="G79" t="str">
        <f>IFERROR(_xlfn.XLOOKUP(OfficeForms.Table[[#This Row],[Email]],EE!C:C,EE!H:H,"Missing"),"Missing")</f>
        <v>Male</v>
      </c>
      <c r="H79" t="s">
        <v>2217</v>
      </c>
    </row>
    <row r="80" spans="1:8" x14ac:dyDescent="0.2">
      <c r="A80">
        <v>79</v>
      </c>
      <c r="B80" s="2" t="s">
        <v>930</v>
      </c>
      <c r="C80" s="87" t="str">
        <f>_xlfn.XLOOKUP(OfficeForms.Table[[#This Row],[Email]],Table2[Email],Table2[FullName],"")</f>
        <v>NGUYEN Hoang Tuan Anh</v>
      </c>
      <c r="D80" s="2"/>
      <c r="E80">
        <v>3</v>
      </c>
      <c r="F80">
        <v>35</v>
      </c>
      <c r="G80" t="str">
        <f>IFERROR(_xlfn.XLOOKUP(OfficeForms.Table[[#This Row],[Email]],EE!C:C,EE!H:H,"Missing"),"Missing")</f>
        <v>Male</v>
      </c>
      <c r="H80" t="s">
        <v>2217</v>
      </c>
    </row>
    <row r="81" spans="1:8" x14ac:dyDescent="0.2">
      <c r="A81">
        <v>80</v>
      </c>
      <c r="B81" s="2" t="s">
        <v>728</v>
      </c>
      <c r="C81" s="87" t="str">
        <f>_xlfn.XLOOKUP(OfficeForms.Table[[#This Row],[Email]],Table2[Email],Table2[FullName],"")</f>
        <v>TRAN Thi Ha My</v>
      </c>
      <c r="D81" s="2"/>
      <c r="E81">
        <v>3</v>
      </c>
      <c r="F81">
        <v>61</v>
      </c>
      <c r="G81" t="str">
        <f>IFERROR(_xlfn.XLOOKUP(OfficeForms.Table[[#This Row],[Email]],EE!C:C,EE!H:H,"Missing"),"Missing")</f>
        <v>Female</v>
      </c>
      <c r="H81" t="s">
        <v>2227</v>
      </c>
    </row>
    <row r="82" spans="1:8" x14ac:dyDescent="0.2">
      <c r="A82">
        <v>81</v>
      </c>
      <c r="B82" t="s">
        <v>753</v>
      </c>
      <c r="C82" s="87" t="str">
        <f>_xlfn.XLOOKUP(OfficeForms.Table[[#This Row],[Email]],Table2[Email],Table2[FullName],"")</f>
        <v>LE Nam Kha</v>
      </c>
      <c r="E82">
        <v>4</v>
      </c>
      <c r="F82">
        <v>58</v>
      </c>
      <c r="G82" t="str">
        <f>IFERROR(_xlfn.XLOOKUP(OfficeForms.Table[[#This Row],[Email]],EE!C:C,EE!H:H,"Missing"),"Missing")</f>
        <v>Male</v>
      </c>
      <c r="H82" t="s">
        <v>2217</v>
      </c>
    </row>
    <row r="83" spans="1:8" x14ac:dyDescent="0.2">
      <c r="A83">
        <v>82</v>
      </c>
      <c r="B83" s="2" t="s">
        <v>857</v>
      </c>
      <c r="C83" s="87" t="str">
        <f>_xlfn.XLOOKUP(OfficeForms.Table[[#This Row],[Email]],Table2[Email],Table2[FullName],"")</f>
        <v>NGUYEN Thi Viet Trinh</v>
      </c>
      <c r="D83" s="2"/>
      <c r="E83">
        <v>7</v>
      </c>
      <c r="F83">
        <v>44</v>
      </c>
      <c r="G83" t="str">
        <f>IFERROR(_xlfn.XLOOKUP(OfficeForms.Table[[#This Row],[Email]],EE!C:C,EE!H:H,"Missing"),"Missing")</f>
        <v>Female</v>
      </c>
      <c r="H83" t="s">
        <v>2227</v>
      </c>
    </row>
    <row r="84" spans="1:8" x14ac:dyDescent="0.2">
      <c r="A84">
        <v>83</v>
      </c>
      <c r="B84" s="2" t="s">
        <v>910</v>
      </c>
      <c r="C84" s="87" t="str">
        <f>_xlfn.XLOOKUP(OfficeForms.Table[[#This Row],[Email]],Table2[Email],Table2[FullName],"")</f>
        <v>NGUYEN Tan Hoang</v>
      </c>
      <c r="D84" s="2"/>
      <c r="E84">
        <v>3</v>
      </c>
      <c r="F84">
        <v>37</v>
      </c>
      <c r="G84" t="str">
        <f>IFERROR(_xlfn.XLOOKUP(OfficeForms.Table[[#This Row],[Email]],EE!C:C,EE!H:H,"Missing"),"Missing")</f>
        <v>Male</v>
      </c>
      <c r="H84" t="s">
        <v>2217</v>
      </c>
    </row>
    <row r="85" spans="1:8" x14ac:dyDescent="0.2">
      <c r="A85">
        <v>84</v>
      </c>
      <c r="B85" s="2" t="s">
        <v>902</v>
      </c>
      <c r="C85" s="87" t="str">
        <f>_xlfn.XLOOKUP(OfficeForms.Table[[#This Row],[Email]],Table2[Email],Table2[FullName],"")</f>
        <v>HA Bao Khang</v>
      </c>
      <c r="D85" s="2"/>
      <c r="E85">
        <v>3</v>
      </c>
      <c r="F85">
        <v>38</v>
      </c>
      <c r="G85" t="str">
        <f>IFERROR(_xlfn.XLOOKUP(OfficeForms.Table[[#This Row],[Email]],EE!C:C,EE!H:H,"Missing"),"Missing")</f>
        <v>Male</v>
      </c>
      <c r="H85" t="s">
        <v>2217</v>
      </c>
    </row>
    <row r="86" spans="1:8" x14ac:dyDescent="0.2">
      <c r="A86">
        <v>85</v>
      </c>
      <c r="B86" s="2" t="s">
        <v>906</v>
      </c>
      <c r="C86" s="87" t="str">
        <f>_xlfn.XLOOKUP(OfficeForms.Table[[#This Row],[Email]],Table2[Email],Table2[FullName],"")</f>
        <v>CHAU Thanh Duy</v>
      </c>
      <c r="D86" s="2"/>
      <c r="E86">
        <v>3</v>
      </c>
      <c r="F86">
        <v>38</v>
      </c>
      <c r="G86" t="str">
        <f>IFERROR(_xlfn.XLOOKUP(OfficeForms.Table[[#This Row],[Email]],EE!C:C,EE!H:H,"Missing"),"Missing")</f>
        <v>Male</v>
      </c>
      <c r="H86" t="s">
        <v>2217</v>
      </c>
    </row>
    <row r="87" spans="1:8" x14ac:dyDescent="0.2">
      <c r="A87">
        <v>86</v>
      </c>
      <c r="B87" s="2" t="s">
        <v>1204</v>
      </c>
      <c r="C87" s="87" t="str">
        <f>_xlfn.XLOOKUP(OfficeForms.Table[[#This Row],[Email]],Table2[Email],Table2[FullName],"")</f>
        <v>CHUNG Khanh Gia</v>
      </c>
      <c r="D87" s="2"/>
      <c r="E87">
        <v>3</v>
      </c>
      <c r="F87">
        <v>1</v>
      </c>
      <c r="G87" t="str">
        <f>IFERROR(_xlfn.XLOOKUP(OfficeForms.Table[[#This Row],[Email]],EE!C:C,EE!H:H,"Missing"),"Missing")</f>
        <v>Female</v>
      </c>
      <c r="H87" t="s">
        <v>2227</v>
      </c>
    </row>
    <row r="88" spans="1:8" x14ac:dyDescent="0.2">
      <c r="A88">
        <v>87</v>
      </c>
      <c r="B88" s="2" t="s">
        <v>894</v>
      </c>
      <c r="C88" s="87" t="str">
        <f>_xlfn.XLOOKUP(OfficeForms.Table[[#This Row],[Email]],Table2[Email],Table2[FullName],"")</f>
        <v>CAO Van Tien</v>
      </c>
      <c r="D88" s="2"/>
      <c r="E88">
        <v>3</v>
      </c>
      <c r="F88">
        <v>39</v>
      </c>
      <c r="G88" t="str">
        <f>IFERROR(_xlfn.XLOOKUP(OfficeForms.Table[[#This Row],[Email]],EE!C:C,EE!H:H,"Missing"),"Missing")</f>
        <v>Male</v>
      </c>
      <c r="H88" t="s">
        <v>2217</v>
      </c>
    </row>
    <row r="89" spans="1:8" x14ac:dyDescent="0.2">
      <c r="A89">
        <v>88</v>
      </c>
      <c r="B89" s="2" t="s">
        <v>898</v>
      </c>
      <c r="C89" s="87" t="str">
        <f>_xlfn.XLOOKUP(OfficeForms.Table[[#This Row],[Email]],Table2[Email],Table2[FullName],"")</f>
        <v>VU Phuong</v>
      </c>
      <c r="D89" s="2"/>
      <c r="E89">
        <v>3</v>
      </c>
      <c r="F89">
        <v>39</v>
      </c>
      <c r="G89" t="str">
        <f>IFERROR(_xlfn.XLOOKUP(OfficeForms.Table[[#This Row],[Email]],EE!C:C,EE!H:H,"Missing"),"Missing")</f>
        <v>Male</v>
      </c>
      <c r="H89" t="s">
        <v>2217</v>
      </c>
    </row>
    <row r="90" spans="1:8" x14ac:dyDescent="0.2">
      <c r="A90">
        <v>89</v>
      </c>
      <c r="B90" s="2" t="s">
        <v>732</v>
      </c>
      <c r="C90" s="87" t="str">
        <f>_xlfn.XLOOKUP(OfficeForms.Table[[#This Row],[Email]],Table2[Email],Table2[FullName],"")</f>
        <v>TRAN Ngoc Trang Dai</v>
      </c>
      <c r="D90" s="2"/>
      <c r="E90">
        <v>3</v>
      </c>
      <c r="F90">
        <v>87</v>
      </c>
      <c r="G90" t="str">
        <f>IFERROR(_xlfn.XLOOKUP(OfficeForms.Table[[#This Row],[Email]],EE!C:C,EE!H:H,"Missing"),"Missing")</f>
        <v>Female</v>
      </c>
      <c r="H90" t="s">
        <v>2227</v>
      </c>
    </row>
    <row r="91" spans="1:8" x14ac:dyDescent="0.2">
      <c r="A91">
        <v>90</v>
      </c>
      <c r="B91" s="2" t="s">
        <v>886</v>
      </c>
      <c r="C91" s="87" t="str">
        <f>_xlfn.XLOOKUP(OfficeForms.Table[[#This Row],[Email]],Table2[Email],Table2[FullName],"")</f>
        <v>TRAN Minh Tan</v>
      </c>
      <c r="D91" s="2"/>
      <c r="E91">
        <v>3</v>
      </c>
      <c r="F91">
        <v>40</v>
      </c>
      <c r="G91" t="str">
        <f>IFERROR(_xlfn.XLOOKUP(OfficeForms.Table[[#This Row],[Email]],EE!C:C,EE!H:H,"Missing"),"Missing")</f>
        <v>Male</v>
      </c>
      <c r="H91" t="s">
        <v>2217</v>
      </c>
    </row>
    <row r="92" spans="1:8" ht="48" x14ac:dyDescent="0.2">
      <c r="A92">
        <v>91</v>
      </c>
      <c r="B92" s="2" t="s">
        <v>639</v>
      </c>
      <c r="C92" s="87" t="str">
        <f>_xlfn.XLOOKUP(OfficeForms.Table[[#This Row],[Email]],Table2[Email],Table2[FullName],"")</f>
        <v>NGUYEN Anh Tuan - Tl</v>
      </c>
      <c r="D92" s="3" t="s">
        <v>2232</v>
      </c>
      <c r="E92">
        <v>3</v>
      </c>
      <c r="F92">
        <v>74</v>
      </c>
      <c r="G92" t="str">
        <f>IFERROR(_xlfn.XLOOKUP(OfficeForms.Table[[#This Row],[Email]],EE!C:C,EE!H:H,"Missing"),"Missing")</f>
        <v>Male</v>
      </c>
      <c r="H92" t="s">
        <v>2217</v>
      </c>
    </row>
    <row r="93" spans="1:8" x14ac:dyDescent="0.2">
      <c r="A93">
        <v>92</v>
      </c>
      <c r="B93" s="2" t="s">
        <v>649</v>
      </c>
      <c r="C93" s="87" t="str">
        <f>_xlfn.XLOOKUP(OfficeForms.Table[[#This Row],[Email]],Table2[Email],Table2[FullName],"")</f>
        <v>TRAN Nham Quy</v>
      </c>
      <c r="D93" s="2" t="s">
        <v>653</v>
      </c>
      <c r="E93">
        <v>3</v>
      </c>
      <c r="F93">
        <v>72</v>
      </c>
      <c r="G93" t="str">
        <f>IFERROR(_xlfn.XLOOKUP(OfficeForms.Table[[#This Row],[Email]],EE!C:C,EE!H:H,"Missing"),"Missing")</f>
        <v>Male</v>
      </c>
      <c r="H93" t="s">
        <v>2227</v>
      </c>
    </row>
    <row r="94" spans="1:8" x14ac:dyDescent="0.2">
      <c r="A94">
        <v>93</v>
      </c>
      <c r="B94" s="2" t="s">
        <v>761</v>
      </c>
      <c r="C94" s="87" t="str">
        <f>_xlfn.XLOOKUP(OfficeForms.Table[[#This Row],[Email]],Table2[Email],Table2[FullName],"")</f>
        <v>TRINH Xuan Thuong</v>
      </c>
      <c r="D94" s="2"/>
      <c r="E94">
        <v>4</v>
      </c>
      <c r="F94">
        <v>57</v>
      </c>
      <c r="G94" t="str">
        <f>IFERROR(_xlfn.XLOOKUP(OfficeForms.Table[[#This Row],[Email]],EE!C:C,EE!H:H,"Missing"),"Missing")</f>
        <v>Male</v>
      </c>
      <c r="H94" t="s">
        <v>2217</v>
      </c>
    </row>
    <row r="95" spans="1:8" x14ac:dyDescent="0.2">
      <c r="A95">
        <v>94</v>
      </c>
      <c r="B95" s="2" t="s">
        <v>634</v>
      </c>
      <c r="C95" s="87" t="str">
        <f>_xlfn.XLOOKUP(OfficeForms.Table[[#This Row],[Email]],Table2[Email],Table2[FullName],"")</f>
        <v>NGUYEN Huy Hoang</v>
      </c>
      <c r="D95" s="2" t="s">
        <v>638</v>
      </c>
      <c r="E95">
        <v>3</v>
      </c>
      <c r="F95">
        <v>75</v>
      </c>
      <c r="G95" t="str">
        <f>IFERROR(_xlfn.XLOOKUP(OfficeForms.Table[[#This Row],[Email]],EE!C:C,EE!H:H,"Missing"),"Missing")</f>
        <v>Male</v>
      </c>
      <c r="H95" t="s">
        <v>2217</v>
      </c>
    </row>
    <row r="96" spans="1:8" x14ac:dyDescent="0.2">
      <c r="A96">
        <v>95</v>
      </c>
      <c r="B96" s="2" t="s">
        <v>878</v>
      </c>
      <c r="C96" s="87" t="str">
        <f>_xlfn.XLOOKUP(OfficeForms.Table[[#This Row],[Email]],Table2[Email],Table2[FullName],"")</f>
        <v>NGUYEN Van Hieu</v>
      </c>
      <c r="D96" s="2"/>
      <c r="E96">
        <v>3</v>
      </c>
      <c r="F96">
        <v>41</v>
      </c>
      <c r="G96" t="str">
        <f>IFERROR(_xlfn.XLOOKUP(OfficeForms.Table[[#This Row],[Email]],EE!C:C,EE!H:H,"Missing"),"Missing")</f>
        <v>Male</v>
      </c>
      <c r="H96" t="s">
        <v>2217</v>
      </c>
    </row>
    <row r="97" spans="1:8" x14ac:dyDescent="0.2">
      <c r="A97">
        <v>96</v>
      </c>
      <c r="B97" s="2" t="s">
        <v>882</v>
      </c>
      <c r="C97" s="87" t="str">
        <f>_xlfn.XLOOKUP(OfficeForms.Table[[#This Row],[Email]],Table2[Email],Table2[FullName],"")</f>
        <v>NGUYEN Kim Gia Huy</v>
      </c>
      <c r="D97" s="2"/>
      <c r="E97">
        <v>3</v>
      </c>
      <c r="F97">
        <v>41</v>
      </c>
      <c r="G97" t="str">
        <f>IFERROR(_xlfn.XLOOKUP(OfficeForms.Table[[#This Row],[Email]],EE!C:C,EE!H:H,"Missing"),"Missing")</f>
        <v>Male</v>
      </c>
      <c r="H97" t="s">
        <v>2217</v>
      </c>
    </row>
    <row r="98" spans="1:8" x14ac:dyDescent="0.2">
      <c r="A98">
        <v>97</v>
      </c>
      <c r="B98" s="2" t="s">
        <v>629</v>
      </c>
      <c r="C98" s="87" t="str">
        <f>_xlfn.XLOOKUP(OfficeForms.Table[[#This Row],[Email]],Table2[Email],Table2[FullName],"")</f>
        <v>PHAM Cong Quan</v>
      </c>
      <c r="D98" s="2" t="s">
        <v>633</v>
      </c>
      <c r="E98">
        <v>3</v>
      </c>
      <c r="F98">
        <v>76</v>
      </c>
      <c r="G98" t="str">
        <f>IFERROR(_xlfn.XLOOKUP(OfficeForms.Table[[#This Row],[Email]],EE!C:C,EE!H:H,"Missing"),"Missing")</f>
        <v>Male</v>
      </c>
      <c r="H98" t="s">
        <v>2227</v>
      </c>
    </row>
    <row r="99" spans="1:8" x14ac:dyDescent="0.2">
      <c r="A99">
        <v>98</v>
      </c>
      <c r="B99" s="2" t="s">
        <v>870</v>
      </c>
      <c r="C99" s="87" t="str">
        <f>_xlfn.XLOOKUP(OfficeForms.Table[[#This Row],[Email]],Table2[Email],Table2[FullName],"")</f>
        <v>BUI Thanh Xuan</v>
      </c>
      <c r="D99" s="2"/>
      <c r="E99">
        <v>3</v>
      </c>
      <c r="F99">
        <v>42</v>
      </c>
      <c r="G99" t="str">
        <f>IFERROR(_xlfn.XLOOKUP(OfficeForms.Table[[#This Row],[Email]],EE!C:C,EE!H:H,"Missing"),"Missing")</f>
        <v>Male</v>
      </c>
      <c r="H99" t="s">
        <v>2217</v>
      </c>
    </row>
    <row r="100" spans="1:8" x14ac:dyDescent="0.2">
      <c r="A100">
        <v>99</v>
      </c>
      <c r="B100" s="2" t="s">
        <v>865</v>
      </c>
      <c r="C100" s="87" t="str">
        <f>_xlfn.XLOOKUP(OfficeForms.Table[[#This Row],[Email]],Table2[Email],Table2[FullName],"")</f>
        <v>VU Thi Phuong Thao</v>
      </c>
      <c r="D100" s="2" t="s">
        <v>869</v>
      </c>
      <c r="E100">
        <v>3</v>
      </c>
      <c r="F100">
        <v>43</v>
      </c>
      <c r="G100" t="str">
        <f>IFERROR(_xlfn.XLOOKUP(OfficeForms.Table[[#This Row],[Email]],EE!C:C,EE!H:H,"Missing"),"Missing")</f>
        <v>Female</v>
      </c>
      <c r="H100" t="s">
        <v>2227</v>
      </c>
    </row>
    <row r="101" spans="1:8" x14ac:dyDescent="0.2">
      <c r="A101">
        <v>100</v>
      </c>
      <c r="B101" s="2" t="s">
        <v>874</v>
      </c>
      <c r="C101" s="87" t="str">
        <f>_xlfn.XLOOKUP(OfficeForms.Table[[#This Row],[Email]],Table2[Email],Table2[FullName],"")</f>
        <v>PHAM Van Tinh</v>
      </c>
      <c r="D101" s="2"/>
      <c r="E101">
        <v>3</v>
      </c>
      <c r="F101">
        <v>42</v>
      </c>
      <c r="G101" t="str">
        <f>IFERROR(_xlfn.XLOOKUP(OfficeForms.Table[[#This Row],[Email]],EE!C:C,EE!H:H,"Missing"),"Missing")</f>
        <v>Male</v>
      </c>
      <c r="H101" t="s">
        <v>2217</v>
      </c>
    </row>
    <row r="102" spans="1:8" x14ac:dyDescent="0.2">
      <c r="A102">
        <v>101</v>
      </c>
      <c r="B102" s="2" t="s">
        <v>654</v>
      </c>
      <c r="C102" s="87" t="str">
        <f>_xlfn.XLOOKUP(OfficeForms.Table[[#This Row],[Email]],Table2[Email],Table2[FullName],"")</f>
        <v>VAN Cong Tuan</v>
      </c>
      <c r="D102" s="2" t="s">
        <v>658</v>
      </c>
      <c r="E102">
        <v>3</v>
      </c>
      <c r="F102">
        <v>71</v>
      </c>
      <c r="G102" t="str">
        <f>IFERROR(_xlfn.XLOOKUP(OfficeForms.Table[[#This Row],[Email]],EE!C:C,EE!H:H,"Missing"),"Missing")</f>
        <v>Male</v>
      </c>
      <c r="H102" t="s">
        <v>2227</v>
      </c>
    </row>
    <row r="103" spans="1:8" x14ac:dyDescent="0.2">
      <c r="A103">
        <v>102</v>
      </c>
      <c r="B103" s="2" t="s">
        <v>841</v>
      </c>
      <c r="C103" s="87" t="str">
        <f>_xlfn.XLOOKUP(OfficeForms.Table[[#This Row],[Email]],Table2[Email],Table2[FullName],"")</f>
        <v>NGUYEN Thanh Trung</v>
      </c>
      <c r="D103" s="2"/>
      <c r="E103">
        <v>4</v>
      </c>
      <c r="F103">
        <v>46</v>
      </c>
      <c r="G103" t="str">
        <f>IFERROR(_xlfn.XLOOKUP(OfficeForms.Table[[#This Row],[Email]],EE!C:C,EE!H:H,"Missing"),"Missing")</f>
        <v>Male</v>
      </c>
      <c r="H103" t="s">
        <v>2217</v>
      </c>
    </row>
    <row r="104" spans="1:8" x14ac:dyDescent="0.2">
      <c r="A104">
        <v>103</v>
      </c>
      <c r="B104" s="2" t="s">
        <v>845</v>
      </c>
      <c r="C104" s="87" t="str">
        <f>_xlfn.XLOOKUP(OfficeForms.Table[[#This Row],[Email]],Table2[Email],Table2[FullName],"")</f>
        <v>NGUYEN SY Nguyen Ngoc</v>
      </c>
      <c r="D104" s="2"/>
      <c r="E104">
        <v>4</v>
      </c>
      <c r="F104">
        <v>46</v>
      </c>
      <c r="G104" t="str">
        <f>IFERROR(_xlfn.XLOOKUP(OfficeForms.Table[[#This Row],[Email]],EE!C:C,EE!H:H,"Missing"),"Missing")</f>
        <v>Male</v>
      </c>
      <c r="H104" t="s">
        <v>2217</v>
      </c>
    </row>
    <row r="105" spans="1:8" x14ac:dyDescent="0.2">
      <c r="A105">
        <v>104</v>
      </c>
      <c r="B105" s="2" t="s">
        <v>833</v>
      </c>
      <c r="C105" s="87" t="str">
        <f>_xlfn.XLOOKUP(OfficeForms.Table[[#This Row],[Email]],Table2[Email],Table2[FullName],"")</f>
        <v>PHAM Anh Quoc</v>
      </c>
      <c r="D105" s="2"/>
      <c r="E105">
        <v>4</v>
      </c>
      <c r="F105">
        <v>47</v>
      </c>
      <c r="G105" t="str">
        <f>IFERROR(_xlfn.XLOOKUP(OfficeForms.Table[[#This Row],[Email]],EE!C:C,EE!H:H,"Missing"),"Missing")</f>
        <v>Male</v>
      </c>
      <c r="H105" t="s">
        <v>2217</v>
      </c>
    </row>
    <row r="106" spans="1:8" x14ac:dyDescent="0.2">
      <c r="A106">
        <v>105</v>
      </c>
      <c r="B106" s="2" t="s">
        <v>837</v>
      </c>
      <c r="C106" s="87" t="str">
        <f>_xlfn.XLOOKUP(OfficeForms.Table[[#This Row],[Email]],Table2[Email],Table2[FullName],"")</f>
        <v>DANG Hai Binh</v>
      </c>
      <c r="D106" s="2"/>
      <c r="E106">
        <v>4</v>
      </c>
      <c r="F106">
        <v>47</v>
      </c>
      <c r="G106" t="str">
        <f>IFERROR(_xlfn.XLOOKUP(OfficeForms.Table[[#This Row],[Email]],EE!C:C,EE!H:H,"Missing"),"Missing")</f>
        <v>Male</v>
      </c>
      <c r="H106" t="s">
        <v>2217</v>
      </c>
    </row>
    <row r="107" spans="1:8" x14ac:dyDescent="0.2">
      <c r="A107">
        <v>106</v>
      </c>
      <c r="B107" s="2" t="s">
        <v>825</v>
      </c>
      <c r="C107" s="87" t="str">
        <f>_xlfn.XLOOKUP(OfficeForms.Table[[#This Row],[Email]],Table2[Email],Table2[FullName],"")</f>
        <v>THAI Trung Tin</v>
      </c>
      <c r="D107" s="2"/>
      <c r="E107">
        <v>4</v>
      </c>
      <c r="F107">
        <v>48</v>
      </c>
      <c r="G107" t="str">
        <f>IFERROR(_xlfn.XLOOKUP(OfficeForms.Table[[#This Row],[Email]],EE!C:C,EE!H:H,"Missing"),"Missing")</f>
        <v>Male</v>
      </c>
      <c r="H107" t="s">
        <v>2217</v>
      </c>
    </row>
    <row r="108" spans="1:8" x14ac:dyDescent="0.2">
      <c r="A108">
        <v>107</v>
      </c>
      <c r="B108" s="2" t="s">
        <v>829</v>
      </c>
      <c r="C108" s="87" t="str">
        <f>_xlfn.XLOOKUP(OfficeForms.Table[[#This Row],[Email]],Table2[Email],Table2[FullName],"")</f>
        <v>DANG MINH Nhat</v>
      </c>
      <c r="D108" s="2"/>
      <c r="E108">
        <v>4</v>
      </c>
      <c r="F108">
        <v>48</v>
      </c>
      <c r="G108" t="str">
        <f>IFERROR(_xlfn.XLOOKUP(OfficeForms.Table[[#This Row],[Email]],EE!C:C,EE!H:H,"Missing"),"Missing")</f>
        <v>Male</v>
      </c>
      <c r="H108" t="s">
        <v>2217</v>
      </c>
    </row>
    <row r="109" spans="1:8" x14ac:dyDescent="0.2">
      <c r="A109">
        <v>108</v>
      </c>
      <c r="B109" s="2" t="s">
        <v>523</v>
      </c>
      <c r="C109" s="87" t="str">
        <f>_xlfn.XLOOKUP(OfficeForms.Table[[#This Row],[Email]],Table2[Email],Table2[FullName],"")</f>
        <v>DAO Kim Nha</v>
      </c>
      <c r="D109" s="2"/>
      <c r="E109">
        <v>4</v>
      </c>
      <c r="F109">
        <v>89</v>
      </c>
      <c r="G109" t="str">
        <f>IFERROR(_xlfn.XLOOKUP(OfficeForms.Table[[#This Row],[Email]],EE!C:C,EE!H:H,"Missing"),"Missing")</f>
        <v>Female</v>
      </c>
      <c r="H109" t="s">
        <v>2227</v>
      </c>
    </row>
    <row r="110" spans="1:8" x14ac:dyDescent="0.2">
      <c r="A110">
        <v>109</v>
      </c>
      <c r="B110" s="2" t="s">
        <v>552</v>
      </c>
      <c r="C110" s="87" t="str">
        <f>_xlfn.XLOOKUP(OfficeForms.Table[[#This Row],[Email]],Table2[Email],Table2[FullName],"")</f>
        <v>NGUYEN Thi Minh Phuong</v>
      </c>
      <c r="D110" s="2"/>
      <c r="E110">
        <v>4</v>
      </c>
      <c r="F110">
        <v>86</v>
      </c>
      <c r="G110" t="str">
        <f>IFERROR(_xlfn.XLOOKUP(OfficeForms.Table[[#This Row],[Email]],EE!C:C,EE!H:H,"Missing"),"Missing")</f>
        <v>Female</v>
      </c>
      <c r="H110" t="s">
        <v>2227</v>
      </c>
    </row>
    <row r="111" spans="1:8" x14ac:dyDescent="0.2">
      <c r="A111">
        <v>110</v>
      </c>
      <c r="B111" s="2" t="s">
        <v>812</v>
      </c>
      <c r="C111" s="87" t="str">
        <f>_xlfn.XLOOKUP(OfficeForms.Table[[#This Row],[Email]],Table2[Email],Table2[FullName],"")</f>
        <v>CAO Chien Hao</v>
      </c>
      <c r="D111" s="2"/>
      <c r="E111">
        <v>4</v>
      </c>
      <c r="F111">
        <v>50</v>
      </c>
      <c r="G111" t="str">
        <f>IFERROR(_xlfn.XLOOKUP(OfficeForms.Table[[#This Row],[Email]],EE!C:C,EE!H:H,"Missing"),"Missing")</f>
        <v>Male</v>
      </c>
      <c r="H111" t="s">
        <v>2217</v>
      </c>
    </row>
    <row r="112" spans="1:8" x14ac:dyDescent="0.2">
      <c r="A112">
        <v>111</v>
      </c>
      <c r="B112" s="2" t="s">
        <v>816</v>
      </c>
      <c r="C112" s="87" t="str">
        <f>_xlfn.XLOOKUP(OfficeForms.Table[[#This Row],[Email]],Table2[Email],Table2[FullName],"")</f>
        <v>PHAM Do Nhat Minh</v>
      </c>
      <c r="D112" s="2"/>
      <c r="E112">
        <v>4</v>
      </c>
      <c r="F112">
        <v>50</v>
      </c>
      <c r="G112" t="str">
        <f>IFERROR(_xlfn.XLOOKUP(OfficeForms.Table[[#This Row],[Email]],EE!C:C,EE!H:H,"Missing"),"Missing")</f>
        <v>Male</v>
      </c>
      <c r="H112" t="s">
        <v>2217</v>
      </c>
    </row>
    <row r="113" spans="1:8" x14ac:dyDescent="0.2">
      <c r="A113">
        <v>112</v>
      </c>
      <c r="B113" s="2" t="s">
        <v>804</v>
      </c>
      <c r="C113" s="87" t="str">
        <f>_xlfn.XLOOKUP(OfficeForms.Table[[#This Row],[Email]],Table2[Email],Table2[FullName],"")</f>
        <v>LE Duy Hanh</v>
      </c>
      <c r="D113" s="2"/>
      <c r="E113">
        <v>4</v>
      </c>
      <c r="F113">
        <v>51</v>
      </c>
      <c r="G113" t="str">
        <f>IFERROR(_xlfn.XLOOKUP(OfficeForms.Table[[#This Row],[Email]],EE!C:C,EE!H:H,"Missing"),"Missing")</f>
        <v>Male</v>
      </c>
      <c r="H113" t="s">
        <v>2217</v>
      </c>
    </row>
    <row r="114" spans="1:8" x14ac:dyDescent="0.2">
      <c r="A114">
        <v>113</v>
      </c>
      <c r="B114" s="2" t="s">
        <v>808</v>
      </c>
      <c r="C114" s="87" t="str">
        <f>_xlfn.XLOOKUP(OfficeForms.Table[[#This Row],[Email]],Table2[Email],Table2[FullName],"")</f>
        <v>NGUYEN Huu Thinh</v>
      </c>
      <c r="D114" s="2"/>
      <c r="E114">
        <v>4</v>
      </c>
      <c r="F114">
        <v>51</v>
      </c>
      <c r="G114" t="str">
        <f>IFERROR(_xlfn.XLOOKUP(OfficeForms.Table[[#This Row],[Email]],EE!C:C,EE!H:H,"Missing"),"Missing")</f>
        <v>Male</v>
      </c>
      <c r="H114" t="s">
        <v>2217</v>
      </c>
    </row>
    <row r="115" spans="1:8" x14ac:dyDescent="0.2">
      <c r="A115">
        <v>114</v>
      </c>
      <c r="B115" s="2" t="s">
        <v>736</v>
      </c>
      <c r="C115" s="87" t="str">
        <f>_xlfn.XLOOKUP(OfficeForms.Table[[#This Row],[Email]],Table2[Email],Table2[FullName],"")</f>
        <v>NGUYEN Thi Quynh Phuong</v>
      </c>
      <c r="D115" s="2"/>
      <c r="E115">
        <v>7</v>
      </c>
      <c r="F115">
        <v>60</v>
      </c>
      <c r="G115" t="str">
        <f>IFERROR(_xlfn.XLOOKUP(OfficeForms.Table[[#This Row],[Email]],EE!C:C,EE!H:H,"Missing"),"Missing")</f>
        <v>Female</v>
      </c>
      <c r="H115" t="s">
        <v>2227</v>
      </c>
    </row>
    <row r="116" spans="1:8" x14ac:dyDescent="0.2">
      <c r="A116">
        <v>115</v>
      </c>
      <c r="B116" s="2" t="s">
        <v>796</v>
      </c>
      <c r="C116" s="87" t="str">
        <f>_xlfn.XLOOKUP(OfficeForms.Table[[#This Row],[Email]],Table2[Email],Table2[FullName],"")</f>
        <v>VAN Duc Thanh</v>
      </c>
      <c r="D116" s="2"/>
      <c r="E116">
        <v>4</v>
      </c>
      <c r="F116">
        <v>52</v>
      </c>
      <c r="G116" t="str">
        <f>IFERROR(_xlfn.XLOOKUP(OfficeForms.Table[[#This Row],[Email]],EE!C:C,EE!H:H,"Missing"),"Missing")</f>
        <v>Male</v>
      </c>
      <c r="H116" t="s">
        <v>2217</v>
      </c>
    </row>
    <row r="117" spans="1:8" x14ac:dyDescent="0.2">
      <c r="A117">
        <v>116</v>
      </c>
      <c r="B117" s="2" t="s">
        <v>800</v>
      </c>
      <c r="C117" s="87" t="str">
        <f>_xlfn.XLOOKUP(OfficeForms.Table[[#This Row],[Email]],Table2[Email],Table2[FullName],"")</f>
        <v>NGUYEN LE Duan</v>
      </c>
      <c r="D117" s="2"/>
      <c r="E117">
        <v>4</v>
      </c>
      <c r="F117">
        <v>52</v>
      </c>
      <c r="G117" t="str">
        <f>IFERROR(_xlfn.XLOOKUP(OfficeForms.Table[[#This Row],[Email]],EE!C:C,EE!H:H,"Missing"),"Missing")</f>
        <v>Male</v>
      </c>
      <c r="H117" t="s">
        <v>2217</v>
      </c>
    </row>
    <row r="118" spans="1:8" x14ac:dyDescent="0.2">
      <c r="A118">
        <v>117</v>
      </c>
      <c r="B118" s="2" t="s">
        <v>788</v>
      </c>
      <c r="C118" s="87" t="str">
        <f>_xlfn.XLOOKUP(OfficeForms.Table[[#This Row],[Email]],Table2[Email],Table2[FullName],"")</f>
        <v>NGUYEN Hoang Long</v>
      </c>
      <c r="D118" s="2"/>
      <c r="E118">
        <v>4</v>
      </c>
      <c r="F118">
        <v>53</v>
      </c>
      <c r="G118" t="str">
        <f>IFERROR(_xlfn.XLOOKUP(OfficeForms.Table[[#This Row],[Email]],EE!C:C,EE!H:H,"Missing"),"Missing")</f>
        <v>Male</v>
      </c>
      <c r="H118" t="s">
        <v>2217</v>
      </c>
    </row>
    <row r="119" spans="1:8" x14ac:dyDescent="0.2">
      <c r="A119">
        <v>118</v>
      </c>
      <c r="B119" s="2" t="s">
        <v>792</v>
      </c>
      <c r="C119" s="87" t="str">
        <f>_xlfn.XLOOKUP(OfficeForms.Table[[#This Row],[Email]],Table2[Email],Table2[FullName],"")</f>
        <v>NGUYEN Tan Hoang - Bi</v>
      </c>
      <c r="D119" s="2"/>
      <c r="E119">
        <v>4</v>
      </c>
      <c r="F119">
        <v>53</v>
      </c>
      <c r="G119" t="str">
        <f>IFERROR(_xlfn.XLOOKUP(OfficeForms.Table[[#This Row],[Email]],EE!C:C,EE!H:H,"Missing"),"Missing")</f>
        <v>Male</v>
      </c>
      <c r="H119" t="s">
        <v>2217</v>
      </c>
    </row>
    <row r="120" spans="1:8" x14ac:dyDescent="0.2">
      <c r="A120">
        <v>119</v>
      </c>
      <c r="B120" s="2" t="s">
        <v>768</v>
      </c>
      <c r="C120" s="87" t="str">
        <f>_xlfn.XLOOKUP(OfficeForms.Table[[#This Row],[Email]],Table2[Email],Table2[FullName],"")</f>
        <v>NGUYEN Hai Thien</v>
      </c>
      <c r="D120" s="2"/>
      <c r="E120">
        <v>4</v>
      </c>
      <c r="F120">
        <v>56</v>
      </c>
      <c r="G120" t="str">
        <f>IFERROR(_xlfn.XLOOKUP(OfficeForms.Table[[#This Row],[Email]],EE!C:C,EE!H:H,"Missing"),"Missing")</f>
        <v>Male</v>
      </c>
      <c r="H120" t="s">
        <v>2217</v>
      </c>
    </row>
    <row r="121" spans="1:8" x14ac:dyDescent="0.2">
      <c r="A121">
        <v>120</v>
      </c>
      <c r="B121" s="2" t="s">
        <v>776</v>
      </c>
      <c r="C121" s="87" t="str">
        <f>_xlfn.XLOOKUP(OfficeForms.Table[[#This Row],[Email]],Table2[Email],Table2[FullName],"")</f>
        <v>PHAM Huu Khoi Nguyen</v>
      </c>
      <c r="D121" s="2"/>
      <c r="E121">
        <v>4</v>
      </c>
      <c r="F121">
        <v>55</v>
      </c>
      <c r="G121" t="str">
        <f>IFERROR(_xlfn.XLOOKUP(OfficeForms.Table[[#This Row],[Email]],EE!C:C,EE!H:H,"Missing"),"Missing")</f>
        <v>Male</v>
      </c>
      <c r="H121" t="s">
        <v>2217</v>
      </c>
    </row>
    <row r="122" spans="1:8" x14ac:dyDescent="0.2">
      <c r="A122">
        <v>121</v>
      </c>
      <c r="B122" s="2" t="s">
        <v>659</v>
      </c>
      <c r="C122" s="87" t="str">
        <f>_xlfn.XLOOKUP(OfficeForms.Table[[#This Row],[Email]],Table2[Email],Table2[FullName],"")</f>
        <v>TRAN Huynh Nhat Tan</v>
      </c>
      <c r="D122" s="2" t="s">
        <v>663</v>
      </c>
      <c r="E122">
        <v>4</v>
      </c>
      <c r="F122">
        <v>70</v>
      </c>
      <c r="G122" t="str">
        <f>IFERROR(_xlfn.XLOOKUP(OfficeForms.Table[[#This Row],[Email]],EE!C:C,EE!H:H,"Missing"),"Missing")</f>
        <v>Male</v>
      </c>
      <c r="H122" t="s">
        <v>2227</v>
      </c>
    </row>
    <row r="123" spans="1:8" x14ac:dyDescent="0.2">
      <c r="A123">
        <v>122</v>
      </c>
      <c r="B123" s="2" t="s">
        <v>720</v>
      </c>
      <c r="C123" s="87" t="str">
        <f>_xlfn.XLOOKUP(OfficeForms.Table[[#This Row],[Email]],Table2[Email],Table2[FullName],"")</f>
        <v>DANG Ngoc Khanh Linh</v>
      </c>
      <c r="D123" s="2"/>
      <c r="E123">
        <v>4</v>
      </c>
      <c r="F123">
        <v>62</v>
      </c>
      <c r="G123" t="str">
        <f>IFERROR(_xlfn.XLOOKUP(OfficeForms.Table[[#This Row],[Email]],EE!C:C,EE!H:H,"Missing"),"Missing")</f>
        <v>Female</v>
      </c>
      <c r="H123" t="s">
        <v>2227</v>
      </c>
    </row>
    <row r="124" spans="1:8" x14ac:dyDescent="0.2">
      <c r="A124">
        <v>123</v>
      </c>
      <c r="B124" s="2" t="s">
        <v>890</v>
      </c>
      <c r="C124" s="87" t="str">
        <f>_xlfn.XLOOKUP(OfficeForms.Table[[#This Row],[Email]],Table2[Email],Table2[FullName],"")</f>
        <v>LE Phuoc Son</v>
      </c>
      <c r="D124" s="2"/>
      <c r="E124">
        <v>3</v>
      </c>
      <c r="F124">
        <v>40</v>
      </c>
      <c r="G124" t="str">
        <f>IFERROR(_xlfn.XLOOKUP(OfficeForms.Table[[#This Row],[Email]],EE!C:C,EE!H:H,"Missing"),"Missing")</f>
        <v>Male</v>
      </c>
      <c r="H124" t="s">
        <v>2217</v>
      </c>
    </row>
    <row r="125" spans="1:8" x14ac:dyDescent="0.2">
      <c r="A125">
        <v>124</v>
      </c>
      <c r="B125" s="2" t="s">
        <v>764</v>
      </c>
      <c r="C125" s="87" t="str">
        <f>_xlfn.XLOOKUP(OfficeForms.Table[[#This Row],[Email]],Table2[Email],Table2[FullName],"")</f>
        <v>LE Thanh Tung</v>
      </c>
      <c r="D125" s="2"/>
      <c r="E125">
        <v>4</v>
      </c>
      <c r="F125">
        <v>57</v>
      </c>
      <c r="G125" t="str">
        <f>IFERROR(_xlfn.XLOOKUP(OfficeForms.Table[[#This Row],[Email]],EE!C:C,EE!H:H,"Missing"),"Missing")</f>
        <v>Male</v>
      </c>
      <c r="H125" t="s">
        <v>2217</v>
      </c>
    </row>
    <row r="126" spans="1:8" x14ac:dyDescent="0.2">
      <c r="A126">
        <v>125</v>
      </c>
      <c r="B126" s="2" t="s">
        <v>757</v>
      </c>
      <c r="C126" s="87" t="str">
        <f>_xlfn.XLOOKUP(OfficeForms.Table[[#This Row],[Email]],Table2[Email],Table2[FullName],"")</f>
        <v>DINH Vu Duy</v>
      </c>
      <c r="D126" s="2"/>
      <c r="E126">
        <v>4</v>
      </c>
      <c r="F126">
        <v>58</v>
      </c>
      <c r="G126" t="str">
        <f>IFERROR(_xlfn.XLOOKUP(OfficeForms.Table[[#This Row],[Email]],EE!C:C,EE!H:H,"Missing"),"Missing")</f>
        <v>Male</v>
      </c>
      <c r="H126" t="s">
        <v>2217</v>
      </c>
    </row>
    <row r="127" spans="1:8" x14ac:dyDescent="0.2">
      <c r="A127">
        <v>126</v>
      </c>
      <c r="B127" s="2" t="s">
        <v>745</v>
      </c>
      <c r="C127" s="87" t="str">
        <f>_xlfn.XLOOKUP(OfficeForms.Table[[#This Row],[Email]],Table2[Email],Table2[FullName],"")</f>
        <v>NGO Tung Lam</v>
      </c>
      <c r="D127" s="2"/>
      <c r="E127">
        <v>4</v>
      </c>
      <c r="F127">
        <v>59</v>
      </c>
      <c r="G127" t="str">
        <f>IFERROR(_xlfn.XLOOKUP(OfficeForms.Table[[#This Row],[Email]],EE!C:C,EE!H:H,"Missing"),"Missing")</f>
        <v>Male</v>
      </c>
      <c r="H127" t="s">
        <v>2217</v>
      </c>
    </row>
    <row r="128" spans="1:8" x14ac:dyDescent="0.2">
      <c r="A128">
        <v>127</v>
      </c>
      <c r="B128" s="2" t="s">
        <v>914</v>
      </c>
      <c r="C128" s="87" t="str">
        <f>_xlfn.XLOOKUP(OfficeForms.Table[[#This Row],[Email]],Table2[Email],Table2[FullName],"")</f>
        <v>NGUYEN LE Chi Tam</v>
      </c>
      <c r="D128" s="2"/>
      <c r="E128">
        <v>3</v>
      </c>
      <c r="F128">
        <v>37</v>
      </c>
      <c r="G128" t="str">
        <f>IFERROR(_xlfn.XLOOKUP(OfficeForms.Table[[#This Row],[Email]],EE!C:C,EE!H:H,"Missing"),"Missing")</f>
        <v>Male</v>
      </c>
      <c r="H128" t="s">
        <v>2217</v>
      </c>
    </row>
    <row r="129" spans="1:8" x14ac:dyDescent="0.2">
      <c r="A129">
        <v>128</v>
      </c>
      <c r="B129" s="80" t="s">
        <v>543</v>
      </c>
      <c r="C129" s="88" t="str">
        <f>_xlfn.XLOOKUP(OfficeForms.Table[[#This Row],[Email]],Table2[Email],Table2[FullName],"")</f>
        <v>Trần Quỳnh Anh</v>
      </c>
      <c r="D129" s="2"/>
      <c r="E129">
        <v>3</v>
      </c>
      <c r="F129">
        <v>61</v>
      </c>
      <c r="G129" t="str">
        <f>IFERROR(_xlfn.XLOOKUP(OfficeForms.Table[[#This Row],[Email]],EE!C:C,EE!H:H,"Missing"),"Missing")</f>
        <v>Female</v>
      </c>
      <c r="H129" t="s">
        <v>2227</v>
      </c>
    </row>
    <row r="130" spans="1:8" x14ac:dyDescent="0.2">
      <c r="A130">
        <v>129</v>
      </c>
      <c r="B130" s="2" t="s">
        <v>749</v>
      </c>
      <c r="C130" s="87" t="str">
        <f>_xlfn.XLOOKUP(OfficeForms.Table[[#This Row],[Email]],Table2[Email],Table2[FullName],"")</f>
        <v>TRUONG Van Sang</v>
      </c>
      <c r="D130" s="2"/>
      <c r="E130">
        <v>4</v>
      </c>
      <c r="F130">
        <v>59</v>
      </c>
      <c r="G130" t="str">
        <f>IFERROR(_xlfn.XLOOKUP(OfficeForms.Table[[#This Row],[Email]],EE!C:C,EE!H:H,"Missing"),"Missing")</f>
        <v>Male</v>
      </c>
      <c r="H130" t="s">
        <v>2217</v>
      </c>
    </row>
    <row r="131" spans="1:8" x14ac:dyDescent="0.2">
      <c r="A131">
        <v>130</v>
      </c>
      <c r="B131" s="2" t="s">
        <v>664</v>
      </c>
      <c r="C131" s="87" t="str">
        <f>_xlfn.XLOOKUP(OfficeForms.Table[[#This Row],[Email]],Table2[Email],Table2[FullName],"")</f>
        <v>NGUYEN Bao Ngoc</v>
      </c>
      <c r="D131" s="2"/>
      <c r="E131">
        <v>4</v>
      </c>
      <c r="F131">
        <v>69</v>
      </c>
      <c r="G131" t="str">
        <f>IFERROR(_xlfn.XLOOKUP(OfficeForms.Table[[#This Row],[Email]],EE!C:C,EE!H:H,"Missing"),"Missing")</f>
        <v>Female</v>
      </c>
      <c r="H131" t="s">
        <v>2227</v>
      </c>
    </row>
    <row r="132" spans="1:8" x14ac:dyDescent="0.2">
      <c r="A132">
        <v>131</v>
      </c>
      <c r="B132" t="s">
        <v>820</v>
      </c>
      <c r="C132" s="87" t="str">
        <f>_xlfn.XLOOKUP(OfficeForms.Table[[#This Row],[Email]],Table2[Email],Table2[FullName],"")</f>
        <v>PHAM Trung Kien</v>
      </c>
      <c r="D132" s="21" t="s">
        <v>824</v>
      </c>
      <c r="E132">
        <v>4</v>
      </c>
      <c r="F132">
        <v>49</v>
      </c>
      <c r="G132" t="str">
        <f>IFERROR(_xlfn.XLOOKUP(OfficeForms.Table[[#This Row],[Email]],EE!C:C,EE!H:H,"Missing"),"Missing")</f>
        <v>Male</v>
      </c>
      <c r="H132" t="s">
        <v>2227</v>
      </c>
    </row>
    <row r="133" spans="1:8" x14ac:dyDescent="0.2">
      <c r="A133">
        <v>132</v>
      </c>
      <c r="B133" s="2" t="s">
        <v>784</v>
      </c>
      <c r="C133" s="87" t="str">
        <f>_xlfn.XLOOKUP(OfficeForms.Table[[#This Row],[Email]],Table2[Email],Table2[FullName],"")</f>
        <v>VO Van Ket</v>
      </c>
      <c r="D133" s="2"/>
      <c r="E133">
        <v>4</v>
      </c>
      <c r="F133">
        <v>54</v>
      </c>
      <c r="G133" t="str">
        <f>IFERROR(_xlfn.XLOOKUP(OfficeForms.Table[[#This Row],[Email]],EE!C:C,EE!H:H,"Missing"),"Missing")</f>
        <v>Male</v>
      </c>
      <c r="H133" t="s">
        <v>2217</v>
      </c>
    </row>
    <row r="134" spans="1:8" x14ac:dyDescent="0.2">
      <c r="A134">
        <v>133</v>
      </c>
      <c r="B134" s="2" t="s">
        <v>772</v>
      </c>
      <c r="C134" s="87" t="str">
        <f>_xlfn.XLOOKUP(OfficeForms.Table[[#This Row],[Email]],Table2[Email],Table2[FullName],"")</f>
        <v>NGUYEN Vu Phuong</v>
      </c>
      <c r="D134" s="2"/>
      <c r="E134">
        <v>4</v>
      </c>
      <c r="F134">
        <v>56</v>
      </c>
      <c r="G134" t="str">
        <f>IFERROR(_xlfn.XLOOKUP(OfficeForms.Table[[#This Row],[Email]],EE!C:C,EE!H:H,"Missing"),"Missing")</f>
        <v>Male</v>
      </c>
      <c r="H134" t="s">
        <v>2217</v>
      </c>
    </row>
    <row r="135" spans="1:8" x14ac:dyDescent="0.2">
      <c r="A135">
        <v>134</v>
      </c>
      <c r="B135" s="2" t="s">
        <v>672</v>
      </c>
      <c r="C135" s="87" t="str">
        <f>_xlfn.XLOOKUP(OfficeForms.Table[[#This Row],[Email]],Table2[Email],Table2[FullName],"")</f>
        <v>NGUYEN Duc Quy</v>
      </c>
      <c r="D135" s="2"/>
      <c r="E135">
        <v>4</v>
      </c>
      <c r="F135">
        <v>68</v>
      </c>
      <c r="G135" t="str">
        <f>IFERROR(_xlfn.XLOOKUP(OfficeForms.Table[[#This Row],[Email]],EE!C:C,EE!H:H,"Missing"),"Missing")</f>
        <v>Male</v>
      </c>
      <c r="H135" t="s">
        <v>2227</v>
      </c>
    </row>
    <row r="136" spans="1:8" x14ac:dyDescent="0.2">
      <c r="A136">
        <v>135</v>
      </c>
      <c r="B136" t="s">
        <v>90</v>
      </c>
      <c r="C136" s="87" t="str">
        <f>_xlfn.XLOOKUP(OfficeForms.Table[[#This Row],[Email]],Table2[Email],Table2[FullName],"")</f>
        <v>LE Lan Vy</v>
      </c>
      <c r="E136">
        <v>5</v>
      </c>
      <c r="F136">
        <v>101</v>
      </c>
      <c r="G136" t="str">
        <f>IFERROR(_xlfn.XLOOKUP(OfficeForms.Table[[#This Row],[Email]],EE!C:C,EE!H:H,"Missing"),"Missing")</f>
        <v>Female</v>
      </c>
      <c r="H136" t="s">
        <v>2227</v>
      </c>
    </row>
    <row r="137" spans="1:8" x14ac:dyDescent="0.2">
      <c r="A137">
        <v>136</v>
      </c>
      <c r="B137" s="2" t="s">
        <v>461</v>
      </c>
      <c r="C137" s="87" t="str">
        <f>_xlfn.XLOOKUP(OfficeForms.Table[[#This Row],[Email]],Table2[Email],Table2[FullName],"")</f>
        <v>PHAM Hoang Mai Quyen</v>
      </c>
      <c r="D137" s="2"/>
      <c r="E137">
        <v>5</v>
      </c>
      <c r="F137">
        <v>98</v>
      </c>
      <c r="G137" t="str">
        <f>IFERROR(_xlfn.XLOOKUP(OfficeForms.Table[[#This Row],[Email]],EE!C:C,EE!H:H,"Missing"),"Missing")</f>
        <v>Female</v>
      </c>
      <c r="H137" t="s">
        <v>2227</v>
      </c>
    </row>
    <row r="138" spans="1:8" x14ac:dyDescent="0.2">
      <c r="A138">
        <v>137</v>
      </c>
      <c r="B138" s="2" t="s">
        <v>371</v>
      </c>
      <c r="C138" s="87" t="str">
        <f>_xlfn.XLOOKUP(OfficeForms.Table[[#This Row],[Email]],Table2[Email],Table2[FullName],"")</f>
        <v>LE Xuan Tung</v>
      </c>
      <c r="D138" s="2"/>
      <c r="E138">
        <v>5</v>
      </c>
      <c r="F138">
        <v>109</v>
      </c>
      <c r="G138" t="str">
        <f>IFERROR(_xlfn.XLOOKUP(OfficeForms.Table[[#This Row],[Email]],EE!C:C,EE!H:H,"Missing"),"Missing")</f>
        <v>Male</v>
      </c>
      <c r="H138" t="s">
        <v>2217</v>
      </c>
    </row>
    <row r="139" spans="1:8" x14ac:dyDescent="0.2">
      <c r="A139">
        <v>138</v>
      </c>
      <c r="B139" s="2" t="s">
        <v>465</v>
      </c>
      <c r="C139" s="87" t="str">
        <f>_xlfn.XLOOKUP(OfficeForms.Table[[#This Row],[Email]],Table2[Email],Table2[FullName],"")</f>
        <v>NGUYEN Ho Ngoc Tran</v>
      </c>
      <c r="D139" s="2"/>
      <c r="E139">
        <v>5</v>
      </c>
      <c r="F139">
        <v>98</v>
      </c>
      <c r="G139" t="str">
        <f>IFERROR(_xlfn.XLOOKUP(OfficeForms.Table[[#This Row],[Email]],EE!C:C,EE!H:H,"Missing"),"Missing")</f>
        <v>Female</v>
      </c>
      <c r="H139" t="s">
        <v>2227</v>
      </c>
    </row>
    <row r="140" spans="1:8" x14ac:dyDescent="0.2">
      <c r="A140">
        <v>139</v>
      </c>
      <c r="B140" s="2" t="s">
        <v>469</v>
      </c>
      <c r="C140" s="87" t="str">
        <f>_xlfn.XLOOKUP(OfficeForms.Table[[#This Row],[Email]],Table2[Email],Table2[FullName],"")</f>
        <v>VO Tran Phuong Nga</v>
      </c>
      <c r="D140" s="2"/>
      <c r="E140">
        <v>5</v>
      </c>
      <c r="F140">
        <v>97</v>
      </c>
      <c r="G140" t="str">
        <f>IFERROR(_xlfn.XLOOKUP(OfficeForms.Table[[#This Row],[Email]],EE!C:C,EE!H:H,"Missing"),"Missing")</f>
        <v>Female</v>
      </c>
      <c r="H140" t="s">
        <v>2227</v>
      </c>
    </row>
    <row r="141" spans="1:8" x14ac:dyDescent="0.2">
      <c r="A141">
        <v>140</v>
      </c>
      <c r="B141" s="2" t="s">
        <v>473</v>
      </c>
      <c r="C141" s="87" t="str">
        <f>_xlfn.XLOOKUP(OfficeForms.Table[[#This Row],[Email]],Table2[Email],Table2[FullName],"")</f>
        <v>NGUYEN Thi Thanh Thao</v>
      </c>
      <c r="D141" s="2"/>
      <c r="E141">
        <v>5</v>
      </c>
      <c r="F141">
        <v>97</v>
      </c>
      <c r="G141" t="str">
        <f>IFERROR(_xlfn.XLOOKUP(OfficeForms.Table[[#This Row],[Email]],EE!C:C,EE!H:H,"Missing"),"Missing")</f>
        <v>Female</v>
      </c>
      <c r="H141" t="s">
        <v>2227</v>
      </c>
    </row>
    <row r="142" spans="1:8" x14ac:dyDescent="0.2">
      <c r="A142">
        <v>141</v>
      </c>
      <c r="B142" s="2" t="s">
        <v>477</v>
      </c>
      <c r="C142" s="87" t="str">
        <f>_xlfn.XLOOKUP(OfficeForms.Table[[#This Row],[Email]],Table2[Email],Table2[FullName],"")</f>
        <v>LE Thi Tu Quyen</v>
      </c>
      <c r="D142" s="2"/>
      <c r="E142">
        <v>5</v>
      </c>
      <c r="F142">
        <v>96</v>
      </c>
      <c r="G142" t="str">
        <f>IFERROR(_xlfn.XLOOKUP(OfficeForms.Table[[#This Row],[Email]],EE!C:C,EE!H:H,"Missing"),"Missing")</f>
        <v>Female</v>
      </c>
      <c r="H142" t="s">
        <v>2227</v>
      </c>
    </row>
    <row r="143" spans="1:8" x14ac:dyDescent="0.2">
      <c r="A143">
        <v>142</v>
      </c>
      <c r="B143" t="s">
        <v>396</v>
      </c>
      <c r="C143" s="87" t="str">
        <f>_xlfn.XLOOKUP(OfficeForms.Table[[#This Row],[Email]],Table2[Email],Table2[FullName],"")</f>
        <v>LE Dang Quang</v>
      </c>
      <c r="E143">
        <v>5</v>
      </c>
      <c r="F143">
        <v>106</v>
      </c>
      <c r="G143" t="str">
        <f>IFERROR(_xlfn.XLOOKUP(OfficeForms.Table[[#This Row],[Email]],EE!C:C,EE!H:H,"Missing"),"Missing")</f>
        <v>Male</v>
      </c>
      <c r="H143" t="s">
        <v>2217</v>
      </c>
    </row>
    <row r="144" spans="1:8" x14ac:dyDescent="0.2">
      <c r="A144">
        <v>143</v>
      </c>
      <c r="B144" s="2" t="s">
        <v>453</v>
      </c>
      <c r="C144" s="87" t="str">
        <f>_xlfn.XLOOKUP(OfficeForms.Table[[#This Row],[Email]],Table2[Email],Table2[FullName],"")</f>
        <v>NGUYEN Quynh Mai</v>
      </c>
      <c r="D144" s="2"/>
      <c r="E144">
        <v>5</v>
      </c>
      <c r="F144">
        <v>99</v>
      </c>
      <c r="G144" t="str">
        <f>IFERROR(_xlfn.XLOOKUP(OfficeForms.Table[[#This Row],[Email]],EE!C:C,EE!H:H,"Missing"),"Missing")</f>
        <v>Female</v>
      </c>
      <c r="H144" t="s">
        <v>2227</v>
      </c>
    </row>
    <row r="145" spans="1:8" x14ac:dyDescent="0.2">
      <c r="A145">
        <v>144</v>
      </c>
      <c r="B145" s="2" t="s">
        <v>457</v>
      </c>
      <c r="C145" s="87" t="str">
        <f>_xlfn.XLOOKUP(OfficeForms.Table[[#This Row],[Email]],Table2[Email],Table2[FullName],"")</f>
        <v>TRUONG Thi Phuong Thao</v>
      </c>
      <c r="D145" s="2"/>
      <c r="E145">
        <v>5</v>
      </c>
      <c r="F145">
        <v>99</v>
      </c>
      <c r="G145" t="str">
        <f>IFERROR(_xlfn.XLOOKUP(OfficeForms.Table[[#This Row],[Email]],EE!C:C,EE!H:H,"Missing"),"Missing")</f>
        <v>Female</v>
      </c>
      <c r="H145" t="s">
        <v>2227</v>
      </c>
    </row>
    <row r="146" spans="1:8" x14ac:dyDescent="0.2">
      <c r="A146">
        <v>145</v>
      </c>
      <c r="B146" s="2" t="s">
        <v>376</v>
      </c>
      <c r="C146" s="87" t="str">
        <f>_xlfn.XLOOKUP(OfficeForms.Table[[#This Row],[Email]],Table2[Email],Table2[FullName],"")</f>
        <v>BUI Minh Nhat</v>
      </c>
      <c r="D146" s="2"/>
      <c r="E146">
        <v>5</v>
      </c>
      <c r="F146">
        <v>109</v>
      </c>
      <c r="G146" t="str">
        <f>IFERROR(_xlfn.XLOOKUP(OfficeForms.Table[[#This Row],[Email]],EE!C:C,EE!H:H,"Missing"),"Missing")</f>
        <v>Male</v>
      </c>
      <c r="H146" t="s">
        <v>2217</v>
      </c>
    </row>
    <row r="147" spans="1:8" x14ac:dyDescent="0.2">
      <c r="A147">
        <v>146</v>
      </c>
      <c r="B147" s="2" t="s">
        <v>388</v>
      </c>
      <c r="C147" s="87" t="str">
        <f>_xlfn.XLOOKUP(OfficeForms.Table[[#This Row],[Email]],Table2[Email],Table2[FullName],"")</f>
        <v>NGUYEN Trung Kien</v>
      </c>
      <c r="D147" s="2"/>
      <c r="E147">
        <v>5</v>
      </c>
      <c r="F147">
        <v>107</v>
      </c>
      <c r="G147" t="str">
        <f>IFERROR(_xlfn.XLOOKUP(OfficeForms.Table[[#This Row],[Email]],EE!C:C,EE!H:H,"Missing"),"Missing")</f>
        <v>Male</v>
      </c>
      <c r="H147" t="s">
        <v>2217</v>
      </c>
    </row>
    <row r="148" spans="1:8" x14ac:dyDescent="0.2">
      <c r="A148">
        <v>147</v>
      </c>
      <c r="B148" s="2" t="s">
        <v>409</v>
      </c>
      <c r="C148" s="87" t="str">
        <f>_xlfn.XLOOKUP(OfficeForms.Table[[#This Row],[Email]],Table2[Email],Table2[FullName],"")</f>
        <v>NGUYEN Tran Phuong Phuong</v>
      </c>
      <c r="D148" s="2"/>
      <c r="E148">
        <v>5</v>
      </c>
      <c r="F148">
        <v>104</v>
      </c>
      <c r="G148" t="str">
        <f>IFERROR(_xlfn.XLOOKUP(OfficeForms.Table[[#This Row],[Email]],EE!C:C,EE!H:H,"Missing"),"Missing")</f>
        <v>Female</v>
      </c>
      <c r="H148" t="s">
        <v>2227</v>
      </c>
    </row>
    <row r="149" spans="1:8" x14ac:dyDescent="0.2">
      <c r="A149">
        <v>148</v>
      </c>
      <c r="B149" s="2" t="s">
        <v>363</v>
      </c>
      <c r="C149" s="87" t="str">
        <f>_xlfn.XLOOKUP(OfficeForms.Table[[#This Row],[Email]],Table2[Email],Table2[FullName],"")</f>
        <v>DUTERTRE Geoffrey</v>
      </c>
      <c r="D149" s="2"/>
      <c r="E149">
        <v>8</v>
      </c>
      <c r="F149">
        <v>110</v>
      </c>
      <c r="G149" t="str">
        <f>IFERROR(_xlfn.XLOOKUP(OfficeForms.Table[[#This Row],[Email]],EE!C:C,EE!H:H,"Missing"),"Missing")</f>
        <v>Male</v>
      </c>
      <c r="H149" t="s">
        <v>2217</v>
      </c>
    </row>
    <row r="150" spans="1:8" x14ac:dyDescent="0.2">
      <c r="A150">
        <v>149</v>
      </c>
      <c r="B150" s="2" t="s">
        <v>380</v>
      </c>
      <c r="C150" s="87" t="str">
        <f>_xlfn.XLOOKUP(OfficeForms.Table[[#This Row],[Email]],Table2[Email],Table2[FullName],"")</f>
        <v>PHAM Hoang Phuc</v>
      </c>
      <c r="D150" s="2"/>
      <c r="E150">
        <v>5</v>
      </c>
      <c r="F150">
        <v>108</v>
      </c>
      <c r="G150" t="str">
        <f>IFERROR(_xlfn.XLOOKUP(OfficeForms.Table[[#This Row],[Email]],EE!C:C,EE!H:H,"Missing"),"Missing")</f>
        <v>Male</v>
      </c>
      <c r="H150" t="s">
        <v>2217</v>
      </c>
    </row>
    <row r="151" spans="1:8" x14ac:dyDescent="0.2">
      <c r="A151">
        <v>150</v>
      </c>
      <c r="B151" s="2" t="s">
        <v>482</v>
      </c>
      <c r="C151" s="87" t="str">
        <f>_xlfn.XLOOKUP(OfficeForms.Table[[#This Row],[Email]],Table2[Email],Table2[FullName],"")</f>
        <v>NGUYEN Ha Nhi</v>
      </c>
      <c r="D151" s="2"/>
      <c r="E151">
        <v>5</v>
      </c>
      <c r="F151">
        <v>96</v>
      </c>
      <c r="G151" t="str">
        <f>IFERROR(_xlfn.XLOOKUP(OfficeForms.Table[[#This Row],[Email]],EE!C:C,EE!H:H,"Missing"),"Missing")</f>
        <v>Female</v>
      </c>
      <c r="H151" t="s">
        <v>2227</v>
      </c>
    </row>
    <row r="152" spans="1:8" x14ac:dyDescent="0.2">
      <c r="A152">
        <v>151</v>
      </c>
      <c r="B152" s="2" t="s">
        <v>404</v>
      </c>
      <c r="C152" s="87" t="str">
        <f>_xlfn.XLOOKUP(OfficeForms.Table[[#This Row],[Email]],Table2[Email],Table2[FullName],"")</f>
        <v>DIEP Tue Quan</v>
      </c>
      <c r="D152" s="2" t="s">
        <v>408</v>
      </c>
      <c r="E152">
        <v>5</v>
      </c>
      <c r="F152">
        <v>105</v>
      </c>
      <c r="G152" t="str">
        <f>IFERROR(_xlfn.XLOOKUP(OfficeForms.Table[[#This Row],[Email]],EE!C:C,EE!H:H,"Missing"),"Missing")</f>
        <v>Female</v>
      </c>
      <c r="H152" t="s">
        <v>2227</v>
      </c>
    </row>
    <row r="153" spans="1:8" x14ac:dyDescent="0.2">
      <c r="A153">
        <v>152</v>
      </c>
      <c r="B153" s="2" t="s">
        <v>422</v>
      </c>
      <c r="C153" s="87" t="str">
        <f>_xlfn.XLOOKUP(OfficeForms.Table[[#This Row],[Email]],Table2[Email],Table2[FullName],"")</f>
        <v>LE Ngoc Khanh</v>
      </c>
      <c r="D153" s="2"/>
      <c r="E153">
        <v>5</v>
      </c>
      <c r="F153">
        <v>103</v>
      </c>
      <c r="G153" t="str">
        <f>IFERROR(_xlfn.XLOOKUP(OfficeForms.Table[[#This Row],[Email]],EE!C:C,EE!H:H,"Missing"),"Missing")</f>
        <v>Female</v>
      </c>
      <c r="H153" t="s">
        <v>2227</v>
      </c>
    </row>
    <row r="154" spans="1:8" x14ac:dyDescent="0.2">
      <c r="A154">
        <v>153</v>
      </c>
      <c r="B154" s="81" t="s">
        <v>486</v>
      </c>
      <c r="C154" s="88" t="str">
        <f>_xlfn.XLOOKUP(OfficeForms.Table[[#This Row],[Email]],Table2[Email],Table2[FullName],"")</f>
        <v>HONG Yen Xuan</v>
      </c>
      <c r="E154">
        <v>5</v>
      </c>
      <c r="F154">
        <v>125</v>
      </c>
      <c r="G154" t="str">
        <f>IFERROR(_xlfn.XLOOKUP(OfficeForms.Table[[#This Row],[Email]],EE!C:C,EE!H:H,"Missing"),"Missing")</f>
        <v>Female</v>
      </c>
      <c r="H154" t="s">
        <v>2227</v>
      </c>
    </row>
    <row r="155" spans="1:8" x14ac:dyDescent="0.2">
      <c r="A155">
        <v>154</v>
      </c>
      <c r="B155" s="2" t="s">
        <v>392</v>
      </c>
      <c r="C155" s="87" t="str">
        <f>_xlfn.XLOOKUP(OfficeForms.Table[[#This Row],[Email]],Table2[Email],Table2[FullName],"")</f>
        <v>TRAN Huu Phuc - Tony</v>
      </c>
      <c r="D155" s="2"/>
      <c r="E155">
        <v>5</v>
      </c>
      <c r="F155">
        <v>107</v>
      </c>
      <c r="G155" t="str">
        <f>IFERROR(_xlfn.XLOOKUP(OfficeForms.Table[[#This Row],[Email]],EE!C:C,EE!H:H,"Missing"),"Missing")</f>
        <v>Male</v>
      </c>
      <c r="H155" t="s">
        <v>2217</v>
      </c>
    </row>
    <row r="156" spans="1:8" x14ac:dyDescent="0.2">
      <c r="A156">
        <v>155</v>
      </c>
      <c r="B156" s="2" t="s">
        <v>490</v>
      </c>
      <c r="C156" s="87" t="str">
        <f>_xlfn.XLOOKUP(OfficeForms.Table[[#This Row],[Email]],Table2[Email],Table2[FullName],"")</f>
        <v>LUONG Thi Tram Anh</v>
      </c>
      <c r="D156" s="2"/>
      <c r="E156">
        <v>5</v>
      </c>
      <c r="F156">
        <v>95</v>
      </c>
      <c r="G156" t="str">
        <f>IFERROR(_xlfn.XLOOKUP(OfficeForms.Table[[#This Row],[Email]],EE!C:C,EE!H:H,"Missing"),"Missing")</f>
        <v>Female</v>
      </c>
      <c r="H156" t="s">
        <v>2227</v>
      </c>
    </row>
    <row r="157" spans="1:8" x14ac:dyDescent="0.2">
      <c r="A157">
        <v>156</v>
      </c>
      <c r="B157" s="2" t="s">
        <v>446</v>
      </c>
      <c r="C157" s="87" t="str">
        <f>_xlfn.XLOOKUP(OfficeForms.Table[[#This Row],[Email]],Table2[Email],Table2[FullName],"")</f>
        <v>NGUYEN Vu Phuong Uyen</v>
      </c>
      <c r="D157" s="2"/>
      <c r="E157">
        <v>5</v>
      </c>
      <c r="F157">
        <v>100</v>
      </c>
      <c r="G157" t="str">
        <f>IFERROR(_xlfn.XLOOKUP(OfficeForms.Table[[#This Row],[Email]],EE!C:C,EE!H:H,"Missing"),"Missing")</f>
        <v>Female</v>
      </c>
      <c r="H157" t="s">
        <v>2227</v>
      </c>
    </row>
    <row r="158" spans="1:8" x14ac:dyDescent="0.2">
      <c r="A158">
        <v>157</v>
      </c>
      <c r="B158" s="2" t="s">
        <v>426</v>
      </c>
      <c r="C158" s="87" t="str">
        <f>_xlfn.XLOOKUP(OfficeForms.Table[[#This Row],[Email]],Table2[Email],Table2[FullName],"")</f>
        <v>TRAN Ngoc Phuong Uyen</v>
      </c>
      <c r="D158" s="2"/>
      <c r="E158">
        <v>5</v>
      </c>
      <c r="F158">
        <v>103</v>
      </c>
      <c r="G158" t="str">
        <f>IFERROR(_xlfn.XLOOKUP(OfficeForms.Table[[#This Row],[Email]],EE!C:C,EE!H:H,"Missing"),"Missing")</f>
        <v>Female</v>
      </c>
      <c r="H158" t="s">
        <v>2227</v>
      </c>
    </row>
    <row r="159" spans="1:8" x14ac:dyDescent="0.2">
      <c r="A159">
        <v>158</v>
      </c>
      <c r="B159" s="2" t="s">
        <v>494</v>
      </c>
      <c r="C159" s="87" t="str">
        <f>_xlfn.XLOOKUP(OfficeForms.Table[[#This Row],[Email]],Table2[Email],Table2[FullName],"")</f>
        <v>NGUYEN Chau Giang</v>
      </c>
      <c r="D159" s="2"/>
      <c r="E159">
        <v>5</v>
      </c>
      <c r="F159">
        <v>94</v>
      </c>
      <c r="G159" t="str">
        <f>IFERROR(_xlfn.XLOOKUP(OfficeForms.Table[[#This Row],[Email]],EE!C:C,EE!H:H,"Missing"),"Missing")</f>
        <v>Female</v>
      </c>
      <c r="H159" t="s">
        <v>2227</v>
      </c>
    </row>
    <row r="160" spans="1:8" x14ac:dyDescent="0.2">
      <c r="A160">
        <v>159</v>
      </c>
      <c r="B160" s="2" t="s">
        <v>430</v>
      </c>
      <c r="C160" s="87" t="str">
        <f>_xlfn.XLOOKUP(OfficeForms.Table[[#This Row],[Email]],Table2[Email],Table2[FullName],"")</f>
        <v>VO Dinh Que Chau</v>
      </c>
      <c r="D160" s="2"/>
      <c r="E160">
        <v>5</v>
      </c>
      <c r="F160">
        <v>102</v>
      </c>
      <c r="G160" t="str">
        <f>IFERROR(_xlfn.XLOOKUP(OfficeForms.Table[[#This Row],[Email]],EE!C:C,EE!H:H,"Missing"),"Missing")</f>
        <v>Female</v>
      </c>
      <c r="H160" t="s">
        <v>2227</v>
      </c>
    </row>
    <row r="161" spans="1:8" x14ac:dyDescent="0.2">
      <c r="A161">
        <v>160</v>
      </c>
      <c r="B161" s="2" t="s">
        <v>442</v>
      </c>
      <c r="C161" s="87" t="str">
        <f>_xlfn.XLOOKUP(OfficeForms.Table[[#This Row],[Email]],Table2[Email],Table2[FullName],"")</f>
        <v>HOANG Lam Tam Nhu</v>
      </c>
      <c r="D161" s="2"/>
      <c r="E161">
        <v>5</v>
      </c>
      <c r="F161">
        <v>95</v>
      </c>
      <c r="G161" t="str">
        <f>IFERROR(_xlfn.XLOOKUP(OfficeForms.Table[[#This Row],[Email]],EE!C:C,EE!H:H,"Missing"),"Missing")</f>
        <v>Female</v>
      </c>
      <c r="H161" t="s">
        <v>2227</v>
      </c>
    </row>
    <row r="162" spans="1:8" x14ac:dyDescent="0.2">
      <c r="A162">
        <v>161</v>
      </c>
      <c r="B162" s="2" t="s">
        <v>498</v>
      </c>
      <c r="C162" s="87" t="str">
        <f>_xlfn.XLOOKUP(OfficeForms.Table[[#This Row],[Email]],Table2[Email],Table2[FullName],"")</f>
        <v>TRINH LE THAO Uyen</v>
      </c>
      <c r="D162" s="2"/>
      <c r="E162">
        <v>5</v>
      </c>
      <c r="F162">
        <v>94</v>
      </c>
      <c r="G162" t="str">
        <f>IFERROR(_xlfn.XLOOKUP(OfficeForms.Table[[#This Row],[Email]],EE!C:C,EE!H:H,"Missing"),"Missing")</f>
        <v>Female</v>
      </c>
      <c r="H162" t="s">
        <v>2227</v>
      </c>
    </row>
    <row r="163" spans="1:8" x14ac:dyDescent="0.2">
      <c r="A163">
        <v>162</v>
      </c>
      <c r="B163" t="s">
        <v>400</v>
      </c>
      <c r="C163" s="87" t="str">
        <f>_xlfn.XLOOKUP(OfficeForms.Table[[#This Row],[Email]],Table2[Email],Table2[FullName],"")</f>
        <v>NGUYEN The Anh</v>
      </c>
      <c r="E163">
        <v>5</v>
      </c>
      <c r="F163">
        <v>106</v>
      </c>
      <c r="G163" t="str">
        <f>IFERROR(_xlfn.XLOOKUP(OfficeForms.Table[[#This Row],[Email]],EE!C:C,EE!H:H,"Missing"),"Missing")</f>
        <v>Male</v>
      </c>
      <c r="H163" t="s">
        <v>2217</v>
      </c>
    </row>
    <row r="164" spans="1:8" x14ac:dyDescent="0.2">
      <c r="A164">
        <v>163</v>
      </c>
      <c r="B164" s="2" t="s">
        <v>434</v>
      </c>
      <c r="C164" s="87" t="str">
        <f>_xlfn.XLOOKUP(OfficeForms.Table[[#This Row],[Email]],Table2[Email],Table2[FullName],"")</f>
        <v>LAM Bao Quyen</v>
      </c>
      <c r="D164" s="2"/>
      <c r="E164">
        <v>5</v>
      </c>
      <c r="F164">
        <v>102</v>
      </c>
      <c r="G164" t="str">
        <f>IFERROR(_xlfn.XLOOKUP(OfficeForms.Table[[#This Row],[Email]],EE!C:C,EE!H:H,"Missing"),"Missing")</f>
        <v>Female</v>
      </c>
      <c r="H164" t="s">
        <v>2227</v>
      </c>
    </row>
    <row r="165" spans="1:8" x14ac:dyDescent="0.2">
      <c r="A165">
        <v>164</v>
      </c>
      <c r="B165" s="2" t="s">
        <v>384</v>
      </c>
      <c r="C165" s="87" t="str">
        <f>_xlfn.XLOOKUP(OfficeForms.Table[[#This Row],[Email]],Table2[Email],Table2[FullName],"")</f>
        <v>BUI Quang Hung</v>
      </c>
      <c r="D165" s="2"/>
      <c r="E165">
        <v>5</v>
      </c>
      <c r="F165">
        <v>108</v>
      </c>
      <c r="G165" t="str">
        <f>IFERROR(_xlfn.XLOOKUP(OfficeForms.Table[[#This Row],[Email]],EE!C:C,EE!H:H,"Missing"),"Missing")</f>
        <v>Male</v>
      </c>
      <c r="H165" t="s">
        <v>2217</v>
      </c>
    </row>
    <row r="166" spans="1:8" x14ac:dyDescent="0.2">
      <c r="A166">
        <v>165</v>
      </c>
      <c r="B166" s="2" t="s">
        <v>136</v>
      </c>
      <c r="C166" s="87" t="str">
        <f>_xlfn.XLOOKUP(OfficeForms.Table[[#This Row],[Email]],Table2[Email],Table2[FullName],"")</f>
        <v>DUQUESNAY Guillaume</v>
      </c>
      <c r="D166" s="2"/>
      <c r="E166">
        <v>8</v>
      </c>
      <c r="F166">
        <v>138</v>
      </c>
      <c r="G166" t="str">
        <f>IFERROR(_xlfn.XLOOKUP(OfficeForms.Table[[#This Row],[Email]],EE!C:C,EE!H:H,"Missing"),"Missing")</f>
        <v>Male</v>
      </c>
      <c r="H166" t="s">
        <v>2227</v>
      </c>
    </row>
    <row r="167" spans="1:8" x14ac:dyDescent="0.2">
      <c r="A167">
        <v>166</v>
      </c>
      <c r="B167" s="2" t="s">
        <v>195</v>
      </c>
      <c r="C167" s="87" t="str">
        <f>_xlfn.XLOOKUP(OfficeForms.Table[[#This Row],[Email]],Table2[Email],Table2[FullName],"")</f>
        <v>HUYNH Ngoc Hoa</v>
      </c>
      <c r="D167" s="2"/>
      <c r="E167">
        <v>6</v>
      </c>
      <c r="F167">
        <v>131</v>
      </c>
      <c r="G167" t="str">
        <f>IFERROR(_xlfn.XLOOKUP(OfficeForms.Table[[#This Row],[Email]],EE!C:C,EE!H:H,"Missing"),"Missing")</f>
        <v>Female</v>
      </c>
      <c r="H167" t="s">
        <v>2227</v>
      </c>
    </row>
    <row r="168" spans="1:8" x14ac:dyDescent="0.2">
      <c r="A168">
        <v>167</v>
      </c>
      <c r="B168" s="2" t="s">
        <v>141</v>
      </c>
      <c r="C168" s="87" t="str">
        <f>_xlfn.XLOOKUP(OfficeForms.Table[[#This Row],[Email]],Table2[Email],Table2[FullName],"")</f>
        <v>HUYNH Van Cop</v>
      </c>
      <c r="D168" s="2"/>
      <c r="E168">
        <v>6</v>
      </c>
      <c r="F168">
        <v>138</v>
      </c>
      <c r="G168" t="str">
        <f>IFERROR(_xlfn.XLOOKUP(OfficeForms.Table[[#This Row],[Email]],EE!C:C,EE!H:H,"Missing"),"Missing")</f>
        <v>Male</v>
      </c>
      <c r="H168" t="s">
        <v>2227</v>
      </c>
    </row>
    <row r="169" spans="1:8" x14ac:dyDescent="0.2">
      <c r="A169">
        <v>168</v>
      </c>
      <c r="B169" s="2" t="s">
        <v>128</v>
      </c>
      <c r="C169" s="87" t="str">
        <f>_xlfn.XLOOKUP(OfficeForms.Table[[#This Row],[Email]],Table2[Email],Table2[FullName],"")</f>
        <v>NGUYEN Hoang Minh</v>
      </c>
      <c r="D169" s="2"/>
      <c r="E169">
        <v>6</v>
      </c>
      <c r="F169">
        <v>139</v>
      </c>
      <c r="G169" t="str">
        <f>IFERROR(_xlfn.XLOOKUP(OfficeForms.Table[[#This Row],[Email]],EE!C:C,EE!H:H,"Missing"),"Missing")</f>
        <v>Male</v>
      </c>
      <c r="H169" t="s">
        <v>2227</v>
      </c>
    </row>
    <row r="170" spans="1:8" x14ac:dyDescent="0.2">
      <c r="A170">
        <v>169</v>
      </c>
      <c r="B170" t="s">
        <v>199</v>
      </c>
      <c r="C170" s="87" t="str">
        <f>_xlfn.XLOOKUP(OfficeForms.Table[[#This Row],[Email]],Table2[Email],Table2[FullName],"")</f>
        <v>NGUYEN Thi Ha Trang</v>
      </c>
      <c r="E170">
        <v>6</v>
      </c>
      <c r="F170">
        <v>131</v>
      </c>
      <c r="G170" t="str">
        <f>IFERROR(_xlfn.XLOOKUP(OfficeForms.Table[[#This Row],[Email]],EE!C:C,EE!H:H,"Missing"),"Missing")</f>
        <v>Female</v>
      </c>
      <c r="H170" t="s">
        <v>2227</v>
      </c>
    </row>
    <row r="171" spans="1:8" x14ac:dyDescent="0.2">
      <c r="A171">
        <v>170</v>
      </c>
      <c r="B171" s="2" t="s">
        <v>204</v>
      </c>
      <c r="C171" s="87" t="str">
        <f>_xlfn.XLOOKUP(OfficeForms.Table[[#This Row],[Email]],Table2[Email],Table2[FullName],"")</f>
        <v>HA Thanh Huong</v>
      </c>
      <c r="D171" s="2"/>
      <c r="E171">
        <v>6</v>
      </c>
      <c r="F171">
        <v>130</v>
      </c>
      <c r="G171" t="str">
        <f>IFERROR(_xlfn.XLOOKUP(OfficeForms.Table[[#This Row],[Email]],EE!C:C,EE!H:H,"Missing"),"Missing")</f>
        <v>Female</v>
      </c>
      <c r="H171" t="s">
        <v>2227</v>
      </c>
    </row>
    <row r="172" spans="1:8" x14ac:dyDescent="0.2">
      <c r="A172">
        <v>171</v>
      </c>
      <c r="B172" s="2" t="s">
        <v>132</v>
      </c>
      <c r="C172" s="87" t="str">
        <f>_xlfn.XLOOKUP(OfficeForms.Table[[#This Row],[Email]],Table2[Email],Table2[FullName],"")</f>
        <v>NGUYEN Hai Nam</v>
      </c>
      <c r="D172" s="2"/>
      <c r="E172">
        <v>6</v>
      </c>
      <c r="F172">
        <v>139</v>
      </c>
      <c r="G172" t="str">
        <f>IFERROR(_xlfn.XLOOKUP(OfficeForms.Table[[#This Row],[Email]],EE!C:C,EE!H:H,"Missing"),"Missing")</f>
        <v>Male</v>
      </c>
      <c r="H172" t="s">
        <v>2227</v>
      </c>
    </row>
    <row r="173" spans="1:8" x14ac:dyDescent="0.2">
      <c r="A173">
        <v>172</v>
      </c>
      <c r="B173" s="2" t="s">
        <v>120</v>
      </c>
      <c r="C173" s="87" t="str">
        <f>_xlfn.XLOOKUP(OfficeForms.Table[[#This Row],[Email]],Table2[Email],Table2[FullName],"")</f>
        <v>HOANG Trung Thong</v>
      </c>
      <c r="D173" s="2"/>
      <c r="E173">
        <v>6</v>
      </c>
      <c r="F173">
        <v>140</v>
      </c>
      <c r="G173" t="str">
        <f>IFERROR(_xlfn.XLOOKUP(OfficeForms.Table[[#This Row],[Email]],EE!C:C,EE!H:H,"Missing"),"Missing")</f>
        <v>Male</v>
      </c>
      <c r="H173" t="s">
        <v>2227</v>
      </c>
    </row>
    <row r="174" spans="1:8" x14ac:dyDescent="0.2">
      <c r="A174">
        <v>173</v>
      </c>
      <c r="B174" s="2" t="s">
        <v>124</v>
      </c>
      <c r="C174" s="87" t="str">
        <f>_xlfn.XLOOKUP(OfficeForms.Table[[#This Row],[Email]],Table2[Email],Table2[FullName],"")</f>
        <v>TAI Dai Che Phuong</v>
      </c>
      <c r="D174" s="2"/>
      <c r="E174">
        <v>6</v>
      </c>
      <c r="F174">
        <v>140</v>
      </c>
      <c r="G174" t="str">
        <f>IFERROR(_xlfn.XLOOKUP(OfficeForms.Table[[#This Row],[Email]],EE!C:C,EE!H:H,"Missing"),"Missing")</f>
        <v>Male</v>
      </c>
      <c r="H174" t="s">
        <v>2227</v>
      </c>
    </row>
    <row r="175" spans="1:8" x14ac:dyDescent="0.2">
      <c r="A175">
        <v>174</v>
      </c>
      <c r="B175" s="2" t="s">
        <v>112</v>
      </c>
      <c r="C175" s="87" t="str">
        <f>_xlfn.XLOOKUP(OfficeForms.Table[[#This Row],[Email]],Table2[Email],Table2[FullName],"")</f>
        <v>CHAU Phu Qui</v>
      </c>
      <c r="D175" s="2"/>
      <c r="E175">
        <v>6</v>
      </c>
      <c r="F175">
        <v>141</v>
      </c>
      <c r="G175" t="str">
        <f>IFERROR(_xlfn.XLOOKUP(OfficeForms.Table[[#This Row],[Email]],EE!C:C,EE!H:H,"Missing"),"Missing")</f>
        <v>Male</v>
      </c>
      <c r="H175" t="s">
        <v>2227</v>
      </c>
    </row>
    <row r="176" spans="1:8" x14ac:dyDescent="0.2">
      <c r="A176">
        <v>175</v>
      </c>
      <c r="B176" s="2" t="s">
        <v>208</v>
      </c>
      <c r="C176" s="87" t="str">
        <f>_xlfn.XLOOKUP(OfficeForms.Table[[#This Row],[Email]],Table2[Email],Table2[FullName],"")</f>
        <v>TRAN Nhat Minh</v>
      </c>
      <c r="D176" s="2"/>
      <c r="E176">
        <v>6</v>
      </c>
      <c r="F176">
        <v>130</v>
      </c>
      <c r="G176" t="str">
        <f>IFERROR(_xlfn.XLOOKUP(OfficeForms.Table[[#This Row],[Email]],EE!C:C,EE!H:H,"Missing"),"Missing")</f>
        <v>Female</v>
      </c>
      <c r="H176" t="s">
        <v>2227</v>
      </c>
    </row>
    <row r="177" spans="1:8" x14ac:dyDescent="0.2">
      <c r="A177">
        <v>176</v>
      </c>
      <c r="B177" s="2" t="s">
        <v>116</v>
      </c>
      <c r="C177" s="87" t="str">
        <f>_xlfn.XLOOKUP(OfficeForms.Table[[#This Row],[Email]],Table2[Email],Table2[FullName],"")</f>
        <v>LE Ngoc Huy</v>
      </c>
      <c r="D177" s="2"/>
      <c r="E177">
        <v>6</v>
      </c>
      <c r="F177">
        <v>141</v>
      </c>
      <c r="G177" t="str">
        <f>IFERROR(_xlfn.XLOOKUP(OfficeForms.Table[[#This Row],[Email]],EE!C:C,EE!H:H,"Missing"),"Missing")</f>
        <v>Male</v>
      </c>
      <c r="H177" t="s">
        <v>2227</v>
      </c>
    </row>
    <row r="178" spans="1:8" x14ac:dyDescent="0.2">
      <c r="A178">
        <v>177</v>
      </c>
      <c r="B178" s="2" t="s">
        <v>104</v>
      </c>
      <c r="C178" s="87" t="str">
        <f>_xlfn.XLOOKUP(OfficeForms.Table[[#This Row],[Email]],Table2[Email],Table2[FullName],"")</f>
        <v>NGUYEN Truong Thi</v>
      </c>
      <c r="D178" s="2"/>
      <c r="E178">
        <v>6</v>
      </c>
      <c r="F178">
        <v>142</v>
      </c>
      <c r="G178" t="str">
        <f>IFERROR(_xlfn.XLOOKUP(OfficeForms.Table[[#This Row],[Email]],EE!C:C,EE!H:H,"Missing"),"Missing")</f>
        <v>Male</v>
      </c>
      <c r="H178" t="s">
        <v>2227</v>
      </c>
    </row>
    <row r="179" spans="1:8" x14ac:dyDescent="0.2">
      <c r="A179">
        <v>178</v>
      </c>
      <c r="B179" s="2" t="s">
        <v>108</v>
      </c>
      <c r="C179" s="87" t="str">
        <f>_xlfn.XLOOKUP(OfficeForms.Table[[#This Row],[Email]],Table2[Email],Table2[FullName],"")</f>
        <v>NGUYEN Khac Duy</v>
      </c>
      <c r="D179" s="2"/>
      <c r="E179">
        <v>6</v>
      </c>
      <c r="F179">
        <v>142</v>
      </c>
      <c r="G179" t="str">
        <f>IFERROR(_xlfn.XLOOKUP(OfficeForms.Table[[#This Row],[Email]],EE!C:C,EE!H:H,"Missing"),"Missing")</f>
        <v>Male</v>
      </c>
      <c r="H179" t="s">
        <v>2227</v>
      </c>
    </row>
    <row r="180" spans="1:8" x14ac:dyDescent="0.2">
      <c r="A180">
        <v>179</v>
      </c>
      <c r="B180" s="2" t="s">
        <v>145</v>
      </c>
      <c r="C180" s="87" t="str">
        <f>_xlfn.XLOOKUP(OfficeForms.Table[[#This Row],[Email]],Table2[Email],Table2[FullName],"")</f>
        <v>NGUYEN Hoang Duy</v>
      </c>
      <c r="D180" s="2"/>
      <c r="E180">
        <v>6</v>
      </c>
      <c r="F180">
        <v>137</v>
      </c>
      <c r="G180" t="str">
        <f>IFERROR(_xlfn.XLOOKUP(OfficeForms.Table[[#This Row],[Email]],EE!C:C,EE!H:H,"Missing"),"Missing")</f>
        <v>Male</v>
      </c>
      <c r="H180" t="s">
        <v>2227</v>
      </c>
    </row>
    <row r="181" spans="1:8" x14ac:dyDescent="0.2">
      <c r="A181">
        <v>180</v>
      </c>
      <c r="B181" t="s">
        <v>149</v>
      </c>
      <c r="C181" s="87" t="str">
        <f>_xlfn.XLOOKUP(OfficeForms.Table[[#This Row],[Email]],Table2[Email],Table2[FullName],"")</f>
        <v>NGUYEN Tuan Anh</v>
      </c>
      <c r="E181">
        <v>6</v>
      </c>
      <c r="F181">
        <v>137</v>
      </c>
      <c r="G181" t="str">
        <f>IFERROR(_xlfn.XLOOKUP(OfficeForms.Table[[#This Row],[Email]],EE!C:C,EE!H:H,"Missing"),"Missing")</f>
        <v>Male</v>
      </c>
      <c r="H181" t="s">
        <v>2227</v>
      </c>
    </row>
    <row r="182" spans="1:8" x14ac:dyDescent="0.2">
      <c r="A182">
        <v>181</v>
      </c>
      <c r="B182" s="2" t="s">
        <v>153</v>
      </c>
      <c r="C182" s="87" t="str">
        <f>_xlfn.XLOOKUP(OfficeForms.Table[[#This Row],[Email]],Table2[Email],Table2[FullName],"")</f>
        <v>LE Dinh Van</v>
      </c>
      <c r="D182" s="2"/>
      <c r="E182">
        <v>6</v>
      </c>
      <c r="F182">
        <v>136</v>
      </c>
      <c r="G182" t="str">
        <f>IFERROR(_xlfn.XLOOKUP(OfficeForms.Table[[#This Row],[Email]],EE!C:C,EE!H:H,"Missing"),"Missing")</f>
        <v>Male</v>
      </c>
      <c r="H182" t="s">
        <v>2227</v>
      </c>
    </row>
    <row r="183" spans="1:8" x14ac:dyDescent="0.2">
      <c r="A183">
        <v>182</v>
      </c>
      <c r="B183" s="2" t="s">
        <v>157</v>
      </c>
      <c r="C183" s="87" t="str">
        <f>_xlfn.XLOOKUP(OfficeForms.Table[[#This Row],[Email]],Table2[Email],Table2[FullName],"")</f>
        <v>HUYNH Ba Nghi</v>
      </c>
      <c r="D183" s="2"/>
      <c r="E183" s="2" t="s">
        <v>2238</v>
      </c>
      <c r="F183">
        <v>136</v>
      </c>
      <c r="G183" t="str">
        <f>IFERROR(_xlfn.XLOOKUP(OfficeForms.Table[[#This Row],[Email]],EE!C:C,EE!H:H,"Missing"),"Missing")</f>
        <v>Male</v>
      </c>
      <c r="H183" t="s">
        <v>2227</v>
      </c>
    </row>
    <row r="184" spans="1:8" x14ac:dyDescent="0.2">
      <c r="A184">
        <v>183</v>
      </c>
      <c r="B184" s="2" t="s">
        <v>161</v>
      </c>
      <c r="C184" s="87" t="str">
        <f>_xlfn.XLOOKUP(OfficeForms.Table[[#This Row],[Email]],Table2[Email],Table2[FullName],"")</f>
        <v>PHAM Minh Tuan</v>
      </c>
      <c r="D184" s="2"/>
      <c r="E184">
        <v>6</v>
      </c>
      <c r="F184">
        <v>135</v>
      </c>
      <c r="G184" t="str">
        <f>IFERROR(_xlfn.XLOOKUP(OfficeForms.Table[[#This Row],[Email]],EE!C:C,EE!H:H,"Missing"),"Missing")</f>
        <v>Male</v>
      </c>
      <c r="H184" t="s">
        <v>2227</v>
      </c>
    </row>
    <row r="185" spans="1:8" x14ac:dyDescent="0.2">
      <c r="A185">
        <v>184</v>
      </c>
      <c r="B185" s="2" t="s">
        <v>99</v>
      </c>
      <c r="C185" s="87" t="str">
        <f>_xlfn.XLOOKUP(OfficeForms.Table[[#This Row],[Email]],Table2[Email],Table2[FullName],"")</f>
        <v>TRAN Thai Hung</v>
      </c>
      <c r="D185" s="2" t="s">
        <v>103</v>
      </c>
      <c r="E185">
        <v>6</v>
      </c>
      <c r="F185">
        <v>143</v>
      </c>
      <c r="G185" t="str">
        <f>IFERROR(_xlfn.XLOOKUP(OfficeForms.Table[[#This Row],[Email]],EE!C:C,EE!H:H,"Missing"),"Missing")</f>
        <v>Male</v>
      </c>
      <c r="H185" t="s">
        <v>2227</v>
      </c>
    </row>
    <row r="186" spans="1:8" x14ac:dyDescent="0.2">
      <c r="A186">
        <v>185</v>
      </c>
      <c r="B186" s="2" t="s">
        <v>212</v>
      </c>
      <c r="C186" s="87" t="str">
        <f>_xlfn.XLOOKUP(OfficeForms.Table[[#This Row],[Email]],Table2[Email],Table2[FullName],"")</f>
        <v>TA Thi My Hanh</v>
      </c>
      <c r="D186" s="2"/>
      <c r="E186">
        <v>6</v>
      </c>
      <c r="F186">
        <v>129</v>
      </c>
      <c r="G186" t="str">
        <f>IFERROR(_xlfn.XLOOKUP(OfficeForms.Table[[#This Row],[Email]],EE!C:C,EE!H:H,"Missing"),"Missing")</f>
        <v>Female</v>
      </c>
      <c r="H186" t="s">
        <v>2227</v>
      </c>
    </row>
    <row r="187" spans="1:8" x14ac:dyDescent="0.2">
      <c r="A187">
        <v>186</v>
      </c>
      <c r="B187" s="2" t="s">
        <v>94</v>
      </c>
      <c r="C187" s="87" t="str">
        <f>_xlfn.XLOOKUP(OfficeForms.Table[[#This Row],[Email]],Table2[Email],Table2[FullName],"")</f>
        <v>NGUYEN Thanh Hoang</v>
      </c>
      <c r="D187" s="2"/>
      <c r="E187">
        <v>6</v>
      </c>
      <c r="F187">
        <v>144</v>
      </c>
      <c r="G187" t="str">
        <f>IFERROR(_xlfn.XLOOKUP(OfficeForms.Table[[#This Row],[Email]],EE!C:C,EE!H:H,"Missing"),"Missing")</f>
        <v>Male</v>
      </c>
      <c r="H187" t="s">
        <v>2227</v>
      </c>
    </row>
    <row r="188" spans="1:8" x14ac:dyDescent="0.2">
      <c r="A188">
        <v>187</v>
      </c>
      <c r="B188" t="s">
        <v>171</v>
      </c>
      <c r="C188" s="87" t="str">
        <f>_xlfn.XLOOKUP(OfficeForms.Table[[#This Row],[Email]],Table2[Email],Table2[FullName],"")</f>
        <v>PHAN Anh Quan</v>
      </c>
      <c r="E188">
        <v>6</v>
      </c>
      <c r="F188">
        <v>134</v>
      </c>
      <c r="G188" t="str">
        <f>IFERROR(_xlfn.XLOOKUP(OfficeForms.Table[[#This Row],[Email]],EE!C:C,EE!H:H,"Missing"),"Missing")</f>
        <v>Male</v>
      </c>
      <c r="H188" t="s">
        <v>2227</v>
      </c>
    </row>
    <row r="189" spans="1:8" x14ac:dyDescent="0.2">
      <c r="A189">
        <v>188</v>
      </c>
      <c r="B189" s="2" t="s">
        <v>175</v>
      </c>
      <c r="C189" s="87" t="str">
        <f>_xlfn.XLOOKUP(OfficeForms.Table[[#This Row],[Email]],Table2[Email],Table2[FullName],"")</f>
        <v>BUI Cuong</v>
      </c>
      <c r="D189" s="2"/>
      <c r="E189">
        <v>6</v>
      </c>
      <c r="F189">
        <v>134</v>
      </c>
      <c r="G189" t="str">
        <f>IFERROR(_xlfn.XLOOKUP(OfficeForms.Table[[#This Row],[Email]],EE!C:C,EE!H:H,"Missing"),"Missing")</f>
        <v>Male</v>
      </c>
      <c r="H189" t="s">
        <v>2227</v>
      </c>
    </row>
    <row r="190" spans="1:8" x14ac:dyDescent="0.2">
      <c r="A190">
        <v>189</v>
      </c>
      <c r="B190" s="2" t="s">
        <v>179</v>
      </c>
      <c r="C190" s="87" t="str">
        <f>_xlfn.XLOOKUP(OfficeForms.Table[[#This Row],[Email]],Table2[Email],Table2[FullName],"")</f>
        <v>NGUYEN Duy Phuong</v>
      </c>
      <c r="D190" s="2"/>
      <c r="E190">
        <v>6</v>
      </c>
      <c r="F190">
        <v>133</v>
      </c>
      <c r="G190" t="str">
        <f>IFERROR(_xlfn.XLOOKUP(OfficeForms.Table[[#This Row],[Email]],EE!C:C,EE!H:H,"Missing"),"Missing")</f>
        <v>Male</v>
      </c>
      <c r="H190" t="s">
        <v>2227</v>
      </c>
    </row>
    <row r="191" spans="1:8" x14ac:dyDescent="0.2">
      <c r="A191">
        <v>190</v>
      </c>
      <c r="B191" s="2" t="s">
        <v>216</v>
      </c>
      <c r="C191" s="87" t="str">
        <f>_xlfn.XLOOKUP(OfficeForms.Table[[#This Row],[Email]],Table2[Email],Table2[FullName],"")</f>
        <v>NGUYEN Ngoc Thao My</v>
      </c>
      <c r="D191" s="2"/>
      <c r="E191">
        <v>6</v>
      </c>
      <c r="F191">
        <v>129</v>
      </c>
      <c r="G191" t="str">
        <f>IFERROR(_xlfn.XLOOKUP(OfficeForms.Table[[#This Row],[Email]],EE!C:C,EE!H:H,"Missing"),"Missing")</f>
        <v>Female</v>
      </c>
      <c r="H191" t="s">
        <v>2227</v>
      </c>
    </row>
    <row r="192" spans="1:8" x14ac:dyDescent="0.2">
      <c r="A192">
        <v>191</v>
      </c>
      <c r="B192" s="2" t="s">
        <v>183</v>
      </c>
      <c r="C192" s="87" t="str">
        <f>_xlfn.XLOOKUP(OfficeForms.Table[[#This Row],[Email]],Table2[Email],Table2[FullName],"")</f>
        <v>HOANG Phu Loc</v>
      </c>
      <c r="D192" s="2"/>
      <c r="E192">
        <v>6</v>
      </c>
      <c r="F192">
        <v>133</v>
      </c>
      <c r="G192" t="str">
        <f>IFERROR(_xlfn.XLOOKUP(OfficeForms.Table[[#This Row],[Email]],EE!C:C,EE!H:H,"Missing"),"Missing")</f>
        <v>Male</v>
      </c>
      <c r="H192" t="s">
        <v>2227</v>
      </c>
    </row>
    <row r="193" spans="1:8" x14ac:dyDescent="0.2">
      <c r="A193">
        <v>192</v>
      </c>
      <c r="B193" t="s">
        <v>187</v>
      </c>
      <c r="C193" s="87" t="str">
        <f>_xlfn.XLOOKUP(OfficeForms.Table[[#This Row],[Email]],Table2[Email],Table2[FullName],"")</f>
        <v>PHAM Nguyen Trong Tuan</v>
      </c>
      <c r="E193">
        <v>6</v>
      </c>
      <c r="F193">
        <v>132</v>
      </c>
      <c r="G193" t="str">
        <f>IFERROR(_xlfn.XLOOKUP(OfficeForms.Table[[#This Row],[Email]],EE!C:C,EE!H:H,"Missing"),"Missing")</f>
        <v>Male</v>
      </c>
      <c r="H193" t="s">
        <v>2227</v>
      </c>
    </row>
    <row r="194" spans="1:8" x14ac:dyDescent="0.2">
      <c r="A194">
        <v>193</v>
      </c>
      <c r="B194" s="2" t="s">
        <v>191</v>
      </c>
      <c r="C194" s="87" t="str">
        <f>_xlfn.XLOOKUP(OfficeForms.Table[[#This Row],[Email]],Table2[Email],Table2[FullName],"")</f>
        <v>DINH Tien Khoi</v>
      </c>
      <c r="D194" s="2"/>
      <c r="E194">
        <v>6</v>
      </c>
      <c r="F194">
        <v>132</v>
      </c>
      <c r="G194" t="str">
        <f>IFERROR(_xlfn.XLOOKUP(OfficeForms.Table[[#This Row],[Email]],EE!C:C,EE!H:H,"Missing"),"Missing")</f>
        <v>Male</v>
      </c>
      <c r="H194" t="s">
        <v>2227</v>
      </c>
    </row>
    <row r="195" spans="1:8" x14ac:dyDescent="0.2">
      <c r="A195">
        <v>194</v>
      </c>
      <c r="B195" s="2" t="s">
        <v>230</v>
      </c>
      <c r="C195" s="87" t="str">
        <f>_xlfn.XLOOKUP(OfficeForms.Table[[#This Row],[Email]],Table2[Email],Table2[FullName],"")</f>
        <v>HO Thi Lanh</v>
      </c>
      <c r="D195" s="2"/>
      <c r="E195">
        <v>6</v>
      </c>
      <c r="F195">
        <v>127</v>
      </c>
      <c r="G195" t="str">
        <f>IFERROR(_xlfn.XLOOKUP(OfficeForms.Table[[#This Row],[Email]],EE!C:C,EE!H:H,"Missing"),"Missing")</f>
        <v>Female</v>
      </c>
      <c r="H195" t="s">
        <v>2227</v>
      </c>
    </row>
    <row r="196" spans="1:8" x14ac:dyDescent="0.2">
      <c r="A196">
        <v>195</v>
      </c>
      <c r="B196" s="2" t="s">
        <v>221</v>
      </c>
      <c r="C196" s="87" t="str">
        <f>_xlfn.XLOOKUP(OfficeForms.Table[[#This Row],[Email]],Table2[Email],Table2[FullName],"")</f>
        <v>NGO Trinh Quynh Nhu</v>
      </c>
      <c r="D196" s="2"/>
      <c r="E196">
        <v>6</v>
      </c>
      <c r="F196">
        <v>128</v>
      </c>
      <c r="G196" t="str">
        <f>IFERROR(_xlfn.XLOOKUP(OfficeForms.Table[[#This Row],[Email]],EE!C:C,EE!H:H,"Missing"),"Missing")</f>
        <v>Female</v>
      </c>
      <c r="H196" t="s">
        <v>2227</v>
      </c>
    </row>
    <row r="197" spans="1:8" x14ac:dyDescent="0.2">
      <c r="A197">
        <v>196</v>
      </c>
      <c r="B197" s="2" t="s">
        <v>225</v>
      </c>
      <c r="C197" s="87" t="str">
        <f>_xlfn.XLOOKUP(OfficeForms.Table[[#This Row],[Email]],Table2[Email],Table2[FullName],"")</f>
        <v>LIN Clémence</v>
      </c>
      <c r="D197" s="2"/>
      <c r="E197">
        <v>8</v>
      </c>
      <c r="F197">
        <v>128</v>
      </c>
      <c r="G197" t="str">
        <f>IFERROR(_xlfn.XLOOKUP(OfficeForms.Table[[#This Row],[Email]],EE!C:C,EE!H:H,"Missing"),"Missing")</f>
        <v>Female</v>
      </c>
      <c r="H197" t="s">
        <v>2227</v>
      </c>
    </row>
    <row r="198" spans="1:8" x14ac:dyDescent="0.2">
      <c r="A198">
        <v>197</v>
      </c>
      <c r="B198" s="2" t="s">
        <v>668</v>
      </c>
      <c r="C198" s="87" t="str">
        <f>_xlfn.XLOOKUP(OfficeForms.Table[[#This Row],[Email]],Table2[Email],Table2[FullName],"")</f>
        <v>NGUYEN Thi Khanh</v>
      </c>
      <c r="D198" s="2"/>
      <c r="E198">
        <v>4</v>
      </c>
      <c r="F198">
        <v>69</v>
      </c>
      <c r="G198" t="str">
        <f>IFERROR(_xlfn.XLOOKUP(OfficeForms.Table[[#This Row],[Email]],EE!C:C,EE!H:H,"Missing"),"Missing")</f>
        <v>Female</v>
      </c>
      <c r="H198" t="s">
        <v>2227</v>
      </c>
    </row>
    <row r="199" spans="1:8" x14ac:dyDescent="0.2">
      <c r="A199">
        <v>198</v>
      </c>
      <c r="B199" s="2" t="s">
        <v>608</v>
      </c>
      <c r="C199" s="87" t="str">
        <f>_xlfn.XLOOKUP(OfficeForms.Table[[#This Row],[Email]],Table2[Email],Table2[FullName],"")</f>
        <v>TRAN Ngoc Quoc</v>
      </c>
      <c r="D199" s="2"/>
      <c r="E199">
        <v>7</v>
      </c>
      <c r="F199">
        <v>79</v>
      </c>
      <c r="G199" t="str">
        <f>IFERROR(_xlfn.XLOOKUP(OfficeForms.Table[[#This Row],[Email]],EE!C:C,EE!H:H,"Missing"),"Missing")</f>
        <v>Male</v>
      </c>
      <c r="H199" t="s">
        <v>2217</v>
      </c>
    </row>
    <row r="200" spans="1:8" x14ac:dyDescent="0.2">
      <c r="A200">
        <v>199</v>
      </c>
      <c r="B200" s="2" t="s">
        <v>724</v>
      </c>
      <c r="C200" s="87" t="str">
        <f>_xlfn.XLOOKUP(OfficeForms.Table[[#This Row],[Email]],Table2[Email],Table2[FullName],"")</f>
        <v>DO Thi Hue</v>
      </c>
      <c r="D200" s="2"/>
      <c r="E200">
        <v>4</v>
      </c>
      <c r="F200">
        <v>62</v>
      </c>
      <c r="G200" t="str">
        <f>IFERROR(_xlfn.XLOOKUP(OfficeForms.Table[[#This Row],[Email]],EE!C:C,EE!H:H,"Missing"),"Missing")</f>
        <v>Female</v>
      </c>
      <c r="H200" t="s">
        <v>2227</v>
      </c>
    </row>
    <row r="201" spans="1:8" x14ac:dyDescent="0.2">
      <c r="A201">
        <v>200</v>
      </c>
      <c r="B201" s="2" t="s">
        <v>612</v>
      </c>
      <c r="C201" s="87" t="str">
        <f>_xlfn.XLOOKUP(OfficeForms.Table[[#This Row],[Email]],Table2[Email],Table2[FullName],"")</f>
        <v>NGUYEN Tien Huynh</v>
      </c>
      <c r="D201" s="2"/>
      <c r="E201">
        <v>7</v>
      </c>
      <c r="F201">
        <v>79</v>
      </c>
      <c r="G201" t="str">
        <f>IFERROR(_xlfn.XLOOKUP(OfficeForms.Table[[#This Row],[Email]],EE!C:C,EE!H:H,"Missing"),"Missing")</f>
        <v>Male</v>
      </c>
      <c r="H201" t="s">
        <v>2217</v>
      </c>
    </row>
    <row r="202" spans="1:8" x14ac:dyDescent="0.2">
      <c r="A202">
        <v>201</v>
      </c>
      <c r="B202" s="2" t="s">
        <v>861</v>
      </c>
      <c r="C202" s="87" t="str">
        <f>_xlfn.XLOOKUP(OfficeForms.Table[[#This Row],[Email]],Table2[Email],Table2[FullName],"")</f>
        <v>LU Tran Thuy Linh</v>
      </c>
      <c r="D202" s="2"/>
      <c r="E202">
        <v>7</v>
      </c>
      <c r="F202">
        <v>44</v>
      </c>
      <c r="G202" t="str">
        <f>IFERROR(_xlfn.XLOOKUP(OfficeForms.Table[[#This Row],[Email]],EE!C:C,EE!H:H,"Missing"),"Missing")</f>
        <v>Female</v>
      </c>
      <c r="H202" t="s">
        <v>2227</v>
      </c>
    </row>
    <row r="203" spans="1:8" x14ac:dyDescent="0.2">
      <c r="A203">
        <v>202</v>
      </c>
      <c r="B203" t="s">
        <v>573</v>
      </c>
      <c r="C203" s="87" t="str">
        <f>_xlfn.XLOOKUP(OfficeForms.Table[[#This Row],[Email]],Table2[Email],Table2[FullName],"")</f>
        <v>DANG Minh Thu</v>
      </c>
      <c r="E203">
        <v>7</v>
      </c>
      <c r="F203">
        <v>83</v>
      </c>
      <c r="G203" t="str">
        <f>IFERROR(_xlfn.XLOOKUP(OfficeForms.Table[[#This Row],[Email]],EE!C:C,EE!H:H,"Missing"),"Missing")</f>
        <v>Female</v>
      </c>
      <c r="H203" t="s">
        <v>2227</v>
      </c>
    </row>
    <row r="204" spans="1:8" x14ac:dyDescent="0.2">
      <c r="A204">
        <v>203</v>
      </c>
      <c r="B204" t="s">
        <v>600</v>
      </c>
      <c r="C204" s="87" t="str">
        <f>_xlfn.XLOOKUP(OfficeForms.Table[[#This Row],[Email]],Table2[Email],Table2[FullName],"")</f>
        <v>TRAN Minh Quang</v>
      </c>
      <c r="E204">
        <v>7</v>
      </c>
      <c r="F204">
        <v>80</v>
      </c>
      <c r="G204" t="str">
        <f>IFERROR(_xlfn.XLOOKUP(OfficeForms.Table[[#This Row],[Email]],EE!C:C,EE!H:H,"Missing"),"Missing")</f>
        <v>Male</v>
      </c>
      <c r="H204" t="s">
        <v>2217</v>
      </c>
    </row>
    <row r="205" spans="1:8" x14ac:dyDescent="0.2">
      <c r="A205">
        <v>204</v>
      </c>
      <c r="B205" s="2" t="s">
        <v>604</v>
      </c>
      <c r="C205" s="87" t="str">
        <f>_xlfn.XLOOKUP(OfficeForms.Table[[#This Row],[Email]],Table2[Email],Table2[FullName],"")</f>
        <v>PHAM Van Tai</v>
      </c>
      <c r="D205" s="2"/>
      <c r="E205">
        <v>7</v>
      </c>
      <c r="F205">
        <v>80</v>
      </c>
      <c r="G205" t="str">
        <f>IFERROR(_xlfn.XLOOKUP(OfficeForms.Table[[#This Row],[Email]],EE!C:C,EE!H:H,"Missing"),"Missing")</f>
        <v>Male</v>
      </c>
      <c r="H205" t="s">
        <v>2217</v>
      </c>
    </row>
    <row r="206" spans="1:8" x14ac:dyDescent="0.2">
      <c r="A206">
        <v>205</v>
      </c>
      <c r="B206" s="2" t="s">
        <v>591</v>
      </c>
      <c r="C206" s="87" t="str">
        <f>_xlfn.XLOOKUP(OfficeForms.Table[[#This Row],[Email]],Table2[Email],Table2[FullName],"")</f>
        <v>NGUYEN Tuan Khoi</v>
      </c>
      <c r="D206" s="2"/>
      <c r="E206">
        <v>7</v>
      </c>
      <c r="F206">
        <v>81</v>
      </c>
      <c r="G206" t="str">
        <f>IFERROR(_xlfn.XLOOKUP(OfficeForms.Table[[#This Row],[Email]],EE!C:C,EE!H:H,"Missing"),"Missing")</f>
        <v>Male</v>
      </c>
      <c r="H206" t="s">
        <v>2217</v>
      </c>
    </row>
    <row r="207" spans="1:8" x14ac:dyDescent="0.2">
      <c r="A207">
        <v>206</v>
      </c>
      <c r="B207" s="2" t="s">
        <v>595</v>
      </c>
      <c r="C207" s="87" t="str">
        <f>_xlfn.XLOOKUP(OfficeForms.Table[[#This Row],[Email]],Table2[Email],Table2[FullName],"")</f>
        <v>NGUYEN Thuc Hao</v>
      </c>
      <c r="D207" s="2"/>
      <c r="E207">
        <v>7</v>
      </c>
      <c r="F207">
        <v>81</v>
      </c>
      <c r="G207" t="str">
        <f>IFERROR(_xlfn.XLOOKUP(OfficeForms.Table[[#This Row],[Email]],EE!C:C,EE!H:H,"Missing"),"Missing")</f>
        <v>Male</v>
      </c>
      <c r="H207" t="s">
        <v>2217</v>
      </c>
    </row>
    <row r="208" spans="1:8" x14ac:dyDescent="0.2">
      <c r="A208">
        <v>207</v>
      </c>
      <c r="B208" s="2" t="s">
        <v>582</v>
      </c>
      <c r="C208" s="87" t="str">
        <f>_xlfn.XLOOKUP(OfficeForms.Table[[#This Row],[Email]],Table2[Email],Table2[FullName],"")</f>
        <v>LE Thi My Tam - Cindy</v>
      </c>
      <c r="D208" s="2"/>
      <c r="E208">
        <v>7</v>
      </c>
      <c r="F208">
        <v>82</v>
      </c>
      <c r="G208" t="str">
        <f>IFERROR(_xlfn.XLOOKUP(OfficeForms.Table[[#This Row],[Email]],EE!C:C,EE!H:H,"Missing"),"Missing")</f>
        <v>Female</v>
      </c>
      <c r="H208" t="s">
        <v>2227</v>
      </c>
    </row>
    <row r="209" spans="1:8" x14ac:dyDescent="0.2">
      <c r="A209">
        <v>208</v>
      </c>
      <c r="B209" s="2" t="s">
        <v>1052</v>
      </c>
      <c r="C209" s="87" t="str">
        <f>_xlfn.XLOOKUP(OfficeForms.Table[[#This Row],[Email]],Table2[Email],Table2[FullName],"")</f>
        <v>HOANG Dinh Anh Quoc</v>
      </c>
      <c r="D209" s="2"/>
      <c r="E209">
        <v>7</v>
      </c>
      <c r="F209">
        <v>19</v>
      </c>
      <c r="G209" t="str">
        <f>IFERROR(_xlfn.XLOOKUP(OfficeForms.Table[[#This Row],[Email]],EE!C:C,EE!H:H,"Missing"),"Missing")</f>
        <v>Male</v>
      </c>
      <c r="H209" t="s">
        <v>2217</v>
      </c>
    </row>
    <row r="210" spans="1:8" x14ac:dyDescent="0.2">
      <c r="A210">
        <v>209</v>
      </c>
      <c r="B210" s="2" t="s">
        <v>1056</v>
      </c>
      <c r="C210" s="87" t="str">
        <f>_xlfn.XLOOKUP(OfficeForms.Table[[#This Row],[Email]],Table2[Email],Table2[FullName],"")</f>
        <v>TRAN Dinh Lam</v>
      </c>
      <c r="D210" s="2"/>
      <c r="E210">
        <v>7</v>
      </c>
      <c r="F210">
        <v>19</v>
      </c>
      <c r="G210" t="str">
        <f>IFERROR(_xlfn.XLOOKUP(OfficeForms.Table[[#This Row],[Email]],EE!C:C,EE!H:H,"Missing"),"Missing")</f>
        <v>Male</v>
      </c>
      <c r="H210" t="s">
        <v>2217</v>
      </c>
    </row>
    <row r="211" spans="1:8" x14ac:dyDescent="0.2">
      <c r="A211">
        <v>210</v>
      </c>
      <c r="B211" s="2" t="s">
        <v>1061</v>
      </c>
      <c r="C211" s="87" t="str">
        <f>_xlfn.XLOOKUP(OfficeForms.Table[[#This Row],[Email]],Table2[Email],Table2[FullName],"")</f>
        <v>NGUYEN Chi Hau</v>
      </c>
      <c r="D211" s="2"/>
      <c r="E211">
        <v>7</v>
      </c>
      <c r="F211">
        <v>18</v>
      </c>
      <c r="G211" t="str">
        <f>IFERROR(_xlfn.XLOOKUP(OfficeForms.Table[[#This Row],[Email]],EE!C:C,EE!H:H,"Missing"),"Missing")</f>
        <v>Male</v>
      </c>
      <c r="H211" t="s">
        <v>2217</v>
      </c>
    </row>
    <row r="212" spans="1:8" x14ac:dyDescent="0.2">
      <c r="A212">
        <v>211</v>
      </c>
      <c r="B212" s="2" t="s">
        <v>1065</v>
      </c>
      <c r="C212" s="87" t="str">
        <f>_xlfn.XLOOKUP(OfficeForms.Table[[#This Row],[Email]],Table2[Email],Table2[FullName],"")</f>
        <v>PHAN Dai Duong</v>
      </c>
      <c r="D212" s="2"/>
      <c r="E212">
        <v>7</v>
      </c>
      <c r="F212">
        <v>18</v>
      </c>
      <c r="G212" t="str">
        <f>IFERROR(_xlfn.XLOOKUP(OfficeForms.Table[[#This Row],[Email]],EE!C:C,EE!H:H,"Missing"),"Missing")</f>
        <v>Male</v>
      </c>
      <c r="H212" t="s">
        <v>2217</v>
      </c>
    </row>
    <row r="213" spans="1:8" x14ac:dyDescent="0.2">
      <c r="A213">
        <v>212</v>
      </c>
      <c r="B213" s="2" t="s">
        <v>1073</v>
      </c>
      <c r="C213" s="87" t="str">
        <f>_xlfn.XLOOKUP(OfficeForms.Table[[#This Row],[Email]],Table2[Email],Table2[FullName],"")</f>
        <v>VO NGOC Duy Nguyen</v>
      </c>
      <c r="D213" s="2"/>
      <c r="E213">
        <v>7</v>
      </c>
      <c r="F213">
        <v>17</v>
      </c>
      <c r="G213" t="str">
        <f>IFERROR(_xlfn.XLOOKUP(OfficeForms.Table[[#This Row],[Email]],EE!C:C,EE!H:H,"Missing"),"Missing")</f>
        <v>Male</v>
      </c>
      <c r="H213" t="s">
        <v>2217</v>
      </c>
    </row>
    <row r="214" spans="1:8" x14ac:dyDescent="0.2">
      <c r="A214">
        <v>213</v>
      </c>
      <c r="B214" s="2" t="s">
        <v>535</v>
      </c>
      <c r="C214" s="87" t="str">
        <f>_xlfn.XLOOKUP(OfficeForms.Table[[#This Row],[Email]],Table2[Email],Table2[FullName],"")</f>
        <v>LE Thi Mai Anh</v>
      </c>
      <c r="D214" s="2"/>
      <c r="E214">
        <v>7</v>
      </c>
      <c r="F214">
        <v>88</v>
      </c>
      <c r="G214" t="str">
        <f>IFERROR(_xlfn.XLOOKUP(OfficeForms.Table[[#This Row],[Email]],EE!C:C,EE!H:H,"Missing"),"Missing")</f>
        <v>Female</v>
      </c>
      <c r="H214" t="s">
        <v>2227</v>
      </c>
    </row>
    <row r="215" spans="1:8" x14ac:dyDescent="0.2">
      <c r="A215">
        <v>214</v>
      </c>
      <c r="B215" s="2" t="s">
        <v>564</v>
      </c>
      <c r="C215" s="87" t="str">
        <f>_xlfn.XLOOKUP(OfficeForms.Table[[#This Row],[Email]],Table2[Email],Table2[FullName],"")</f>
        <v>NGUYEN Thi Quynh Lien</v>
      </c>
      <c r="D215" s="2"/>
      <c r="E215">
        <v>7</v>
      </c>
      <c r="F215">
        <v>84</v>
      </c>
      <c r="G215" t="str">
        <f>IFERROR(_xlfn.XLOOKUP(OfficeForms.Table[[#This Row],[Email]],EE!C:C,EE!H:H,"Missing"),"Missing")</f>
        <v>Female</v>
      </c>
      <c r="H215" t="s">
        <v>2227</v>
      </c>
    </row>
    <row r="216" spans="1:8" x14ac:dyDescent="0.2">
      <c r="A216">
        <v>215</v>
      </c>
      <c r="B216" t="s">
        <v>587</v>
      </c>
      <c r="C216" s="87" t="str">
        <f>_xlfn.XLOOKUP(OfficeForms.Table[[#This Row],[Email]],Table2[Email],Table2[FullName],"")</f>
        <v>NGUYEN Le Kim Ngan</v>
      </c>
      <c r="E216">
        <v>7</v>
      </c>
      <c r="F216">
        <v>82</v>
      </c>
      <c r="G216" t="str">
        <f>IFERROR(_xlfn.XLOOKUP(OfficeForms.Table[[#This Row],[Email]],EE!C:C,EE!H:H,"Missing"),"Missing")</f>
        <v>Female</v>
      </c>
      <c r="H216" t="s">
        <v>2227</v>
      </c>
    </row>
    <row r="217" spans="1:8" x14ac:dyDescent="0.2">
      <c r="A217">
        <v>216</v>
      </c>
      <c r="B217" s="2" t="s">
        <v>577</v>
      </c>
      <c r="C217" s="87" t="str">
        <f>_xlfn.XLOOKUP(OfficeForms.Table[[#This Row],[Email]],Table2[Email],Table2[FullName],"")</f>
        <v>DOAN Le Bao Tram - Rachel</v>
      </c>
      <c r="D217" s="2"/>
      <c r="E217">
        <v>7</v>
      </c>
      <c r="F217">
        <v>83</v>
      </c>
      <c r="G217" t="str">
        <f>IFERROR(_xlfn.XLOOKUP(OfficeForms.Table[[#This Row],[Email]],EE!C:C,EE!H:H,"Missing"),"Missing")</f>
        <v>Female</v>
      </c>
      <c r="H217" t="s">
        <v>2227</v>
      </c>
    </row>
    <row r="218" spans="1:8" x14ac:dyDescent="0.2">
      <c r="A218">
        <v>217</v>
      </c>
      <c r="B218" s="2" t="s">
        <v>568</v>
      </c>
      <c r="C218" s="87" t="str">
        <f>_xlfn.XLOOKUP(OfficeForms.Table[[#This Row],[Email]],Table2[Email],Table2[FullName],"")</f>
        <v>CAO Bao Tram</v>
      </c>
      <c r="D218" s="2"/>
      <c r="E218">
        <v>7</v>
      </c>
      <c r="F218">
        <v>84</v>
      </c>
      <c r="G218" t="str">
        <f>IFERROR(_xlfn.XLOOKUP(OfficeForms.Table[[#This Row],[Email]],EE!C:C,EE!H:H,"Missing"),"Missing")</f>
        <v>Female</v>
      </c>
      <c r="H218" t="s">
        <v>2227</v>
      </c>
    </row>
    <row r="219" spans="1:8" x14ac:dyDescent="0.2">
      <c r="A219">
        <v>218</v>
      </c>
      <c r="B219" s="2" t="s">
        <v>700</v>
      </c>
      <c r="C219" s="87" t="str">
        <f>_xlfn.XLOOKUP(OfficeForms.Table[[#This Row],[Email]],Table2[Email],Table2[FullName],"")</f>
        <v>NGUYEN Anh Khoa</v>
      </c>
      <c r="D219" s="2"/>
      <c r="E219">
        <v>7</v>
      </c>
      <c r="F219">
        <v>65</v>
      </c>
      <c r="G219" t="str">
        <f>IFERROR(_xlfn.XLOOKUP(OfficeForms.Table[[#This Row],[Email]],EE!C:C,EE!H:H,"Missing"),"Missing")</f>
        <v>Male</v>
      </c>
      <c r="H219" t="s">
        <v>2217</v>
      </c>
    </row>
    <row r="220" spans="1:8" x14ac:dyDescent="0.2">
      <c r="A220">
        <v>219</v>
      </c>
      <c r="B220" s="2" t="s">
        <v>704</v>
      </c>
      <c r="C220" s="87" t="str">
        <f>_xlfn.XLOOKUP(OfficeForms.Table[[#This Row],[Email]],Table2[Email],Table2[FullName],"")</f>
        <v>PHAM Nghi Lam</v>
      </c>
      <c r="D220" s="2"/>
      <c r="E220">
        <v>7</v>
      </c>
      <c r="F220">
        <v>64</v>
      </c>
      <c r="G220" t="str">
        <f>IFERROR(_xlfn.XLOOKUP(OfficeForms.Table[[#This Row],[Email]],EE!C:C,EE!H:H,"Missing"),"Missing")</f>
        <v>Male</v>
      </c>
      <c r="H220" t="s">
        <v>2217</v>
      </c>
    </row>
    <row r="221" spans="1:8" x14ac:dyDescent="0.2">
      <c r="A221">
        <v>220</v>
      </c>
      <c r="B221" s="2" t="s">
        <v>708</v>
      </c>
      <c r="C221" s="87" t="str">
        <f>_xlfn.XLOOKUP(OfficeForms.Table[[#This Row],[Email]],Table2[Email],Table2[FullName],"")</f>
        <v>TRAN Viet Hoang</v>
      </c>
      <c r="D221" s="2"/>
      <c r="E221">
        <v>7</v>
      </c>
      <c r="F221">
        <v>64</v>
      </c>
      <c r="G221" t="str">
        <f>IFERROR(_xlfn.XLOOKUP(OfficeForms.Table[[#This Row],[Email]],EE!C:C,EE!H:H,"Missing"),"Missing")</f>
        <v>Male</v>
      </c>
      <c r="H221" t="s">
        <v>2217</v>
      </c>
    </row>
    <row r="222" spans="1:8" x14ac:dyDescent="0.2">
      <c r="A222">
        <v>221</v>
      </c>
      <c r="B222" s="2" t="s">
        <v>712</v>
      </c>
      <c r="C222" s="87" t="str">
        <f>_xlfn.XLOOKUP(OfficeForms.Table[[#This Row],[Email]],Table2[Email],Table2[FullName],"")</f>
        <v>PHAM Dang Khoa</v>
      </c>
      <c r="D222" s="2"/>
      <c r="E222">
        <v>7</v>
      </c>
      <c r="F222">
        <v>63</v>
      </c>
      <c r="G222" t="str">
        <f>IFERROR(_xlfn.XLOOKUP(OfficeForms.Table[[#This Row],[Email]],EE!C:C,EE!H:H,"Missing"),"Missing")</f>
        <v>Male</v>
      </c>
      <c r="H222" t="s">
        <v>2217</v>
      </c>
    </row>
    <row r="223" spans="1:8" x14ac:dyDescent="0.2">
      <c r="A223">
        <v>222</v>
      </c>
      <c r="B223" s="2" t="s">
        <v>740</v>
      </c>
      <c r="C223" s="87" t="str">
        <f>_xlfn.XLOOKUP(OfficeForms.Table[[#This Row],[Email]],Table2[Email],Table2[FullName],"")</f>
        <v>DO Kim Anh</v>
      </c>
      <c r="D223" s="2"/>
      <c r="E223">
        <v>7</v>
      </c>
      <c r="F223">
        <v>60</v>
      </c>
      <c r="G223" t="str">
        <f>IFERROR(_xlfn.XLOOKUP(OfficeForms.Table[[#This Row],[Email]],EE!C:C,EE!H:H,"Missing"),"Missing")</f>
        <v>Female</v>
      </c>
      <c r="H223" t="s">
        <v>2227</v>
      </c>
    </row>
    <row r="224" spans="1:8" x14ac:dyDescent="0.2">
      <c r="A224">
        <v>223</v>
      </c>
      <c r="B224" s="2" t="s">
        <v>716</v>
      </c>
      <c r="C224" s="87" t="str">
        <f>_xlfn.XLOOKUP(OfficeForms.Table[[#This Row],[Email]],Table2[Email],Table2[FullName],"")</f>
        <v>TRAN Huu Thanh Tam</v>
      </c>
      <c r="D224" s="2"/>
      <c r="E224">
        <v>7</v>
      </c>
      <c r="F224">
        <v>63</v>
      </c>
      <c r="G224" t="str">
        <f>IFERROR(_xlfn.XLOOKUP(OfficeForms.Table[[#This Row],[Email]],EE!C:C,EE!H:H,"Missing"),"Missing")</f>
        <v>Male</v>
      </c>
      <c r="H224" t="s">
        <v>2217</v>
      </c>
    </row>
    <row r="225" spans="1:8" x14ac:dyDescent="0.2">
      <c r="A225">
        <v>224</v>
      </c>
      <c r="B225" s="2" t="s">
        <v>676</v>
      </c>
      <c r="C225" s="87" t="str">
        <f>_xlfn.XLOOKUP(OfficeForms.Table[[#This Row],[Email]],Table2[Email],Table2[FullName],"")</f>
        <v>NGUYEN Thai Ly</v>
      </c>
      <c r="D225" s="2"/>
      <c r="E225">
        <v>7</v>
      </c>
      <c r="F225">
        <v>68</v>
      </c>
      <c r="G225" t="str">
        <f>IFERROR(_xlfn.XLOOKUP(OfficeForms.Table[[#This Row],[Email]],EE!C:C,EE!H:H,"Missing"),"Missing")</f>
        <v>Female</v>
      </c>
      <c r="H225" t="s">
        <v>2227</v>
      </c>
    </row>
    <row r="226" spans="1:8" x14ac:dyDescent="0.2">
      <c r="A226">
        <v>225</v>
      </c>
      <c r="B226" t="s">
        <v>322</v>
      </c>
      <c r="C226" s="87" t="str">
        <f>_xlfn.XLOOKUP(OfficeForms.Table[[#This Row],[Email]],Table2[Email],Table2[FullName],"")</f>
        <v>NGUYEN ANH Tu</v>
      </c>
      <c r="E226">
        <v>8</v>
      </c>
      <c r="F226">
        <v>115</v>
      </c>
      <c r="G226" t="str">
        <f>IFERROR(_xlfn.XLOOKUP(OfficeForms.Table[[#This Row],[Email]],EE!C:C,EE!H:H,"Missing"),"Missing")</f>
        <v>Male</v>
      </c>
      <c r="H226" t="s">
        <v>2227</v>
      </c>
    </row>
    <row r="227" spans="1:8" x14ac:dyDescent="0.2">
      <c r="A227">
        <v>226</v>
      </c>
      <c r="B227" s="2" t="s">
        <v>247</v>
      </c>
      <c r="C227" s="87" t="str">
        <f>_xlfn.XLOOKUP(OfficeForms.Table[[#This Row],[Email]],Table2[Email],Table2[FullName],"")</f>
        <v>NGUYEN Phuong Thao</v>
      </c>
      <c r="D227" s="2"/>
      <c r="E227">
        <v>8</v>
      </c>
      <c r="F227">
        <v>101</v>
      </c>
      <c r="G227" t="str">
        <f>IFERROR(_xlfn.XLOOKUP(OfficeForms.Table[[#This Row],[Email]],EE!C:C,EE!H:H,"Missing"),"Missing")</f>
        <v>Female</v>
      </c>
      <c r="H227" t="s">
        <v>2227</v>
      </c>
    </row>
    <row r="228" spans="1:8" x14ac:dyDescent="0.2">
      <c r="A228">
        <v>227</v>
      </c>
      <c r="B228" s="2" t="s">
        <v>251</v>
      </c>
      <c r="C228" s="87" t="str">
        <f>_xlfn.XLOOKUP(OfficeForms.Table[[#This Row],[Email]],Table2[Email],Table2[FullName],"")</f>
        <v>NGUYEN Ngoc Nguyen Ngan - Emily</v>
      </c>
      <c r="D228" s="2"/>
      <c r="E228">
        <v>8</v>
      </c>
      <c r="F228">
        <v>125</v>
      </c>
      <c r="G228" t="str">
        <f>IFERROR(_xlfn.XLOOKUP(OfficeForms.Table[[#This Row],[Email]],EE!C:C,EE!H:H,"Missing"),"Missing")</f>
        <v>Female</v>
      </c>
      <c r="H228" t="s">
        <v>2227</v>
      </c>
    </row>
    <row r="229" spans="1:8" x14ac:dyDescent="0.2">
      <c r="A229">
        <v>228</v>
      </c>
      <c r="B229" t="s">
        <v>255</v>
      </c>
      <c r="C229" s="87" t="str">
        <f>_xlfn.XLOOKUP(OfficeForms.Table[[#This Row],[Email]],Table2[Email],Table2[FullName],"")</f>
        <v>TRAN Thi Minh Phuong</v>
      </c>
      <c r="E229">
        <v>8</v>
      </c>
      <c r="F229">
        <v>124</v>
      </c>
      <c r="G229" t="str">
        <f>IFERROR(_xlfn.XLOOKUP(OfficeForms.Table[[#This Row],[Email]],EE!C:C,EE!H:H,"Missing"),"Missing")</f>
        <v>Female</v>
      </c>
      <c r="H229" t="s">
        <v>2227</v>
      </c>
    </row>
    <row r="230" spans="1:8" x14ac:dyDescent="0.2">
      <c r="A230">
        <v>229</v>
      </c>
      <c r="B230" s="2" t="s">
        <v>338</v>
      </c>
      <c r="C230" s="87" t="str">
        <f>_xlfn.XLOOKUP(OfficeForms.Table[[#This Row],[Email]],Table2[Email],Table2[FullName],"")</f>
        <v>PHAN Xuan Quang</v>
      </c>
      <c r="D230" s="2"/>
      <c r="E230">
        <v>8</v>
      </c>
      <c r="F230">
        <v>113</v>
      </c>
      <c r="G230" t="str">
        <f>IFERROR(_xlfn.XLOOKUP(OfficeForms.Table[[#This Row],[Email]],EE!C:C,EE!H:H,"Missing"),"Missing")</f>
        <v>Male</v>
      </c>
      <c r="H230" t="s">
        <v>2227</v>
      </c>
    </row>
    <row r="231" spans="1:8" x14ac:dyDescent="0.2">
      <c r="A231">
        <v>230</v>
      </c>
      <c r="B231" s="2" t="s">
        <v>259</v>
      </c>
      <c r="C231" s="87" t="str">
        <f>_xlfn.XLOOKUP(OfficeForms.Table[[#This Row],[Email]],Table2[Email],Table2[FullName],"")</f>
        <v>HOANG Kieu Anh</v>
      </c>
      <c r="D231" s="2"/>
      <c r="E231">
        <v>8</v>
      </c>
      <c r="F231">
        <v>124</v>
      </c>
      <c r="G231" t="str">
        <f>IFERROR(_xlfn.XLOOKUP(OfficeForms.Table[[#This Row],[Email]],EE!C:C,EE!H:H,"Missing"),"Missing")</f>
        <v>Female</v>
      </c>
      <c r="H231" t="s">
        <v>2227</v>
      </c>
    </row>
    <row r="232" spans="1:8" x14ac:dyDescent="0.2">
      <c r="A232">
        <v>231</v>
      </c>
      <c r="B232" s="2" t="s">
        <v>326</v>
      </c>
      <c r="C232" s="87" t="str">
        <f>_xlfn.XLOOKUP(OfficeForms.Table[[#This Row],[Email]],Table2[Email],Table2[FullName],"")</f>
        <v>Triet HUYNH MINH</v>
      </c>
      <c r="D232" s="2"/>
      <c r="E232">
        <v>8</v>
      </c>
      <c r="F232">
        <v>115</v>
      </c>
      <c r="G232" t="str">
        <f>IFERROR(_xlfn.XLOOKUP(OfficeForms.Table[[#This Row],[Email]],EE!C:C,EE!H:H,"Missing"),"Missing")</f>
        <v>Male</v>
      </c>
      <c r="H232" t="s">
        <v>2227</v>
      </c>
    </row>
    <row r="233" spans="1:8" x14ac:dyDescent="0.2">
      <c r="A233">
        <v>232</v>
      </c>
      <c r="B233" s="2" t="s">
        <v>330</v>
      </c>
      <c r="C233" s="87" t="str">
        <f>_xlfn.XLOOKUP(OfficeForms.Table[[#This Row],[Email]],Table2[Email],Table2[FullName],"")</f>
        <v>NGUYEN Dinh Tien Dung</v>
      </c>
      <c r="D233" s="2"/>
      <c r="E233">
        <v>8</v>
      </c>
      <c r="F233">
        <v>114</v>
      </c>
      <c r="G233" t="str">
        <f>IFERROR(_xlfn.XLOOKUP(OfficeForms.Table[[#This Row],[Email]],EE!C:C,EE!H:H,"Missing"),"Missing")</f>
        <v>Male</v>
      </c>
      <c r="H233" t="s">
        <v>2227</v>
      </c>
    </row>
    <row r="234" spans="1:8" x14ac:dyDescent="0.2">
      <c r="A234">
        <v>233</v>
      </c>
      <c r="B234" s="2" t="s">
        <v>334</v>
      </c>
      <c r="C234" s="87" t="str">
        <f>_xlfn.XLOOKUP(OfficeForms.Table[[#This Row],[Email]],Table2[Email],Table2[FullName],"")</f>
        <v>DANG Truong Tho</v>
      </c>
      <c r="D234" s="2"/>
      <c r="E234" s="2" t="s">
        <v>2238</v>
      </c>
      <c r="F234">
        <v>92</v>
      </c>
      <c r="G234" t="str">
        <f>IFERROR(_xlfn.XLOOKUP(OfficeForms.Table[[#This Row],[Email]],EE!C:C,EE!H:H,"Missing"),"Missing")</f>
        <v>Male</v>
      </c>
      <c r="H234" t="s">
        <v>2217</v>
      </c>
    </row>
    <row r="235" spans="1:8" x14ac:dyDescent="0.2">
      <c r="A235">
        <v>234</v>
      </c>
      <c r="B235" s="2" t="s">
        <v>342</v>
      </c>
      <c r="C235" s="87" t="str">
        <f>_xlfn.XLOOKUP(OfficeForms.Table[[#This Row],[Email]],Table2[Email],Table2[FullName],"")</f>
        <v>HOANG Bao An</v>
      </c>
      <c r="D235" s="2"/>
      <c r="E235">
        <v>8</v>
      </c>
      <c r="F235">
        <v>113</v>
      </c>
      <c r="G235" t="str">
        <f>IFERROR(_xlfn.XLOOKUP(OfficeForms.Table[[#This Row],[Email]],EE!C:C,EE!H:H,"Missing"),"Missing")</f>
        <v>Male</v>
      </c>
      <c r="H235" t="s">
        <v>2227</v>
      </c>
    </row>
    <row r="236" spans="1:8" x14ac:dyDescent="0.2">
      <c r="A236">
        <v>235</v>
      </c>
      <c r="B236" t="s">
        <v>346</v>
      </c>
      <c r="C236" s="87" t="str">
        <f>_xlfn.XLOOKUP(OfficeForms.Table[[#This Row],[Email]],Table2[Email],Table2[FullName],"")</f>
        <v>LIM Chee Kiat</v>
      </c>
      <c r="E236">
        <v>6</v>
      </c>
      <c r="F236">
        <v>112</v>
      </c>
      <c r="G236" t="str">
        <f>IFERROR(_xlfn.XLOOKUP(OfficeForms.Table[[#This Row],[Email]],EE!C:C,EE!H:H,"Missing"),"Missing")</f>
        <v>Male</v>
      </c>
      <c r="H236" t="s">
        <v>2227</v>
      </c>
    </row>
    <row r="237" spans="1:8" x14ac:dyDescent="0.2">
      <c r="A237">
        <v>236</v>
      </c>
      <c r="B237" s="2" t="s">
        <v>239</v>
      </c>
      <c r="C237" s="87" t="str">
        <f>_xlfn.XLOOKUP(OfficeForms.Table[[#This Row],[Email]],Table2[Email],Table2[FullName],"")</f>
        <v>NGUYEN Hoai Nhu Y</v>
      </c>
      <c r="D237" s="2"/>
      <c r="E237">
        <v>6</v>
      </c>
      <c r="F237">
        <v>126</v>
      </c>
      <c r="G237" t="str">
        <f>IFERROR(_xlfn.XLOOKUP(OfficeForms.Table[[#This Row],[Email]],EE!C:C,EE!H:H,"Missing"),"Missing")</f>
        <v>Female</v>
      </c>
      <c r="H237" t="s">
        <v>2227</v>
      </c>
    </row>
    <row r="238" spans="1:8" x14ac:dyDescent="0.2">
      <c r="A238">
        <v>237</v>
      </c>
      <c r="B238" s="2" t="s">
        <v>235</v>
      </c>
      <c r="C238" s="87" t="str">
        <f>_xlfn.XLOOKUP(OfficeForms.Table[[#This Row],[Email]],Table2[Email],Table2[FullName],"")</f>
        <v>LE Thuy Phuong - Kaitlyn</v>
      </c>
      <c r="D238" s="2"/>
      <c r="E238">
        <v>6</v>
      </c>
      <c r="F238">
        <v>127</v>
      </c>
      <c r="G238" t="str">
        <f>IFERROR(_xlfn.XLOOKUP(OfficeForms.Table[[#This Row],[Email]],EE!C:C,EE!H:H,"Missing"),"Missing")</f>
        <v>Female</v>
      </c>
      <c r="H238" t="s">
        <v>2227</v>
      </c>
    </row>
    <row r="239" spans="1:8" x14ac:dyDescent="0.2">
      <c r="A239">
        <v>238</v>
      </c>
      <c r="B239" s="2" t="s">
        <v>243</v>
      </c>
      <c r="C239" s="87" t="str">
        <f>_xlfn.XLOOKUP(OfficeForms.Table[[#This Row],[Email]],Table2[Email],Table2[FullName],"")</f>
        <v>HUYNH Diem Thien Nga - Micky</v>
      </c>
      <c r="D239" s="2"/>
      <c r="E239">
        <v>6</v>
      </c>
      <c r="F239">
        <v>126</v>
      </c>
      <c r="G239" t="str">
        <f>IFERROR(_xlfn.XLOOKUP(OfficeForms.Table[[#This Row],[Email]],EE!C:C,EE!H:H,"Missing"),"Missing")</f>
        <v>Female</v>
      </c>
      <c r="H239" t="s">
        <v>2227</v>
      </c>
    </row>
    <row r="240" spans="1:8" x14ac:dyDescent="0.2">
      <c r="A240">
        <v>239</v>
      </c>
      <c r="B240" s="2" t="s">
        <v>350</v>
      </c>
      <c r="C240" s="87" t="str">
        <f>_xlfn.XLOOKUP(OfficeForms.Table[[#This Row],[Email]],Table2[Email],Table2[FullName],"")</f>
        <v>GUIGUEN Clément</v>
      </c>
      <c r="D240" s="2"/>
      <c r="E240">
        <v>6</v>
      </c>
      <c r="F240">
        <v>112</v>
      </c>
      <c r="G240" t="str">
        <f>IFERROR(_xlfn.XLOOKUP(OfficeForms.Table[[#This Row],[Email]],EE!C:C,EE!H:H,"Missing"),"Missing")</f>
        <v>Male</v>
      </c>
      <c r="H240" t="s">
        <v>2227</v>
      </c>
    </row>
    <row r="241" spans="1:8" x14ac:dyDescent="0.2">
      <c r="A241">
        <v>240</v>
      </c>
      <c r="B241" s="2" t="s">
        <v>354</v>
      </c>
      <c r="C241" s="87" t="str">
        <f>_xlfn.XLOOKUP(OfficeForms.Table[[#This Row],[Email]],Table2[Email],Table2[FullName],"")</f>
        <v>DO Nguyen Phuong</v>
      </c>
      <c r="D241" s="2"/>
      <c r="E241">
        <v>6</v>
      </c>
      <c r="F241">
        <v>111</v>
      </c>
      <c r="G241" t="str">
        <f>IFERROR(_xlfn.XLOOKUP(OfficeForms.Table[[#This Row],[Email]],EE!C:C,EE!H:H,"Missing"),"Missing")</f>
        <v>Male</v>
      </c>
      <c r="H241" t="s">
        <v>2217</v>
      </c>
    </row>
    <row r="242" spans="1:8" x14ac:dyDescent="0.2">
      <c r="A242">
        <v>241</v>
      </c>
      <c r="B242" t="s">
        <v>418</v>
      </c>
      <c r="C242" s="87" t="str">
        <f>_xlfn.XLOOKUP(OfficeForms.Table[[#This Row],[Email]],Table2[Email],Table2[FullName],"")</f>
        <v>TRAN Thi Anh Minh</v>
      </c>
      <c r="E242">
        <v>8</v>
      </c>
      <c r="F242">
        <v>104</v>
      </c>
      <c r="G242" t="str">
        <f>IFERROR(_xlfn.XLOOKUP(OfficeForms.Table[[#This Row],[Email]],EE!C:C,EE!H:H,"Missing"),"Missing")</f>
        <v>Female</v>
      </c>
      <c r="H242" t="s">
        <v>2227</v>
      </c>
    </row>
    <row r="243" spans="1:8" x14ac:dyDescent="0.2">
      <c r="A243">
        <v>242</v>
      </c>
      <c r="B243" s="2" t="s">
        <v>263</v>
      </c>
      <c r="C243" s="87" t="str">
        <f>_xlfn.XLOOKUP(OfficeForms.Table[[#This Row],[Email]],Table2[Email],Table2[FullName],"")</f>
        <v>NGUYEN Thu Hong</v>
      </c>
      <c r="D243" s="2"/>
      <c r="E243">
        <v>8</v>
      </c>
      <c r="F243">
        <v>123</v>
      </c>
      <c r="G243" t="str">
        <f>IFERROR(_xlfn.XLOOKUP(OfficeForms.Table[[#This Row],[Email]],EE!C:C,EE!H:H,"Missing"),"Missing")</f>
        <v>Female</v>
      </c>
      <c r="H243" t="s">
        <v>2227</v>
      </c>
    </row>
    <row r="244" spans="1:8" x14ac:dyDescent="0.2">
      <c r="A244">
        <v>243</v>
      </c>
      <c r="B244" s="2" t="s">
        <v>267</v>
      </c>
      <c r="C244" s="87" t="str">
        <f>_xlfn.XLOOKUP(OfficeForms.Table[[#This Row],[Email]],Table2[Email],Table2[FullName],"")</f>
        <v>NGUYEN Thi Thanh Nhan</v>
      </c>
      <c r="D244" s="2"/>
      <c r="E244">
        <v>8</v>
      </c>
      <c r="F244">
        <v>123</v>
      </c>
      <c r="G244" t="str">
        <f>IFERROR(_xlfn.XLOOKUP(OfficeForms.Table[[#This Row],[Email]],EE!C:C,EE!H:H,"Missing"),"Missing")</f>
        <v>Female</v>
      </c>
      <c r="H244" t="s">
        <v>2227</v>
      </c>
    </row>
    <row r="245" spans="1:8" x14ac:dyDescent="0.2">
      <c r="A245">
        <v>244</v>
      </c>
      <c r="B245" s="2" t="s">
        <v>272</v>
      </c>
      <c r="C245" s="87" t="str">
        <f>_xlfn.XLOOKUP(OfficeForms.Table[[#This Row],[Email]],Table2[Email],Table2[FullName],"")</f>
        <v>PHAN Linh Chau</v>
      </c>
      <c r="D245" s="2"/>
      <c r="E245">
        <v>8</v>
      </c>
      <c r="F245">
        <v>122</v>
      </c>
      <c r="G245" t="str">
        <f>IFERROR(_xlfn.XLOOKUP(OfficeForms.Table[[#This Row],[Email]],EE!C:C,EE!H:H,"Missing"),"Missing")</f>
        <v>Female</v>
      </c>
      <c r="H245" t="s">
        <v>2227</v>
      </c>
    </row>
    <row r="246" spans="1:8" x14ac:dyDescent="0.2">
      <c r="A246">
        <v>245</v>
      </c>
      <c r="B246" s="2" t="s">
        <v>519</v>
      </c>
      <c r="C246" s="87" t="str">
        <f>_xlfn.XLOOKUP(OfficeForms.Table[[#This Row],[Email]],Table2[Email],Table2[FullName],"")</f>
        <v>NGUYEN Trung Hieu</v>
      </c>
      <c r="D246" s="2"/>
      <c r="E246">
        <v>8</v>
      </c>
      <c r="F246">
        <v>90</v>
      </c>
      <c r="G246" t="str">
        <f>IFERROR(_xlfn.XLOOKUP(OfficeForms.Table[[#This Row],[Email]],EE!C:C,EE!H:H,"Missing"),"Missing")</f>
        <v>Male</v>
      </c>
      <c r="H246" t="s">
        <v>2217</v>
      </c>
    </row>
    <row r="247" spans="1:8" x14ac:dyDescent="0.2">
      <c r="A247">
        <v>246</v>
      </c>
      <c r="B247" s="2" t="s">
        <v>298</v>
      </c>
      <c r="C247" s="87" t="str">
        <f>_xlfn.XLOOKUP(OfficeForms.Table[[#This Row],[Email]],Table2[Email],Table2[FullName],"")</f>
        <v>NGUYEN Ho Khanh Vy</v>
      </c>
      <c r="D247" s="2"/>
      <c r="E247">
        <v>8</v>
      </c>
      <c r="F247">
        <v>118</v>
      </c>
      <c r="G247" t="str">
        <f>IFERROR(_xlfn.XLOOKUP(OfficeForms.Table[[#This Row],[Email]],EE!C:C,EE!H:H,"Missing"),"Missing")</f>
        <v>Female</v>
      </c>
      <c r="H247" t="s">
        <v>2227</v>
      </c>
    </row>
    <row r="248" spans="1:8" x14ac:dyDescent="0.2">
      <c r="A248">
        <v>247</v>
      </c>
      <c r="B248" s="2" t="s">
        <v>290</v>
      </c>
      <c r="C248" s="87" t="str">
        <f>_xlfn.XLOOKUP(OfficeForms.Table[[#This Row],[Email]],Table2[Email],Table2[FullName],"")</f>
        <v>TRAN Thi Anh Thu</v>
      </c>
      <c r="D248" s="2"/>
      <c r="E248">
        <v>8</v>
      </c>
      <c r="F248">
        <v>119</v>
      </c>
      <c r="G248" t="str">
        <f>IFERROR(_xlfn.XLOOKUP(OfficeForms.Table[[#This Row],[Email]],EE!C:C,EE!H:H,"Missing"),"Missing")</f>
        <v>Female</v>
      </c>
      <c r="H248" t="s">
        <v>2227</v>
      </c>
    </row>
    <row r="249" spans="1:8" x14ac:dyDescent="0.2">
      <c r="A249">
        <v>248</v>
      </c>
      <c r="B249" s="2" t="s">
        <v>367</v>
      </c>
      <c r="C249" s="87" t="str">
        <f>_xlfn.XLOOKUP(OfficeForms.Table[[#This Row],[Email]],Table2[Email],Table2[FullName],"")</f>
        <v>CAMARET Arthur</v>
      </c>
      <c r="D249" s="2"/>
      <c r="E249">
        <v>8</v>
      </c>
      <c r="F249">
        <v>90</v>
      </c>
      <c r="G249" t="str">
        <f>IFERROR(_xlfn.XLOOKUP(OfficeForms.Table[[#This Row],[Email]],EE!C:C,EE!H:H,"Missing"),"Missing")</f>
        <v>Male</v>
      </c>
      <c r="H249" t="s">
        <v>2217</v>
      </c>
    </row>
    <row r="250" spans="1:8" x14ac:dyDescent="0.2">
      <c r="A250">
        <v>249</v>
      </c>
      <c r="B250" t="s">
        <v>280</v>
      </c>
      <c r="C250" s="87" t="str">
        <f>_xlfn.XLOOKUP(OfficeForms.Table[[#This Row],[Email]],Table2[Email],Table2[FullName],"")</f>
        <v>NGUYEN Hoang Bich Tran</v>
      </c>
      <c r="D250" t="s">
        <v>284</v>
      </c>
      <c r="E250">
        <v>8</v>
      </c>
      <c r="F250">
        <v>121</v>
      </c>
      <c r="G250" t="str">
        <f>IFERROR(_xlfn.XLOOKUP(OfficeForms.Table[[#This Row],[Email]],EE!C:C,EE!H:H,"Missing"),"Missing")</f>
        <v>Female</v>
      </c>
      <c r="H250" t="s">
        <v>2227</v>
      </c>
    </row>
    <row r="251" spans="1:8" x14ac:dyDescent="0.2">
      <c r="A251">
        <v>250</v>
      </c>
      <c r="B251" t="s">
        <v>302</v>
      </c>
      <c r="C251" s="87" t="str">
        <f>_xlfn.XLOOKUP(OfficeForms.Table[[#This Row],[Email]],Table2[Email],Table2[FullName],"")</f>
        <v>NGUYEN Dang Thuy Duong</v>
      </c>
      <c r="E251">
        <v>8</v>
      </c>
      <c r="F251">
        <v>118</v>
      </c>
      <c r="G251" t="str">
        <f>IFERROR(_xlfn.XLOOKUP(OfficeForms.Table[[#This Row],[Email]],EE!C:C,EE!H:H,"Missing"),"Missing")</f>
        <v>Female</v>
      </c>
      <c r="H251" t="s">
        <v>2227</v>
      </c>
    </row>
    <row r="252" spans="1:8" x14ac:dyDescent="0.2">
      <c r="A252">
        <v>251</v>
      </c>
      <c r="B252" t="s">
        <v>294</v>
      </c>
      <c r="C252" s="87" t="str">
        <f>_xlfn.XLOOKUP(OfficeForms.Table[[#This Row],[Email]],Table2[Email],Table2[FullName],"")</f>
        <v>HONG Nguyen Tu Nhi</v>
      </c>
      <c r="E252">
        <v>8</v>
      </c>
      <c r="F252">
        <v>119</v>
      </c>
      <c r="G252" t="str">
        <f>IFERROR(_xlfn.XLOOKUP(OfficeForms.Table[[#This Row],[Email]],EE!C:C,EE!H:H,"Missing"),"Missing")</f>
        <v>Female</v>
      </c>
      <c r="H252" t="s">
        <v>2227</v>
      </c>
    </row>
    <row r="253" spans="1:8" x14ac:dyDescent="0.2">
      <c r="A253">
        <v>252</v>
      </c>
      <c r="B253" s="2" t="s">
        <v>285</v>
      </c>
      <c r="C253" s="87" t="str">
        <f>_xlfn.XLOOKUP(OfficeForms.Table[[#This Row],[Email]],Table2[Email],Table2[FullName],"")</f>
        <v>PHAM Thai An</v>
      </c>
      <c r="D253" s="2" t="s">
        <v>289</v>
      </c>
      <c r="E253">
        <v>8</v>
      </c>
      <c r="F253">
        <v>120</v>
      </c>
      <c r="G253" t="str">
        <f>IFERROR(_xlfn.XLOOKUP(OfficeForms.Table[[#This Row],[Email]],EE!C:C,EE!H:H,"Missing"),"Missing")</f>
        <v>Female</v>
      </c>
      <c r="H253" t="s">
        <v>2227</v>
      </c>
    </row>
    <row r="254" spans="1:8" x14ac:dyDescent="0.2">
      <c r="A254">
        <v>253</v>
      </c>
      <c r="B254" t="s">
        <v>306</v>
      </c>
      <c r="C254" s="87" t="str">
        <f>_xlfn.XLOOKUP(OfficeForms.Table[[#This Row],[Email]],Table2[Email],Table2[FullName],"")</f>
        <v>PHAM Le Khanh Chi</v>
      </c>
      <c r="E254">
        <v>8</v>
      </c>
      <c r="F254">
        <v>117</v>
      </c>
      <c r="G254" t="str">
        <f>IFERROR(_xlfn.XLOOKUP(OfficeForms.Table[[#This Row],[Email]],EE!C:C,EE!H:H,"Missing"),"Missing")</f>
        <v>Female</v>
      </c>
      <c r="H254" t="s">
        <v>2227</v>
      </c>
    </row>
    <row r="255" spans="1:8" x14ac:dyDescent="0.2">
      <c r="A255">
        <v>254</v>
      </c>
      <c r="B255" s="2" t="s">
        <v>358</v>
      </c>
      <c r="C255" s="87" t="str">
        <f>_xlfn.XLOOKUP(OfficeForms.Table[[#This Row],[Email]],Table2[Email],Table2[FullName],"")</f>
        <v>LE Hoang Dung</v>
      </c>
      <c r="D255" s="2"/>
      <c r="E255">
        <v>8</v>
      </c>
      <c r="F255">
        <v>111</v>
      </c>
      <c r="G255" t="str">
        <f>IFERROR(_xlfn.XLOOKUP(OfficeForms.Table[[#This Row],[Email]],EE!C:C,EE!H:H,"Missing"),"Missing")</f>
        <v>Male</v>
      </c>
      <c r="H255" t="s">
        <v>2217</v>
      </c>
    </row>
    <row r="256" spans="1:8" x14ac:dyDescent="0.2">
      <c r="A256">
        <v>255</v>
      </c>
      <c r="B256" s="2" t="s">
        <v>310</v>
      </c>
      <c r="C256" s="87" t="str">
        <f>_xlfn.XLOOKUP(OfficeForms.Table[[#This Row],[Email]],Table2[Email],Table2[FullName],"")</f>
        <v>PHAM Tran Thao Vy</v>
      </c>
      <c r="D256" s="2"/>
      <c r="E256">
        <v>8</v>
      </c>
      <c r="F256">
        <v>117</v>
      </c>
      <c r="G256" t="str">
        <f>IFERROR(_xlfn.XLOOKUP(OfficeForms.Table[[#This Row],[Email]],EE!C:C,EE!H:H,"Missing"),"Missing")</f>
        <v>Female</v>
      </c>
      <c r="H256" t="s">
        <v>2227</v>
      </c>
    </row>
    <row r="257" spans="1:8" x14ac:dyDescent="0.2">
      <c r="A257">
        <v>256</v>
      </c>
      <c r="B257" s="2" t="s">
        <v>527</v>
      </c>
      <c r="C257" s="87" t="str">
        <f>_xlfn.XLOOKUP(OfficeForms.Table[[#This Row],[Email]],Table2[Email],Table2[FullName],"")</f>
        <v>DO Hieu Minh</v>
      </c>
      <c r="D257" s="2"/>
      <c r="E257">
        <v>8</v>
      </c>
      <c r="F257">
        <v>89</v>
      </c>
      <c r="G257" t="str">
        <f>IFERROR(_xlfn.XLOOKUP(OfficeForms.Table[[#This Row],[Email]],EE!C:C,EE!H:H,"Missing"),"Missing")</f>
        <v>Female</v>
      </c>
      <c r="H257" t="s">
        <v>2227</v>
      </c>
    </row>
    <row r="258" spans="1:8" x14ac:dyDescent="0.2">
      <c r="A258">
        <v>257</v>
      </c>
      <c r="B258" t="s">
        <v>276</v>
      </c>
      <c r="C258" s="87" t="str">
        <f>_xlfn.XLOOKUP(OfficeForms.Table[[#This Row],[Email]],Table2[Email],Table2[FullName],"")</f>
        <v>NGUYEN Le Minh Trang</v>
      </c>
      <c r="E258">
        <v>8</v>
      </c>
      <c r="F258">
        <v>122</v>
      </c>
      <c r="G258" t="str">
        <f>IFERROR(_xlfn.XLOOKUP(OfficeForms.Table[[#This Row],[Email]],EE!C:C,EE!H:H,"Missing"),"Missing")</f>
        <v>Female</v>
      </c>
      <c r="H258" t="s">
        <v>2227</v>
      </c>
    </row>
    <row r="259" spans="1:8" x14ac:dyDescent="0.2">
      <c r="A259">
        <v>258</v>
      </c>
      <c r="B259" t="s">
        <v>314</v>
      </c>
      <c r="C259" s="87" t="str">
        <f>_xlfn.XLOOKUP(OfficeForms.Table[[#This Row],[Email]],Table2[Email],Table2[FullName],"")</f>
        <v>LE Ho Bao Thy</v>
      </c>
      <c r="E259">
        <v>8</v>
      </c>
      <c r="F259">
        <v>116</v>
      </c>
      <c r="G259" t="str">
        <f>IFERROR(_xlfn.XLOOKUP(OfficeForms.Table[[#This Row],[Email]],EE!C:C,EE!H:H,"Missing"),"Missing")</f>
        <v>Female</v>
      </c>
      <c r="H259" t="s">
        <v>2227</v>
      </c>
    </row>
    <row r="260" spans="1:8" x14ac:dyDescent="0.2">
      <c r="A260">
        <v>259</v>
      </c>
      <c r="B260" s="2" t="s">
        <v>318</v>
      </c>
      <c r="C260" s="87" t="str">
        <f>_xlfn.XLOOKUP(OfficeForms.Table[[#This Row],[Email]],Table2[Email],Table2[FullName],"")</f>
        <v>LE Tuong Khuyen</v>
      </c>
      <c r="D260" s="2"/>
      <c r="E260">
        <v>8</v>
      </c>
      <c r="F260">
        <v>116</v>
      </c>
      <c r="G260" t="str">
        <f>IFERROR(_xlfn.XLOOKUP(OfficeForms.Table[[#This Row],[Email]],EE!C:C,EE!H:H,"Missing"),"Missing")</f>
        <v>Female</v>
      </c>
      <c r="H260" t="s">
        <v>2227</v>
      </c>
    </row>
    <row r="261" spans="1:8" x14ac:dyDescent="0.2">
      <c r="A261">
        <v>260</v>
      </c>
      <c r="B261" t="s">
        <v>507</v>
      </c>
      <c r="C261" s="87" t="str">
        <f>_xlfn.XLOOKUP(OfficeForms.Table[[#This Row],[Email]],Table2[Email],Table2[FullName],"")</f>
        <v>VINH Hoang Le Nguyen</v>
      </c>
      <c r="E261" s="2" t="s">
        <v>2238</v>
      </c>
      <c r="F261">
        <v>114</v>
      </c>
      <c r="G261" t="str">
        <f>IFERROR(_xlfn.XLOOKUP(OfficeForms.Table[[#This Row],[Email]],EE!C:C,EE!H:H,"Missing"),"Missing")</f>
        <v>Male</v>
      </c>
      <c r="H261" t="s">
        <v>2227</v>
      </c>
    </row>
    <row r="262" spans="1:8" x14ac:dyDescent="0.2">
      <c r="A262">
        <v>261</v>
      </c>
      <c r="B262" t="s">
        <v>511</v>
      </c>
      <c r="C262" s="87" t="str">
        <f>_xlfn.XLOOKUP(OfficeForms.Table[[#This Row],[Email]],Table2[Email],Table2[FullName],"")</f>
        <v>NGO Ngoc Nam</v>
      </c>
      <c r="E262" s="2" t="s">
        <v>2238</v>
      </c>
      <c r="F262">
        <v>92</v>
      </c>
      <c r="G262" t="str">
        <f>IFERROR(_xlfn.XLOOKUP(OfficeForms.Table[[#This Row],[Email]],EE!C:C,EE!H:H,"Missing"),"Missing")</f>
        <v>Male</v>
      </c>
      <c r="H262" t="s">
        <v>2217</v>
      </c>
    </row>
    <row r="263" spans="1:8" x14ac:dyDescent="0.2">
      <c r="A263">
        <v>262</v>
      </c>
      <c r="B263" t="s">
        <v>502</v>
      </c>
      <c r="C263" s="87" t="str">
        <f>_xlfn.XLOOKUP(OfficeForms.Table[[#This Row],[Email]],Table2[Email],Table2[FullName],"")</f>
        <v>PHAN Anh Dung Cuong</v>
      </c>
      <c r="D263" t="s">
        <v>506</v>
      </c>
      <c r="E263" s="2" t="s">
        <v>2238</v>
      </c>
      <c r="F263">
        <v>93</v>
      </c>
      <c r="G263" t="str">
        <f>IFERROR(_xlfn.XLOOKUP(OfficeForms.Table[[#This Row],[Email]],EE!C:C,EE!H:H,"Missing"),"Missing")</f>
        <v>Male</v>
      </c>
      <c r="H263" t="s">
        <v>2227</v>
      </c>
    </row>
    <row r="264" spans="1:8" x14ac:dyDescent="0.2">
      <c r="A264">
        <v>263</v>
      </c>
      <c r="B264" s="2" t="s">
        <v>616</v>
      </c>
      <c r="C264" s="87" t="str">
        <f>_xlfn.XLOOKUP(OfficeForms.Table[[#This Row],[Email]],Table2[Email],Table2[FullName],"")</f>
        <v>NGUYEN Quoc Hai Thanh</v>
      </c>
      <c r="D264" s="2"/>
      <c r="E264" s="2" t="s">
        <v>2238</v>
      </c>
      <c r="F264">
        <v>78</v>
      </c>
      <c r="G264" t="str">
        <f>IFERROR(_xlfn.XLOOKUP(OfficeForms.Table[[#This Row],[Email]],EE!C:C,EE!H:H,"Missing"),"Missing")</f>
        <v>Male</v>
      </c>
      <c r="H264" t="s">
        <v>2217</v>
      </c>
    </row>
    <row r="265" spans="1:8" x14ac:dyDescent="0.2">
      <c r="A265">
        <v>264</v>
      </c>
      <c r="B265" s="2" t="s">
        <v>624</v>
      </c>
      <c r="C265" s="87" t="str">
        <f>_xlfn.XLOOKUP(OfficeForms.Table[[#This Row],[Email]],Table2[Email],Table2[FullName],"")</f>
        <v>LE Huu Phuc</v>
      </c>
      <c r="D265" s="2" t="s">
        <v>2233</v>
      </c>
      <c r="E265" s="2" t="s">
        <v>2238</v>
      </c>
      <c r="F265">
        <v>77</v>
      </c>
      <c r="G265" t="str">
        <f>IFERROR(_xlfn.XLOOKUP(OfficeForms.Table[[#This Row],[Email]],EE!C:C,EE!H:H,"Missing"),"Missing")</f>
        <v>Male</v>
      </c>
      <c r="H265" t="s">
        <v>2227</v>
      </c>
    </row>
    <row r="266" spans="1:8" x14ac:dyDescent="0.2">
      <c r="A266">
        <v>265</v>
      </c>
      <c r="B266" s="2" t="s">
        <v>166</v>
      </c>
      <c r="C266" s="87" t="str">
        <f>_xlfn.XLOOKUP(OfficeForms.Table[[#This Row],[Email]],Table2[Email],Table2[FullName],"")</f>
        <v>NGO Hoang Vu</v>
      </c>
      <c r="D266" s="2"/>
      <c r="E266" s="2" t="s">
        <v>2238</v>
      </c>
      <c r="F266">
        <v>135</v>
      </c>
      <c r="G266" t="str">
        <f>IFERROR(_xlfn.XLOOKUP(OfficeForms.Table[[#This Row],[Email]],EE!C:C,EE!H:H,"Missing"),"Missing")</f>
        <v>Male</v>
      </c>
      <c r="H266" t="s">
        <v>2227</v>
      </c>
    </row>
    <row r="267" spans="1:8" x14ac:dyDescent="0.2">
      <c r="A267">
        <v>266</v>
      </c>
      <c r="B267" s="2" t="s">
        <v>780</v>
      </c>
      <c r="C267" s="87" t="str">
        <f>_xlfn.XLOOKUP(OfficeForms.Table[[#This Row],[Email]],Table2[Email],Table2[FullName],"")</f>
        <v>LE Chau Sy Dat</v>
      </c>
      <c r="D267" s="2"/>
      <c r="E267" s="2" t="s">
        <v>2238</v>
      </c>
      <c r="F267">
        <v>55</v>
      </c>
      <c r="G267" t="str">
        <f>IFERROR(_xlfn.XLOOKUP(OfficeForms.Table[[#This Row],[Email]],EE!C:C,EE!H:H,"Missing"),"Missing")</f>
        <v>Male</v>
      </c>
      <c r="H267" t="s">
        <v>2217</v>
      </c>
    </row>
    <row r="268" spans="1:8" x14ac:dyDescent="0.2">
      <c r="A268">
        <v>267</v>
      </c>
      <c r="B268" s="2" t="s">
        <v>620</v>
      </c>
      <c r="C268" s="87" t="str">
        <f>_xlfn.XLOOKUP(OfficeForms.Table[[#This Row],[Email]],Table2[Email],Table2[FullName],"")</f>
        <v>PHUNG Quoc Hung</v>
      </c>
      <c r="D268" s="2"/>
      <c r="E268" s="2" t="s">
        <v>2238</v>
      </c>
      <c r="F268">
        <v>78</v>
      </c>
      <c r="G268" t="str">
        <f>IFERROR(_xlfn.XLOOKUP(OfficeForms.Table[[#This Row],[Email]],EE!C:C,EE!H:H,"Missing"),"Missing")</f>
        <v>Male</v>
      </c>
      <c r="H268" t="s">
        <v>2217</v>
      </c>
    </row>
    <row r="269" spans="1:8" x14ac:dyDescent="0.2">
      <c r="A269">
        <v>268</v>
      </c>
      <c r="B269" s="2" t="s">
        <v>81</v>
      </c>
      <c r="C269" s="87" t="str">
        <f>_xlfn.XLOOKUP(OfficeForms.Table[[#This Row],[Email]],Table2[Email],Table2[FullName],"")</f>
        <v>PHAM Nguyen Duc Huy</v>
      </c>
      <c r="D269" s="2"/>
      <c r="E269">
        <v>4</v>
      </c>
      <c r="F269">
        <v>91</v>
      </c>
      <c r="G269" t="str">
        <f>IFERROR(_xlfn.XLOOKUP(OfficeForms.Table[[#This Row],[Email]],EE!C:C,EE!H:H,"Missing"),"Missing")</f>
        <v>Male</v>
      </c>
      <c r="H269" t="s">
        <v>2217</v>
      </c>
    </row>
    <row r="270" spans="1:8" x14ac:dyDescent="0.2">
      <c r="A270">
        <v>269</v>
      </c>
      <c r="B270" s="80" t="s">
        <v>83</v>
      </c>
      <c r="C270" s="88" t="str">
        <f>_xlfn.XLOOKUP(OfficeForms.Table[[#This Row],[Email]],Table2[Email],Table2[FullName],"")</f>
        <v>LE Tien Thinh</v>
      </c>
      <c r="D270" s="2"/>
      <c r="E270">
        <v>7</v>
      </c>
      <c r="F270">
        <v>54</v>
      </c>
      <c r="G270" t="str">
        <f>IFERROR(_xlfn.XLOOKUP(OfficeForms.Table[[#This Row],[Email]],EE!C:C,EE!H:H,"Missing"),"Missing")</f>
        <v>Male</v>
      </c>
      <c r="H270" t="s">
        <v>2217</v>
      </c>
    </row>
    <row r="271" spans="1:8" x14ac:dyDescent="0.2">
      <c r="A271">
        <v>270</v>
      </c>
      <c r="B271" s="2" t="s">
        <v>450</v>
      </c>
      <c r="C271" s="87" t="str">
        <f>_xlfn.XLOOKUP(OfficeForms.Table[[#This Row],[Email]],Table2[Email],Table2[FullName],"")</f>
        <v>BUI Thi Ngoc Minh</v>
      </c>
      <c r="D271" s="2"/>
      <c r="E271">
        <v>5</v>
      </c>
      <c r="F271">
        <v>100</v>
      </c>
      <c r="G271" t="str">
        <f>IFERROR(_xlfn.XLOOKUP(OfficeForms.Table[[#This Row],[Email]],EE!C:C,EE!H:H,"Missing"),"Missing")</f>
        <v>Female</v>
      </c>
      <c r="H271" t="s">
        <v>2227</v>
      </c>
    </row>
    <row r="272" spans="1:8" ht="15" customHeight="1" x14ac:dyDescent="0.2">
      <c r="A272">
        <v>271</v>
      </c>
      <c r="B272" s="2" t="s">
        <v>1226</v>
      </c>
      <c r="C272" s="87" t="str">
        <f>_xlfn.XLOOKUP(OfficeForms.Table[[#This Row],[Email]],Table2[Email],Table2[FullName],"")</f>
        <v>Tien Thuan Hai Luong</v>
      </c>
      <c r="D272" s="2"/>
      <c r="E272">
        <v>4</v>
      </c>
      <c r="F272">
        <v>91</v>
      </c>
      <c r="G272" t="str">
        <f>IFERROR(_xlfn.XLOOKUP(OfficeForms.Table[[#This Row],[Email]],EE!C:C,EE!H:H,"Missing"),"Missing")</f>
        <v>Male</v>
      </c>
      <c r="H272" t="s">
        <v>2217</v>
      </c>
    </row>
  </sheetData>
  <conditionalFormatting sqref="B1">
    <cfRule type="duplicateValues" dxfId="25" priority="5"/>
  </conditionalFormatting>
  <conditionalFormatting sqref="B2:C1048576">
    <cfRule type="duplicateValues" dxfId="24" priority="13"/>
  </conditionalFormatting>
  <conditionalFormatting sqref="E183">
    <cfRule type="duplicateValues" dxfId="23" priority="3"/>
  </conditionalFormatting>
  <conditionalFormatting sqref="E261:E268 E234">
    <cfRule type="duplicateValues" dxfId="22" priority="2"/>
  </conditionalFormatting>
  <conditionalFormatting sqref="C1">
    <cfRule type="duplicateValues" dxfId="21" priority="1"/>
  </conditionalFormatting>
  <hyperlinks>
    <hyperlink ref="B129" r:id="rId1" xr:uid="{C6C66E08-8BC7-49C7-8737-0A371C9A5511}"/>
    <hyperlink ref="B154" r:id="rId2" xr:uid="{2F4B6038-177E-4C7B-A8C8-3309E45DBA46}"/>
    <hyperlink ref="B31" r:id="rId3" xr:uid="{6BB5F496-2F4B-4C07-AC77-648D2DAED7B3}"/>
    <hyperlink ref="B72" r:id="rId4" xr:uid="{34C3EE5B-C7B2-4D14-A73A-2B23FD488900}"/>
    <hyperlink ref="B270" r:id="rId5" xr:uid="{0232E700-0AE9-44A6-93A3-4723960D0B37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D430-2432-F840-8D3B-C2E242D6FCFA}">
  <dimension ref="A1:M9"/>
  <sheetViews>
    <sheetView workbookViewId="0">
      <selection activeCell="D16" sqref="D16"/>
    </sheetView>
  </sheetViews>
  <sheetFormatPr baseColWidth="10" defaultRowHeight="15" x14ac:dyDescent="0.2"/>
  <cols>
    <col min="2" max="2" width="24" bestFit="1" customWidth="1"/>
    <col min="3" max="3" width="24.6640625" bestFit="1" customWidth="1"/>
  </cols>
  <sheetData>
    <row r="1" spans="1:13" x14ac:dyDescent="0.2">
      <c r="A1" t="s">
        <v>2234</v>
      </c>
      <c r="B1" t="s">
        <v>2235</v>
      </c>
      <c r="C1" t="s">
        <v>2236</v>
      </c>
      <c r="D1" t="s">
        <v>2237</v>
      </c>
    </row>
    <row r="2" spans="1:13" x14ac:dyDescent="0.2">
      <c r="A2">
        <v>1</v>
      </c>
      <c r="B2" s="82" t="s">
        <v>1089</v>
      </c>
      <c r="C2" s="82" t="s">
        <v>1090</v>
      </c>
      <c r="D2" s="1" t="s">
        <v>1092</v>
      </c>
    </row>
    <row r="3" spans="1:13" x14ac:dyDescent="0.2">
      <c r="A3">
        <v>2</v>
      </c>
      <c r="B3" s="32" t="s">
        <v>548</v>
      </c>
      <c r="C3" s="32" t="s">
        <v>549</v>
      </c>
      <c r="D3" s="1" t="s">
        <v>551</v>
      </c>
    </row>
    <row r="4" spans="1:13" x14ac:dyDescent="0.2">
      <c r="A4">
        <v>3</v>
      </c>
      <c r="B4" s="83" t="s">
        <v>878</v>
      </c>
      <c r="C4" s="83" t="s">
        <v>879</v>
      </c>
      <c r="D4" s="1" t="s">
        <v>881</v>
      </c>
    </row>
    <row r="5" spans="1:13" x14ac:dyDescent="0.2">
      <c r="A5">
        <v>4</v>
      </c>
      <c r="B5" s="10" t="s">
        <v>552</v>
      </c>
      <c r="C5" s="10" t="s">
        <v>553</v>
      </c>
      <c r="D5" s="1" t="s">
        <v>258</v>
      </c>
      <c r="K5" t="s">
        <v>1130</v>
      </c>
      <c r="L5" t="s">
        <v>1602</v>
      </c>
      <c r="M5" s="1" t="s">
        <v>1133</v>
      </c>
    </row>
    <row r="6" spans="1:13" x14ac:dyDescent="0.2">
      <c r="A6">
        <v>5</v>
      </c>
      <c r="B6" s="82" t="s">
        <v>388</v>
      </c>
      <c r="C6" s="82" t="s">
        <v>389</v>
      </c>
      <c r="D6" s="1" t="s">
        <v>391</v>
      </c>
    </row>
    <row r="7" spans="1:13" x14ac:dyDescent="0.2">
      <c r="A7">
        <v>6</v>
      </c>
      <c r="B7" s="83" t="s">
        <v>221</v>
      </c>
      <c r="C7" s="83" t="s">
        <v>1360</v>
      </c>
      <c r="D7" s="1" t="s">
        <v>224</v>
      </c>
    </row>
    <row r="8" spans="1:13" x14ac:dyDescent="0.2">
      <c r="A8">
        <v>7</v>
      </c>
      <c r="B8" s="32" t="s">
        <v>608</v>
      </c>
      <c r="C8" s="32" t="s">
        <v>609</v>
      </c>
      <c r="D8" s="1" t="s">
        <v>611</v>
      </c>
    </row>
    <row r="9" spans="1:13" x14ac:dyDescent="0.2">
      <c r="A9">
        <v>8</v>
      </c>
      <c r="B9" s="83" t="s">
        <v>342</v>
      </c>
      <c r="C9" s="83" t="s">
        <v>1629</v>
      </c>
      <c r="D9" s="84" t="s">
        <v>345</v>
      </c>
    </row>
  </sheetData>
  <conditionalFormatting sqref="B3">
    <cfRule type="duplicateValues" dxfId="20" priority="5"/>
  </conditionalFormatting>
  <conditionalFormatting sqref="B5">
    <cfRule type="duplicateValues" dxfId="19" priority="3"/>
  </conditionalFormatting>
  <conditionalFormatting sqref="B8">
    <cfRule type="duplicateValues" dxfId="18" priority="1"/>
  </conditionalFormatting>
  <conditionalFormatting sqref="C3">
    <cfRule type="duplicateValues" dxfId="17" priority="6"/>
  </conditionalFormatting>
  <conditionalFormatting sqref="C5">
    <cfRule type="duplicateValues" dxfId="16" priority="4"/>
  </conditionalFormatting>
  <conditionalFormatting sqref="C8">
    <cfRule type="duplicateValues" dxfId="15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93A3-B4EA-4548-A70F-3E55010F0B0C}">
  <dimension ref="A1:AP286"/>
  <sheetViews>
    <sheetView topLeftCell="I1" zoomScale="85" workbookViewId="0">
      <selection activeCell="AA1" sqref="AA1"/>
    </sheetView>
  </sheetViews>
  <sheetFormatPr baseColWidth="10" defaultColWidth="8.83203125" defaultRowHeight="15" x14ac:dyDescent="0.2"/>
  <cols>
    <col min="1" max="1" width="33.33203125" bestFit="1" customWidth="1"/>
    <col min="2" max="2" width="41.83203125" bestFit="1" customWidth="1"/>
    <col min="3" max="3" width="38.5" bestFit="1" customWidth="1"/>
    <col min="4" max="4" width="67.1640625" bestFit="1" customWidth="1"/>
    <col min="5" max="5" width="53.6640625" bestFit="1" customWidth="1"/>
    <col min="6" max="6" width="57.6640625" bestFit="1" customWidth="1"/>
    <col min="7" max="7" width="44.83203125" bestFit="1" customWidth="1"/>
    <col min="8" max="8" width="110.5" bestFit="1" customWidth="1"/>
    <col min="9" max="9" width="31.83203125" bestFit="1" customWidth="1"/>
    <col min="10" max="10" width="29.83203125" bestFit="1" customWidth="1"/>
    <col min="11" max="11" width="28.1640625" bestFit="1" customWidth="1"/>
    <col min="12" max="12" width="18.1640625" bestFit="1" customWidth="1"/>
    <col min="13" max="13" width="12.1640625" bestFit="1" customWidth="1"/>
    <col min="14" max="14" width="9" bestFit="1" customWidth="1"/>
    <col min="15" max="15" width="9.33203125" bestFit="1" customWidth="1"/>
    <col min="16" max="16" width="9.5" bestFit="1" customWidth="1"/>
    <col min="17" max="17" width="10.6640625" bestFit="1" customWidth="1"/>
    <col min="18" max="18" width="14.33203125" bestFit="1" customWidth="1"/>
    <col min="19" max="19" width="12.1640625" bestFit="1" customWidth="1"/>
    <col min="20" max="20" width="14.1640625" bestFit="1" customWidth="1"/>
    <col min="27" max="27" width="38.33203125" bestFit="1" customWidth="1"/>
    <col min="28" max="28" width="14.33203125" bestFit="1" customWidth="1"/>
    <col min="29" max="29" width="33.33203125" bestFit="1" customWidth="1"/>
    <col min="30" max="30" width="13.33203125" bestFit="1" customWidth="1"/>
    <col min="31" max="31" width="14.6640625" bestFit="1" customWidth="1"/>
    <col min="32" max="33" width="14.33203125" bestFit="1" customWidth="1"/>
    <col min="35" max="35" width="39" bestFit="1" customWidth="1"/>
    <col min="36" max="36" width="14.6640625" customWidth="1"/>
    <col min="37" max="37" width="31.83203125" bestFit="1" customWidth="1"/>
    <col min="38" max="38" width="15.6640625" bestFit="1" customWidth="1"/>
    <col min="39" max="39" width="9.33203125" bestFit="1" customWidth="1"/>
    <col min="40" max="40" width="13.6640625" bestFit="1" customWidth="1"/>
    <col min="41" max="41" width="15.5" bestFit="1" customWidth="1"/>
  </cols>
  <sheetData>
    <row r="1" spans="1:42" ht="16.25" customHeight="1" x14ac:dyDescent="0.2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27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  <c r="R1" s="28" t="s">
        <v>18</v>
      </c>
      <c r="S1" s="28" t="s">
        <v>19</v>
      </c>
      <c r="T1" s="56" t="s">
        <v>20</v>
      </c>
      <c r="AA1" s="9" t="s">
        <v>2</v>
      </c>
      <c r="AB1" t="s">
        <v>1228</v>
      </c>
      <c r="AI1" s="9" t="s">
        <v>2</v>
      </c>
      <c r="AJ1" t="s">
        <v>1228</v>
      </c>
    </row>
    <row r="2" spans="1:42" ht="16.25" customHeight="1" x14ac:dyDescent="0.2">
      <c r="A2" s="10" t="s">
        <v>850</v>
      </c>
      <c r="B2" s="10" t="s">
        <v>85</v>
      </c>
      <c r="C2" s="29" t="s">
        <v>851</v>
      </c>
      <c r="D2" s="29" t="s">
        <v>852</v>
      </c>
      <c r="E2" s="10" t="s">
        <v>26</v>
      </c>
      <c r="F2" s="10"/>
      <c r="G2" s="10" t="s">
        <v>24</v>
      </c>
      <c r="H2" s="10"/>
      <c r="I2" s="30" t="s">
        <v>1229</v>
      </c>
      <c r="J2" s="30" t="s">
        <v>1230</v>
      </c>
      <c r="K2" s="30" t="s">
        <v>1231</v>
      </c>
      <c r="L2" s="30" t="s">
        <v>1232</v>
      </c>
      <c r="M2" s="18" t="s">
        <v>26</v>
      </c>
      <c r="N2" s="18">
        <v>0</v>
      </c>
      <c r="O2" s="18">
        <v>0</v>
      </c>
      <c r="P2" s="18">
        <v>0</v>
      </c>
      <c r="Q2" s="18">
        <v>1</v>
      </c>
      <c r="R2" s="31">
        <v>1</v>
      </c>
      <c r="S2" s="31">
        <v>1</v>
      </c>
      <c r="T2" t="e">
        <f>_xlfn.XLOOKUP(A2,Master!#REF!,Master!G:G)</f>
        <v>#REF!</v>
      </c>
    </row>
    <row r="3" spans="1:42" ht="16.25" customHeight="1" x14ac:dyDescent="0.2">
      <c r="A3" s="32" t="s">
        <v>1201</v>
      </c>
      <c r="B3" s="32" t="s">
        <v>85</v>
      </c>
      <c r="C3" s="33" t="s">
        <v>1202</v>
      </c>
      <c r="D3" s="33" t="s">
        <v>1203</v>
      </c>
      <c r="E3" s="32" t="s">
        <v>26</v>
      </c>
      <c r="F3" s="32"/>
      <c r="G3" s="32" t="s">
        <v>24</v>
      </c>
      <c r="H3" s="32"/>
      <c r="I3" s="30" t="s">
        <v>1229</v>
      </c>
      <c r="J3" s="30" t="s">
        <v>1230</v>
      </c>
      <c r="K3" s="30" t="s">
        <v>1233</v>
      </c>
      <c r="L3" s="30" t="s">
        <v>1232</v>
      </c>
      <c r="M3" s="15" t="s">
        <v>26</v>
      </c>
      <c r="N3" s="15">
        <v>0</v>
      </c>
      <c r="O3" s="15">
        <v>0</v>
      </c>
      <c r="P3" s="15">
        <v>0</v>
      </c>
      <c r="Q3" s="15">
        <v>1</v>
      </c>
      <c r="R3" s="31">
        <v>1</v>
      </c>
      <c r="S3" s="31">
        <v>1</v>
      </c>
      <c r="T3" t="e">
        <f>_xlfn.XLOOKUP(A3,Master!#REF!,Master!G:G)</f>
        <v>#REF!</v>
      </c>
      <c r="W3" cm="1">
        <f t="array" ref="W3:W145">_xlfn.UNIQUE(S2:S272)</f>
        <v>1</v>
      </c>
      <c r="AA3" s="9" t="s">
        <v>18</v>
      </c>
      <c r="AB3" s="9" t="s">
        <v>19</v>
      </c>
      <c r="AC3" s="9" t="s">
        <v>1</v>
      </c>
      <c r="AD3" t="s">
        <v>1234</v>
      </c>
      <c r="AE3" t="s">
        <v>1214</v>
      </c>
      <c r="AI3" s="9" t="s">
        <v>20</v>
      </c>
      <c r="AJ3" s="9" t="s">
        <v>19</v>
      </c>
      <c r="AK3" s="9" t="s">
        <v>13</v>
      </c>
      <c r="AL3" s="9" t="s">
        <v>18</v>
      </c>
      <c r="AM3" s="9" t="s">
        <v>1</v>
      </c>
      <c r="AN3" t="s">
        <v>1234</v>
      </c>
      <c r="AO3" t="s">
        <v>1214</v>
      </c>
      <c r="AP3" s="12"/>
    </row>
    <row r="4" spans="1:42" ht="16.25" customHeight="1" x14ac:dyDescent="0.2">
      <c r="A4" s="10" t="s">
        <v>1192</v>
      </c>
      <c r="B4" s="10" t="s">
        <v>85</v>
      </c>
      <c r="C4" s="29" t="s">
        <v>1193</v>
      </c>
      <c r="D4" s="29" t="s">
        <v>1194</v>
      </c>
      <c r="E4" s="10" t="s">
        <v>26</v>
      </c>
      <c r="F4" s="10"/>
      <c r="G4" s="10" t="s">
        <v>24</v>
      </c>
      <c r="H4" s="10"/>
      <c r="I4" s="30" t="s">
        <v>1229</v>
      </c>
      <c r="J4" s="30" t="s">
        <v>1230</v>
      </c>
      <c r="K4" s="30" t="s">
        <v>1233</v>
      </c>
      <c r="L4" s="30" t="s">
        <v>1232</v>
      </c>
      <c r="M4" s="18" t="s">
        <v>26</v>
      </c>
      <c r="N4" s="18">
        <v>0</v>
      </c>
      <c r="O4" s="18">
        <v>0</v>
      </c>
      <c r="P4" s="18">
        <v>0</v>
      </c>
      <c r="Q4" s="18">
        <v>1</v>
      </c>
      <c r="R4" s="31">
        <v>1</v>
      </c>
      <c r="S4" s="31">
        <v>2</v>
      </c>
      <c r="T4" t="e">
        <f>_xlfn.XLOOKUP(A4,Master!#REF!,Master!G:G)</f>
        <v>#REF!</v>
      </c>
      <c r="W4">
        <v>2</v>
      </c>
      <c r="AA4">
        <v>1</v>
      </c>
      <c r="AB4">
        <v>1</v>
      </c>
      <c r="AC4" t="s">
        <v>1201</v>
      </c>
      <c r="AD4" s="12">
        <v>0</v>
      </c>
      <c r="AE4" s="12">
        <v>1</v>
      </c>
      <c r="AI4" t="s">
        <v>452</v>
      </c>
      <c r="AJ4">
        <v>1</v>
      </c>
      <c r="AN4" s="12">
        <v>0</v>
      </c>
      <c r="AO4" s="12">
        <v>2</v>
      </c>
      <c r="AP4" s="12">
        <f>AO4</f>
        <v>2</v>
      </c>
    </row>
    <row r="5" spans="1:42" ht="16.25" customHeight="1" x14ac:dyDescent="0.2">
      <c r="A5" s="32" t="s">
        <v>1196</v>
      </c>
      <c r="B5" s="32" t="s">
        <v>85</v>
      </c>
      <c r="C5" s="33" t="s">
        <v>1197</v>
      </c>
      <c r="D5" s="33" t="s">
        <v>1198</v>
      </c>
      <c r="E5" s="32" t="s">
        <v>26</v>
      </c>
      <c r="F5" s="26"/>
      <c r="G5" s="32" t="s">
        <v>24</v>
      </c>
      <c r="H5" s="32" t="s">
        <v>1199</v>
      </c>
      <c r="I5" s="30" t="s">
        <v>1229</v>
      </c>
      <c r="J5" s="30" t="s">
        <v>1230</v>
      </c>
      <c r="K5" s="30" t="s">
        <v>1233</v>
      </c>
      <c r="L5" s="30" t="s">
        <v>1232</v>
      </c>
      <c r="M5" s="15" t="s">
        <v>26</v>
      </c>
      <c r="N5" s="15">
        <v>0</v>
      </c>
      <c r="O5" s="15">
        <v>0</v>
      </c>
      <c r="P5" s="15">
        <v>0</v>
      </c>
      <c r="Q5" s="15">
        <v>1</v>
      </c>
      <c r="R5" s="31">
        <v>1</v>
      </c>
      <c r="S5" s="31">
        <v>2</v>
      </c>
      <c r="T5" t="e">
        <f>_xlfn.XLOOKUP(A5,Master!#REF!,Master!G:G)</f>
        <v>#REF!</v>
      </c>
      <c r="W5">
        <v>3</v>
      </c>
      <c r="AA5">
        <v>1</v>
      </c>
      <c r="AB5">
        <v>1</v>
      </c>
      <c r="AC5" t="s">
        <v>850</v>
      </c>
      <c r="AD5" s="12">
        <v>0</v>
      </c>
      <c r="AE5" s="12">
        <v>1</v>
      </c>
      <c r="AI5" t="s">
        <v>452</v>
      </c>
      <c r="AJ5">
        <v>2</v>
      </c>
      <c r="AN5" s="12">
        <v>0</v>
      </c>
      <c r="AO5" s="12">
        <v>2</v>
      </c>
      <c r="AP5" s="12">
        <f t="shared" ref="AP5:AP68" si="0">AO5</f>
        <v>2</v>
      </c>
    </row>
    <row r="6" spans="1:42" ht="16.25" customHeight="1" x14ac:dyDescent="0.2">
      <c r="A6" s="32" t="s">
        <v>1183</v>
      </c>
      <c r="B6" s="32" t="s">
        <v>85</v>
      </c>
      <c r="C6" s="33" t="s">
        <v>1184</v>
      </c>
      <c r="D6" s="33" t="s">
        <v>1185</v>
      </c>
      <c r="E6" s="32" t="s">
        <v>26</v>
      </c>
      <c r="F6" s="39"/>
      <c r="G6" s="32" t="s">
        <v>24</v>
      </c>
      <c r="H6" s="32"/>
      <c r="I6" s="30" t="s">
        <v>1229</v>
      </c>
      <c r="J6" s="30" t="s">
        <v>1230</v>
      </c>
      <c r="K6" s="30" t="s">
        <v>1231</v>
      </c>
      <c r="L6" s="30" t="s">
        <v>1232</v>
      </c>
      <c r="M6" s="15" t="s">
        <v>26</v>
      </c>
      <c r="N6" s="15">
        <v>0</v>
      </c>
      <c r="O6" s="15">
        <v>0</v>
      </c>
      <c r="P6" s="15">
        <v>0</v>
      </c>
      <c r="Q6" s="15">
        <v>1</v>
      </c>
      <c r="R6" s="31">
        <v>1</v>
      </c>
      <c r="S6" s="31">
        <v>3</v>
      </c>
      <c r="T6" t="e">
        <f>_xlfn.XLOOKUP(A6,Master!#REF!,Master!G:G)</f>
        <v>#REF!</v>
      </c>
      <c r="W6">
        <v>4</v>
      </c>
      <c r="AA6">
        <v>1</v>
      </c>
      <c r="AB6">
        <v>2</v>
      </c>
      <c r="AC6" t="s">
        <v>1192</v>
      </c>
      <c r="AD6" s="12">
        <v>0</v>
      </c>
      <c r="AE6" s="12">
        <v>1</v>
      </c>
      <c r="AI6" t="s">
        <v>452</v>
      </c>
      <c r="AJ6">
        <v>31</v>
      </c>
      <c r="AN6" s="12">
        <v>0</v>
      </c>
      <c r="AO6" s="12">
        <v>2</v>
      </c>
      <c r="AP6" s="12">
        <f t="shared" si="0"/>
        <v>2</v>
      </c>
    </row>
    <row r="7" spans="1:42" ht="16.25" customHeight="1" x14ac:dyDescent="0.2">
      <c r="A7" s="10" t="s">
        <v>1187</v>
      </c>
      <c r="B7" s="10" t="s">
        <v>85</v>
      </c>
      <c r="C7" s="29" t="s">
        <v>1188</v>
      </c>
      <c r="D7" s="29" t="s">
        <v>1189</v>
      </c>
      <c r="E7" s="10" t="s">
        <v>26</v>
      </c>
      <c r="F7" s="42"/>
      <c r="G7" s="10" t="s">
        <v>24</v>
      </c>
      <c r="H7" s="10" t="s">
        <v>1190</v>
      </c>
      <c r="I7" s="30" t="s">
        <v>1229</v>
      </c>
      <c r="J7" s="30" t="s">
        <v>1230</v>
      </c>
      <c r="K7" s="30" t="s">
        <v>1231</v>
      </c>
      <c r="L7" s="30" t="s">
        <v>1232</v>
      </c>
      <c r="M7" s="18" t="s">
        <v>26</v>
      </c>
      <c r="N7" s="18">
        <v>0</v>
      </c>
      <c r="O7" s="18">
        <v>0</v>
      </c>
      <c r="P7" s="18">
        <v>0</v>
      </c>
      <c r="Q7" s="18">
        <v>1</v>
      </c>
      <c r="R7" s="31">
        <v>1</v>
      </c>
      <c r="S7" s="31">
        <v>3</v>
      </c>
      <c r="T7" t="e">
        <f>_xlfn.XLOOKUP(A7,Master!#REF!,Master!G:G)</f>
        <v>#REF!</v>
      </c>
      <c r="W7">
        <v>5</v>
      </c>
      <c r="AA7">
        <v>1</v>
      </c>
      <c r="AB7">
        <v>2</v>
      </c>
      <c r="AC7" t="s">
        <v>1196</v>
      </c>
      <c r="AD7" s="12">
        <v>0</v>
      </c>
      <c r="AE7" s="12">
        <v>1</v>
      </c>
      <c r="AI7" t="s">
        <v>452</v>
      </c>
      <c r="AJ7">
        <v>32</v>
      </c>
      <c r="AN7" s="12">
        <v>0</v>
      </c>
      <c r="AO7" s="12">
        <v>2</v>
      </c>
      <c r="AP7" s="12">
        <f t="shared" si="0"/>
        <v>2</v>
      </c>
    </row>
    <row r="8" spans="1:42" ht="16.25" customHeight="1" x14ac:dyDescent="0.2">
      <c r="A8" s="32" t="s">
        <v>1175</v>
      </c>
      <c r="B8" s="32" t="s">
        <v>85</v>
      </c>
      <c r="C8" s="33" t="s">
        <v>1176</v>
      </c>
      <c r="D8" s="33" t="s">
        <v>1177</v>
      </c>
      <c r="E8" s="32" t="s">
        <v>26</v>
      </c>
      <c r="F8" s="32"/>
      <c r="G8" s="32" t="s">
        <v>24</v>
      </c>
      <c r="H8" s="32"/>
      <c r="I8" s="30" t="s">
        <v>1229</v>
      </c>
      <c r="J8" s="30" t="s">
        <v>1230</v>
      </c>
      <c r="K8" s="30" t="s">
        <v>1231</v>
      </c>
      <c r="L8" s="30" t="s">
        <v>1232</v>
      </c>
      <c r="M8" s="15" t="s">
        <v>26</v>
      </c>
      <c r="N8" s="15">
        <v>0</v>
      </c>
      <c r="O8" s="15">
        <v>0</v>
      </c>
      <c r="P8" s="15">
        <v>0</v>
      </c>
      <c r="Q8" s="15">
        <v>1</v>
      </c>
      <c r="R8" s="31">
        <v>1</v>
      </c>
      <c r="S8" s="31">
        <v>4</v>
      </c>
      <c r="T8" t="e">
        <f>_xlfn.XLOOKUP(A8,Master!#REF!,Master!G:G)</f>
        <v>#REF!</v>
      </c>
      <c r="W8">
        <v>6</v>
      </c>
      <c r="AA8">
        <v>1</v>
      </c>
      <c r="AB8">
        <v>4</v>
      </c>
      <c r="AC8" t="s">
        <v>1175</v>
      </c>
      <c r="AD8" s="12">
        <v>0</v>
      </c>
      <c r="AE8" s="12">
        <v>1</v>
      </c>
      <c r="AI8" t="s">
        <v>452</v>
      </c>
      <c r="AJ8">
        <v>33</v>
      </c>
      <c r="AN8" s="12">
        <v>0</v>
      </c>
      <c r="AO8" s="12">
        <v>2</v>
      </c>
      <c r="AP8" s="12">
        <f t="shared" si="0"/>
        <v>2</v>
      </c>
    </row>
    <row r="9" spans="1:42" ht="16.25" customHeight="1" x14ac:dyDescent="0.2">
      <c r="A9" s="10" t="s">
        <v>1179</v>
      </c>
      <c r="B9" s="10" t="s">
        <v>85</v>
      </c>
      <c r="C9" s="29" t="s">
        <v>1180</v>
      </c>
      <c r="D9" s="29" t="s">
        <v>1181</v>
      </c>
      <c r="E9" s="10" t="s">
        <v>26</v>
      </c>
      <c r="F9" s="10"/>
      <c r="G9" s="10" t="s">
        <v>24</v>
      </c>
      <c r="H9" s="10"/>
      <c r="I9" s="30" t="s">
        <v>1229</v>
      </c>
      <c r="J9" s="30" t="s">
        <v>1230</v>
      </c>
      <c r="K9" s="30" t="s">
        <v>1231</v>
      </c>
      <c r="L9" s="30" t="s">
        <v>1232</v>
      </c>
      <c r="M9" s="18" t="s">
        <v>26</v>
      </c>
      <c r="N9" s="18">
        <v>0</v>
      </c>
      <c r="O9" s="18">
        <v>0</v>
      </c>
      <c r="P9" s="18">
        <v>0</v>
      </c>
      <c r="Q9" s="18">
        <v>1</v>
      </c>
      <c r="R9" s="31">
        <v>1</v>
      </c>
      <c r="S9" s="31">
        <v>4</v>
      </c>
      <c r="T9" t="e">
        <f>_xlfn.XLOOKUP(A9,Master!#REF!,Master!G:G)</f>
        <v>#REF!</v>
      </c>
      <c r="W9">
        <v>7</v>
      </c>
      <c r="AA9">
        <v>1</v>
      </c>
      <c r="AB9">
        <v>4</v>
      </c>
      <c r="AC9" t="s">
        <v>1179</v>
      </c>
      <c r="AD9" s="12">
        <v>0</v>
      </c>
      <c r="AE9" s="12">
        <v>1</v>
      </c>
      <c r="AI9" t="s">
        <v>452</v>
      </c>
      <c r="AJ9">
        <v>34</v>
      </c>
      <c r="AN9" s="12">
        <v>0</v>
      </c>
      <c r="AO9" s="12">
        <v>2</v>
      </c>
      <c r="AP9" s="12">
        <f t="shared" si="0"/>
        <v>2</v>
      </c>
    </row>
    <row r="10" spans="1:42" ht="16.25" customHeight="1" x14ac:dyDescent="0.2">
      <c r="A10" s="32" t="s">
        <v>1167</v>
      </c>
      <c r="B10" s="32" t="s">
        <v>85</v>
      </c>
      <c r="C10" s="33" t="s">
        <v>1168</v>
      </c>
      <c r="D10" s="33" t="s">
        <v>1169</v>
      </c>
      <c r="E10" s="32" t="s">
        <v>26</v>
      </c>
      <c r="F10" s="39"/>
      <c r="G10" s="32" t="s">
        <v>24</v>
      </c>
      <c r="H10" s="32"/>
      <c r="I10" s="30" t="s">
        <v>1229</v>
      </c>
      <c r="J10" s="30" t="s">
        <v>1230</v>
      </c>
      <c r="K10" s="30" t="s">
        <v>1231</v>
      </c>
      <c r="L10" s="30" t="s">
        <v>1232</v>
      </c>
      <c r="M10" s="15" t="s">
        <v>26</v>
      </c>
      <c r="N10" s="15">
        <v>0</v>
      </c>
      <c r="O10" s="15">
        <v>0</v>
      </c>
      <c r="P10" s="15">
        <v>0</v>
      </c>
      <c r="Q10" s="15">
        <v>1</v>
      </c>
      <c r="R10" s="31">
        <v>1</v>
      </c>
      <c r="S10" s="31">
        <v>5</v>
      </c>
      <c r="T10" t="e">
        <f>_xlfn.XLOOKUP(A10,Master!#REF!,Master!G:G)</f>
        <v>#REF!</v>
      </c>
      <c r="W10">
        <v>8</v>
      </c>
      <c r="AA10">
        <v>1</v>
      </c>
      <c r="AB10">
        <v>5</v>
      </c>
      <c r="AC10" t="s">
        <v>1167</v>
      </c>
      <c r="AD10" s="12">
        <v>0</v>
      </c>
      <c r="AE10" s="12">
        <v>1</v>
      </c>
      <c r="AI10" t="s">
        <v>452</v>
      </c>
      <c r="AJ10">
        <v>44</v>
      </c>
      <c r="AN10" s="12">
        <v>0</v>
      </c>
      <c r="AO10" s="12">
        <v>2</v>
      </c>
      <c r="AP10" s="12">
        <f t="shared" si="0"/>
        <v>2</v>
      </c>
    </row>
    <row r="11" spans="1:42" ht="16.25" customHeight="1" x14ac:dyDescent="0.2">
      <c r="A11" s="32" t="s">
        <v>1171</v>
      </c>
      <c r="B11" s="32" t="s">
        <v>85</v>
      </c>
      <c r="C11" s="33" t="s">
        <v>1172</v>
      </c>
      <c r="D11" s="33" t="s">
        <v>1173</v>
      </c>
      <c r="E11" s="32" t="s">
        <v>26</v>
      </c>
      <c r="F11" s="39"/>
      <c r="G11" s="32" t="s">
        <v>24</v>
      </c>
      <c r="H11" s="32"/>
      <c r="I11" s="30" t="s">
        <v>1229</v>
      </c>
      <c r="J11" s="30" t="s">
        <v>1230</v>
      </c>
      <c r="K11" s="30" t="s">
        <v>1231</v>
      </c>
      <c r="L11" s="30" t="s">
        <v>1232</v>
      </c>
      <c r="M11" s="15" t="s">
        <v>26</v>
      </c>
      <c r="N11" s="15">
        <v>0</v>
      </c>
      <c r="O11" s="15">
        <v>0</v>
      </c>
      <c r="P11" s="15">
        <v>0</v>
      </c>
      <c r="Q11" s="15">
        <v>1</v>
      </c>
      <c r="R11" s="31">
        <v>1</v>
      </c>
      <c r="S11" s="31">
        <v>5</v>
      </c>
      <c r="T11" t="e">
        <f>_xlfn.XLOOKUP(A11,Master!#REF!,Master!G:G)</f>
        <v>#REF!</v>
      </c>
      <c r="W11">
        <v>9</v>
      </c>
      <c r="AA11">
        <v>1</v>
      </c>
      <c r="AB11">
        <v>5</v>
      </c>
      <c r="AC11" t="s">
        <v>1171</v>
      </c>
      <c r="AD11" s="12">
        <v>0</v>
      </c>
      <c r="AE11" s="12">
        <v>1</v>
      </c>
      <c r="AI11" t="s">
        <v>452</v>
      </c>
      <c r="AJ11">
        <v>45</v>
      </c>
      <c r="AN11" s="12">
        <v>0</v>
      </c>
      <c r="AO11" s="12">
        <v>2</v>
      </c>
      <c r="AP11" s="12">
        <f t="shared" si="0"/>
        <v>2</v>
      </c>
    </row>
    <row r="12" spans="1:42" ht="16.25" customHeight="1" x14ac:dyDescent="0.2">
      <c r="A12" s="10" t="s">
        <v>1159</v>
      </c>
      <c r="B12" s="10" t="s">
        <v>85</v>
      </c>
      <c r="C12" s="29" t="s">
        <v>1160</v>
      </c>
      <c r="D12" s="29" t="s">
        <v>1161</v>
      </c>
      <c r="E12" s="10" t="s">
        <v>26</v>
      </c>
      <c r="F12" s="42"/>
      <c r="G12" s="10" t="s">
        <v>24</v>
      </c>
      <c r="H12" s="10"/>
      <c r="I12" s="30" t="s">
        <v>1229</v>
      </c>
      <c r="J12" s="30" t="s">
        <v>1230</v>
      </c>
      <c r="K12" s="30" t="s">
        <v>1231</v>
      </c>
      <c r="L12" s="30" t="s">
        <v>1232</v>
      </c>
      <c r="M12" s="18" t="s">
        <v>26</v>
      </c>
      <c r="N12" s="18">
        <v>0</v>
      </c>
      <c r="O12" s="18">
        <v>0</v>
      </c>
      <c r="P12" s="18">
        <v>0</v>
      </c>
      <c r="Q12" s="18">
        <v>1</v>
      </c>
      <c r="R12" s="31">
        <v>1</v>
      </c>
      <c r="S12" s="31">
        <v>6</v>
      </c>
      <c r="T12" t="e">
        <f>_xlfn.XLOOKUP(A12,Master!#REF!,Master!G:G)</f>
        <v>#REF!</v>
      </c>
      <c r="W12">
        <v>10</v>
      </c>
      <c r="AA12">
        <v>1</v>
      </c>
      <c r="AB12">
        <v>6</v>
      </c>
      <c r="AC12" t="s">
        <v>1163</v>
      </c>
      <c r="AD12" s="12">
        <v>0</v>
      </c>
      <c r="AE12" s="12">
        <v>1</v>
      </c>
      <c r="AI12" t="s">
        <v>452</v>
      </c>
      <c r="AJ12">
        <v>60</v>
      </c>
      <c r="AN12" s="12">
        <v>0</v>
      </c>
      <c r="AO12" s="12">
        <v>2</v>
      </c>
      <c r="AP12" s="12">
        <f t="shared" si="0"/>
        <v>2</v>
      </c>
    </row>
    <row r="13" spans="1:42" ht="16.25" customHeight="1" x14ac:dyDescent="0.2">
      <c r="A13" s="10" t="s">
        <v>1163</v>
      </c>
      <c r="B13" s="10" t="s">
        <v>85</v>
      </c>
      <c r="C13" s="29" t="s">
        <v>1164</v>
      </c>
      <c r="D13" s="29" t="s">
        <v>1165</v>
      </c>
      <c r="E13" s="10" t="s">
        <v>26</v>
      </c>
      <c r="F13" s="10"/>
      <c r="G13" s="10" t="s">
        <v>24</v>
      </c>
      <c r="H13" s="10"/>
      <c r="I13" s="30" t="s">
        <v>1229</v>
      </c>
      <c r="J13" s="30" t="s">
        <v>1230</v>
      </c>
      <c r="K13" s="30" t="s">
        <v>1231</v>
      </c>
      <c r="L13" s="30" t="s">
        <v>1232</v>
      </c>
      <c r="M13" s="18" t="s">
        <v>26</v>
      </c>
      <c r="N13" s="18">
        <v>0</v>
      </c>
      <c r="O13" s="18">
        <v>0</v>
      </c>
      <c r="P13" s="18">
        <v>0</v>
      </c>
      <c r="Q13" s="18">
        <v>1</v>
      </c>
      <c r="R13" s="31">
        <v>1</v>
      </c>
      <c r="S13" s="31">
        <v>6</v>
      </c>
      <c r="T13" t="e">
        <f>_xlfn.XLOOKUP(A13,Master!#REF!,Master!G:G)</f>
        <v>#REF!</v>
      </c>
      <c r="W13">
        <v>11</v>
      </c>
      <c r="AA13">
        <v>1</v>
      </c>
      <c r="AB13">
        <v>6</v>
      </c>
      <c r="AC13" t="s">
        <v>1159</v>
      </c>
      <c r="AD13" s="12">
        <v>0</v>
      </c>
      <c r="AE13" s="12">
        <v>1</v>
      </c>
      <c r="AI13" t="s">
        <v>452</v>
      </c>
      <c r="AJ13">
        <v>61</v>
      </c>
      <c r="AN13" s="12">
        <v>0</v>
      </c>
      <c r="AO13" s="12">
        <v>2</v>
      </c>
      <c r="AP13" s="12">
        <f t="shared" si="0"/>
        <v>2</v>
      </c>
    </row>
    <row r="14" spans="1:42" ht="16.25" customHeight="1" x14ac:dyDescent="0.2">
      <c r="A14" s="43" t="s">
        <v>1151</v>
      </c>
      <c r="B14" s="32" t="s">
        <v>85</v>
      </c>
      <c r="C14" s="32" t="s">
        <v>1152</v>
      </c>
      <c r="D14" s="32" t="s">
        <v>1153</v>
      </c>
      <c r="E14" s="32" t="s">
        <v>26</v>
      </c>
      <c r="F14" s="32"/>
      <c r="G14" s="32" t="s">
        <v>24</v>
      </c>
      <c r="H14" s="32" t="s">
        <v>547</v>
      </c>
      <c r="I14" s="30" t="s">
        <v>1229</v>
      </c>
      <c r="J14" s="30" t="s">
        <v>1230</v>
      </c>
      <c r="K14" s="30" t="s">
        <v>1231</v>
      </c>
      <c r="L14" s="30" t="s">
        <v>1232</v>
      </c>
      <c r="M14" s="15" t="s">
        <v>26</v>
      </c>
      <c r="N14" s="15">
        <v>0</v>
      </c>
      <c r="O14" s="15">
        <v>0</v>
      </c>
      <c r="P14" s="15">
        <v>0</v>
      </c>
      <c r="Q14" s="15">
        <v>1</v>
      </c>
      <c r="R14" s="31">
        <v>1</v>
      </c>
      <c r="S14" s="31">
        <v>7</v>
      </c>
      <c r="T14" t="e">
        <f>_xlfn.XLOOKUP(A14,Master!#REF!,Master!G:G)</f>
        <v>#REF!</v>
      </c>
      <c r="W14">
        <v>12</v>
      </c>
      <c r="AA14">
        <v>1</v>
      </c>
      <c r="AB14">
        <v>7</v>
      </c>
      <c r="AC14" t="s">
        <v>1143</v>
      </c>
      <c r="AD14" s="12">
        <v>0</v>
      </c>
      <c r="AE14" s="12">
        <v>1</v>
      </c>
      <c r="AI14" t="s">
        <v>452</v>
      </c>
      <c r="AJ14">
        <v>62</v>
      </c>
      <c r="AN14" s="12">
        <v>0</v>
      </c>
      <c r="AO14" s="12">
        <v>2</v>
      </c>
      <c r="AP14" s="12">
        <f t="shared" si="0"/>
        <v>2</v>
      </c>
    </row>
    <row r="15" spans="1:42" ht="16.25" customHeight="1" x14ac:dyDescent="0.2">
      <c r="A15" s="32" t="s">
        <v>1143</v>
      </c>
      <c r="B15" s="32" t="s">
        <v>85</v>
      </c>
      <c r="C15" s="33" t="s">
        <v>1144</v>
      </c>
      <c r="D15" s="33" t="s">
        <v>1145</v>
      </c>
      <c r="E15" s="32" t="s">
        <v>26</v>
      </c>
      <c r="F15" s="32"/>
      <c r="G15" s="32" t="s">
        <v>24</v>
      </c>
      <c r="H15" s="32"/>
      <c r="I15" s="30" t="s">
        <v>1229</v>
      </c>
      <c r="J15" s="30" t="s">
        <v>1230</v>
      </c>
      <c r="K15" s="30" t="s">
        <v>1231</v>
      </c>
      <c r="L15" s="30" t="s">
        <v>1232</v>
      </c>
      <c r="M15" s="15" t="s">
        <v>26</v>
      </c>
      <c r="N15" s="15">
        <v>0</v>
      </c>
      <c r="O15" s="15">
        <v>0</v>
      </c>
      <c r="P15" s="15">
        <v>0</v>
      </c>
      <c r="Q15" s="15">
        <v>1</v>
      </c>
      <c r="R15" s="31">
        <v>1</v>
      </c>
      <c r="S15" s="31">
        <v>7</v>
      </c>
      <c r="T15" t="e">
        <f>_xlfn.XLOOKUP(A15,Master!#REF!,Master!G:G)</f>
        <v>#REF!</v>
      </c>
      <c r="W15">
        <v>13</v>
      </c>
      <c r="AA15">
        <v>1</v>
      </c>
      <c r="AB15">
        <v>7</v>
      </c>
      <c r="AC15" t="s">
        <v>1151</v>
      </c>
      <c r="AD15" s="12">
        <v>0</v>
      </c>
      <c r="AE15" s="12">
        <v>1</v>
      </c>
      <c r="AI15" t="s">
        <v>452</v>
      </c>
      <c r="AJ15">
        <v>68</v>
      </c>
      <c r="AN15" s="12">
        <v>0</v>
      </c>
      <c r="AO15" s="12">
        <v>1</v>
      </c>
      <c r="AP15" s="12">
        <f t="shared" si="0"/>
        <v>1</v>
      </c>
    </row>
    <row r="16" spans="1:42" ht="16.25" customHeight="1" x14ac:dyDescent="0.2">
      <c r="A16" s="17" t="s">
        <v>1155</v>
      </c>
      <c r="B16" s="10" t="s">
        <v>85</v>
      </c>
      <c r="C16" s="10" t="s">
        <v>1156</v>
      </c>
      <c r="D16" s="10" t="s">
        <v>1157</v>
      </c>
      <c r="E16" s="10" t="s">
        <v>26</v>
      </c>
      <c r="F16" s="10"/>
      <c r="G16" s="10" t="s">
        <v>24</v>
      </c>
      <c r="H16" s="10"/>
      <c r="I16" s="30" t="s">
        <v>1229</v>
      </c>
      <c r="J16" s="30" t="s">
        <v>1230</v>
      </c>
      <c r="K16" s="30" t="s">
        <v>1231</v>
      </c>
      <c r="L16" s="30" t="s">
        <v>1232</v>
      </c>
      <c r="M16" s="18" t="s">
        <v>26</v>
      </c>
      <c r="N16" s="18">
        <v>0</v>
      </c>
      <c r="O16" s="18">
        <v>0</v>
      </c>
      <c r="P16" s="18">
        <v>0</v>
      </c>
      <c r="Q16" s="18">
        <v>1</v>
      </c>
      <c r="R16" s="31">
        <v>1</v>
      </c>
      <c r="S16" s="31">
        <v>8</v>
      </c>
      <c r="T16" t="e">
        <f>_xlfn.XLOOKUP(A16,Master!#REF!,Master!G:G)</f>
        <v>#REF!</v>
      </c>
      <c r="W16">
        <v>14</v>
      </c>
      <c r="AA16">
        <v>1</v>
      </c>
      <c r="AB16">
        <v>8</v>
      </c>
      <c r="AC16" t="s">
        <v>1147</v>
      </c>
      <c r="AD16" s="12">
        <v>0</v>
      </c>
      <c r="AE16" s="12">
        <v>1</v>
      </c>
      <c r="AI16" t="s">
        <v>452</v>
      </c>
      <c r="AJ16">
        <v>69</v>
      </c>
      <c r="AN16" s="12">
        <v>0</v>
      </c>
      <c r="AO16" s="12">
        <v>2</v>
      </c>
      <c r="AP16" s="12">
        <f t="shared" si="0"/>
        <v>2</v>
      </c>
    </row>
    <row r="17" spans="1:42" ht="16.25" customHeight="1" x14ac:dyDescent="0.2">
      <c r="A17" s="32" t="s">
        <v>1147</v>
      </c>
      <c r="B17" s="32" t="s">
        <v>85</v>
      </c>
      <c r="C17" s="33" t="s">
        <v>1148</v>
      </c>
      <c r="D17" s="33" t="s">
        <v>1149</v>
      </c>
      <c r="E17" s="32" t="s">
        <v>26</v>
      </c>
      <c r="F17" s="32"/>
      <c r="G17" s="32" t="s">
        <v>24</v>
      </c>
      <c r="H17" s="32"/>
      <c r="I17" s="30" t="s">
        <v>1229</v>
      </c>
      <c r="J17" s="30" t="s">
        <v>1230</v>
      </c>
      <c r="K17" s="30" t="s">
        <v>1233</v>
      </c>
      <c r="L17" s="30" t="s">
        <v>1232</v>
      </c>
      <c r="M17" s="15" t="s">
        <v>26</v>
      </c>
      <c r="N17" s="15">
        <v>0</v>
      </c>
      <c r="O17" s="15">
        <v>0</v>
      </c>
      <c r="P17" s="15">
        <v>0</v>
      </c>
      <c r="Q17" s="15">
        <v>1</v>
      </c>
      <c r="R17" s="31">
        <v>1</v>
      </c>
      <c r="S17" s="31">
        <v>8</v>
      </c>
      <c r="T17" t="e">
        <f>_xlfn.XLOOKUP(A17,Master!#REF!,Master!G:G)</f>
        <v>#REF!</v>
      </c>
      <c r="W17">
        <v>15</v>
      </c>
      <c r="AA17">
        <v>1</v>
      </c>
      <c r="AB17">
        <v>8</v>
      </c>
      <c r="AC17" t="s">
        <v>1155</v>
      </c>
      <c r="AD17" s="12">
        <v>0</v>
      </c>
      <c r="AE17" s="12">
        <v>1</v>
      </c>
      <c r="AI17" t="s">
        <v>452</v>
      </c>
      <c r="AJ17">
        <v>82</v>
      </c>
      <c r="AN17" s="12">
        <v>0</v>
      </c>
      <c r="AO17" s="12">
        <v>2</v>
      </c>
      <c r="AP17" s="12">
        <f t="shared" si="0"/>
        <v>2</v>
      </c>
    </row>
    <row r="18" spans="1:42" ht="16.25" customHeight="1" x14ac:dyDescent="0.2">
      <c r="A18" s="10" t="s">
        <v>1135</v>
      </c>
      <c r="B18" s="10" t="s">
        <v>85</v>
      </c>
      <c r="C18" s="29" t="s">
        <v>1136</v>
      </c>
      <c r="D18" s="29" t="s">
        <v>1137</v>
      </c>
      <c r="E18" s="10" t="s">
        <v>26</v>
      </c>
      <c r="F18" s="10"/>
      <c r="G18" s="10" t="s">
        <v>24</v>
      </c>
      <c r="H18" s="10"/>
      <c r="I18" s="30" t="s">
        <v>1229</v>
      </c>
      <c r="J18" s="30" t="s">
        <v>1230</v>
      </c>
      <c r="K18" s="30" t="s">
        <v>1233</v>
      </c>
      <c r="L18" s="30" t="s">
        <v>1232</v>
      </c>
      <c r="M18" s="18" t="s">
        <v>26</v>
      </c>
      <c r="N18" s="18">
        <v>0</v>
      </c>
      <c r="O18" s="18">
        <v>0</v>
      </c>
      <c r="P18" s="18">
        <v>0</v>
      </c>
      <c r="Q18" s="18">
        <v>1</v>
      </c>
      <c r="R18" s="31">
        <v>1</v>
      </c>
      <c r="S18" s="31">
        <v>9</v>
      </c>
      <c r="T18" t="e">
        <f>_xlfn.XLOOKUP(A18,Master!#REF!,Master!G:G)</f>
        <v>#REF!</v>
      </c>
      <c r="W18">
        <v>16</v>
      </c>
      <c r="AA18">
        <v>1</v>
      </c>
      <c r="AB18">
        <v>9</v>
      </c>
      <c r="AC18" t="s">
        <v>1135</v>
      </c>
      <c r="AD18" s="12">
        <v>0</v>
      </c>
      <c r="AE18" s="12">
        <v>1</v>
      </c>
      <c r="AI18" t="s">
        <v>452</v>
      </c>
      <c r="AJ18">
        <v>83</v>
      </c>
      <c r="AN18" s="12">
        <v>0</v>
      </c>
      <c r="AO18" s="12">
        <v>2</v>
      </c>
      <c r="AP18" s="12">
        <f t="shared" si="0"/>
        <v>2</v>
      </c>
    </row>
    <row r="19" spans="1:42" ht="16.25" customHeight="1" x14ac:dyDescent="0.2">
      <c r="A19" s="10" t="s">
        <v>1139</v>
      </c>
      <c r="B19" s="10" t="s">
        <v>85</v>
      </c>
      <c r="C19" s="29" t="s">
        <v>1140</v>
      </c>
      <c r="D19" s="29" t="s">
        <v>1141</v>
      </c>
      <c r="E19" s="10" t="s">
        <v>26</v>
      </c>
      <c r="F19" s="10"/>
      <c r="G19" s="10" t="s">
        <v>24</v>
      </c>
      <c r="H19" s="10"/>
      <c r="I19" s="30" t="s">
        <v>1229</v>
      </c>
      <c r="J19" s="30" t="s">
        <v>1230</v>
      </c>
      <c r="K19" s="30" t="s">
        <v>1233</v>
      </c>
      <c r="L19" s="30" t="s">
        <v>1232</v>
      </c>
      <c r="M19" s="18" t="s">
        <v>26</v>
      </c>
      <c r="N19" s="18">
        <v>0</v>
      </c>
      <c r="O19" s="18">
        <v>0</v>
      </c>
      <c r="P19" s="18">
        <v>0</v>
      </c>
      <c r="Q19" s="18">
        <v>1</v>
      </c>
      <c r="R19" s="31">
        <v>1</v>
      </c>
      <c r="S19" s="31">
        <v>9</v>
      </c>
      <c r="T19" t="e">
        <f>_xlfn.XLOOKUP(A19,Master!#REF!,Master!G:G)</f>
        <v>#REF!</v>
      </c>
      <c r="W19">
        <v>17</v>
      </c>
      <c r="AA19">
        <v>1</v>
      </c>
      <c r="AB19">
        <v>9</v>
      </c>
      <c r="AC19" t="s">
        <v>1139</v>
      </c>
      <c r="AD19" s="12">
        <v>0</v>
      </c>
      <c r="AE19" s="12">
        <v>1</v>
      </c>
      <c r="AI19" t="s">
        <v>452</v>
      </c>
      <c r="AJ19">
        <v>84</v>
      </c>
      <c r="AN19" s="12">
        <v>0</v>
      </c>
      <c r="AO19" s="12">
        <v>2</v>
      </c>
      <c r="AP19" s="12">
        <f t="shared" si="0"/>
        <v>2</v>
      </c>
    </row>
    <row r="20" spans="1:42" ht="16.25" customHeight="1" x14ac:dyDescent="0.2">
      <c r="A20" s="32" t="s">
        <v>1127</v>
      </c>
      <c r="B20" s="32" t="s">
        <v>85</v>
      </c>
      <c r="C20" s="33" t="s">
        <v>1128</v>
      </c>
      <c r="D20" s="33" t="s">
        <v>1129</v>
      </c>
      <c r="E20" s="32" t="s">
        <v>26</v>
      </c>
      <c r="F20" s="32"/>
      <c r="G20" s="32" t="s">
        <v>24</v>
      </c>
      <c r="H20" s="32"/>
      <c r="I20" s="30" t="s">
        <v>1229</v>
      </c>
      <c r="J20" s="30" t="s">
        <v>1230</v>
      </c>
      <c r="K20" s="30" t="s">
        <v>1233</v>
      </c>
      <c r="L20" s="30" t="s">
        <v>1232</v>
      </c>
      <c r="M20" s="15" t="s">
        <v>26</v>
      </c>
      <c r="N20" s="15">
        <v>0</v>
      </c>
      <c r="O20" s="15">
        <v>0</v>
      </c>
      <c r="P20" s="15">
        <v>0</v>
      </c>
      <c r="Q20" s="15">
        <v>1</v>
      </c>
      <c r="R20" s="31">
        <v>1</v>
      </c>
      <c r="S20" s="31">
        <v>10</v>
      </c>
      <c r="T20" t="e">
        <f>_xlfn.XLOOKUP(A20,Master!#REF!,Master!G:G)</f>
        <v>#REF!</v>
      </c>
      <c r="W20">
        <v>18</v>
      </c>
      <c r="AA20">
        <v>1</v>
      </c>
      <c r="AB20">
        <v>10</v>
      </c>
      <c r="AC20" t="s">
        <v>1127</v>
      </c>
      <c r="AD20" s="12">
        <v>0</v>
      </c>
      <c r="AE20" s="12">
        <v>1</v>
      </c>
      <c r="AI20" t="s">
        <v>452</v>
      </c>
      <c r="AJ20">
        <v>85</v>
      </c>
      <c r="AN20" s="12">
        <v>0</v>
      </c>
      <c r="AO20" s="12">
        <v>2</v>
      </c>
      <c r="AP20" s="12">
        <f t="shared" si="0"/>
        <v>2</v>
      </c>
    </row>
    <row r="21" spans="1:42" ht="16.25" customHeight="1" x14ac:dyDescent="0.2">
      <c r="A21" s="10" t="s">
        <v>1131</v>
      </c>
      <c r="B21" s="10" t="s">
        <v>85</v>
      </c>
      <c r="C21" s="29" t="s">
        <v>1132</v>
      </c>
      <c r="D21" s="29" t="s">
        <v>1133</v>
      </c>
      <c r="E21" s="10" t="s">
        <v>26</v>
      </c>
      <c r="F21" s="10"/>
      <c r="G21" s="10" t="s">
        <v>24</v>
      </c>
      <c r="H21" s="10"/>
      <c r="I21" s="30" t="s">
        <v>1229</v>
      </c>
      <c r="J21" s="30" t="s">
        <v>1230</v>
      </c>
      <c r="K21" s="30" t="s">
        <v>1233</v>
      </c>
      <c r="L21" s="30" t="s">
        <v>1232</v>
      </c>
      <c r="M21" s="18" t="s">
        <v>26</v>
      </c>
      <c r="N21" s="18">
        <v>0</v>
      </c>
      <c r="O21" s="18">
        <v>0</v>
      </c>
      <c r="P21" s="18">
        <v>0</v>
      </c>
      <c r="Q21" s="18">
        <v>1</v>
      </c>
      <c r="R21" s="31">
        <v>1</v>
      </c>
      <c r="S21" s="31">
        <v>10</v>
      </c>
      <c r="T21" t="e">
        <f>_xlfn.XLOOKUP(A21,Master!#REF!,Master!G:G)</f>
        <v>#REF!</v>
      </c>
      <c r="W21">
        <v>19</v>
      </c>
      <c r="AA21">
        <v>1</v>
      </c>
      <c r="AB21">
        <v>10</v>
      </c>
      <c r="AC21" t="s">
        <v>1131</v>
      </c>
      <c r="AD21" s="12">
        <v>0</v>
      </c>
      <c r="AE21" s="12">
        <v>1</v>
      </c>
      <c r="AI21" t="s">
        <v>452</v>
      </c>
      <c r="AJ21">
        <v>86</v>
      </c>
      <c r="AN21" s="12">
        <v>0</v>
      </c>
      <c r="AO21" s="12">
        <v>2</v>
      </c>
      <c r="AP21" s="12">
        <f t="shared" si="0"/>
        <v>2</v>
      </c>
    </row>
    <row r="22" spans="1:42" ht="16.25" customHeight="1" x14ac:dyDescent="0.2">
      <c r="A22" s="10" t="s">
        <v>1123</v>
      </c>
      <c r="B22" s="10" t="s">
        <v>85</v>
      </c>
      <c r="C22" s="29" t="s">
        <v>1124</v>
      </c>
      <c r="D22" s="29" t="s">
        <v>1125</v>
      </c>
      <c r="E22" s="10" t="s">
        <v>26</v>
      </c>
      <c r="F22" s="10"/>
      <c r="G22" s="10" t="s">
        <v>24</v>
      </c>
      <c r="H22" s="10"/>
      <c r="I22" s="30" t="s">
        <v>1229</v>
      </c>
      <c r="J22" s="30" t="s">
        <v>1230</v>
      </c>
      <c r="K22" s="30" t="s">
        <v>1233</v>
      </c>
      <c r="L22" s="30" t="s">
        <v>1232</v>
      </c>
      <c r="M22" s="18" t="s">
        <v>26</v>
      </c>
      <c r="N22" s="18">
        <v>0</v>
      </c>
      <c r="O22" s="18">
        <v>0</v>
      </c>
      <c r="P22" s="18">
        <v>0</v>
      </c>
      <c r="Q22" s="18">
        <v>1</v>
      </c>
      <c r="R22" s="31">
        <v>1</v>
      </c>
      <c r="S22" s="31">
        <v>11</v>
      </c>
      <c r="T22" t="e">
        <f>_xlfn.XLOOKUP(A22,Master!#REF!,Master!G:G)</f>
        <v>#REF!</v>
      </c>
      <c r="W22">
        <v>20</v>
      </c>
      <c r="AA22">
        <v>1</v>
      </c>
      <c r="AB22">
        <v>11</v>
      </c>
      <c r="AC22" t="s">
        <v>1119</v>
      </c>
      <c r="AD22" s="12">
        <v>0</v>
      </c>
      <c r="AE22" s="12">
        <v>1</v>
      </c>
      <c r="AI22" t="s">
        <v>452</v>
      </c>
      <c r="AJ22">
        <v>87</v>
      </c>
      <c r="AN22" s="12">
        <v>0</v>
      </c>
      <c r="AO22" s="12">
        <v>2</v>
      </c>
      <c r="AP22" s="12">
        <f t="shared" si="0"/>
        <v>2</v>
      </c>
    </row>
    <row r="23" spans="1:42" ht="16.25" customHeight="1" x14ac:dyDescent="0.2">
      <c r="A23" s="10" t="s">
        <v>1119</v>
      </c>
      <c r="B23" s="10" t="s">
        <v>85</v>
      </c>
      <c r="C23" s="29" t="s">
        <v>1120</v>
      </c>
      <c r="D23" s="29" t="s">
        <v>1121</v>
      </c>
      <c r="E23" s="10" t="s">
        <v>26</v>
      </c>
      <c r="F23" s="10"/>
      <c r="G23" s="10" t="s">
        <v>24</v>
      </c>
      <c r="H23" s="10"/>
      <c r="I23" s="30" t="s">
        <v>1229</v>
      </c>
      <c r="J23" s="30" t="s">
        <v>1230</v>
      </c>
      <c r="K23" s="30" t="s">
        <v>1233</v>
      </c>
      <c r="L23" s="30" t="s">
        <v>1232</v>
      </c>
      <c r="M23" s="18" t="s">
        <v>26</v>
      </c>
      <c r="N23" s="18">
        <v>0</v>
      </c>
      <c r="O23" s="18">
        <v>0</v>
      </c>
      <c r="P23" s="18">
        <v>0</v>
      </c>
      <c r="Q23" s="18">
        <v>1</v>
      </c>
      <c r="R23" s="31">
        <v>1</v>
      </c>
      <c r="S23" s="31">
        <v>11</v>
      </c>
      <c r="T23" t="e">
        <f>_xlfn.XLOOKUP(A23,Master!#REF!,Master!G:G)</f>
        <v>#REF!</v>
      </c>
      <c r="W23">
        <v>21</v>
      </c>
      <c r="AA23">
        <v>1</v>
      </c>
      <c r="AB23">
        <v>11</v>
      </c>
      <c r="AC23" t="s">
        <v>1123</v>
      </c>
      <c r="AD23" s="12">
        <v>0</v>
      </c>
      <c r="AE23" s="12">
        <v>1</v>
      </c>
      <c r="AI23" t="s">
        <v>452</v>
      </c>
      <c r="AJ23">
        <v>88</v>
      </c>
      <c r="AN23" s="12">
        <v>0</v>
      </c>
      <c r="AO23" s="12">
        <v>2</v>
      </c>
      <c r="AP23" s="12">
        <f t="shared" si="0"/>
        <v>2</v>
      </c>
    </row>
    <row r="24" spans="1:42" ht="16.25" customHeight="1" x14ac:dyDescent="0.2">
      <c r="A24" s="32" t="s">
        <v>1111</v>
      </c>
      <c r="B24" s="32" t="s">
        <v>85</v>
      </c>
      <c r="C24" s="33" t="s">
        <v>1112</v>
      </c>
      <c r="D24" s="33" t="s">
        <v>1113</v>
      </c>
      <c r="E24" s="32" t="s">
        <v>26</v>
      </c>
      <c r="F24" s="32"/>
      <c r="G24" s="32" t="s">
        <v>24</v>
      </c>
      <c r="H24" s="32"/>
      <c r="I24" s="30" t="s">
        <v>1229</v>
      </c>
      <c r="J24" s="30" t="s">
        <v>1230</v>
      </c>
      <c r="K24" s="30" t="s">
        <v>1233</v>
      </c>
      <c r="L24" s="30" t="s">
        <v>1232</v>
      </c>
      <c r="M24" s="15" t="s">
        <v>26</v>
      </c>
      <c r="N24" s="15">
        <v>0</v>
      </c>
      <c r="O24" s="15">
        <v>0</v>
      </c>
      <c r="P24" s="15">
        <v>0</v>
      </c>
      <c r="Q24" s="15">
        <v>1</v>
      </c>
      <c r="R24" s="31">
        <v>1</v>
      </c>
      <c r="S24" s="31">
        <v>12</v>
      </c>
      <c r="T24" t="e">
        <f>_xlfn.XLOOKUP(A24,Master!#REF!,Master!G:G)</f>
        <v>#REF!</v>
      </c>
      <c r="W24">
        <v>22</v>
      </c>
      <c r="AA24">
        <v>1</v>
      </c>
      <c r="AB24">
        <v>12</v>
      </c>
      <c r="AC24" t="s">
        <v>1111</v>
      </c>
      <c r="AD24" s="12">
        <v>0</v>
      </c>
      <c r="AE24" s="12">
        <v>1</v>
      </c>
      <c r="AI24" t="s">
        <v>452</v>
      </c>
      <c r="AJ24">
        <v>89</v>
      </c>
      <c r="AN24" s="12">
        <v>0</v>
      </c>
      <c r="AO24" s="12">
        <v>2</v>
      </c>
      <c r="AP24" s="12">
        <f t="shared" si="0"/>
        <v>2</v>
      </c>
    </row>
    <row r="25" spans="1:42" ht="16.25" customHeight="1" x14ac:dyDescent="0.2">
      <c r="A25" s="10" t="s">
        <v>1115</v>
      </c>
      <c r="B25" s="10" t="s">
        <v>85</v>
      </c>
      <c r="C25" s="29" t="s">
        <v>1116</v>
      </c>
      <c r="D25" s="29" t="s">
        <v>1117</v>
      </c>
      <c r="E25" s="10" t="s">
        <v>26</v>
      </c>
      <c r="F25" s="42"/>
      <c r="G25" s="10" t="s">
        <v>24</v>
      </c>
      <c r="H25" s="10"/>
      <c r="I25" s="30" t="s">
        <v>1229</v>
      </c>
      <c r="J25" s="30" t="s">
        <v>1230</v>
      </c>
      <c r="K25" s="30" t="s">
        <v>1233</v>
      </c>
      <c r="L25" s="30" t="s">
        <v>1232</v>
      </c>
      <c r="M25" s="18" t="s">
        <v>26</v>
      </c>
      <c r="N25" s="18">
        <v>0</v>
      </c>
      <c r="O25" s="18">
        <v>0</v>
      </c>
      <c r="P25" s="18">
        <v>0</v>
      </c>
      <c r="Q25" s="18">
        <v>1</v>
      </c>
      <c r="R25" s="31">
        <v>1</v>
      </c>
      <c r="S25" s="31">
        <v>12</v>
      </c>
      <c r="T25" t="e">
        <f>_xlfn.XLOOKUP(A25,Master!#REF!,Master!G:G)</f>
        <v>#REF!</v>
      </c>
      <c r="W25">
        <v>23</v>
      </c>
      <c r="AA25">
        <v>1</v>
      </c>
      <c r="AB25">
        <v>12</v>
      </c>
      <c r="AC25" t="s">
        <v>1115</v>
      </c>
      <c r="AD25" s="12">
        <v>0</v>
      </c>
      <c r="AE25" s="12">
        <v>1</v>
      </c>
      <c r="AI25" t="s">
        <v>452</v>
      </c>
      <c r="AJ25">
        <v>94</v>
      </c>
      <c r="AN25" s="12">
        <v>0</v>
      </c>
      <c r="AO25" s="12">
        <v>2</v>
      </c>
      <c r="AP25" s="12">
        <f t="shared" si="0"/>
        <v>2</v>
      </c>
    </row>
    <row r="26" spans="1:42" ht="16.25" customHeight="1" x14ac:dyDescent="0.2">
      <c r="A26" s="10" t="s">
        <v>1107</v>
      </c>
      <c r="B26" s="10" t="s">
        <v>85</v>
      </c>
      <c r="C26" s="29" t="s">
        <v>1108</v>
      </c>
      <c r="D26" s="29" t="s">
        <v>1109</v>
      </c>
      <c r="E26" s="10" t="s">
        <v>26</v>
      </c>
      <c r="F26" s="10"/>
      <c r="G26" s="10" t="s">
        <v>24</v>
      </c>
      <c r="H26" s="10"/>
      <c r="I26" s="30" t="s">
        <v>1229</v>
      </c>
      <c r="J26" s="30" t="s">
        <v>1230</v>
      </c>
      <c r="K26" s="30" t="s">
        <v>1233</v>
      </c>
      <c r="L26" s="30" t="s">
        <v>1232</v>
      </c>
      <c r="M26" s="18" t="s">
        <v>26</v>
      </c>
      <c r="N26" s="18">
        <v>0</v>
      </c>
      <c r="O26" s="18">
        <v>0</v>
      </c>
      <c r="P26" s="18">
        <v>0</v>
      </c>
      <c r="Q26" s="18">
        <v>1</v>
      </c>
      <c r="R26" s="31">
        <v>1</v>
      </c>
      <c r="S26" s="31">
        <v>13</v>
      </c>
      <c r="T26" t="e">
        <f>_xlfn.XLOOKUP(A26,Master!#REF!,Master!G:G)</f>
        <v>#REF!</v>
      </c>
      <c r="W26">
        <v>24</v>
      </c>
      <c r="AA26">
        <v>1</v>
      </c>
      <c r="AB26">
        <v>13</v>
      </c>
      <c r="AC26" t="s">
        <v>1107</v>
      </c>
      <c r="AD26" s="12">
        <v>0</v>
      </c>
      <c r="AE26" s="12">
        <v>1</v>
      </c>
      <c r="AI26" t="s">
        <v>452</v>
      </c>
      <c r="AJ26">
        <v>95</v>
      </c>
      <c r="AN26" s="12">
        <v>0</v>
      </c>
      <c r="AO26" s="12">
        <v>2</v>
      </c>
      <c r="AP26" s="12">
        <f t="shared" si="0"/>
        <v>2</v>
      </c>
    </row>
    <row r="27" spans="1:42" ht="16.25" customHeight="1" x14ac:dyDescent="0.2">
      <c r="A27" s="18" t="s">
        <v>1103</v>
      </c>
      <c r="B27" s="18" t="s">
        <v>85</v>
      </c>
      <c r="C27" s="41" t="s">
        <v>1104</v>
      </c>
      <c r="D27" s="41" t="s">
        <v>1105</v>
      </c>
      <c r="E27" s="18" t="s">
        <v>26</v>
      </c>
      <c r="F27" s="18"/>
      <c r="G27" s="18" t="s">
        <v>24</v>
      </c>
      <c r="H27" s="18"/>
      <c r="I27" s="30" t="s">
        <v>1229</v>
      </c>
      <c r="J27" s="30" t="s">
        <v>1230</v>
      </c>
      <c r="K27" s="30" t="s">
        <v>1233</v>
      </c>
      <c r="L27" s="30" t="s">
        <v>1232</v>
      </c>
      <c r="M27" s="18" t="s">
        <v>26</v>
      </c>
      <c r="N27" s="18">
        <v>0</v>
      </c>
      <c r="O27" s="18">
        <v>0</v>
      </c>
      <c r="P27" s="18">
        <v>0</v>
      </c>
      <c r="Q27" s="18">
        <v>1</v>
      </c>
      <c r="R27" s="31">
        <v>1</v>
      </c>
      <c r="S27" s="31">
        <v>13</v>
      </c>
      <c r="T27" t="e">
        <f>_xlfn.XLOOKUP(A27,Master!#REF!,Master!G:G)</f>
        <v>#REF!</v>
      </c>
      <c r="W27">
        <v>25</v>
      </c>
      <c r="AA27">
        <v>1</v>
      </c>
      <c r="AB27">
        <v>13</v>
      </c>
      <c r="AC27" t="s">
        <v>1103</v>
      </c>
      <c r="AD27" s="12">
        <v>0</v>
      </c>
      <c r="AE27" s="12">
        <v>1</v>
      </c>
      <c r="AI27" t="s">
        <v>452</v>
      </c>
      <c r="AJ27">
        <v>96</v>
      </c>
      <c r="AN27" s="12">
        <v>0</v>
      </c>
      <c r="AO27" s="12">
        <v>2</v>
      </c>
      <c r="AP27" s="12">
        <f t="shared" si="0"/>
        <v>2</v>
      </c>
    </row>
    <row r="28" spans="1:42" ht="16.25" customHeight="1" x14ac:dyDescent="0.2">
      <c r="A28" s="32" t="s">
        <v>1095</v>
      </c>
      <c r="B28" s="32" t="s">
        <v>85</v>
      </c>
      <c r="C28" s="33" t="s">
        <v>1096</v>
      </c>
      <c r="D28" s="33" t="s">
        <v>1097</v>
      </c>
      <c r="E28" s="32" t="s">
        <v>26</v>
      </c>
      <c r="F28" s="32"/>
      <c r="G28" s="32" t="s">
        <v>24</v>
      </c>
      <c r="H28" s="32"/>
      <c r="I28" s="30" t="s">
        <v>1229</v>
      </c>
      <c r="J28" s="30" t="s">
        <v>1230</v>
      </c>
      <c r="K28" s="30" t="s">
        <v>1233</v>
      </c>
      <c r="L28" s="30" t="s">
        <v>1232</v>
      </c>
      <c r="M28" s="15" t="s">
        <v>26</v>
      </c>
      <c r="N28" s="15">
        <v>0</v>
      </c>
      <c r="O28" s="15">
        <v>0</v>
      </c>
      <c r="P28" s="15">
        <v>0</v>
      </c>
      <c r="Q28" s="15">
        <v>1</v>
      </c>
      <c r="R28" s="31">
        <v>1</v>
      </c>
      <c r="S28" s="31">
        <v>14</v>
      </c>
      <c r="T28" t="e">
        <f>_xlfn.XLOOKUP(A28,Master!#REF!,Master!G:G)</f>
        <v>#REF!</v>
      </c>
      <c r="W28">
        <v>26</v>
      </c>
      <c r="AA28">
        <v>1</v>
      </c>
      <c r="AB28">
        <v>14</v>
      </c>
      <c r="AC28" t="s">
        <v>1099</v>
      </c>
      <c r="AD28" s="12">
        <v>0</v>
      </c>
      <c r="AE28" s="12">
        <v>1</v>
      </c>
      <c r="AI28" t="s">
        <v>452</v>
      </c>
      <c r="AJ28">
        <v>97</v>
      </c>
      <c r="AN28" s="12">
        <v>0</v>
      </c>
      <c r="AO28" s="12">
        <v>2</v>
      </c>
      <c r="AP28" s="12">
        <f t="shared" si="0"/>
        <v>2</v>
      </c>
    </row>
    <row r="29" spans="1:42" ht="16.25" customHeight="1" x14ac:dyDescent="0.2">
      <c r="A29" s="32" t="s">
        <v>1099</v>
      </c>
      <c r="B29" s="32" t="s">
        <v>85</v>
      </c>
      <c r="C29" s="33" t="s">
        <v>1100</v>
      </c>
      <c r="D29" s="33" t="s">
        <v>1101</v>
      </c>
      <c r="E29" s="32" t="s">
        <v>26</v>
      </c>
      <c r="F29" s="32"/>
      <c r="G29" s="32" t="s">
        <v>24</v>
      </c>
      <c r="H29" s="32"/>
      <c r="I29" s="30" t="s">
        <v>1229</v>
      </c>
      <c r="J29" s="30" t="s">
        <v>1230</v>
      </c>
      <c r="K29" s="30" t="s">
        <v>1233</v>
      </c>
      <c r="L29" s="30" t="s">
        <v>1232</v>
      </c>
      <c r="M29" s="15" t="s">
        <v>26</v>
      </c>
      <c r="N29" s="15">
        <v>0</v>
      </c>
      <c r="O29" s="15">
        <v>0</v>
      </c>
      <c r="P29" s="15">
        <v>0</v>
      </c>
      <c r="Q29" s="15">
        <v>1</v>
      </c>
      <c r="R29" s="31">
        <v>1</v>
      </c>
      <c r="S29" s="31">
        <v>14</v>
      </c>
      <c r="T29" t="e">
        <f>_xlfn.XLOOKUP(A29,Master!#REF!,Master!G:G)</f>
        <v>#REF!</v>
      </c>
      <c r="W29">
        <v>27</v>
      </c>
      <c r="AA29">
        <v>1</v>
      </c>
      <c r="AB29">
        <v>14</v>
      </c>
      <c r="AC29" t="s">
        <v>1095</v>
      </c>
      <c r="AD29" s="12">
        <v>0</v>
      </c>
      <c r="AE29" s="12">
        <v>1</v>
      </c>
      <c r="AI29" t="s">
        <v>452</v>
      </c>
      <c r="AJ29">
        <v>98</v>
      </c>
      <c r="AN29" s="12">
        <v>0</v>
      </c>
      <c r="AO29" s="12">
        <v>2</v>
      </c>
      <c r="AP29" s="12">
        <f t="shared" si="0"/>
        <v>2</v>
      </c>
    </row>
    <row r="30" spans="1:42" ht="16.25" customHeight="1" x14ac:dyDescent="0.2">
      <c r="A30" s="32" t="s">
        <v>1086</v>
      </c>
      <c r="B30" s="32" t="s">
        <v>85</v>
      </c>
      <c r="C30" s="33" t="s">
        <v>1087</v>
      </c>
      <c r="D30" s="33" t="s">
        <v>1088</v>
      </c>
      <c r="E30" s="32" t="s">
        <v>26</v>
      </c>
      <c r="F30" s="32"/>
      <c r="G30" s="32" t="s">
        <v>24</v>
      </c>
      <c r="H30" s="32"/>
      <c r="I30" s="30" t="s">
        <v>1229</v>
      </c>
      <c r="J30" s="30" t="s">
        <v>1230</v>
      </c>
      <c r="K30" s="30" t="s">
        <v>1233</v>
      </c>
      <c r="L30" s="30" t="s">
        <v>1232</v>
      </c>
      <c r="M30" s="15" t="s">
        <v>26</v>
      </c>
      <c r="N30" s="15">
        <v>0</v>
      </c>
      <c r="O30" s="15">
        <v>0</v>
      </c>
      <c r="P30" s="15">
        <v>0</v>
      </c>
      <c r="Q30" s="15">
        <v>1</v>
      </c>
      <c r="R30" s="31">
        <v>1</v>
      </c>
      <c r="S30" s="31">
        <v>15</v>
      </c>
      <c r="T30" t="e">
        <f>_xlfn.XLOOKUP(A30,Master!#REF!,Master!G:G)</f>
        <v>#REF!</v>
      </c>
      <c r="W30">
        <v>28</v>
      </c>
      <c r="AA30">
        <v>1</v>
      </c>
      <c r="AB30">
        <v>15</v>
      </c>
      <c r="AC30" t="s">
        <v>1090</v>
      </c>
      <c r="AD30" s="12">
        <v>0</v>
      </c>
      <c r="AE30" s="12">
        <v>1</v>
      </c>
      <c r="AI30" t="s">
        <v>452</v>
      </c>
      <c r="AJ30">
        <v>99</v>
      </c>
      <c r="AN30" s="12">
        <v>0</v>
      </c>
      <c r="AO30" s="12">
        <v>2</v>
      </c>
      <c r="AP30" s="12">
        <f t="shared" si="0"/>
        <v>2</v>
      </c>
    </row>
    <row r="31" spans="1:42" ht="16.25" customHeight="1" x14ac:dyDescent="0.2">
      <c r="A31" s="10" t="s">
        <v>1090</v>
      </c>
      <c r="B31" s="10" t="s">
        <v>85</v>
      </c>
      <c r="C31" s="29" t="s">
        <v>1091</v>
      </c>
      <c r="D31" s="29" t="s">
        <v>1092</v>
      </c>
      <c r="E31" s="10" t="s">
        <v>26</v>
      </c>
      <c r="F31" s="42"/>
      <c r="G31" s="10" t="s">
        <v>24</v>
      </c>
      <c r="H31" s="10" t="s">
        <v>1093</v>
      </c>
      <c r="I31" s="30" t="s">
        <v>1229</v>
      </c>
      <c r="J31" s="30" t="s">
        <v>1230</v>
      </c>
      <c r="K31" s="30" t="s">
        <v>516</v>
      </c>
      <c r="L31" s="30" t="s">
        <v>1232</v>
      </c>
      <c r="M31" s="18" t="s">
        <v>26</v>
      </c>
      <c r="N31" s="18">
        <v>0</v>
      </c>
      <c r="O31" s="18">
        <v>0</v>
      </c>
      <c r="P31" s="18">
        <v>0</v>
      </c>
      <c r="Q31" s="18">
        <v>1</v>
      </c>
      <c r="R31" s="31">
        <v>1</v>
      </c>
      <c r="S31" s="31">
        <v>15</v>
      </c>
      <c r="T31" t="e">
        <f>_xlfn.XLOOKUP(A31,Master!#REF!,Master!G:G)</f>
        <v>#REF!</v>
      </c>
      <c r="W31">
        <v>29</v>
      </c>
      <c r="AA31">
        <v>1</v>
      </c>
      <c r="AB31">
        <v>15</v>
      </c>
      <c r="AC31" t="s">
        <v>1086</v>
      </c>
      <c r="AD31" s="12">
        <v>0</v>
      </c>
      <c r="AE31" s="12">
        <v>1</v>
      </c>
      <c r="AI31" t="s">
        <v>452</v>
      </c>
      <c r="AJ31">
        <v>100</v>
      </c>
      <c r="AN31" s="12">
        <v>0</v>
      </c>
      <c r="AO31" s="12">
        <v>2</v>
      </c>
      <c r="AP31" s="12">
        <f t="shared" si="0"/>
        <v>2</v>
      </c>
    </row>
    <row r="32" spans="1:42" ht="16.25" customHeight="1" x14ac:dyDescent="0.2">
      <c r="A32" s="10" t="s">
        <v>1078</v>
      </c>
      <c r="B32" s="10" t="s">
        <v>85</v>
      </c>
      <c r="C32" s="29" t="s">
        <v>1079</v>
      </c>
      <c r="D32" s="29" t="s">
        <v>1080</v>
      </c>
      <c r="E32" s="10" t="s">
        <v>26</v>
      </c>
      <c r="F32" s="42"/>
      <c r="G32" s="10" t="s">
        <v>24</v>
      </c>
      <c r="H32" s="10"/>
      <c r="I32" s="30" t="s">
        <v>1229</v>
      </c>
      <c r="J32" s="30" t="s">
        <v>1230</v>
      </c>
      <c r="K32" s="30" t="s">
        <v>516</v>
      </c>
      <c r="L32" s="30" t="s">
        <v>1232</v>
      </c>
      <c r="M32" s="18" t="s">
        <v>26</v>
      </c>
      <c r="N32" s="18">
        <v>0</v>
      </c>
      <c r="O32" s="18">
        <v>0</v>
      </c>
      <c r="P32" s="18">
        <v>0</v>
      </c>
      <c r="Q32" s="18">
        <v>1</v>
      </c>
      <c r="R32" s="31">
        <v>1</v>
      </c>
      <c r="S32" s="31">
        <v>16</v>
      </c>
      <c r="T32" t="e">
        <f>_xlfn.XLOOKUP(A32,Master!#REF!,Master!G:G)</f>
        <v>#REF!</v>
      </c>
      <c r="W32">
        <v>30</v>
      </c>
      <c r="AA32">
        <v>1</v>
      </c>
      <c r="AB32">
        <v>16</v>
      </c>
      <c r="AC32" t="s">
        <v>1078</v>
      </c>
      <c r="AD32" s="12">
        <v>0</v>
      </c>
      <c r="AE32" s="12">
        <v>1</v>
      </c>
      <c r="AI32" t="s">
        <v>452</v>
      </c>
      <c r="AJ32">
        <v>101</v>
      </c>
      <c r="AN32" s="12">
        <v>0</v>
      </c>
      <c r="AO32" s="12">
        <v>2</v>
      </c>
      <c r="AP32" s="12">
        <f t="shared" si="0"/>
        <v>2</v>
      </c>
    </row>
    <row r="33" spans="1:42" ht="16.25" customHeight="1" x14ac:dyDescent="0.2">
      <c r="A33" s="32" t="s">
        <v>1082</v>
      </c>
      <c r="B33" s="32" t="s">
        <v>85</v>
      </c>
      <c r="C33" s="33" t="s">
        <v>1083</v>
      </c>
      <c r="D33" s="33" t="s">
        <v>1084</v>
      </c>
      <c r="E33" s="32" t="s">
        <v>26</v>
      </c>
      <c r="F33" s="39"/>
      <c r="G33" s="32" t="s">
        <v>24</v>
      </c>
      <c r="H33" s="32"/>
      <c r="I33" s="30" t="s">
        <v>1229</v>
      </c>
      <c r="J33" s="30" t="s">
        <v>1230</v>
      </c>
      <c r="K33" s="30" t="s">
        <v>516</v>
      </c>
      <c r="L33" s="30" t="s">
        <v>1232</v>
      </c>
      <c r="M33" s="15" t="s">
        <v>26</v>
      </c>
      <c r="N33" s="15">
        <v>0</v>
      </c>
      <c r="O33" s="15">
        <v>0</v>
      </c>
      <c r="P33" s="15">
        <v>0</v>
      </c>
      <c r="Q33" s="15">
        <v>1</v>
      </c>
      <c r="R33" s="31">
        <v>1</v>
      </c>
      <c r="S33" s="31">
        <v>16</v>
      </c>
      <c r="T33" t="e">
        <f>_xlfn.XLOOKUP(A33,Master!#REF!,Master!G:G)</f>
        <v>#REF!</v>
      </c>
      <c r="W33">
        <v>31</v>
      </c>
      <c r="AA33">
        <v>1</v>
      </c>
      <c r="AB33">
        <v>16</v>
      </c>
      <c r="AC33" t="s">
        <v>1082</v>
      </c>
      <c r="AD33" s="12">
        <v>0</v>
      </c>
      <c r="AE33" s="12">
        <v>1</v>
      </c>
      <c r="AI33" t="s">
        <v>452</v>
      </c>
      <c r="AJ33">
        <v>102</v>
      </c>
      <c r="AN33" s="12">
        <v>0</v>
      </c>
      <c r="AO33" s="12">
        <v>2</v>
      </c>
      <c r="AP33" s="12">
        <f t="shared" si="0"/>
        <v>2</v>
      </c>
    </row>
    <row r="34" spans="1:42" ht="16.25" customHeight="1" x14ac:dyDescent="0.2">
      <c r="A34" s="10" t="s">
        <v>697</v>
      </c>
      <c r="B34" s="10" t="s">
        <v>85</v>
      </c>
      <c r="C34" s="29" t="s">
        <v>698</v>
      </c>
      <c r="D34" s="29" t="s">
        <v>699</v>
      </c>
      <c r="E34" s="10" t="s">
        <v>26</v>
      </c>
      <c r="F34" s="10"/>
      <c r="G34" s="10" t="s">
        <v>24</v>
      </c>
      <c r="H34" s="10"/>
      <c r="I34" s="30" t="s">
        <v>1229</v>
      </c>
      <c r="J34" s="30" t="s">
        <v>1230</v>
      </c>
      <c r="K34" s="30" t="s">
        <v>1235</v>
      </c>
      <c r="L34" s="30" t="s">
        <v>1232</v>
      </c>
      <c r="M34" s="18" t="s">
        <v>26</v>
      </c>
      <c r="N34" s="18">
        <v>0</v>
      </c>
      <c r="O34" s="18">
        <v>0</v>
      </c>
      <c r="P34" s="18">
        <v>0</v>
      </c>
      <c r="Q34" s="18">
        <v>1</v>
      </c>
      <c r="R34" s="17">
        <v>7</v>
      </c>
      <c r="S34" s="17">
        <v>17</v>
      </c>
      <c r="T34" t="e">
        <f>_xlfn.XLOOKUP(A34,Master!#REF!,Master!G:G)</f>
        <v>#REF!</v>
      </c>
      <c r="W34">
        <v>32</v>
      </c>
      <c r="AA34">
        <v>1</v>
      </c>
      <c r="AB34">
        <v>85</v>
      </c>
      <c r="AC34" t="s">
        <v>557</v>
      </c>
      <c r="AD34" s="12">
        <v>0</v>
      </c>
      <c r="AE34" s="12">
        <v>1</v>
      </c>
      <c r="AI34" t="s">
        <v>452</v>
      </c>
      <c r="AJ34">
        <v>103</v>
      </c>
      <c r="AN34" s="12">
        <v>0</v>
      </c>
      <c r="AO34" s="12">
        <v>2</v>
      </c>
      <c r="AP34" s="12">
        <f t="shared" si="0"/>
        <v>2</v>
      </c>
    </row>
    <row r="35" spans="1:42" ht="16.25" customHeight="1" x14ac:dyDescent="0.2">
      <c r="A35" s="10" t="s">
        <v>1070</v>
      </c>
      <c r="B35" s="10" t="s">
        <v>85</v>
      </c>
      <c r="C35" s="29" t="s">
        <v>1071</v>
      </c>
      <c r="D35" s="29" t="s">
        <v>1072</v>
      </c>
      <c r="E35" s="10" t="s">
        <v>26</v>
      </c>
      <c r="F35" s="10"/>
      <c r="G35" s="10" t="s">
        <v>24</v>
      </c>
      <c r="H35" s="10"/>
      <c r="I35" s="30" t="s">
        <v>1229</v>
      </c>
      <c r="J35" s="30" t="s">
        <v>1230</v>
      </c>
      <c r="K35" s="30" t="s">
        <v>1236</v>
      </c>
      <c r="L35" s="30" t="s">
        <v>1232</v>
      </c>
      <c r="M35" s="18" t="s">
        <v>26</v>
      </c>
      <c r="N35" s="18">
        <v>0</v>
      </c>
      <c r="O35" s="18">
        <v>0</v>
      </c>
      <c r="P35" s="18">
        <v>0</v>
      </c>
      <c r="Q35" s="18">
        <v>1</v>
      </c>
      <c r="R35" s="17">
        <v>2</v>
      </c>
      <c r="S35" s="17">
        <v>17</v>
      </c>
      <c r="T35" t="e">
        <f>_xlfn.XLOOKUP(A35,Master!#REF!,Master!G:G)</f>
        <v>#REF!</v>
      </c>
      <c r="W35">
        <v>33</v>
      </c>
      <c r="AA35">
        <v>1</v>
      </c>
      <c r="AB35">
        <v>85</v>
      </c>
      <c r="AC35" t="s">
        <v>532</v>
      </c>
      <c r="AD35" s="12">
        <v>0</v>
      </c>
      <c r="AE35" s="12">
        <v>1</v>
      </c>
      <c r="AI35" t="s">
        <v>452</v>
      </c>
      <c r="AJ35">
        <v>104</v>
      </c>
      <c r="AN35" s="12">
        <v>0</v>
      </c>
      <c r="AO35" s="12">
        <v>2</v>
      </c>
      <c r="AP35" s="12">
        <f t="shared" si="0"/>
        <v>2</v>
      </c>
    </row>
    <row r="36" spans="1:42" ht="16.25" customHeight="1" x14ac:dyDescent="0.2">
      <c r="A36" s="32" t="s">
        <v>689</v>
      </c>
      <c r="B36" s="32" t="s">
        <v>85</v>
      </c>
      <c r="C36" s="33" t="s">
        <v>690</v>
      </c>
      <c r="D36" s="33" t="s">
        <v>691</v>
      </c>
      <c r="E36" s="32" t="s">
        <v>26</v>
      </c>
      <c r="F36" s="32"/>
      <c r="G36" s="32" t="s">
        <v>24</v>
      </c>
      <c r="H36" s="32"/>
      <c r="I36" s="30" t="s">
        <v>1229</v>
      </c>
      <c r="J36" s="30" t="s">
        <v>1230</v>
      </c>
      <c r="K36" s="30" t="s">
        <v>1235</v>
      </c>
      <c r="L36" s="30" t="s">
        <v>1232</v>
      </c>
      <c r="M36" s="15" t="s">
        <v>26</v>
      </c>
      <c r="N36" s="15">
        <v>0</v>
      </c>
      <c r="O36" s="15">
        <v>0</v>
      </c>
      <c r="P36" s="15">
        <v>0</v>
      </c>
      <c r="Q36" s="15">
        <v>1</v>
      </c>
      <c r="R36" s="17">
        <v>7</v>
      </c>
      <c r="S36" s="17">
        <v>18</v>
      </c>
      <c r="T36" t="e">
        <f>_xlfn.XLOOKUP(A36,Master!#REF!,Master!G:G)</f>
        <v>#REF!</v>
      </c>
      <c r="W36">
        <v>34</v>
      </c>
      <c r="AA36">
        <v>1</v>
      </c>
      <c r="AB36">
        <v>86</v>
      </c>
      <c r="AC36" t="s">
        <v>561</v>
      </c>
      <c r="AD36" s="12">
        <v>0</v>
      </c>
      <c r="AE36" s="12">
        <v>1</v>
      </c>
      <c r="AI36" t="s">
        <v>452</v>
      </c>
      <c r="AJ36">
        <v>116</v>
      </c>
      <c r="AN36" s="12">
        <v>0</v>
      </c>
      <c r="AO36" s="12">
        <v>2</v>
      </c>
      <c r="AP36" s="12">
        <f t="shared" si="0"/>
        <v>2</v>
      </c>
    </row>
    <row r="37" spans="1:42" ht="16.25" customHeight="1" x14ac:dyDescent="0.2">
      <c r="A37" s="10" t="s">
        <v>693</v>
      </c>
      <c r="B37" s="10" t="s">
        <v>85</v>
      </c>
      <c r="C37" s="29" t="s">
        <v>694</v>
      </c>
      <c r="D37" s="29" t="s">
        <v>695</v>
      </c>
      <c r="E37" s="10" t="s">
        <v>26</v>
      </c>
      <c r="F37" s="10"/>
      <c r="G37" s="10" t="s">
        <v>24</v>
      </c>
      <c r="H37" s="10"/>
      <c r="I37" s="30" t="s">
        <v>1229</v>
      </c>
      <c r="J37" s="30" t="s">
        <v>1230</v>
      </c>
      <c r="K37" s="30" t="s">
        <v>1235</v>
      </c>
      <c r="L37" s="30" t="s">
        <v>1232</v>
      </c>
      <c r="M37" s="18" t="s">
        <v>26</v>
      </c>
      <c r="N37" s="18">
        <v>0</v>
      </c>
      <c r="O37" s="18">
        <v>0</v>
      </c>
      <c r="P37" s="18">
        <v>0</v>
      </c>
      <c r="Q37" s="18">
        <v>1</v>
      </c>
      <c r="R37" s="17">
        <v>7</v>
      </c>
      <c r="S37" s="17">
        <v>18</v>
      </c>
      <c r="T37" t="e">
        <f>_xlfn.XLOOKUP(A37,Master!#REF!,Master!G:G)</f>
        <v>#REF!</v>
      </c>
      <c r="W37">
        <v>35</v>
      </c>
      <c r="AA37">
        <v>1</v>
      </c>
      <c r="AB37">
        <v>90</v>
      </c>
      <c r="AC37" t="s">
        <v>516</v>
      </c>
      <c r="AD37" s="12">
        <v>0</v>
      </c>
      <c r="AE37" s="12">
        <v>1</v>
      </c>
      <c r="AI37" t="s">
        <v>452</v>
      </c>
      <c r="AJ37">
        <v>117</v>
      </c>
      <c r="AN37" s="12">
        <v>0</v>
      </c>
      <c r="AO37" s="12">
        <v>2</v>
      </c>
      <c r="AP37" s="12">
        <f t="shared" si="0"/>
        <v>2</v>
      </c>
    </row>
    <row r="38" spans="1:42" ht="16.25" customHeight="1" x14ac:dyDescent="0.2">
      <c r="A38" s="32" t="s">
        <v>681</v>
      </c>
      <c r="B38" s="32" t="s">
        <v>85</v>
      </c>
      <c r="C38" s="33" t="s">
        <v>682</v>
      </c>
      <c r="D38" s="33" t="s">
        <v>683</v>
      </c>
      <c r="E38" s="32" t="s">
        <v>26</v>
      </c>
      <c r="F38" s="32"/>
      <c r="G38" s="32" t="s">
        <v>24</v>
      </c>
      <c r="H38" s="32"/>
      <c r="I38" s="30" t="s">
        <v>1229</v>
      </c>
      <c r="J38" s="30" t="s">
        <v>1230</v>
      </c>
      <c r="K38" s="30" t="s">
        <v>1235</v>
      </c>
      <c r="L38" s="30" t="s">
        <v>1232</v>
      </c>
      <c r="M38" s="15" t="s">
        <v>26</v>
      </c>
      <c r="N38" s="15">
        <v>0</v>
      </c>
      <c r="O38" s="15">
        <v>0</v>
      </c>
      <c r="P38" s="15">
        <v>0</v>
      </c>
      <c r="Q38" s="15">
        <v>1</v>
      </c>
      <c r="R38" s="17">
        <v>7</v>
      </c>
      <c r="S38" s="17">
        <v>19</v>
      </c>
      <c r="T38" t="e">
        <f>_xlfn.XLOOKUP(A38,Master!#REF!,Master!G:G)</f>
        <v>#REF!</v>
      </c>
      <c r="W38">
        <v>36</v>
      </c>
      <c r="AA38">
        <v>1</v>
      </c>
      <c r="AB38">
        <v>3</v>
      </c>
      <c r="AC38" t="s">
        <v>1183</v>
      </c>
      <c r="AD38" s="12">
        <v>0</v>
      </c>
      <c r="AE38" s="12">
        <v>1</v>
      </c>
      <c r="AI38" t="s">
        <v>452</v>
      </c>
      <c r="AJ38">
        <v>118</v>
      </c>
      <c r="AN38" s="12">
        <v>0</v>
      </c>
      <c r="AO38" s="12">
        <v>2</v>
      </c>
      <c r="AP38" s="12">
        <f t="shared" si="0"/>
        <v>2</v>
      </c>
    </row>
    <row r="39" spans="1:42" ht="16.25" customHeight="1" x14ac:dyDescent="0.2">
      <c r="A39" s="43" t="s">
        <v>685</v>
      </c>
      <c r="B39" s="10" t="s">
        <v>85</v>
      </c>
      <c r="C39" s="10" t="s">
        <v>686</v>
      </c>
      <c r="D39" s="29" t="s">
        <v>687</v>
      </c>
      <c r="E39" s="10" t="s">
        <v>26</v>
      </c>
      <c r="F39" s="10"/>
      <c r="G39" s="10" t="s">
        <v>24</v>
      </c>
      <c r="H39" s="10"/>
      <c r="I39" s="30" t="s">
        <v>1229</v>
      </c>
      <c r="J39" s="30" t="s">
        <v>1230</v>
      </c>
      <c r="K39" s="30" t="s">
        <v>1235</v>
      </c>
      <c r="L39" s="30" t="s">
        <v>1237</v>
      </c>
      <c r="M39" s="18" t="s">
        <v>26</v>
      </c>
      <c r="N39" s="18"/>
      <c r="O39" s="18"/>
      <c r="P39" s="18">
        <v>0</v>
      </c>
      <c r="Q39" s="18">
        <v>1</v>
      </c>
      <c r="R39" s="17">
        <v>7</v>
      </c>
      <c r="S39" s="17">
        <v>19</v>
      </c>
      <c r="T39" t="e">
        <f>_xlfn.XLOOKUP(A39,Master!#REF!,Master!G:G)</f>
        <v>#REF!</v>
      </c>
      <c r="W39">
        <v>37</v>
      </c>
      <c r="AA39">
        <v>1</v>
      </c>
      <c r="AB39">
        <v>3</v>
      </c>
      <c r="AC39" t="s">
        <v>1187</v>
      </c>
      <c r="AD39" s="12">
        <v>0</v>
      </c>
      <c r="AE39" s="12">
        <v>1</v>
      </c>
      <c r="AI39" t="s">
        <v>452</v>
      </c>
      <c r="AJ39">
        <v>119</v>
      </c>
      <c r="AN39" s="12">
        <v>0</v>
      </c>
      <c r="AO39" s="12">
        <v>2</v>
      </c>
      <c r="AP39" s="12">
        <f t="shared" si="0"/>
        <v>2</v>
      </c>
    </row>
    <row r="40" spans="1:42" ht="16.25" customHeight="1" x14ac:dyDescent="0.2">
      <c r="A40" s="15" t="s">
        <v>1045</v>
      </c>
      <c r="B40" s="15" t="s">
        <v>85</v>
      </c>
      <c r="C40" s="44" t="s">
        <v>1046</v>
      </c>
      <c r="D40" s="44" t="s">
        <v>1047</v>
      </c>
      <c r="E40" s="15" t="s">
        <v>26</v>
      </c>
      <c r="F40" s="15"/>
      <c r="G40" s="15" t="s">
        <v>24</v>
      </c>
      <c r="H40" s="15"/>
      <c r="I40" s="30" t="s">
        <v>1229</v>
      </c>
      <c r="J40" s="30" t="s">
        <v>1230</v>
      </c>
      <c r="K40" s="30" t="s">
        <v>1236</v>
      </c>
      <c r="L40" s="30" t="s">
        <v>1232</v>
      </c>
      <c r="M40" s="15" t="s">
        <v>26</v>
      </c>
      <c r="N40" s="15">
        <v>0</v>
      </c>
      <c r="O40" s="15">
        <v>0</v>
      </c>
      <c r="P40" s="15">
        <v>0</v>
      </c>
      <c r="Q40" s="15">
        <v>1</v>
      </c>
      <c r="R40" s="17">
        <v>2</v>
      </c>
      <c r="S40" s="17">
        <v>20</v>
      </c>
      <c r="T40" t="e">
        <f>_xlfn.XLOOKUP(A40,Master!#REF!,Master!G:G)</f>
        <v>#REF!</v>
      </c>
      <c r="W40">
        <v>38</v>
      </c>
      <c r="AA40">
        <v>1</v>
      </c>
      <c r="AB40">
        <v>73</v>
      </c>
      <c r="AC40" t="s">
        <v>645</v>
      </c>
      <c r="AD40" s="12">
        <v>2</v>
      </c>
      <c r="AE40" s="12">
        <v>3</v>
      </c>
      <c r="AI40" t="s">
        <v>452</v>
      </c>
      <c r="AJ40">
        <v>122</v>
      </c>
      <c r="AN40" s="12">
        <v>0</v>
      </c>
      <c r="AO40" s="12">
        <v>2</v>
      </c>
      <c r="AP40" s="12">
        <f t="shared" si="0"/>
        <v>2</v>
      </c>
    </row>
    <row r="41" spans="1:42" ht="16.25" customHeight="1" x14ac:dyDescent="0.2">
      <c r="A41" s="32" t="s">
        <v>1049</v>
      </c>
      <c r="B41" s="32" t="s">
        <v>85</v>
      </c>
      <c r="C41" s="33" t="s">
        <v>1050</v>
      </c>
      <c r="D41" s="33" t="s">
        <v>1051</v>
      </c>
      <c r="E41" s="32" t="s">
        <v>26</v>
      </c>
      <c r="F41" s="32"/>
      <c r="G41" s="32" t="s">
        <v>24</v>
      </c>
      <c r="H41" s="32"/>
      <c r="I41" s="30" t="s">
        <v>1229</v>
      </c>
      <c r="J41" s="30" t="s">
        <v>1230</v>
      </c>
      <c r="K41" s="30" t="s">
        <v>1236</v>
      </c>
      <c r="L41" s="30" t="s">
        <v>1232</v>
      </c>
      <c r="M41" s="15" t="s">
        <v>26</v>
      </c>
      <c r="N41" s="15">
        <v>0</v>
      </c>
      <c r="O41" s="15">
        <v>0</v>
      </c>
      <c r="P41" s="15">
        <v>0</v>
      </c>
      <c r="Q41" s="15">
        <v>1</v>
      </c>
      <c r="R41" s="17">
        <v>2</v>
      </c>
      <c r="S41" s="17">
        <v>20</v>
      </c>
      <c r="T41" t="e">
        <f>_xlfn.XLOOKUP(A41,Master!#REF!,Master!G:G)</f>
        <v>#REF!</v>
      </c>
      <c r="W41">
        <v>39</v>
      </c>
      <c r="AA41" t="s">
        <v>1215</v>
      </c>
      <c r="AD41" s="12">
        <v>2</v>
      </c>
      <c r="AE41" s="12">
        <v>39</v>
      </c>
      <c r="AI41" t="s">
        <v>452</v>
      </c>
      <c r="AJ41">
        <v>123</v>
      </c>
      <c r="AN41" s="12">
        <v>0</v>
      </c>
      <c r="AO41" s="12">
        <v>3</v>
      </c>
      <c r="AP41" s="12">
        <f t="shared" si="0"/>
        <v>3</v>
      </c>
    </row>
    <row r="42" spans="1:42" ht="16.25" customHeight="1" x14ac:dyDescent="0.2">
      <c r="A42" s="18" t="s">
        <v>1037</v>
      </c>
      <c r="B42" s="18" t="s">
        <v>85</v>
      </c>
      <c r="C42" s="41" t="s">
        <v>1038</v>
      </c>
      <c r="D42" s="41" t="s">
        <v>1039</v>
      </c>
      <c r="E42" s="18" t="s">
        <v>26</v>
      </c>
      <c r="F42" s="18"/>
      <c r="G42" s="18" t="s">
        <v>24</v>
      </c>
      <c r="H42" s="18"/>
      <c r="I42" s="30" t="s">
        <v>1229</v>
      </c>
      <c r="J42" s="30" t="s">
        <v>1230</v>
      </c>
      <c r="K42" s="30" t="s">
        <v>1238</v>
      </c>
      <c r="L42" s="30" t="s">
        <v>1232</v>
      </c>
      <c r="M42" s="18" t="s">
        <v>26</v>
      </c>
      <c r="N42" s="18">
        <v>0</v>
      </c>
      <c r="O42" s="18">
        <v>0</v>
      </c>
      <c r="P42" s="18">
        <v>0</v>
      </c>
      <c r="Q42" s="18">
        <v>1</v>
      </c>
      <c r="R42" s="17">
        <v>2</v>
      </c>
      <c r="S42" s="17">
        <v>21</v>
      </c>
      <c r="T42" t="e">
        <f>_xlfn.XLOOKUP(A42,Master!#REF!,Master!G:G)</f>
        <v>#REF!</v>
      </c>
      <c r="W42">
        <v>40</v>
      </c>
      <c r="AA42">
        <v>2</v>
      </c>
      <c r="AB42">
        <v>17</v>
      </c>
      <c r="AC42" t="s">
        <v>1070</v>
      </c>
      <c r="AD42" s="12">
        <v>0</v>
      </c>
      <c r="AE42" s="12">
        <v>1</v>
      </c>
      <c r="AI42" t="s">
        <v>452</v>
      </c>
      <c r="AJ42">
        <v>124</v>
      </c>
      <c r="AN42" s="12">
        <v>0</v>
      </c>
      <c r="AO42" s="12">
        <v>2</v>
      </c>
      <c r="AP42" s="12">
        <f t="shared" si="0"/>
        <v>2</v>
      </c>
    </row>
    <row r="43" spans="1:42" ht="16.25" customHeight="1" x14ac:dyDescent="0.2">
      <c r="A43" s="18" t="s">
        <v>1041</v>
      </c>
      <c r="B43" s="18" t="s">
        <v>85</v>
      </c>
      <c r="C43" s="41" t="s">
        <v>1042</v>
      </c>
      <c r="D43" s="41" t="s">
        <v>1043</v>
      </c>
      <c r="E43" s="18" t="s">
        <v>26</v>
      </c>
      <c r="F43" s="18"/>
      <c r="G43" s="18" t="s">
        <v>24</v>
      </c>
      <c r="H43" s="18"/>
      <c r="I43" s="30" t="s">
        <v>1229</v>
      </c>
      <c r="J43" s="30" t="s">
        <v>1230</v>
      </c>
      <c r="K43" s="30" t="s">
        <v>1238</v>
      </c>
      <c r="L43" s="30" t="s">
        <v>1232</v>
      </c>
      <c r="M43" s="18" t="s">
        <v>26</v>
      </c>
      <c r="N43" s="18">
        <v>0</v>
      </c>
      <c r="O43" s="18">
        <v>0</v>
      </c>
      <c r="P43" s="18">
        <v>0</v>
      </c>
      <c r="Q43" s="18">
        <v>1</v>
      </c>
      <c r="R43" s="17">
        <v>2</v>
      </c>
      <c r="S43" s="17">
        <v>21</v>
      </c>
      <c r="T43" t="e">
        <f>_xlfn.XLOOKUP(A43,Master!#REF!,Master!G:G)</f>
        <v>#REF!</v>
      </c>
      <c r="W43">
        <v>57</v>
      </c>
      <c r="AA43">
        <v>2</v>
      </c>
      <c r="AB43">
        <v>17</v>
      </c>
      <c r="AC43" t="s">
        <v>697</v>
      </c>
      <c r="AD43" s="12">
        <v>0</v>
      </c>
      <c r="AE43" s="12">
        <v>1</v>
      </c>
      <c r="AI43" t="s">
        <v>452</v>
      </c>
      <c r="AJ43">
        <v>125</v>
      </c>
      <c r="AN43" s="12">
        <v>0</v>
      </c>
      <c r="AO43" s="12">
        <v>2</v>
      </c>
      <c r="AP43" s="12">
        <f t="shared" si="0"/>
        <v>2</v>
      </c>
    </row>
    <row r="44" spans="1:42" ht="16.25" customHeight="1" x14ac:dyDescent="0.2">
      <c r="A44" s="15" t="s">
        <v>1029</v>
      </c>
      <c r="B44" s="15" t="s">
        <v>85</v>
      </c>
      <c r="C44" s="44" t="s">
        <v>1030</v>
      </c>
      <c r="D44" s="44" t="s">
        <v>1031</v>
      </c>
      <c r="E44" s="15" t="s">
        <v>26</v>
      </c>
      <c r="F44" s="15"/>
      <c r="G44" s="15" t="s">
        <v>24</v>
      </c>
      <c r="H44" s="15"/>
      <c r="I44" s="30" t="s">
        <v>1229</v>
      </c>
      <c r="J44" s="30" t="s">
        <v>1230</v>
      </c>
      <c r="K44" s="30" t="s">
        <v>1238</v>
      </c>
      <c r="L44" s="30" t="s">
        <v>1232</v>
      </c>
      <c r="M44" s="15" t="s">
        <v>26</v>
      </c>
      <c r="N44" s="15">
        <v>0</v>
      </c>
      <c r="O44" s="15">
        <v>0</v>
      </c>
      <c r="P44" s="15">
        <v>0</v>
      </c>
      <c r="Q44" s="15">
        <v>1</v>
      </c>
      <c r="R44" s="17">
        <v>2</v>
      </c>
      <c r="S44" s="17">
        <v>22</v>
      </c>
      <c r="T44" t="e">
        <f>_xlfn.XLOOKUP(A44,Master!#REF!,Master!G:G)</f>
        <v>#REF!</v>
      </c>
      <c r="W44">
        <v>41</v>
      </c>
      <c r="AA44">
        <v>2</v>
      </c>
      <c r="AB44">
        <v>18</v>
      </c>
      <c r="AC44" t="s">
        <v>693</v>
      </c>
      <c r="AD44" s="12">
        <v>0</v>
      </c>
      <c r="AE44" s="12">
        <v>1</v>
      </c>
      <c r="AI44" t="s">
        <v>452</v>
      </c>
      <c r="AJ44">
        <v>126</v>
      </c>
      <c r="AN44" s="12">
        <v>0</v>
      </c>
      <c r="AO44" s="12">
        <v>2</v>
      </c>
      <c r="AP44" s="12">
        <f t="shared" si="0"/>
        <v>2</v>
      </c>
    </row>
    <row r="45" spans="1:42" ht="16.25" customHeight="1" x14ac:dyDescent="0.2">
      <c r="A45" s="18" t="s">
        <v>1033</v>
      </c>
      <c r="B45" s="18" t="s">
        <v>85</v>
      </c>
      <c r="C45" s="41" t="s">
        <v>1034</v>
      </c>
      <c r="D45" s="41" t="s">
        <v>1035</v>
      </c>
      <c r="E45" s="18" t="s">
        <v>26</v>
      </c>
      <c r="F45" s="18"/>
      <c r="G45" s="18" t="s">
        <v>24</v>
      </c>
      <c r="H45" s="18"/>
      <c r="I45" s="30" t="s">
        <v>1229</v>
      </c>
      <c r="J45" s="30" t="s">
        <v>1230</v>
      </c>
      <c r="K45" s="30" t="s">
        <v>1238</v>
      </c>
      <c r="L45" s="30" t="s">
        <v>1232</v>
      </c>
      <c r="M45" s="18" t="s">
        <v>26</v>
      </c>
      <c r="N45" s="18">
        <v>0</v>
      </c>
      <c r="O45" s="18">
        <v>0</v>
      </c>
      <c r="P45" s="18">
        <v>0</v>
      </c>
      <c r="Q45" s="18">
        <v>1</v>
      </c>
      <c r="R45" s="17">
        <v>2</v>
      </c>
      <c r="S45" s="17">
        <v>22</v>
      </c>
      <c r="T45" t="e">
        <f>_xlfn.XLOOKUP(A45,Master!#REF!,Master!G:G)</f>
        <v>#REF!</v>
      </c>
      <c r="W45">
        <v>42</v>
      </c>
      <c r="AA45">
        <v>2</v>
      </c>
      <c r="AB45">
        <v>18</v>
      </c>
      <c r="AC45" t="s">
        <v>689</v>
      </c>
      <c r="AD45" s="12">
        <v>0</v>
      </c>
      <c r="AE45" s="12">
        <v>1</v>
      </c>
      <c r="AI45" t="s">
        <v>452</v>
      </c>
      <c r="AJ45">
        <v>127</v>
      </c>
      <c r="AN45" s="12">
        <v>0</v>
      </c>
      <c r="AO45" s="12">
        <v>2</v>
      </c>
      <c r="AP45" s="12">
        <f t="shared" si="0"/>
        <v>2</v>
      </c>
    </row>
    <row r="46" spans="1:42" ht="16.25" customHeight="1" x14ac:dyDescent="0.2">
      <c r="A46" s="32" t="s">
        <v>1021</v>
      </c>
      <c r="B46" s="32" t="s">
        <v>85</v>
      </c>
      <c r="C46" s="33" t="s">
        <v>1022</v>
      </c>
      <c r="D46" s="33" t="s">
        <v>1023</v>
      </c>
      <c r="E46" s="32" t="s">
        <v>26</v>
      </c>
      <c r="F46" s="32"/>
      <c r="G46" s="32" t="s">
        <v>24</v>
      </c>
      <c r="H46" s="32"/>
      <c r="I46" s="30" t="s">
        <v>1229</v>
      </c>
      <c r="J46" s="30" t="s">
        <v>1230</v>
      </c>
      <c r="K46" s="30" t="s">
        <v>1238</v>
      </c>
      <c r="L46" s="30" t="s">
        <v>1232</v>
      </c>
      <c r="M46" s="15" t="s">
        <v>26</v>
      </c>
      <c r="N46" s="15">
        <v>0</v>
      </c>
      <c r="O46" s="15">
        <v>0</v>
      </c>
      <c r="P46" s="15">
        <v>0</v>
      </c>
      <c r="Q46" s="15">
        <v>1</v>
      </c>
      <c r="R46" s="17">
        <v>2</v>
      </c>
      <c r="S46" s="17">
        <v>23</v>
      </c>
      <c r="T46" t="e">
        <f>_xlfn.XLOOKUP(A46,Master!#REF!,Master!G:G)</f>
        <v>#REF!</v>
      </c>
      <c r="W46">
        <v>43</v>
      </c>
      <c r="AA46">
        <v>2</v>
      </c>
      <c r="AB46">
        <v>19</v>
      </c>
      <c r="AC46" t="s">
        <v>681</v>
      </c>
      <c r="AD46" s="12">
        <v>0</v>
      </c>
      <c r="AE46" s="12">
        <v>1</v>
      </c>
      <c r="AI46" t="s">
        <v>452</v>
      </c>
      <c r="AJ46">
        <v>128</v>
      </c>
      <c r="AN46" s="12">
        <v>0</v>
      </c>
      <c r="AO46" s="12">
        <v>2</v>
      </c>
      <c r="AP46" s="12">
        <f t="shared" si="0"/>
        <v>2</v>
      </c>
    </row>
    <row r="47" spans="1:42" ht="16.25" customHeight="1" x14ac:dyDescent="0.2">
      <c r="A47" s="10" t="s">
        <v>1025</v>
      </c>
      <c r="B47" s="10" t="s">
        <v>85</v>
      </c>
      <c r="C47" s="29" t="s">
        <v>1026</v>
      </c>
      <c r="D47" s="29" t="s">
        <v>1027</v>
      </c>
      <c r="E47" s="10" t="s">
        <v>26</v>
      </c>
      <c r="F47" s="10"/>
      <c r="G47" s="10" t="s">
        <v>24</v>
      </c>
      <c r="H47" s="10"/>
      <c r="I47" s="30" t="s">
        <v>1229</v>
      </c>
      <c r="J47" s="30" t="s">
        <v>1230</v>
      </c>
      <c r="K47" s="30" t="s">
        <v>1238</v>
      </c>
      <c r="L47" s="30" t="s">
        <v>1232</v>
      </c>
      <c r="M47" s="18" t="s">
        <v>26</v>
      </c>
      <c r="N47" s="18">
        <v>0</v>
      </c>
      <c r="O47" s="18">
        <v>0</v>
      </c>
      <c r="P47" s="18">
        <v>0</v>
      </c>
      <c r="Q47" s="18">
        <v>1</v>
      </c>
      <c r="R47" s="17">
        <v>2</v>
      </c>
      <c r="S47" s="17">
        <v>23</v>
      </c>
      <c r="T47" t="e">
        <f>_xlfn.XLOOKUP(A47,Master!#REF!,Master!G:G)</f>
        <v>#REF!</v>
      </c>
      <c r="W47">
        <v>44</v>
      </c>
      <c r="AA47">
        <v>2</v>
      </c>
      <c r="AB47">
        <v>19</v>
      </c>
      <c r="AC47" t="s">
        <v>685</v>
      </c>
      <c r="AD47" s="12">
        <v>0</v>
      </c>
      <c r="AE47" s="12">
        <v>1</v>
      </c>
      <c r="AI47" t="s">
        <v>452</v>
      </c>
      <c r="AJ47">
        <v>129</v>
      </c>
      <c r="AN47" s="12">
        <v>0</v>
      </c>
      <c r="AO47" s="12">
        <v>2</v>
      </c>
      <c r="AP47" s="12">
        <f t="shared" si="0"/>
        <v>2</v>
      </c>
    </row>
    <row r="48" spans="1:42" ht="16.25" customHeight="1" x14ac:dyDescent="0.2">
      <c r="A48" s="32" t="s">
        <v>1013</v>
      </c>
      <c r="B48" s="32" t="s">
        <v>85</v>
      </c>
      <c r="C48" s="33" t="s">
        <v>1014</v>
      </c>
      <c r="D48" s="33" t="s">
        <v>1015</v>
      </c>
      <c r="E48" s="32" t="s">
        <v>26</v>
      </c>
      <c r="F48" s="32"/>
      <c r="G48" s="32" t="s">
        <v>24</v>
      </c>
      <c r="H48" s="32"/>
      <c r="I48" s="30" t="s">
        <v>1229</v>
      </c>
      <c r="J48" s="30" t="s">
        <v>1230</v>
      </c>
      <c r="K48" s="30" t="s">
        <v>1238</v>
      </c>
      <c r="L48" s="30" t="s">
        <v>1232</v>
      </c>
      <c r="M48" s="15" t="s">
        <v>26</v>
      </c>
      <c r="N48" s="15">
        <v>0</v>
      </c>
      <c r="O48" s="15">
        <v>0</v>
      </c>
      <c r="P48" s="15">
        <v>0</v>
      </c>
      <c r="Q48" s="15">
        <v>1</v>
      </c>
      <c r="R48" s="17">
        <v>2</v>
      </c>
      <c r="S48" s="17">
        <v>24</v>
      </c>
      <c r="T48" t="e">
        <f>_xlfn.XLOOKUP(A48,Master!#REF!,Master!G:G)</f>
        <v>#REF!</v>
      </c>
      <c r="W48">
        <v>45</v>
      </c>
      <c r="AA48">
        <v>2</v>
      </c>
      <c r="AB48">
        <v>20</v>
      </c>
      <c r="AC48" t="s">
        <v>1045</v>
      </c>
      <c r="AD48" s="12">
        <v>0</v>
      </c>
      <c r="AE48" s="12">
        <v>1</v>
      </c>
      <c r="AI48" t="s">
        <v>452</v>
      </c>
      <c r="AJ48">
        <v>130</v>
      </c>
      <c r="AN48" s="12">
        <v>0</v>
      </c>
      <c r="AO48" s="12">
        <v>2</v>
      </c>
      <c r="AP48" s="12">
        <f t="shared" si="0"/>
        <v>2</v>
      </c>
    </row>
    <row r="49" spans="1:42" ht="16.25" customHeight="1" x14ac:dyDescent="0.2">
      <c r="A49" s="10" t="s">
        <v>1017</v>
      </c>
      <c r="B49" s="10" t="s">
        <v>85</v>
      </c>
      <c r="C49" s="29" t="s">
        <v>1018</v>
      </c>
      <c r="D49" s="29" t="s">
        <v>1019</v>
      </c>
      <c r="E49" s="10" t="s">
        <v>26</v>
      </c>
      <c r="F49" s="10"/>
      <c r="G49" s="10" t="s">
        <v>24</v>
      </c>
      <c r="H49" s="10"/>
      <c r="I49" s="30" t="s">
        <v>1229</v>
      </c>
      <c r="J49" s="30" t="s">
        <v>1230</v>
      </c>
      <c r="K49" s="30" t="s">
        <v>1238</v>
      </c>
      <c r="L49" s="30" t="s">
        <v>1232</v>
      </c>
      <c r="M49" s="18" t="s">
        <v>26</v>
      </c>
      <c r="N49" s="18">
        <v>0</v>
      </c>
      <c r="O49" s="18">
        <v>0</v>
      </c>
      <c r="P49" s="18">
        <v>0</v>
      </c>
      <c r="Q49" s="18">
        <v>1</v>
      </c>
      <c r="R49" s="17">
        <v>2</v>
      </c>
      <c r="S49" s="17">
        <v>24</v>
      </c>
      <c r="T49" t="e">
        <f>_xlfn.XLOOKUP(A49,Master!#REF!,Master!G:G)</f>
        <v>#REF!</v>
      </c>
      <c r="W49">
        <v>46</v>
      </c>
      <c r="AA49">
        <v>2</v>
      </c>
      <c r="AB49">
        <v>20</v>
      </c>
      <c r="AC49" t="s">
        <v>1049</v>
      </c>
      <c r="AD49" s="12">
        <v>0</v>
      </c>
      <c r="AE49" s="12">
        <v>1</v>
      </c>
      <c r="AI49" t="s">
        <v>452</v>
      </c>
      <c r="AJ49">
        <v>131</v>
      </c>
      <c r="AN49" s="12">
        <v>0</v>
      </c>
      <c r="AO49" s="12">
        <v>2</v>
      </c>
      <c r="AP49" s="12">
        <f t="shared" si="0"/>
        <v>2</v>
      </c>
    </row>
    <row r="50" spans="1:42" ht="16.25" customHeight="1" x14ac:dyDescent="0.2">
      <c r="A50" s="32" t="s">
        <v>1005</v>
      </c>
      <c r="B50" s="32" t="s">
        <v>85</v>
      </c>
      <c r="C50" s="33" t="s">
        <v>1006</v>
      </c>
      <c r="D50" s="33" t="s">
        <v>1007</v>
      </c>
      <c r="E50" s="32" t="s">
        <v>26</v>
      </c>
      <c r="F50" s="32"/>
      <c r="G50" s="32" t="s">
        <v>24</v>
      </c>
      <c r="H50" s="32"/>
      <c r="I50" s="30" t="s">
        <v>1229</v>
      </c>
      <c r="J50" s="30" t="s">
        <v>1230</v>
      </c>
      <c r="K50" s="30" t="s">
        <v>1238</v>
      </c>
      <c r="L50" s="30" t="s">
        <v>1232</v>
      </c>
      <c r="M50" s="15" t="s">
        <v>26</v>
      </c>
      <c r="N50" s="15">
        <v>0</v>
      </c>
      <c r="O50" s="15">
        <v>0</v>
      </c>
      <c r="P50" s="15">
        <v>0</v>
      </c>
      <c r="Q50" s="15">
        <v>1</v>
      </c>
      <c r="R50" s="17">
        <v>2</v>
      </c>
      <c r="S50" s="17">
        <v>25</v>
      </c>
      <c r="T50" t="e">
        <f>_xlfn.XLOOKUP(A50,Master!#REF!,Master!G:G)</f>
        <v>#REF!</v>
      </c>
      <c r="W50">
        <v>47</v>
      </c>
      <c r="AA50">
        <v>2</v>
      </c>
      <c r="AB50">
        <v>21</v>
      </c>
      <c r="AC50" t="s">
        <v>1041</v>
      </c>
      <c r="AD50" s="12">
        <v>0</v>
      </c>
      <c r="AE50" s="12">
        <v>1</v>
      </c>
      <c r="AI50" t="s">
        <v>72</v>
      </c>
      <c r="AJ50">
        <v>3</v>
      </c>
      <c r="AN50" s="12">
        <v>0</v>
      </c>
      <c r="AO50" s="12">
        <v>2</v>
      </c>
      <c r="AP50" s="12">
        <f t="shared" si="0"/>
        <v>2</v>
      </c>
    </row>
    <row r="51" spans="1:42" ht="16.25" customHeight="1" x14ac:dyDescent="0.2">
      <c r="A51" s="10" t="s">
        <v>1009</v>
      </c>
      <c r="B51" s="10" t="s">
        <v>85</v>
      </c>
      <c r="C51" s="29" t="s">
        <v>1010</v>
      </c>
      <c r="D51" s="29" t="s">
        <v>1011</v>
      </c>
      <c r="E51" s="10" t="s">
        <v>26</v>
      </c>
      <c r="F51" s="10"/>
      <c r="G51" s="10" t="s">
        <v>24</v>
      </c>
      <c r="H51" s="10"/>
      <c r="I51" s="30" t="s">
        <v>1229</v>
      </c>
      <c r="J51" s="30" t="s">
        <v>1230</v>
      </c>
      <c r="K51" s="30" t="s">
        <v>1238</v>
      </c>
      <c r="L51" s="30" t="s">
        <v>1232</v>
      </c>
      <c r="M51" s="18" t="s">
        <v>26</v>
      </c>
      <c r="N51" s="18">
        <v>0</v>
      </c>
      <c r="O51" s="18">
        <v>0</v>
      </c>
      <c r="P51" s="18">
        <v>0</v>
      </c>
      <c r="Q51" s="18">
        <v>1</v>
      </c>
      <c r="R51" s="17">
        <v>2</v>
      </c>
      <c r="S51" s="17">
        <v>25</v>
      </c>
      <c r="T51" t="e">
        <f>_xlfn.XLOOKUP(A51,Master!#REF!,Master!G:G)</f>
        <v>#REF!</v>
      </c>
      <c r="W51">
        <v>48</v>
      </c>
      <c r="AA51">
        <v>2</v>
      </c>
      <c r="AB51">
        <v>21</v>
      </c>
      <c r="AC51" t="s">
        <v>1037</v>
      </c>
      <c r="AD51" s="12">
        <v>0</v>
      </c>
      <c r="AE51" s="12">
        <v>1</v>
      </c>
      <c r="AI51" t="s">
        <v>72</v>
      </c>
      <c r="AJ51">
        <v>4</v>
      </c>
      <c r="AN51" s="12">
        <v>0</v>
      </c>
      <c r="AO51" s="12">
        <v>2</v>
      </c>
      <c r="AP51" s="12">
        <f t="shared" si="0"/>
        <v>2</v>
      </c>
    </row>
    <row r="52" spans="1:42" ht="16.25" customHeight="1" x14ac:dyDescent="0.2">
      <c r="A52" s="32" t="s">
        <v>997</v>
      </c>
      <c r="B52" s="32" t="s">
        <v>85</v>
      </c>
      <c r="C52" s="33" t="s">
        <v>998</v>
      </c>
      <c r="D52" s="33" t="s">
        <v>999</v>
      </c>
      <c r="E52" s="32" t="s">
        <v>26</v>
      </c>
      <c r="F52" s="32"/>
      <c r="G52" s="32" t="s">
        <v>24</v>
      </c>
      <c r="H52" s="32"/>
      <c r="I52" s="30" t="s">
        <v>1229</v>
      </c>
      <c r="J52" s="30" t="s">
        <v>1230</v>
      </c>
      <c r="K52" s="30" t="s">
        <v>1238</v>
      </c>
      <c r="L52" s="30" t="s">
        <v>1232</v>
      </c>
      <c r="M52" s="15" t="s">
        <v>26</v>
      </c>
      <c r="N52" s="15">
        <v>0</v>
      </c>
      <c r="O52" s="15">
        <v>0</v>
      </c>
      <c r="P52" s="15">
        <v>0</v>
      </c>
      <c r="Q52" s="15">
        <v>1</v>
      </c>
      <c r="R52" s="17">
        <v>2</v>
      </c>
      <c r="S52" s="17">
        <v>26</v>
      </c>
      <c r="T52" t="e">
        <f>_xlfn.XLOOKUP(A52,Master!#REF!,Master!G:G)</f>
        <v>#REF!</v>
      </c>
      <c r="W52">
        <v>49</v>
      </c>
      <c r="AA52">
        <v>2</v>
      </c>
      <c r="AB52">
        <v>22</v>
      </c>
      <c r="AC52" t="s">
        <v>1029</v>
      </c>
      <c r="AD52" s="12">
        <v>0</v>
      </c>
      <c r="AE52" s="12">
        <v>1</v>
      </c>
      <c r="AI52" t="s">
        <v>72</v>
      </c>
      <c r="AJ52">
        <v>5</v>
      </c>
      <c r="AN52" s="12">
        <v>0</v>
      </c>
      <c r="AO52" s="12">
        <v>2</v>
      </c>
      <c r="AP52" s="12">
        <f t="shared" si="0"/>
        <v>2</v>
      </c>
    </row>
    <row r="53" spans="1:42" ht="16.25" customHeight="1" x14ac:dyDescent="0.2">
      <c r="A53" s="32" t="s">
        <v>1001</v>
      </c>
      <c r="B53" s="32" t="s">
        <v>85</v>
      </c>
      <c r="C53" s="33" t="s">
        <v>1002</v>
      </c>
      <c r="D53" s="33" t="s">
        <v>1003</v>
      </c>
      <c r="E53" s="32" t="s">
        <v>26</v>
      </c>
      <c r="F53" s="39"/>
      <c r="G53" s="32" t="s">
        <v>24</v>
      </c>
      <c r="H53" s="32"/>
      <c r="I53" s="30" t="s">
        <v>1229</v>
      </c>
      <c r="J53" s="30" t="s">
        <v>1230</v>
      </c>
      <c r="K53" s="30" t="s">
        <v>1238</v>
      </c>
      <c r="L53" s="30" t="s">
        <v>1232</v>
      </c>
      <c r="M53" s="15" t="s">
        <v>26</v>
      </c>
      <c r="N53" s="15">
        <v>0</v>
      </c>
      <c r="O53" s="15">
        <v>0</v>
      </c>
      <c r="P53" s="15">
        <v>0</v>
      </c>
      <c r="Q53" s="15">
        <v>1</v>
      </c>
      <c r="R53" s="17">
        <v>2</v>
      </c>
      <c r="S53" s="17">
        <v>26</v>
      </c>
      <c r="T53" t="e">
        <f>_xlfn.XLOOKUP(A53,Master!#REF!,Master!G:G)</f>
        <v>#REF!</v>
      </c>
      <c r="W53">
        <v>50</v>
      </c>
      <c r="AA53">
        <v>2</v>
      </c>
      <c r="AB53">
        <v>22</v>
      </c>
      <c r="AC53" t="s">
        <v>1033</v>
      </c>
      <c r="AD53" s="12">
        <v>0</v>
      </c>
      <c r="AE53" s="12">
        <v>1</v>
      </c>
      <c r="AI53" t="s">
        <v>72</v>
      </c>
      <c r="AJ53">
        <v>6</v>
      </c>
      <c r="AN53" s="12">
        <v>0</v>
      </c>
      <c r="AO53" s="12">
        <v>2</v>
      </c>
      <c r="AP53" s="12">
        <f t="shared" si="0"/>
        <v>2</v>
      </c>
    </row>
    <row r="54" spans="1:42" ht="16.25" customHeight="1" x14ac:dyDescent="0.2">
      <c r="A54" s="10" t="s">
        <v>989</v>
      </c>
      <c r="B54" s="10" t="s">
        <v>85</v>
      </c>
      <c r="C54" s="29" t="s">
        <v>990</v>
      </c>
      <c r="D54" s="29" t="s">
        <v>991</v>
      </c>
      <c r="E54" s="10" t="s">
        <v>26</v>
      </c>
      <c r="F54" s="42"/>
      <c r="G54" s="10" t="s">
        <v>24</v>
      </c>
      <c r="H54" s="10"/>
      <c r="I54" s="30" t="s">
        <v>1229</v>
      </c>
      <c r="J54" s="30" t="s">
        <v>1230</v>
      </c>
      <c r="K54" s="30" t="s">
        <v>1238</v>
      </c>
      <c r="L54" s="30" t="s">
        <v>1232</v>
      </c>
      <c r="M54" s="18" t="s">
        <v>26</v>
      </c>
      <c r="N54" s="18">
        <v>0</v>
      </c>
      <c r="O54" s="18">
        <v>0</v>
      </c>
      <c r="P54" s="18">
        <v>0</v>
      </c>
      <c r="Q54" s="18">
        <v>1</v>
      </c>
      <c r="R54" s="17">
        <v>2</v>
      </c>
      <c r="S54" s="17">
        <v>27</v>
      </c>
      <c r="T54" t="e">
        <f>_xlfn.XLOOKUP(A54,Master!#REF!,Master!G:G)</f>
        <v>#REF!</v>
      </c>
      <c r="W54">
        <v>51</v>
      </c>
      <c r="AA54">
        <v>2</v>
      </c>
      <c r="AB54">
        <v>23</v>
      </c>
      <c r="AC54" t="s">
        <v>1025</v>
      </c>
      <c r="AD54" s="12">
        <v>0</v>
      </c>
      <c r="AE54" s="12">
        <v>1</v>
      </c>
      <c r="AI54" t="s">
        <v>72</v>
      </c>
      <c r="AJ54">
        <v>7</v>
      </c>
      <c r="AN54" s="12">
        <v>0</v>
      </c>
      <c r="AO54" s="12">
        <v>2</v>
      </c>
      <c r="AP54" s="12">
        <f t="shared" si="0"/>
        <v>2</v>
      </c>
    </row>
    <row r="55" spans="1:42" ht="16.25" customHeight="1" x14ac:dyDescent="0.2">
      <c r="A55" s="32" t="s">
        <v>993</v>
      </c>
      <c r="B55" s="32" t="s">
        <v>85</v>
      </c>
      <c r="C55" s="33" t="s">
        <v>994</v>
      </c>
      <c r="D55" s="33" t="s">
        <v>995</v>
      </c>
      <c r="E55" s="32" t="s">
        <v>26</v>
      </c>
      <c r="F55" s="39"/>
      <c r="G55" s="32" t="s">
        <v>24</v>
      </c>
      <c r="H55" s="32"/>
      <c r="I55" s="30" t="s">
        <v>1229</v>
      </c>
      <c r="J55" s="30" t="s">
        <v>1230</v>
      </c>
      <c r="K55" s="30" t="s">
        <v>1238</v>
      </c>
      <c r="L55" s="30" t="s">
        <v>1232</v>
      </c>
      <c r="M55" s="15" t="s">
        <v>26</v>
      </c>
      <c r="N55" s="15">
        <v>0</v>
      </c>
      <c r="O55" s="15">
        <v>0</v>
      </c>
      <c r="P55" s="15">
        <v>0</v>
      </c>
      <c r="Q55" s="15">
        <v>1</v>
      </c>
      <c r="R55" s="17">
        <v>2</v>
      </c>
      <c r="S55" s="17">
        <v>27</v>
      </c>
      <c r="T55" t="e">
        <f>_xlfn.XLOOKUP(A55,Master!#REF!,Master!G:G)</f>
        <v>#REF!</v>
      </c>
      <c r="W55">
        <v>52</v>
      </c>
      <c r="AA55">
        <v>2</v>
      </c>
      <c r="AB55">
        <v>23</v>
      </c>
      <c r="AC55" t="s">
        <v>1021</v>
      </c>
      <c r="AD55" s="12">
        <v>0</v>
      </c>
      <c r="AE55" s="12">
        <v>1</v>
      </c>
      <c r="AI55" t="s">
        <v>72</v>
      </c>
      <c r="AJ55">
        <v>8</v>
      </c>
      <c r="AN55" s="12">
        <v>0</v>
      </c>
      <c r="AO55" s="12">
        <v>2</v>
      </c>
      <c r="AP55" s="12">
        <f t="shared" si="0"/>
        <v>2</v>
      </c>
    </row>
    <row r="56" spans="1:42" ht="16.25" customHeight="1" x14ac:dyDescent="0.2">
      <c r="A56" s="32" t="s">
        <v>982</v>
      </c>
      <c r="B56" s="32" t="s">
        <v>85</v>
      </c>
      <c r="C56" s="33" t="s">
        <v>983</v>
      </c>
      <c r="D56" s="33" t="s">
        <v>984</v>
      </c>
      <c r="E56" s="32" t="s">
        <v>26</v>
      </c>
      <c r="F56" s="39"/>
      <c r="G56" s="32" t="s">
        <v>24</v>
      </c>
      <c r="H56" s="32"/>
      <c r="I56" s="30" t="s">
        <v>1229</v>
      </c>
      <c r="J56" s="30" t="s">
        <v>1230</v>
      </c>
      <c r="K56" s="30" t="s">
        <v>1238</v>
      </c>
      <c r="L56" s="30" t="s">
        <v>1232</v>
      </c>
      <c r="M56" s="15" t="s">
        <v>26</v>
      </c>
      <c r="N56" s="15">
        <v>0</v>
      </c>
      <c r="O56" s="15">
        <v>0</v>
      </c>
      <c r="P56" s="15">
        <v>0</v>
      </c>
      <c r="Q56" s="15">
        <v>1</v>
      </c>
      <c r="R56" s="17">
        <v>2</v>
      </c>
      <c r="S56" s="17">
        <v>28</v>
      </c>
      <c r="T56" t="e">
        <f>_xlfn.XLOOKUP(A56,Master!#REF!,Master!G:G)</f>
        <v>#REF!</v>
      </c>
      <c r="W56">
        <v>53</v>
      </c>
      <c r="Y56">
        <v>65</v>
      </c>
      <c r="AA56">
        <v>2</v>
      </c>
      <c r="AB56">
        <v>24</v>
      </c>
      <c r="AC56" t="s">
        <v>1013</v>
      </c>
      <c r="AD56" s="12">
        <v>0</v>
      </c>
      <c r="AE56" s="12">
        <v>1</v>
      </c>
      <c r="AI56" t="s">
        <v>72</v>
      </c>
      <c r="AJ56">
        <v>9</v>
      </c>
      <c r="AN56" s="12">
        <v>0</v>
      </c>
      <c r="AO56" s="12">
        <v>2</v>
      </c>
      <c r="AP56" s="12">
        <f t="shared" si="0"/>
        <v>2</v>
      </c>
    </row>
    <row r="57" spans="1:42" ht="16.25" customHeight="1" x14ac:dyDescent="0.2">
      <c r="A57" s="10" t="s">
        <v>986</v>
      </c>
      <c r="B57" s="10" t="s">
        <v>85</v>
      </c>
      <c r="C57" s="29" t="s">
        <v>985</v>
      </c>
      <c r="D57" s="29" t="s">
        <v>987</v>
      </c>
      <c r="E57" s="10" t="s">
        <v>26</v>
      </c>
      <c r="F57" s="42"/>
      <c r="G57" s="10" t="s">
        <v>24</v>
      </c>
      <c r="H57" s="10"/>
      <c r="I57" s="30" t="s">
        <v>1229</v>
      </c>
      <c r="J57" s="30" t="s">
        <v>1230</v>
      </c>
      <c r="K57" s="30" t="s">
        <v>1238</v>
      </c>
      <c r="L57" s="30" t="s">
        <v>1232</v>
      </c>
      <c r="M57" s="18" t="s">
        <v>26</v>
      </c>
      <c r="N57" s="18">
        <v>0</v>
      </c>
      <c r="O57" s="18">
        <v>0</v>
      </c>
      <c r="P57" s="18">
        <v>0</v>
      </c>
      <c r="Q57" s="18">
        <v>1</v>
      </c>
      <c r="R57" s="17">
        <v>2</v>
      </c>
      <c r="S57" s="17">
        <v>28</v>
      </c>
      <c r="T57" t="e">
        <f>_xlfn.XLOOKUP(A57,Master!#REF!,Master!G:G)</f>
        <v>#REF!</v>
      </c>
      <c r="W57">
        <v>54</v>
      </c>
      <c r="Y57">
        <v>66</v>
      </c>
      <c r="AA57">
        <v>2</v>
      </c>
      <c r="AB57">
        <v>24</v>
      </c>
      <c r="AC57" t="s">
        <v>1017</v>
      </c>
      <c r="AD57" s="12">
        <v>0</v>
      </c>
      <c r="AE57" s="12">
        <v>1</v>
      </c>
      <c r="AI57" t="s">
        <v>72</v>
      </c>
      <c r="AJ57">
        <v>10</v>
      </c>
      <c r="AN57" s="12">
        <v>0</v>
      </c>
      <c r="AO57" s="12">
        <v>2</v>
      </c>
      <c r="AP57" s="12">
        <f t="shared" si="0"/>
        <v>2</v>
      </c>
    </row>
    <row r="58" spans="1:42" ht="16.25" customHeight="1" x14ac:dyDescent="0.2">
      <c r="A58" s="32" t="s">
        <v>974</v>
      </c>
      <c r="B58" s="32" t="s">
        <v>85</v>
      </c>
      <c r="C58" s="33" t="s">
        <v>975</v>
      </c>
      <c r="D58" s="33" t="s">
        <v>976</v>
      </c>
      <c r="E58" s="32" t="s">
        <v>26</v>
      </c>
      <c r="F58" s="32"/>
      <c r="G58" s="32" t="s">
        <v>24</v>
      </c>
      <c r="H58" s="32"/>
      <c r="I58" s="30" t="s">
        <v>1229</v>
      </c>
      <c r="J58" s="30" t="s">
        <v>1230</v>
      </c>
      <c r="K58" s="30" t="s">
        <v>1238</v>
      </c>
      <c r="L58" s="30" t="s">
        <v>1232</v>
      </c>
      <c r="M58" s="15" t="s">
        <v>26</v>
      </c>
      <c r="N58" s="15">
        <v>0</v>
      </c>
      <c r="O58" s="15">
        <v>0</v>
      </c>
      <c r="P58" s="15">
        <v>0</v>
      </c>
      <c r="Q58" s="15">
        <v>1</v>
      </c>
      <c r="R58" s="17">
        <v>2</v>
      </c>
      <c r="S58" s="17">
        <v>29</v>
      </c>
      <c r="T58" t="e">
        <f>_xlfn.XLOOKUP(A58,Master!#REF!,Master!G:G)</f>
        <v>#REF!</v>
      </c>
      <c r="W58">
        <v>55</v>
      </c>
      <c r="Y58">
        <v>66</v>
      </c>
      <c r="AA58">
        <v>2</v>
      </c>
      <c r="AB58">
        <v>25</v>
      </c>
      <c r="AC58" t="s">
        <v>1009</v>
      </c>
      <c r="AD58" s="12">
        <v>0</v>
      </c>
      <c r="AE58" s="12">
        <v>1</v>
      </c>
      <c r="AI58" t="s">
        <v>72</v>
      </c>
      <c r="AJ58">
        <v>11</v>
      </c>
      <c r="AN58" s="12">
        <v>0</v>
      </c>
      <c r="AO58" s="12">
        <v>2</v>
      </c>
      <c r="AP58" s="12">
        <f t="shared" si="0"/>
        <v>2</v>
      </c>
    </row>
    <row r="59" spans="1:42" ht="16.25" customHeight="1" x14ac:dyDescent="0.2">
      <c r="A59" s="32" t="s">
        <v>978</v>
      </c>
      <c r="B59" s="32" t="s">
        <v>85</v>
      </c>
      <c r="C59" s="33" t="s">
        <v>979</v>
      </c>
      <c r="D59" s="33" t="s">
        <v>980</v>
      </c>
      <c r="E59" s="32" t="s">
        <v>26</v>
      </c>
      <c r="F59" s="32"/>
      <c r="G59" s="32" t="s">
        <v>24</v>
      </c>
      <c r="H59" s="32"/>
      <c r="I59" s="30" t="s">
        <v>1229</v>
      </c>
      <c r="J59" s="30" t="s">
        <v>1230</v>
      </c>
      <c r="K59" s="30" t="s">
        <v>1238</v>
      </c>
      <c r="L59" s="30" t="s">
        <v>1232</v>
      </c>
      <c r="M59" s="15" t="s">
        <v>26</v>
      </c>
      <c r="N59" s="15">
        <v>0</v>
      </c>
      <c r="O59" s="15">
        <v>0</v>
      </c>
      <c r="P59" s="15">
        <v>0</v>
      </c>
      <c r="Q59" s="15">
        <v>1</v>
      </c>
      <c r="R59" s="17">
        <v>2</v>
      </c>
      <c r="S59" s="17">
        <v>29</v>
      </c>
      <c r="T59" t="e">
        <f>_xlfn.XLOOKUP(A59,Master!#REF!,Master!G:G)</f>
        <v>#REF!</v>
      </c>
      <c r="W59">
        <v>56</v>
      </c>
      <c r="Y59">
        <v>67</v>
      </c>
      <c r="AA59">
        <v>2</v>
      </c>
      <c r="AB59">
        <v>25</v>
      </c>
      <c r="AC59" t="s">
        <v>1005</v>
      </c>
      <c r="AD59" s="12">
        <v>0</v>
      </c>
      <c r="AE59" s="12">
        <v>1</v>
      </c>
      <c r="AI59" t="s">
        <v>72</v>
      </c>
      <c r="AJ59">
        <v>12</v>
      </c>
      <c r="AN59" s="12">
        <v>0</v>
      </c>
      <c r="AO59" s="12">
        <v>2</v>
      </c>
      <c r="AP59" s="12">
        <f t="shared" si="0"/>
        <v>2</v>
      </c>
    </row>
    <row r="60" spans="1:42" ht="16.25" customHeight="1" x14ac:dyDescent="0.2">
      <c r="A60" s="43" t="s">
        <v>965</v>
      </c>
      <c r="B60" s="10" t="s">
        <v>85</v>
      </c>
      <c r="C60" s="29" t="s">
        <v>966</v>
      </c>
      <c r="D60" s="10" t="s">
        <v>967</v>
      </c>
      <c r="E60" s="10" t="s">
        <v>26</v>
      </c>
      <c r="F60" s="10"/>
      <c r="G60" s="10" t="s">
        <v>24</v>
      </c>
      <c r="H60" s="10"/>
      <c r="I60" s="30" t="s">
        <v>1229</v>
      </c>
      <c r="J60" s="30" t="s">
        <v>1230</v>
      </c>
      <c r="K60" s="30" t="s">
        <v>1238</v>
      </c>
      <c r="L60" s="30" t="s">
        <v>1232</v>
      </c>
      <c r="M60" s="18" t="s">
        <v>26</v>
      </c>
      <c r="N60" s="18">
        <v>0</v>
      </c>
      <c r="O60" s="18">
        <v>0</v>
      </c>
      <c r="P60" s="18">
        <v>0</v>
      </c>
      <c r="Q60" s="18">
        <v>1</v>
      </c>
      <c r="R60" s="17">
        <v>2</v>
      </c>
      <c r="S60" s="17">
        <v>30</v>
      </c>
      <c r="T60" t="e">
        <f>_xlfn.XLOOKUP(A60,Master!#REF!,Master!G:G)</f>
        <v>#REF!</v>
      </c>
      <c r="W60">
        <v>58</v>
      </c>
      <c r="Y60">
        <v>67</v>
      </c>
      <c r="AA60">
        <v>2</v>
      </c>
      <c r="AB60">
        <v>26</v>
      </c>
      <c r="AC60" t="s">
        <v>997</v>
      </c>
      <c r="AD60" s="12">
        <v>0</v>
      </c>
      <c r="AE60" s="12">
        <v>1</v>
      </c>
      <c r="AI60" t="s">
        <v>72</v>
      </c>
      <c r="AJ60">
        <v>13</v>
      </c>
      <c r="AN60" s="12">
        <v>0</v>
      </c>
      <c r="AO60" s="12">
        <v>2</v>
      </c>
      <c r="AP60" s="12">
        <f t="shared" si="0"/>
        <v>2</v>
      </c>
    </row>
    <row r="61" spans="1:42" ht="16.25" customHeight="1" x14ac:dyDescent="0.2">
      <c r="A61" s="32" t="s">
        <v>969</v>
      </c>
      <c r="B61" s="32" t="s">
        <v>85</v>
      </c>
      <c r="C61" s="33" t="s">
        <v>970</v>
      </c>
      <c r="D61" s="33" t="s">
        <v>971</v>
      </c>
      <c r="E61" s="32" t="s">
        <v>26</v>
      </c>
      <c r="F61" s="32"/>
      <c r="G61" s="32" t="s">
        <v>24</v>
      </c>
      <c r="H61" s="32" t="s">
        <v>972</v>
      </c>
      <c r="I61" s="30" t="s">
        <v>1229</v>
      </c>
      <c r="J61" s="30" t="s">
        <v>1230</v>
      </c>
      <c r="K61" s="30" t="s">
        <v>1239</v>
      </c>
      <c r="L61" s="30" t="s">
        <v>1232</v>
      </c>
      <c r="M61" s="15" t="s">
        <v>26</v>
      </c>
      <c r="N61" s="15">
        <v>0</v>
      </c>
      <c r="O61" s="15">
        <v>0</v>
      </c>
      <c r="P61" s="15">
        <v>0</v>
      </c>
      <c r="Q61" s="15">
        <v>1</v>
      </c>
      <c r="R61" s="17">
        <v>2</v>
      </c>
      <c r="S61" s="17">
        <v>30</v>
      </c>
      <c r="T61" t="e">
        <f>_xlfn.XLOOKUP(A61,Master!#REF!,Master!G:G)</f>
        <v>#REF!</v>
      </c>
      <c r="W61">
        <v>59</v>
      </c>
      <c r="AA61">
        <v>2</v>
      </c>
      <c r="AB61">
        <v>26</v>
      </c>
      <c r="AC61" t="s">
        <v>1001</v>
      </c>
      <c r="AD61" s="12">
        <v>0</v>
      </c>
      <c r="AE61" s="12">
        <v>1</v>
      </c>
      <c r="AI61" t="s">
        <v>72</v>
      </c>
      <c r="AJ61">
        <v>14</v>
      </c>
      <c r="AN61" s="12">
        <v>0</v>
      </c>
      <c r="AO61" s="12">
        <v>2</v>
      </c>
      <c r="AP61" s="12">
        <f t="shared" si="0"/>
        <v>2</v>
      </c>
    </row>
    <row r="62" spans="1:42" ht="16.25" customHeight="1" x14ac:dyDescent="0.2">
      <c r="A62" s="10" t="s">
        <v>87</v>
      </c>
      <c r="B62" s="10" t="s">
        <v>85</v>
      </c>
      <c r="C62" s="29" t="s">
        <v>88</v>
      </c>
      <c r="D62" s="29" t="s">
        <v>89</v>
      </c>
      <c r="E62" s="10" t="s">
        <v>26</v>
      </c>
      <c r="F62" s="10"/>
      <c r="G62" s="10" t="s">
        <v>24</v>
      </c>
      <c r="H62" s="10"/>
      <c r="I62" s="30" t="s">
        <v>1229</v>
      </c>
      <c r="J62" s="30" t="s">
        <v>1230</v>
      </c>
      <c r="K62" s="30" t="s">
        <v>1236</v>
      </c>
      <c r="L62" s="30" t="s">
        <v>1232</v>
      </c>
      <c r="M62" s="18" t="s">
        <v>26</v>
      </c>
      <c r="N62" s="18">
        <v>0</v>
      </c>
      <c r="O62" s="18">
        <v>0</v>
      </c>
      <c r="P62" s="18">
        <v>0</v>
      </c>
      <c r="Q62" s="18">
        <v>1</v>
      </c>
      <c r="R62" s="17">
        <v>2</v>
      </c>
      <c r="S62" s="17">
        <v>31</v>
      </c>
      <c r="T62" t="e">
        <f>_xlfn.XLOOKUP(A62,Master!#REF!,Master!G:G)</f>
        <v>#REF!</v>
      </c>
      <c r="W62">
        <v>60</v>
      </c>
      <c r="AA62">
        <v>2</v>
      </c>
      <c r="AB62">
        <v>27</v>
      </c>
      <c r="AC62" t="s">
        <v>989</v>
      </c>
      <c r="AD62" s="12">
        <v>0</v>
      </c>
      <c r="AE62" s="12">
        <v>1</v>
      </c>
      <c r="AI62" t="s">
        <v>72</v>
      </c>
      <c r="AJ62">
        <v>15</v>
      </c>
      <c r="AN62" s="12">
        <v>0</v>
      </c>
      <c r="AO62" s="12">
        <v>2</v>
      </c>
      <c r="AP62" s="12">
        <f t="shared" si="0"/>
        <v>2</v>
      </c>
    </row>
    <row r="63" spans="1:42" ht="16.25" customHeight="1" x14ac:dyDescent="0.2">
      <c r="A63" s="15" t="s">
        <v>959</v>
      </c>
      <c r="B63" s="15" t="s">
        <v>85</v>
      </c>
      <c r="C63" s="44" t="s">
        <v>960</v>
      </c>
      <c r="D63" s="44" t="s">
        <v>961</v>
      </c>
      <c r="E63" s="15" t="s">
        <v>26</v>
      </c>
      <c r="F63" s="15"/>
      <c r="G63" s="15" t="s">
        <v>24</v>
      </c>
      <c r="H63" s="15"/>
      <c r="I63" s="30" t="s">
        <v>1229</v>
      </c>
      <c r="J63" s="30" t="s">
        <v>1230</v>
      </c>
      <c r="K63" s="30" t="s">
        <v>1238</v>
      </c>
      <c r="L63" s="30" t="s">
        <v>1232</v>
      </c>
      <c r="M63" s="15" t="s">
        <v>26</v>
      </c>
      <c r="N63" s="15">
        <v>0</v>
      </c>
      <c r="O63" s="15">
        <v>0</v>
      </c>
      <c r="P63" s="15">
        <v>0</v>
      </c>
      <c r="Q63" s="15">
        <v>1</v>
      </c>
      <c r="R63" s="17">
        <v>2</v>
      </c>
      <c r="S63" s="17">
        <v>31</v>
      </c>
      <c r="T63" t="e">
        <f>_xlfn.XLOOKUP(A63,Master!#REF!,Master!G:G)</f>
        <v>#REF!</v>
      </c>
      <c r="W63">
        <v>62</v>
      </c>
      <c r="AA63">
        <v>2</v>
      </c>
      <c r="AB63">
        <v>27</v>
      </c>
      <c r="AC63" t="s">
        <v>993</v>
      </c>
      <c r="AD63" s="12">
        <v>0</v>
      </c>
      <c r="AE63" s="12">
        <v>1</v>
      </c>
      <c r="AI63" t="s">
        <v>72</v>
      </c>
      <c r="AJ63">
        <v>16</v>
      </c>
      <c r="AN63" s="12">
        <v>0</v>
      </c>
      <c r="AO63" s="12">
        <v>2</v>
      </c>
      <c r="AP63" s="12">
        <f t="shared" si="0"/>
        <v>2</v>
      </c>
    </row>
    <row r="64" spans="1:42" ht="16.25" customHeight="1" x14ac:dyDescent="0.2">
      <c r="A64" s="15" t="s">
        <v>951</v>
      </c>
      <c r="B64" s="15" t="s">
        <v>85</v>
      </c>
      <c r="C64" s="44" t="s">
        <v>952</v>
      </c>
      <c r="D64" s="44" t="s">
        <v>953</v>
      </c>
      <c r="E64" s="15" t="s">
        <v>26</v>
      </c>
      <c r="F64" s="15"/>
      <c r="G64" s="15" t="s">
        <v>24</v>
      </c>
      <c r="H64" s="15"/>
      <c r="I64" s="30" t="s">
        <v>1229</v>
      </c>
      <c r="J64" s="30" t="s">
        <v>1230</v>
      </c>
      <c r="K64" s="30" t="s">
        <v>1238</v>
      </c>
      <c r="L64" s="30" t="s">
        <v>1232</v>
      </c>
      <c r="M64" s="15" t="s">
        <v>26</v>
      </c>
      <c r="N64" s="15">
        <v>0</v>
      </c>
      <c r="O64" s="15">
        <v>0</v>
      </c>
      <c r="P64" s="15">
        <v>0</v>
      </c>
      <c r="Q64" s="15">
        <v>1</v>
      </c>
      <c r="R64" s="17">
        <v>2</v>
      </c>
      <c r="S64" s="17">
        <v>32</v>
      </c>
      <c r="T64" t="e">
        <f>_xlfn.XLOOKUP(A64,Master!#REF!,Master!G:G)</f>
        <v>#REF!</v>
      </c>
      <c r="W64">
        <v>61</v>
      </c>
      <c r="AA64">
        <v>2</v>
      </c>
      <c r="AB64">
        <v>28</v>
      </c>
      <c r="AC64" t="s">
        <v>986</v>
      </c>
      <c r="AD64" s="12">
        <v>0</v>
      </c>
      <c r="AE64" s="12">
        <v>1</v>
      </c>
      <c r="AI64" t="s">
        <v>72</v>
      </c>
      <c r="AJ64">
        <v>17</v>
      </c>
      <c r="AN64" s="12">
        <v>0</v>
      </c>
      <c r="AO64" s="12">
        <v>2</v>
      </c>
      <c r="AP64" s="12">
        <f t="shared" si="0"/>
        <v>2</v>
      </c>
    </row>
    <row r="65" spans="1:42" ht="16.25" customHeight="1" x14ac:dyDescent="0.2">
      <c r="A65" s="18" t="s">
        <v>955</v>
      </c>
      <c r="B65" s="18" t="s">
        <v>85</v>
      </c>
      <c r="C65" s="41" t="s">
        <v>956</v>
      </c>
      <c r="D65" s="41" t="s">
        <v>957</v>
      </c>
      <c r="E65" s="18" t="s">
        <v>26</v>
      </c>
      <c r="F65" s="18"/>
      <c r="G65" s="18" t="s">
        <v>24</v>
      </c>
      <c r="H65" s="18"/>
      <c r="I65" s="30" t="s">
        <v>1229</v>
      </c>
      <c r="J65" s="30" t="s">
        <v>1230</v>
      </c>
      <c r="K65" s="30" t="s">
        <v>1238</v>
      </c>
      <c r="L65" s="30" t="s">
        <v>1232</v>
      </c>
      <c r="M65" s="18" t="s">
        <v>26</v>
      </c>
      <c r="N65" s="18">
        <v>0</v>
      </c>
      <c r="O65" s="18">
        <v>0</v>
      </c>
      <c r="P65" s="18">
        <v>0</v>
      </c>
      <c r="Q65" s="18">
        <v>1</v>
      </c>
      <c r="R65" s="17">
        <v>2</v>
      </c>
      <c r="S65" s="17">
        <v>32</v>
      </c>
      <c r="T65" t="e">
        <f>_xlfn.XLOOKUP(A65,Master!#REF!,Master!G:G)</f>
        <v>#REF!</v>
      </c>
      <c r="W65">
        <v>69</v>
      </c>
      <c r="AA65">
        <v>2</v>
      </c>
      <c r="AB65">
        <v>28</v>
      </c>
      <c r="AC65" t="s">
        <v>982</v>
      </c>
      <c r="AD65" s="12">
        <v>0</v>
      </c>
      <c r="AE65" s="12">
        <v>1</v>
      </c>
      <c r="AI65" t="s">
        <v>72</v>
      </c>
      <c r="AJ65">
        <v>18</v>
      </c>
      <c r="AN65" s="12">
        <v>0</v>
      </c>
      <c r="AO65" s="12">
        <v>2</v>
      </c>
      <c r="AP65" s="12">
        <f t="shared" si="0"/>
        <v>2</v>
      </c>
    </row>
    <row r="66" spans="1:42" ht="16.25" customHeight="1" x14ac:dyDescent="0.2">
      <c r="A66" s="10" t="s">
        <v>943</v>
      </c>
      <c r="B66" s="10" t="s">
        <v>85</v>
      </c>
      <c r="C66" s="29" t="s">
        <v>944</v>
      </c>
      <c r="D66" s="29" t="s">
        <v>945</v>
      </c>
      <c r="E66" s="10" t="s">
        <v>26</v>
      </c>
      <c r="F66" s="10"/>
      <c r="G66" s="10" t="s">
        <v>24</v>
      </c>
      <c r="H66" s="10"/>
      <c r="I66" s="30" t="s">
        <v>1229</v>
      </c>
      <c r="J66" s="30" t="s">
        <v>1230</v>
      </c>
      <c r="K66" s="30" t="s">
        <v>1238</v>
      </c>
      <c r="L66" s="30" t="s">
        <v>1232</v>
      </c>
      <c r="M66" s="18" t="s">
        <v>26</v>
      </c>
      <c r="N66" s="18">
        <v>0</v>
      </c>
      <c r="O66" s="18">
        <v>0</v>
      </c>
      <c r="P66" s="18">
        <v>0</v>
      </c>
      <c r="Q66" s="18">
        <v>1</v>
      </c>
      <c r="R66" s="17">
        <v>2</v>
      </c>
      <c r="S66" s="17">
        <v>33</v>
      </c>
      <c r="T66" t="e">
        <f>_xlfn.XLOOKUP(A66,Master!#REF!,Master!G:G)</f>
        <v>#REF!</v>
      </c>
      <c r="W66">
        <v>63</v>
      </c>
      <c r="AA66">
        <v>2</v>
      </c>
      <c r="AB66">
        <v>29</v>
      </c>
      <c r="AC66" t="s">
        <v>978</v>
      </c>
      <c r="AD66" s="12">
        <v>0</v>
      </c>
      <c r="AE66" s="12">
        <v>1</v>
      </c>
      <c r="AI66" t="s">
        <v>72</v>
      </c>
      <c r="AJ66">
        <v>19</v>
      </c>
      <c r="AN66" s="12">
        <v>0</v>
      </c>
      <c r="AO66" s="12">
        <v>2</v>
      </c>
      <c r="AP66" s="12">
        <f t="shared" si="0"/>
        <v>2</v>
      </c>
    </row>
    <row r="67" spans="1:42" ht="16.25" customHeight="1" x14ac:dyDescent="0.2">
      <c r="A67" s="10" t="s">
        <v>947</v>
      </c>
      <c r="B67" s="10" t="s">
        <v>85</v>
      </c>
      <c r="C67" s="29" t="s">
        <v>948</v>
      </c>
      <c r="D67" s="29" t="s">
        <v>949</v>
      </c>
      <c r="E67" s="10" t="s">
        <v>26</v>
      </c>
      <c r="F67" s="10"/>
      <c r="G67" s="10" t="s">
        <v>24</v>
      </c>
      <c r="H67" s="10"/>
      <c r="I67" s="30" t="s">
        <v>1229</v>
      </c>
      <c r="J67" s="30" t="s">
        <v>1230</v>
      </c>
      <c r="K67" s="30" t="s">
        <v>1238</v>
      </c>
      <c r="L67" s="30" t="s">
        <v>1232</v>
      </c>
      <c r="M67" s="18" t="s">
        <v>26</v>
      </c>
      <c r="N67" s="18">
        <v>0</v>
      </c>
      <c r="O67" s="18">
        <v>0</v>
      </c>
      <c r="P67" s="18">
        <v>0</v>
      </c>
      <c r="Q67" s="18">
        <v>1</v>
      </c>
      <c r="R67" s="17">
        <v>2</v>
      </c>
      <c r="S67" s="17">
        <v>33</v>
      </c>
      <c r="T67" t="e">
        <f>_xlfn.XLOOKUP(A67,Master!#REF!,Master!G:G)</f>
        <v>#REF!</v>
      </c>
      <c r="W67">
        <v>64</v>
      </c>
      <c r="AA67">
        <v>2</v>
      </c>
      <c r="AB67">
        <v>29</v>
      </c>
      <c r="AC67" t="s">
        <v>974</v>
      </c>
      <c r="AD67" s="12">
        <v>0</v>
      </c>
      <c r="AE67" s="12">
        <v>1</v>
      </c>
      <c r="AI67" t="s">
        <v>72</v>
      </c>
      <c r="AJ67">
        <v>20</v>
      </c>
      <c r="AN67" s="12">
        <v>0</v>
      </c>
      <c r="AO67" s="12">
        <v>2</v>
      </c>
      <c r="AP67" s="12">
        <f t="shared" si="0"/>
        <v>2</v>
      </c>
    </row>
    <row r="68" spans="1:42" ht="16.25" customHeight="1" x14ac:dyDescent="0.2">
      <c r="A68" s="10" t="s">
        <v>935</v>
      </c>
      <c r="B68" s="10" t="s">
        <v>85</v>
      </c>
      <c r="C68" s="29" t="s">
        <v>936</v>
      </c>
      <c r="D68" s="29" t="s">
        <v>937</v>
      </c>
      <c r="E68" s="10" t="s">
        <v>26</v>
      </c>
      <c r="F68" s="10"/>
      <c r="G68" s="10" t="s">
        <v>24</v>
      </c>
      <c r="H68" s="10"/>
      <c r="I68" s="30" t="s">
        <v>1229</v>
      </c>
      <c r="J68" s="30" t="s">
        <v>1230</v>
      </c>
      <c r="K68" s="30" t="s">
        <v>1238</v>
      </c>
      <c r="L68" s="30" t="s">
        <v>1232</v>
      </c>
      <c r="M68" s="18" t="s">
        <v>26</v>
      </c>
      <c r="N68" s="18">
        <v>0</v>
      </c>
      <c r="O68" s="18">
        <v>0</v>
      </c>
      <c r="P68" s="18">
        <v>0</v>
      </c>
      <c r="Q68" s="18">
        <v>1</v>
      </c>
      <c r="R68" s="17">
        <v>2</v>
      </c>
      <c r="S68" s="17">
        <v>34</v>
      </c>
      <c r="T68" t="e">
        <f>_xlfn.XLOOKUP(A68,Master!#REF!,Master!G:G)</f>
        <v>#REF!</v>
      </c>
      <c r="W68">
        <v>65</v>
      </c>
      <c r="AA68">
        <v>2</v>
      </c>
      <c r="AB68">
        <v>30</v>
      </c>
      <c r="AC68" t="s">
        <v>969</v>
      </c>
      <c r="AD68" s="12">
        <v>0</v>
      </c>
      <c r="AE68" s="12">
        <v>1</v>
      </c>
      <c r="AI68" t="s">
        <v>72</v>
      </c>
      <c r="AJ68">
        <v>21</v>
      </c>
      <c r="AN68" s="12">
        <v>0</v>
      </c>
      <c r="AO68" s="12">
        <v>2</v>
      </c>
      <c r="AP68" s="12">
        <f t="shared" si="0"/>
        <v>2</v>
      </c>
    </row>
    <row r="69" spans="1:42" ht="16.25" customHeight="1" x14ac:dyDescent="0.2">
      <c r="A69" s="10" t="s">
        <v>939</v>
      </c>
      <c r="B69" s="10" t="s">
        <v>85</v>
      </c>
      <c r="C69" s="29" t="s">
        <v>940</v>
      </c>
      <c r="D69" s="29" t="s">
        <v>941</v>
      </c>
      <c r="E69" s="10" t="s">
        <v>26</v>
      </c>
      <c r="F69" s="42"/>
      <c r="G69" s="10" t="s">
        <v>24</v>
      </c>
      <c r="H69" s="10"/>
      <c r="I69" s="30" t="s">
        <v>1229</v>
      </c>
      <c r="J69" s="30" t="s">
        <v>1230</v>
      </c>
      <c r="K69" s="30" t="s">
        <v>1238</v>
      </c>
      <c r="L69" s="30" t="s">
        <v>1232</v>
      </c>
      <c r="M69" s="18" t="s">
        <v>26</v>
      </c>
      <c r="N69" s="18">
        <v>0</v>
      </c>
      <c r="O69" s="18">
        <v>0</v>
      </c>
      <c r="P69" s="18">
        <v>0</v>
      </c>
      <c r="Q69" s="18">
        <v>1</v>
      </c>
      <c r="R69" s="17">
        <v>2</v>
      </c>
      <c r="S69" s="17">
        <v>34</v>
      </c>
      <c r="T69" t="e">
        <f>_xlfn.XLOOKUP(A69,Master!#REF!,Master!G:G)</f>
        <v>#REF!</v>
      </c>
      <c r="W69">
        <v>66</v>
      </c>
      <c r="AA69">
        <v>2</v>
      </c>
      <c r="AB69">
        <v>30</v>
      </c>
      <c r="AC69" t="s">
        <v>965</v>
      </c>
      <c r="AD69" s="12">
        <v>0</v>
      </c>
      <c r="AE69" s="12">
        <v>1</v>
      </c>
      <c r="AI69" t="s">
        <v>72</v>
      </c>
      <c r="AJ69">
        <v>22</v>
      </c>
      <c r="AN69" s="12">
        <v>0</v>
      </c>
      <c r="AO69" s="12">
        <v>2</v>
      </c>
      <c r="AP69" s="12">
        <f t="shared" ref="AP69:AP132" si="1">AO69</f>
        <v>2</v>
      </c>
    </row>
    <row r="70" spans="1:42" ht="16.25" customHeight="1" x14ac:dyDescent="0.2">
      <c r="A70" s="18" t="s">
        <v>927</v>
      </c>
      <c r="B70" s="18" t="s">
        <v>85</v>
      </c>
      <c r="C70" s="41" t="s">
        <v>928</v>
      </c>
      <c r="D70" s="41" t="s">
        <v>929</v>
      </c>
      <c r="E70" s="18" t="s">
        <v>26</v>
      </c>
      <c r="F70" s="18"/>
      <c r="G70" s="18" t="s">
        <v>24</v>
      </c>
      <c r="H70" s="18"/>
      <c r="I70" s="30" t="s">
        <v>1229</v>
      </c>
      <c r="J70" s="30" t="s">
        <v>1230</v>
      </c>
      <c r="K70" s="30" t="s">
        <v>1240</v>
      </c>
      <c r="L70" s="30" t="s">
        <v>1232</v>
      </c>
      <c r="M70" s="18" t="s">
        <v>26</v>
      </c>
      <c r="N70" s="18">
        <v>0</v>
      </c>
      <c r="O70" s="18">
        <v>0</v>
      </c>
      <c r="P70" s="18">
        <v>0</v>
      </c>
      <c r="Q70" s="18">
        <v>1</v>
      </c>
      <c r="R70" s="62">
        <v>3</v>
      </c>
      <c r="S70" s="62">
        <v>35</v>
      </c>
      <c r="T70" t="e">
        <f>_xlfn.XLOOKUP(A70,Master!#REF!,Master!G:G)</f>
        <v>#REF!</v>
      </c>
      <c r="W70">
        <v>67</v>
      </c>
      <c r="AA70">
        <v>2</v>
      </c>
      <c r="AB70">
        <v>31</v>
      </c>
      <c r="AC70" t="s">
        <v>959</v>
      </c>
      <c r="AD70" s="12">
        <v>0</v>
      </c>
      <c r="AE70" s="12">
        <v>1</v>
      </c>
      <c r="AI70" t="s">
        <v>72</v>
      </c>
      <c r="AJ70">
        <v>23</v>
      </c>
      <c r="AN70" s="12">
        <v>0</v>
      </c>
      <c r="AO70" s="12">
        <v>2</v>
      </c>
      <c r="AP70" s="12">
        <f t="shared" si="1"/>
        <v>2</v>
      </c>
    </row>
    <row r="71" spans="1:42" ht="16.25" customHeight="1" x14ac:dyDescent="0.2">
      <c r="A71" s="32" t="s">
        <v>931</v>
      </c>
      <c r="B71" s="32" t="s">
        <v>85</v>
      </c>
      <c r="C71" s="33" t="s">
        <v>932</v>
      </c>
      <c r="D71" s="33" t="s">
        <v>933</v>
      </c>
      <c r="E71" s="32" t="s">
        <v>26</v>
      </c>
      <c r="F71" s="32"/>
      <c r="G71" s="32" t="s">
        <v>24</v>
      </c>
      <c r="H71" s="32"/>
      <c r="I71" s="30" t="s">
        <v>1229</v>
      </c>
      <c r="J71" s="30" t="s">
        <v>1230</v>
      </c>
      <c r="K71" s="30" t="s">
        <v>1239</v>
      </c>
      <c r="L71" s="30" t="s">
        <v>1232</v>
      </c>
      <c r="M71" s="15" t="s">
        <v>26</v>
      </c>
      <c r="N71" s="15">
        <v>0</v>
      </c>
      <c r="O71" s="15">
        <v>0</v>
      </c>
      <c r="P71" s="15">
        <v>0</v>
      </c>
      <c r="Q71" s="15">
        <v>1</v>
      </c>
      <c r="R71" s="62">
        <v>3</v>
      </c>
      <c r="S71" s="62">
        <v>35</v>
      </c>
      <c r="T71" t="e">
        <f>_xlfn.XLOOKUP(A71,Master!#REF!,Master!G:G)</f>
        <v>#REF!</v>
      </c>
      <c r="W71">
        <v>68</v>
      </c>
      <c r="AA71">
        <v>2</v>
      </c>
      <c r="AB71">
        <v>31</v>
      </c>
      <c r="AC71" t="s">
        <v>87</v>
      </c>
      <c r="AD71" s="12">
        <v>0</v>
      </c>
      <c r="AE71" s="12">
        <v>1</v>
      </c>
      <c r="AI71" t="s">
        <v>72</v>
      </c>
      <c r="AJ71">
        <v>24</v>
      </c>
      <c r="AN71" s="12">
        <v>0</v>
      </c>
      <c r="AO71" s="12">
        <v>2</v>
      </c>
      <c r="AP71" s="12">
        <f t="shared" si="1"/>
        <v>2</v>
      </c>
    </row>
    <row r="72" spans="1:42" ht="16.25" customHeight="1" x14ac:dyDescent="0.2">
      <c r="A72" s="32" t="s">
        <v>919</v>
      </c>
      <c r="B72" s="32" t="s">
        <v>85</v>
      </c>
      <c r="C72" s="33" t="s">
        <v>920</v>
      </c>
      <c r="D72" s="33" t="s">
        <v>921</v>
      </c>
      <c r="E72" s="32" t="s">
        <v>26</v>
      </c>
      <c r="F72" s="32"/>
      <c r="G72" s="32" t="s">
        <v>24</v>
      </c>
      <c r="H72" s="32"/>
      <c r="I72" s="30" t="s">
        <v>1229</v>
      </c>
      <c r="J72" s="30" t="s">
        <v>1230</v>
      </c>
      <c r="K72" s="30" t="s">
        <v>1240</v>
      </c>
      <c r="L72" s="30" t="s">
        <v>1232</v>
      </c>
      <c r="M72" s="15" t="s">
        <v>26</v>
      </c>
      <c r="N72" s="15">
        <v>0</v>
      </c>
      <c r="O72" s="15">
        <v>0</v>
      </c>
      <c r="P72" s="15">
        <v>0</v>
      </c>
      <c r="Q72" s="15">
        <v>1</v>
      </c>
      <c r="R72" s="62">
        <v>3</v>
      </c>
      <c r="S72" s="62">
        <v>36</v>
      </c>
      <c r="T72" t="e">
        <f>_xlfn.XLOOKUP(A72,Master!#REF!,Master!G:G)</f>
        <v>#REF!</v>
      </c>
      <c r="W72">
        <v>70</v>
      </c>
      <c r="AA72">
        <v>2</v>
      </c>
      <c r="AB72">
        <v>32</v>
      </c>
      <c r="AC72" t="s">
        <v>955</v>
      </c>
      <c r="AD72" s="12">
        <v>0</v>
      </c>
      <c r="AE72" s="12">
        <v>1</v>
      </c>
      <c r="AI72" t="s">
        <v>72</v>
      </c>
      <c r="AJ72">
        <v>25</v>
      </c>
      <c r="AN72" s="12">
        <v>0</v>
      </c>
      <c r="AO72" s="12">
        <v>2</v>
      </c>
      <c r="AP72" s="12">
        <f t="shared" si="1"/>
        <v>2</v>
      </c>
    </row>
    <row r="73" spans="1:42" ht="16.25" customHeight="1" x14ac:dyDescent="0.2">
      <c r="A73" s="10" t="s">
        <v>923</v>
      </c>
      <c r="B73" s="10" t="s">
        <v>85</v>
      </c>
      <c r="C73" s="29" t="s">
        <v>924</v>
      </c>
      <c r="D73" s="29" t="s">
        <v>925</v>
      </c>
      <c r="E73" s="10" t="s">
        <v>26</v>
      </c>
      <c r="F73" s="10"/>
      <c r="G73" s="10" t="s">
        <v>24</v>
      </c>
      <c r="H73" s="10"/>
      <c r="I73" s="30" t="s">
        <v>1229</v>
      </c>
      <c r="J73" s="30" t="s">
        <v>1230</v>
      </c>
      <c r="K73" s="30" t="s">
        <v>1240</v>
      </c>
      <c r="L73" s="30" t="s">
        <v>1232</v>
      </c>
      <c r="M73" s="18" t="s">
        <v>26</v>
      </c>
      <c r="N73" s="18">
        <v>0</v>
      </c>
      <c r="O73" s="18">
        <v>0</v>
      </c>
      <c r="P73" s="18">
        <v>0</v>
      </c>
      <c r="Q73" s="18">
        <v>1</v>
      </c>
      <c r="R73" s="62">
        <v>3</v>
      </c>
      <c r="S73" s="62">
        <v>36</v>
      </c>
      <c r="T73" t="e">
        <f>_xlfn.XLOOKUP(A73,Master!#REF!,Master!G:G)</f>
        <v>#REF!</v>
      </c>
      <c r="W73">
        <v>71</v>
      </c>
      <c r="AA73">
        <v>2</v>
      </c>
      <c r="AB73">
        <v>32</v>
      </c>
      <c r="AC73" t="s">
        <v>951</v>
      </c>
      <c r="AD73" s="12">
        <v>0</v>
      </c>
      <c r="AE73" s="12">
        <v>1</v>
      </c>
      <c r="AI73" t="s">
        <v>72</v>
      </c>
      <c r="AJ73">
        <v>26</v>
      </c>
      <c r="AN73" s="12">
        <v>0</v>
      </c>
      <c r="AO73" s="12">
        <v>2</v>
      </c>
      <c r="AP73" s="12">
        <f t="shared" si="1"/>
        <v>2</v>
      </c>
    </row>
    <row r="74" spans="1:42" ht="16.25" customHeight="1" x14ac:dyDescent="0.2">
      <c r="A74" s="15" t="s">
        <v>754</v>
      </c>
      <c r="B74" s="15" t="s">
        <v>85</v>
      </c>
      <c r="C74" s="44" t="s">
        <v>755</v>
      </c>
      <c r="D74" s="44" t="s">
        <v>756</v>
      </c>
      <c r="E74" s="15" t="s">
        <v>26</v>
      </c>
      <c r="F74" s="15"/>
      <c r="G74" s="15" t="s">
        <v>24</v>
      </c>
      <c r="H74" s="15"/>
      <c r="I74" s="30" t="s">
        <v>1229</v>
      </c>
      <c r="J74" s="30" t="s">
        <v>1230</v>
      </c>
      <c r="K74" s="30" t="s">
        <v>1241</v>
      </c>
      <c r="L74" s="30" t="s">
        <v>1232</v>
      </c>
      <c r="M74" s="15" t="s">
        <v>26</v>
      </c>
      <c r="N74" s="15">
        <v>0</v>
      </c>
      <c r="O74" s="15">
        <v>0</v>
      </c>
      <c r="P74" s="15">
        <v>0</v>
      </c>
      <c r="Q74" s="15">
        <v>1</v>
      </c>
      <c r="R74" s="62">
        <v>3</v>
      </c>
      <c r="S74" s="62">
        <v>37</v>
      </c>
      <c r="T74" t="e">
        <f>_xlfn.XLOOKUP(A74,Master!#REF!,Master!G:G)</f>
        <v>#REF!</v>
      </c>
      <c r="W74">
        <v>72</v>
      </c>
      <c r="AA74">
        <v>2</v>
      </c>
      <c r="AB74">
        <v>33</v>
      </c>
      <c r="AC74" t="s">
        <v>943</v>
      </c>
      <c r="AD74" s="12">
        <v>0</v>
      </c>
      <c r="AE74" s="12">
        <v>1</v>
      </c>
      <c r="AI74" t="s">
        <v>72</v>
      </c>
      <c r="AJ74">
        <v>27</v>
      </c>
      <c r="AN74" s="12">
        <v>0</v>
      </c>
      <c r="AO74" s="12">
        <v>2</v>
      </c>
      <c r="AP74" s="12">
        <f t="shared" si="1"/>
        <v>2</v>
      </c>
    </row>
    <row r="75" spans="1:42" ht="16.25" customHeight="1" x14ac:dyDescent="0.2">
      <c r="A75" s="32" t="s">
        <v>911</v>
      </c>
      <c r="B75" s="15" t="s">
        <v>85</v>
      </c>
      <c r="C75" s="33" t="s">
        <v>912</v>
      </c>
      <c r="D75" s="33" t="s">
        <v>913</v>
      </c>
      <c r="E75" s="32" t="s">
        <v>26</v>
      </c>
      <c r="F75" s="32"/>
      <c r="G75" s="32" t="s">
        <v>24</v>
      </c>
      <c r="H75" s="32"/>
      <c r="I75" s="30" t="s">
        <v>1229</v>
      </c>
      <c r="J75" s="30" t="s">
        <v>1230</v>
      </c>
      <c r="K75" s="30" t="s">
        <v>1241</v>
      </c>
      <c r="L75" s="30" t="s">
        <v>1232</v>
      </c>
      <c r="M75" s="15" t="s">
        <v>26</v>
      </c>
      <c r="N75" s="15">
        <v>0</v>
      </c>
      <c r="O75" s="15">
        <v>0</v>
      </c>
      <c r="P75" s="15">
        <v>0</v>
      </c>
      <c r="Q75" s="15">
        <v>1</v>
      </c>
      <c r="R75" s="62">
        <v>3</v>
      </c>
      <c r="S75" s="62">
        <v>37</v>
      </c>
      <c r="T75" t="e">
        <f>_xlfn.XLOOKUP(A75,Master!#REF!,Master!G:G)</f>
        <v>#REF!</v>
      </c>
      <c r="W75">
        <v>73</v>
      </c>
      <c r="AA75">
        <v>2</v>
      </c>
      <c r="AB75">
        <v>33</v>
      </c>
      <c r="AC75" t="s">
        <v>947</v>
      </c>
      <c r="AD75" s="12">
        <v>0</v>
      </c>
      <c r="AE75" s="12">
        <v>1</v>
      </c>
      <c r="AI75" t="s">
        <v>72</v>
      </c>
      <c r="AJ75">
        <v>28</v>
      </c>
      <c r="AN75" s="12">
        <v>0</v>
      </c>
      <c r="AO75" s="12">
        <v>2</v>
      </c>
      <c r="AP75" s="12">
        <f t="shared" si="1"/>
        <v>2</v>
      </c>
    </row>
    <row r="76" spans="1:42" ht="16.25" customHeight="1" x14ac:dyDescent="0.2">
      <c r="A76" s="10" t="s">
        <v>903</v>
      </c>
      <c r="B76" s="18" t="s">
        <v>85</v>
      </c>
      <c r="C76" s="29" t="s">
        <v>904</v>
      </c>
      <c r="D76" s="29" t="s">
        <v>905</v>
      </c>
      <c r="E76" s="10" t="s">
        <v>26</v>
      </c>
      <c r="F76" s="10"/>
      <c r="G76" s="10" t="s">
        <v>24</v>
      </c>
      <c r="H76" s="10"/>
      <c r="I76" s="30" t="s">
        <v>1229</v>
      </c>
      <c r="J76" s="30" t="s">
        <v>1230</v>
      </c>
      <c r="K76" s="30" t="s">
        <v>1241</v>
      </c>
      <c r="L76" s="30" t="s">
        <v>1232</v>
      </c>
      <c r="M76" s="18" t="s">
        <v>26</v>
      </c>
      <c r="N76" s="18">
        <v>0</v>
      </c>
      <c r="O76" s="18">
        <v>0</v>
      </c>
      <c r="P76" s="18">
        <v>0</v>
      </c>
      <c r="Q76" s="18">
        <v>1</v>
      </c>
      <c r="R76" s="62">
        <v>3</v>
      </c>
      <c r="S76" s="62">
        <v>38</v>
      </c>
      <c r="T76" t="e">
        <f>_xlfn.XLOOKUP(A76,Master!#REF!,Master!G:G)</f>
        <v>#REF!</v>
      </c>
      <c r="W76">
        <v>74</v>
      </c>
      <c r="AA76">
        <v>2</v>
      </c>
      <c r="AB76">
        <v>34</v>
      </c>
      <c r="AC76" t="s">
        <v>939</v>
      </c>
      <c r="AD76" s="12">
        <v>0</v>
      </c>
      <c r="AE76" s="12">
        <v>1</v>
      </c>
      <c r="AI76" t="s">
        <v>72</v>
      </c>
      <c r="AJ76">
        <v>29</v>
      </c>
      <c r="AN76" s="12">
        <v>0</v>
      </c>
      <c r="AO76" s="12">
        <v>2</v>
      </c>
      <c r="AP76" s="12">
        <f t="shared" si="1"/>
        <v>2</v>
      </c>
    </row>
    <row r="77" spans="1:42" ht="16.25" customHeight="1" x14ac:dyDescent="0.2">
      <c r="A77" s="10" t="s">
        <v>907</v>
      </c>
      <c r="B77" s="18" t="s">
        <v>85</v>
      </c>
      <c r="C77" s="29" t="s">
        <v>908</v>
      </c>
      <c r="D77" s="29" t="s">
        <v>909</v>
      </c>
      <c r="E77" s="10" t="s">
        <v>26</v>
      </c>
      <c r="F77" s="10"/>
      <c r="G77" s="10" t="s">
        <v>24</v>
      </c>
      <c r="H77" s="10"/>
      <c r="I77" s="30" t="s">
        <v>1229</v>
      </c>
      <c r="J77" s="30" t="s">
        <v>1230</v>
      </c>
      <c r="K77" s="30" t="s">
        <v>1241</v>
      </c>
      <c r="L77" s="30" t="s">
        <v>1232</v>
      </c>
      <c r="M77" s="18" t="s">
        <v>26</v>
      </c>
      <c r="N77" s="18">
        <v>0</v>
      </c>
      <c r="O77" s="18">
        <v>0</v>
      </c>
      <c r="P77" s="18">
        <v>0</v>
      </c>
      <c r="Q77" s="18">
        <v>1</v>
      </c>
      <c r="R77" s="62">
        <v>3</v>
      </c>
      <c r="S77" s="62">
        <v>38</v>
      </c>
      <c r="T77" t="e">
        <f>_xlfn.XLOOKUP(A77,Master!#REF!,Master!G:G)</f>
        <v>#REF!</v>
      </c>
      <c r="W77">
        <v>75</v>
      </c>
      <c r="AA77">
        <v>2</v>
      </c>
      <c r="AB77">
        <v>34</v>
      </c>
      <c r="AC77" t="s">
        <v>935</v>
      </c>
      <c r="AD77" s="12">
        <v>0</v>
      </c>
      <c r="AE77" s="12">
        <v>1</v>
      </c>
      <c r="AI77" t="s">
        <v>72</v>
      </c>
      <c r="AJ77">
        <v>30</v>
      </c>
      <c r="AN77" s="12">
        <v>0</v>
      </c>
      <c r="AO77" s="12">
        <v>2</v>
      </c>
      <c r="AP77" s="12">
        <f t="shared" si="1"/>
        <v>2</v>
      </c>
    </row>
    <row r="78" spans="1:42" ht="16.25" customHeight="1" x14ac:dyDescent="0.2">
      <c r="A78" s="10" t="s">
        <v>895</v>
      </c>
      <c r="B78" s="18" t="s">
        <v>85</v>
      </c>
      <c r="C78" s="29" t="s">
        <v>896</v>
      </c>
      <c r="D78" s="29" t="s">
        <v>897</v>
      </c>
      <c r="E78" s="10" t="s">
        <v>26</v>
      </c>
      <c r="F78" s="10"/>
      <c r="G78" s="10" t="s">
        <v>24</v>
      </c>
      <c r="H78" s="10"/>
      <c r="I78" s="30" t="s">
        <v>1229</v>
      </c>
      <c r="J78" s="30" t="s">
        <v>1230</v>
      </c>
      <c r="K78" s="30" t="s">
        <v>1241</v>
      </c>
      <c r="L78" s="30" t="s">
        <v>1232</v>
      </c>
      <c r="M78" s="18" t="s">
        <v>26</v>
      </c>
      <c r="N78" s="18">
        <v>0</v>
      </c>
      <c r="O78" s="18">
        <v>0</v>
      </c>
      <c r="P78" s="18">
        <v>0</v>
      </c>
      <c r="Q78" s="18">
        <v>1</v>
      </c>
      <c r="R78" s="62">
        <v>3</v>
      </c>
      <c r="S78" s="62">
        <v>39</v>
      </c>
      <c r="T78" t="e">
        <f>_xlfn.XLOOKUP(A78,Master!#REF!,Master!G:G)</f>
        <v>#REF!</v>
      </c>
      <c r="W78">
        <v>76</v>
      </c>
      <c r="AA78">
        <v>2</v>
      </c>
      <c r="AB78">
        <v>87</v>
      </c>
      <c r="AC78" t="s">
        <v>549</v>
      </c>
      <c r="AD78" s="12">
        <v>0</v>
      </c>
      <c r="AE78" s="12">
        <v>1</v>
      </c>
      <c r="AI78" t="s">
        <v>72</v>
      </c>
      <c r="AJ78">
        <v>35</v>
      </c>
      <c r="AN78" s="12">
        <v>0</v>
      </c>
      <c r="AO78" s="12">
        <v>2</v>
      </c>
      <c r="AP78" s="12">
        <f t="shared" si="1"/>
        <v>2</v>
      </c>
    </row>
    <row r="79" spans="1:42" ht="16.25" customHeight="1" x14ac:dyDescent="0.2">
      <c r="A79" s="32" t="s">
        <v>899</v>
      </c>
      <c r="B79" s="15" t="s">
        <v>85</v>
      </c>
      <c r="C79" s="33" t="s">
        <v>900</v>
      </c>
      <c r="D79" s="33" t="s">
        <v>901</v>
      </c>
      <c r="E79" s="32" t="s">
        <v>26</v>
      </c>
      <c r="F79" s="32"/>
      <c r="G79" s="32" t="s">
        <v>24</v>
      </c>
      <c r="H79" s="32"/>
      <c r="I79" s="30" t="s">
        <v>1229</v>
      </c>
      <c r="J79" s="30" t="s">
        <v>1230</v>
      </c>
      <c r="K79" s="30" t="s">
        <v>1241</v>
      </c>
      <c r="L79" s="30" t="s">
        <v>1232</v>
      </c>
      <c r="M79" s="15" t="s">
        <v>26</v>
      </c>
      <c r="N79" s="15">
        <v>0</v>
      </c>
      <c r="O79" s="15">
        <v>0</v>
      </c>
      <c r="P79" s="15">
        <v>0</v>
      </c>
      <c r="Q79" s="15">
        <v>1</v>
      </c>
      <c r="R79" s="62">
        <v>3</v>
      </c>
      <c r="S79" s="62">
        <v>39</v>
      </c>
      <c r="T79" t="e">
        <f>_xlfn.XLOOKUP(A79,Master!#REF!,Master!G:G)</f>
        <v>#REF!</v>
      </c>
      <c r="W79">
        <v>77</v>
      </c>
      <c r="AA79" t="s">
        <v>1216</v>
      </c>
      <c r="AD79" s="12">
        <v>0</v>
      </c>
      <c r="AE79" s="12">
        <v>37</v>
      </c>
      <c r="AI79" t="s">
        <v>72</v>
      </c>
      <c r="AJ79">
        <v>36</v>
      </c>
      <c r="AN79" s="12">
        <v>0</v>
      </c>
      <c r="AO79" s="12">
        <v>2</v>
      </c>
      <c r="AP79" s="12">
        <f t="shared" si="1"/>
        <v>2</v>
      </c>
    </row>
    <row r="80" spans="1:42" ht="16.25" customHeight="1" x14ac:dyDescent="0.2">
      <c r="A80" s="32" t="s">
        <v>887</v>
      </c>
      <c r="B80" s="15" t="s">
        <v>85</v>
      </c>
      <c r="C80" s="33" t="s">
        <v>888</v>
      </c>
      <c r="D80" s="33" t="s">
        <v>889</v>
      </c>
      <c r="E80" s="32" t="s">
        <v>26</v>
      </c>
      <c r="F80" s="32"/>
      <c r="G80" s="32" t="s">
        <v>24</v>
      </c>
      <c r="H80" s="32"/>
      <c r="I80" s="30" t="s">
        <v>1229</v>
      </c>
      <c r="J80" s="30" t="s">
        <v>1230</v>
      </c>
      <c r="K80" s="30" t="s">
        <v>1241</v>
      </c>
      <c r="L80" s="30" t="s">
        <v>1232</v>
      </c>
      <c r="M80" s="15" t="s">
        <v>26</v>
      </c>
      <c r="N80" s="15">
        <v>0</v>
      </c>
      <c r="O80" s="15">
        <v>0</v>
      </c>
      <c r="P80" s="15">
        <v>0</v>
      </c>
      <c r="Q80" s="15">
        <v>1</v>
      </c>
      <c r="R80" s="62">
        <v>3</v>
      </c>
      <c r="S80" s="62">
        <v>40</v>
      </c>
      <c r="T80" t="e">
        <f>_xlfn.XLOOKUP(A80,Master!#REF!,Master!G:G)</f>
        <v>#REF!</v>
      </c>
      <c r="W80">
        <v>78</v>
      </c>
      <c r="AA80">
        <v>3</v>
      </c>
      <c r="AB80">
        <v>35</v>
      </c>
      <c r="AC80" t="s">
        <v>931</v>
      </c>
      <c r="AD80" s="12">
        <v>0</v>
      </c>
      <c r="AE80" s="12">
        <v>1</v>
      </c>
      <c r="AI80" t="s">
        <v>72</v>
      </c>
      <c r="AJ80">
        <v>37</v>
      </c>
      <c r="AN80" s="12">
        <v>0</v>
      </c>
      <c r="AO80" s="12">
        <v>2</v>
      </c>
      <c r="AP80" s="12">
        <f t="shared" si="1"/>
        <v>2</v>
      </c>
    </row>
    <row r="81" spans="1:42" ht="16.25" customHeight="1" x14ac:dyDescent="0.2">
      <c r="A81" s="10" t="s">
        <v>762</v>
      </c>
      <c r="B81" s="18" t="s">
        <v>85</v>
      </c>
      <c r="C81" s="29" t="s">
        <v>636</v>
      </c>
      <c r="D81" s="29" t="s">
        <v>763</v>
      </c>
      <c r="E81" s="10" t="s">
        <v>26</v>
      </c>
      <c r="F81" s="42"/>
      <c r="G81" s="10" t="s">
        <v>24</v>
      </c>
      <c r="H81" s="10"/>
      <c r="I81" s="30" t="s">
        <v>1229</v>
      </c>
      <c r="J81" s="30" t="s">
        <v>1230</v>
      </c>
      <c r="K81" s="30" t="s">
        <v>1241</v>
      </c>
      <c r="L81" s="30" t="s">
        <v>1232</v>
      </c>
      <c r="M81" s="18" t="s">
        <v>26</v>
      </c>
      <c r="N81" s="18">
        <v>0</v>
      </c>
      <c r="O81" s="18">
        <v>0</v>
      </c>
      <c r="P81" s="18">
        <v>0</v>
      </c>
      <c r="Q81" s="18">
        <v>1</v>
      </c>
      <c r="R81" s="62">
        <v>4</v>
      </c>
      <c r="S81" s="62">
        <v>57</v>
      </c>
      <c r="T81" t="e">
        <f>_xlfn.XLOOKUP(A81,Master!#REF!,Master!G:G)</f>
        <v>#REF!</v>
      </c>
      <c r="W81">
        <v>79</v>
      </c>
      <c r="AA81">
        <v>3</v>
      </c>
      <c r="AB81">
        <v>35</v>
      </c>
      <c r="AC81" t="s">
        <v>927</v>
      </c>
      <c r="AD81" s="12">
        <v>0</v>
      </c>
      <c r="AE81" s="12">
        <v>1</v>
      </c>
      <c r="AI81" t="s">
        <v>72</v>
      </c>
      <c r="AJ81">
        <v>38</v>
      </c>
      <c r="AN81" s="12">
        <v>0</v>
      </c>
      <c r="AO81" s="12">
        <v>2</v>
      </c>
      <c r="AP81" s="12">
        <f t="shared" si="1"/>
        <v>2</v>
      </c>
    </row>
    <row r="82" spans="1:42" ht="16.25" customHeight="1" x14ac:dyDescent="0.2">
      <c r="A82" s="10" t="s">
        <v>879</v>
      </c>
      <c r="B82" s="18" t="s">
        <v>85</v>
      </c>
      <c r="C82" s="29" t="s">
        <v>880</v>
      </c>
      <c r="D82" s="29" t="s">
        <v>881</v>
      </c>
      <c r="E82" s="10" t="s">
        <v>26</v>
      </c>
      <c r="F82" s="42"/>
      <c r="G82" s="10" t="s">
        <v>24</v>
      </c>
      <c r="H82" s="10"/>
      <c r="I82" s="30" t="s">
        <v>1229</v>
      </c>
      <c r="J82" s="30" t="s">
        <v>1230</v>
      </c>
      <c r="K82" s="30" t="s">
        <v>1241</v>
      </c>
      <c r="L82" s="30" t="s">
        <v>1232</v>
      </c>
      <c r="M82" s="18" t="s">
        <v>26</v>
      </c>
      <c r="N82" s="18">
        <v>0</v>
      </c>
      <c r="O82" s="18">
        <v>0</v>
      </c>
      <c r="P82" s="18">
        <v>0</v>
      </c>
      <c r="Q82" s="18">
        <v>1</v>
      </c>
      <c r="R82" s="62">
        <v>3</v>
      </c>
      <c r="S82" s="62">
        <v>41</v>
      </c>
      <c r="T82" t="e">
        <f>_xlfn.XLOOKUP(A82,Master!#REF!,Master!G:G)</f>
        <v>#REF!</v>
      </c>
      <c r="W82">
        <v>80</v>
      </c>
      <c r="AA82">
        <v>3</v>
      </c>
      <c r="AB82">
        <v>36</v>
      </c>
      <c r="AC82" t="s">
        <v>919</v>
      </c>
      <c r="AD82" s="12">
        <v>0</v>
      </c>
      <c r="AE82" s="12">
        <v>1</v>
      </c>
      <c r="AI82" t="s">
        <v>72</v>
      </c>
      <c r="AJ82">
        <v>39</v>
      </c>
      <c r="AN82" s="12">
        <v>0</v>
      </c>
      <c r="AO82" s="12">
        <v>2</v>
      </c>
      <c r="AP82" s="12">
        <f t="shared" si="1"/>
        <v>2</v>
      </c>
    </row>
    <row r="83" spans="1:42" ht="16.25" customHeight="1" x14ac:dyDescent="0.2">
      <c r="A83" s="32" t="s">
        <v>883</v>
      </c>
      <c r="B83" s="15" t="s">
        <v>85</v>
      </c>
      <c r="C83" s="33" t="s">
        <v>884</v>
      </c>
      <c r="D83" s="33" t="s">
        <v>885</v>
      </c>
      <c r="E83" s="32" t="s">
        <v>26</v>
      </c>
      <c r="F83" s="39"/>
      <c r="G83" s="32" t="s">
        <v>24</v>
      </c>
      <c r="H83" s="32"/>
      <c r="I83" s="30" t="s">
        <v>1229</v>
      </c>
      <c r="J83" s="30" t="s">
        <v>1230</v>
      </c>
      <c r="K83" s="30" t="s">
        <v>1241</v>
      </c>
      <c r="L83" s="30" t="s">
        <v>1232</v>
      </c>
      <c r="M83" s="15" t="s">
        <v>26</v>
      </c>
      <c r="N83" s="15">
        <v>0</v>
      </c>
      <c r="O83" s="15">
        <v>0</v>
      </c>
      <c r="P83" s="15">
        <v>0</v>
      </c>
      <c r="Q83" s="15">
        <v>1</v>
      </c>
      <c r="R83" s="62">
        <v>3</v>
      </c>
      <c r="S83" s="62">
        <v>41</v>
      </c>
      <c r="T83" t="e">
        <f>_xlfn.XLOOKUP(A83,Master!#REF!,Master!G:G)</f>
        <v>#REF!</v>
      </c>
      <c r="W83">
        <v>81</v>
      </c>
      <c r="AA83">
        <v>3</v>
      </c>
      <c r="AB83">
        <v>36</v>
      </c>
      <c r="AC83" t="s">
        <v>923</v>
      </c>
      <c r="AD83" s="12">
        <v>0</v>
      </c>
      <c r="AE83" s="12">
        <v>1</v>
      </c>
      <c r="AI83" t="s">
        <v>72</v>
      </c>
      <c r="AJ83">
        <v>40</v>
      </c>
      <c r="AN83" s="12">
        <v>0</v>
      </c>
      <c r="AO83" s="12">
        <v>2</v>
      </c>
      <c r="AP83" s="12">
        <f t="shared" si="1"/>
        <v>2</v>
      </c>
    </row>
    <row r="84" spans="1:42" ht="16.25" customHeight="1" x14ac:dyDescent="0.2">
      <c r="A84" s="32" t="s">
        <v>871</v>
      </c>
      <c r="B84" s="15" t="s">
        <v>85</v>
      </c>
      <c r="C84" s="33" t="s">
        <v>872</v>
      </c>
      <c r="D84" s="33" t="s">
        <v>873</v>
      </c>
      <c r="E84" s="32" t="s">
        <v>26</v>
      </c>
      <c r="F84" s="32"/>
      <c r="G84" s="32" t="s">
        <v>24</v>
      </c>
      <c r="H84" s="32"/>
      <c r="I84" s="30" t="s">
        <v>1229</v>
      </c>
      <c r="J84" s="30" t="s">
        <v>1230</v>
      </c>
      <c r="K84" s="30" t="s">
        <v>1241</v>
      </c>
      <c r="L84" s="30" t="s">
        <v>1232</v>
      </c>
      <c r="M84" s="15" t="s">
        <v>26</v>
      </c>
      <c r="N84" s="15">
        <v>0</v>
      </c>
      <c r="O84" s="15">
        <v>0</v>
      </c>
      <c r="P84" s="15">
        <v>0</v>
      </c>
      <c r="Q84" s="15">
        <v>1</v>
      </c>
      <c r="R84" s="62">
        <v>3</v>
      </c>
      <c r="S84" s="62">
        <v>42</v>
      </c>
      <c r="T84" t="e">
        <f>_xlfn.XLOOKUP(A84,Master!#REF!,Master!G:G)</f>
        <v>#REF!</v>
      </c>
      <c r="W84">
        <v>82</v>
      </c>
      <c r="AA84">
        <v>3</v>
      </c>
      <c r="AB84">
        <v>37</v>
      </c>
      <c r="AC84" t="s">
        <v>754</v>
      </c>
      <c r="AD84" s="12">
        <v>0</v>
      </c>
      <c r="AE84" s="12">
        <v>1</v>
      </c>
      <c r="AI84" t="s">
        <v>72</v>
      </c>
      <c r="AJ84">
        <v>41</v>
      </c>
      <c r="AN84" s="12">
        <v>0</v>
      </c>
      <c r="AO84" s="12">
        <v>2</v>
      </c>
      <c r="AP84" s="12">
        <f t="shared" si="1"/>
        <v>2</v>
      </c>
    </row>
    <row r="85" spans="1:42" ht="16.25" customHeight="1" x14ac:dyDescent="0.2">
      <c r="A85" s="32" t="s">
        <v>875</v>
      </c>
      <c r="B85" s="15" t="s">
        <v>85</v>
      </c>
      <c r="C85" s="33" t="s">
        <v>876</v>
      </c>
      <c r="D85" s="33" t="s">
        <v>877</v>
      </c>
      <c r="E85" s="32" t="s">
        <v>26</v>
      </c>
      <c r="F85" s="32"/>
      <c r="G85" s="32" t="s">
        <v>24</v>
      </c>
      <c r="H85" s="32"/>
      <c r="I85" s="30" t="s">
        <v>1229</v>
      </c>
      <c r="J85" s="30" t="s">
        <v>1230</v>
      </c>
      <c r="K85" s="30" t="s">
        <v>1241</v>
      </c>
      <c r="L85" s="30" t="s">
        <v>1232</v>
      </c>
      <c r="M85" s="15" t="s">
        <v>26</v>
      </c>
      <c r="N85" s="15">
        <v>0</v>
      </c>
      <c r="O85" s="15">
        <v>0</v>
      </c>
      <c r="P85" s="15">
        <v>0</v>
      </c>
      <c r="Q85" s="15">
        <v>1</v>
      </c>
      <c r="R85" s="62">
        <v>3</v>
      </c>
      <c r="S85" s="62">
        <v>42</v>
      </c>
      <c r="T85" t="e">
        <f>_xlfn.XLOOKUP(A85,Master!#REF!,Master!G:G)</f>
        <v>#REF!</v>
      </c>
      <c r="W85">
        <v>83</v>
      </c>
      <c r="AA85">
        <v>3</v>
      </c>
      <c r="AB85">
        <v>37</v>
      </c>
      <c r="AC85" t="s">
        <v>911</v>
      </c>
      <c r="AD85" s="12">
        <v>0</v>
      </c>
      <c r="AE85" s="12">
        <v>1</v>
      </c>
      <c r="AI85" t="s">
        <v>72</v>
      </c>
      <c r="AJ85">
        <v>42</v>
      </c>
      <c r="AN85" s="12">
        <v>0</v>
      </c>
      <c r="AO85" s="12">
        <v>2</v>
      </c>
      <c r="AP85" s="12">
        <f t="shared" si="1"/>
        <v>2</v>
      </c>
    </row>
    <row r="86" spans="1:42" ht="16.25" customHeight="1" x14ac:dyDescent="0.2">
      <c r="A86" s="10" t="s">
        <v>866</v>
      </c>
      <c r="B86" s="10" t="s">
        <v>85</v>
      </c>
      <c r="C86" s="29" t="s">
        <v>867</v>
      </c>
      <c r="D86" s="29" t="s">
        <v>868</v>
      </c>
      <c r="E86" s="10" t="s">
        <v>23</v>
      </c>
      <c r="F86" s="10" t="s">
        <v>869</v>
      </c>
      <c r="G86" s="10" t="s">
        <v>24</v>
      </c>
      <c r="H86" s="10"/>
      <c r="I86" s="30" t="s">
        <v>1229</v>
      </c>
      <c r="J86" s="30" t="s">
        <v>1230</v>
      </c>
      <c r="K86" s="30" t="s">
        <v>1241</v>
      </c>
      <c r="L86" s="30" t="s">
        <v>1232</v>
      </c>
      <c r="M86" s="18" t="s">
        <v>23</v>
      </c>
      <c r="N86" s="18">
        <v>0</v>
      </c>
      <c r="O86" s="18">
        <v>1</v>
      </c>
      <c r="P86" s="18">
        <v>1</v>
      </c>
      <c r="Q86" s="18">
        <v>2</v>
      </c>
      <c r="R86" s="62">
        <v>3</v>
      </c>
      <c r="S86" s="62">
        <v>43</v>
      </c>
      <c r="T86" t="e">
        <f>_xlfn.XLOOKUP(A86,Master!#REF!,Master!G:G)</f>
        <v>#REF!</v>
      </c>
      <c r="W86">
        <v>84</v>
      </c>
      <c r="AA86">
        <v>3</v>
      </c>
      <c r="AB86">
        <v>38</v>
      </c>
      <c r="AC86" t="s">
        <v>903</v>
      </c>
      <c r="AD86" s="12">
        <v>0</v>
      </c>
      <c r="AE86" s="12">
        <v>1</v>
      </c>
      <c r="AI86" t="s">
        <v>72</v>
      </c>
      <c r="AJ86">
        <v>46</v>
      </c>
      <c r="AN86" s="12">
        <v>0</v>
      </c>
      <c r="AO86" s="12">
        <v>2</v>
      </c>
      <c r="AP86" s="12">
        <f t="shared" si="1"/>
        <v>2</v>
      </c>
    </row>
    <row r="87" spans="1:42" ht="16.25" customHeight="1" x14ac:dyDescent="0.2">
      <c r="A87" s="15" t="s">
        <v>854</v>
      </c>
      <c r="B87" s="15" t="s">
        <v>85</v>
      </c>
      <c r="C87" s="44" t="s">
        <v>855</v>
      </c>
      <c r="D87" s="44" t="s">
        <v>856</v>
      </c>
      <c r="E87" s="15" t="s">
        <v>26</v>
      </c>
      <c r="F87" s="15"/>
      <c r="G87" s="15" t="s">
        <v>24</v>
      </c>
      <c r="H87" s="15"/>
      <c r="I87" s="30" t="s">
        <v>1229</v>
      </c>
      <c r="J87" s="30" t="s">
        <v>1230</v>
      </c>
      <c r="K87" s="30" t="s">
        <v>1240</v>
      </c>
      <c r="L87" s="30" t="s">
        <v>1232</v>
      </c>
      <c r="M87" s="15" t="s">
        <v>26</v>
      </c>
      <c r="N87" s="15">
        <v>0</v>
      </c>
      <c r="O87" s="15">
        <v>0</v>
      </c>
      <c r="P87" s="15">
        <v>0</v>
      </c>
      <c r="Q87" s="15">
        <v>1</v>
      </c>
      <c r="R87" s="62">
        <v>3</v>
      </c>
      <c r="S87" s="62">
        <v>44</v>
      </c>
      <c r="T87" t="e">
        <f>_xlfn.XLOOKUP(A87,Master!#REF!,Master!G:G)</f>
        <v>#REF!</v>
      </c>
      <c r="W87">
        <v>85</v>
      </c>
      <c r="AA87">
        <v>3</v>
      </c>
      <c r="AB87">
        <v>38</v>
      </c>
      <c r="AC87" t="s">
        <v>907</v>
      </c>
      <c r="AD87" s="12">
        <v>0</v>
      </c>
      <c r="AE87" s="12">
        <v>1</v>
      </c>
      <c r="AI87" t="s">
        <v>72</v>
      </c>
      <c r="AJ87">
        <v>47</v>
      </c>
      <c r="AN87" s="12">
        <v>0</v>
      </c>
      <c r="AO87" s="12">
        <v>2</v>
      </c>
      <c r="AP87" s="12">
        <f t="shared" si="1"/>
        <v>2</v>
      </c>
    </row>
    <row r="88" spans="1:42" ht="16.25" customHeight="1" x14ac:dyDescent="0.2">
      <c r="A88" s="10" t="s">
        <v>858</v>
      </c>
      <c r="B88" s="18" t="s">
        <v>85</v>
      </c>
      <c r="C88" s="29" t="s">
        <v>859</v>
      </c>
      <c r="D88" s="29" t="s">
        <v>860</v>
      </c>
      <c r="E88" s="10" t="s">
        <v>26</v>
      </c>
      <c r="F88" s="10"/>
      <c r="G88" s="10" t="s">
        <v>24</v>
      </c>
      <c r="H88" s="10"/>
      <c r="I88" s="30" t="s">
        <v>1229</v>
      </c>
      <c r="J88" s="30" t="s">
        <v>1230</v>
      </c>
      <c r="K88" s="30" t="s">
        <v>1241</v>
      </c>
      <c r="L88" s="30" t="s">
        <v>1232</v>
      </c>
      <c r="M88" s="18" t="s">
        <v>26</v>
      </c>
      <c r="N88" s="18">
        <v>0</v>
      </c>
      <c r="O88" s="18">
        <v>0</v>
      </c>
      <c r="P88" s="18">
        <v>0</v>
      </c>
      <c r="Q88" s="18">
        <v>1</v>
      </c>
      <c r="R88" s="62">
        <v>3</v>
      </c>
      <c r="S88" s="62">
        <v>44</v>
      </c>
      <c r="T88" t="e">
        <f>_xlfn.XLOOKUP(A88,Master!#REF!,Master!G:G)</f>
        <v>#REF!</v>
      </c>
      <c r="W88">
        <v>86</v>
      </c>
      <c r="AA88">
        <v>3</v>
      </c>
      <c r="AB88">
        <v>39</v>
      </c>
      <c r="AC88" t="s">
        <v>899</v>
      </c>
      <c r="AD88" s="12">
        <v>0</v>
      </c>
      <c r="AE88" s="12">
        <v>1</v>
      </c>
      <c r="AI88" t="s">
        <v>72</v>
      </c>
      <c r="AJ88">
        <v>48</v>
      </c>
      <c r="AN88" s="12">
        <v>0</v>
      </c>
      <c r="AO88" s="12">
        <v>2</v>
      </c>
      <c r="AP88" s="12">
        <f t="shared" si="1"/>
        <v>2</v>
      </c>
    </row>
    <row r="89" spans="1:42" ht="16.25" customHeight="1" x14ac:dyDescent="0.2">
      <c r="A89" s="32" t="s">
        <v>1205</v>
      </c>
      <c r="B89" s="15" t="s">
        <v>85</v>
      </c>
      <c r="C89" s="33" t="s">
        <v>1206</v>
      </c>
      <c r="D89" s="33" t="s">
        <v>1207</v>
      </c>
      <c r="E89" s="32" t="s">
        <v>26</v>
      </c>
      <c r="F89" s="32"/>
      <c r="G89" s="32" t="s">
        <v>24</v>
      </c>
      <c r="H89" s="32"/>
      <c r="I89" s="30" t="s">
        <v>1229</v>
      </c>
      <c r="J89" s="30" t="s">
        <v>1230</v>
      </c>
      <c r="K89" s="30" t="s">
        <v>1241</v>
      </c>
      <c r="L89" s="30" t="s">
        <v>1232</v>
      </c>
      <c r="M89" s="15" t="s">
        <v>26</v>
      </c>
      <c r="N89" s="15">
        <v>0</v>
      </c>
      <c r="O89" s="15">
        <v>0</v>
      </c>
      <c r="P89" s="15">
        <v>0</v>
      </c>
      <c r="Q89" s="15">
        <v>1</v>
      </c>
      <c r="R89" s="62">
        <v>3</v>
      </c>
      <c r="S89" s="62">
        <v>45</v>
      </c>
      <c r="T89" t="e">
        <f>_xlfn.XLOOKUP(A89,Master!#REF!,Master!G:G)</f>
        <v>#REF!</v>
      </c>
      <c r="W89">
        <v>87</v>
      </c>
      <c r="AA89">
        <v>3</v>
      </c>
      <c r="AB89">
        <v>39</v>
      </c>
      <c r="AC89" t="s">
        <v>895</v>
      </c>
      <c r="AD89" s="12">
        <v>0</v>
      </c>
      <c r="AE89" s="12">
        <v>1</v>
      </c>
      <c r="AI89" t="s">
        <v>72</v>
      </c>
      <c r="AJ89">
        <v>50</v>
      </c>
      <c r="AN89" s="12">
        <v>0</v>
      </c>
      <c r="AO89" s="12">
        <v>2</v>
      </c>
      <c r="AP89" s="12">
        <f t="shared" si="1"/>
        <v>2</v>
      </c>
    </row>
    <row r="90" spans="1:42" ht="16.25" customHeight="1" x14ac:dyDescent="0.2">
      <c r="A90" s="10" t="s">
        <v>733</v>
      </c>
      <c r="B90" s="18" t="s">
        <v>85</v>
      </c>
      <c r="C90" s="29" t="s">
        <v>734</v>
      </c>
      <c r="D90" s="29" t="s">
        <v>735</v>
      </c>
      <c r="E90" s="10" t="s">
        <v>26</v>
      </c>
      <c r="F90" s="10"/>
      <c r="G90" s="10" t="s">
        <v>24</v>
      </c>
      <c r="H90" s="10"/>
      <c r="I90" s="30" t="s">
        <v>1229</v>
      </c>
      <c r="J90" s="30" t="s">
        <v>1230</v>
      </c>
      <c r="K90" s="30" t="s">
        <v>1241</v>
      </c>
      <c r="L90" s="30" t="s">
        <v>1232</v>
      </c>
      <c r="M90" s="18" t="s">
        <v>26</v>
      </c>
      <c r="N90" s="18">
        <v>0</v>
      </c>
      <c r="O90" s="18">
        <v>0</v>
      </c>
      <c r="P90" s="18">
        <v>0</v>
      </c>
      <c r="Q90" s="18">
        <v>1</v>
      </c>
      <c r="R90" s="62">
        <v>3</v>
      </c>
      <c r="S90" s="62">
        <v>45</v>
      </c>
      <c r="T90" t="e">
        <f>_xlfn.XLOOKUP(A90,Master!#REF!,Master!G:G)</f>
        <v>#REF!</v>
      </c>
      <c r="W90">
        <v>88</v>
      </c>
      <c r="AA90">
        <v>3</v>
      </c>
      <c r="AB90">
        <v>40</v>
      </c>
      <c r="AC90" t="s">
        <v>887</v>
      </c>
      <c r="AD90" s="12">
        <v>0</v>
      </c>
      <c r="AE90" s="12">
        <v>1</v>
      </c>
      <c r="AI90" t="s">
        <v>72</v>
      </c>
      <c r="AJ90">
        <v>51</v>
      </c>
      <c r="AN90" s="12">
        <v>0</v>
      </c>
      <c r="AO90" s="12">
        <v>2</v>
      </c>
      <c r="AP90" s="12">
        <f t="shared" si="1"/>
        <v>2</v>
      </c>
    </row>
    <row r="91" spans="1:42" ht="16.25" customHeight="1" x14ac:dyDescent="0.2">
      <c r="A91" s="10" t="s">
        <v>842</v>
      </c>
      <c r="B91" s="10" t="s">
        <v>85</v>
      </c>
      <c r="C91" s="29" t="s">
        <v>843</v>
      </c>
      <c r="D91" s="29" t="s">
        <v>844</v>
      </c>
      <c r="E91" s="10" t="s">
        <v>26</v>
      </c>
      <c r="F91" s="10"/>
      <c r="G91" s="10" t="s">
        <v>24</v>
      </c>
      <c r="H91" s="10"/>
      <c r="I91" s="30" t="s">
        <v>1229</v>
      </c>
      <c r="J91" s="30" t="s">
        <v>1230</v>
      </c>
      <c r="K91" s="30" t="s">
        <v>1242</v>
      </c>
      <c r="L91" s="30" t="s">
        <v>1232</v>
      </c>
      <c r="M91" s="18" t="s">
        <v>26</v>
      </c>
      <c r="N91" s="18">
        <v>0</v>
      </c>
      <c r="O91" s="18">
        <v>0</v>
      </c>
      <c r="P91" s="18">
        <v>0</v>
      </c>
      <c r="Q91" s="18">
        <v>1</v>
      </c>
      <c r="R91" s="57">
        <v>4</v>
      </c>
      <c r="S91" s="57">
        <v>46</v>
      </c>
      <c r="T91" t="e">
        <f>_xlfn.XLOOKUP(A91,Master!#REF!,Master!G:G)</f>
        <v>#REF!</v>
      </c>
      <c r="W91">
        <v>89</v>
      </c>
      <c r="AA91">
        <v>3</v>
      </c>
      <c r="AB91">
        <v>40</v>
      </c>
      <c r="AC91" t="s">
        <v>762</v>
      </c>
      <c r="AD91" s="12">
        <v>0</v>
      </c>
      <c r="AE91" s="12">
        <v>1</v>
      </c>
      <c r="AI91" t="s">
        <v>72</v>
      </c>
      <c r="AJ91">
        <v>52</v>
      </c>
      <c r="AN91" s="12">
        <v>0</v>
      </c>
      <c r="AO91" s="12">
        <v>2</v>
      </c>
      <c r="AP91" s="12">
        <f t="shared" si="1"/>
        <v>2</v>
      </c>
    </row>
    <row r="92" spans="1:42" ht="16.25" customHeight="1" x14ac:dyDescent="0.2">
      <c r="A92" s="32" t="s">
        <v>846</v>
      </c>
      <c r="B92" s="32" t="s">
        <v>85</v>
      </c>
      <c r="C92" s="33" t="s">
        <v>847</v>
      </c>
      <c r="D92" s="33" t="s">
        <v>848</v>
      </c>
      <c r="E92" s="32" t="s">
        <v>26</v>
      </c>
      <c r="F92" s="32"/>
      <c r="G92" s="32" t="s">
        <v>24</v>
      </c>
      <c r="H92" s="32"/>
      <c r="I92" s="30" t="s">
        <v>1229</v>
      </c>
      <c r="J92" s="30" t="s">
        <v>1230</v>
      </c>
      <c r="K92" s="30" t="s">
        <v>1242</v>
      </c>
      <c r="L92" s="30" t="s">
        <v>1232</v>
      </c>
      <c r="M92" s="15" t="s">
        <v>26</v>
      </c>
      <c r="N92" s="15">
        <v>0</v>
      </c>
      <c r="O92" s="15">
        <v>0</v>
      </c>
      <c r="P92" s="15">
        <v>0</v>
      </c>
      <c r="Q92" s="15">
        <v>1</v>
      </c>
      <c r="R92" s="57">
        <v>4</v>
      </c>
      <c r="S92" s="57">
        <v>46</v>
      </c>
      <c r="T92" t="e">
        <f>_xlfn.XLOOKUP(A92,Master!#REF!,Master!G:G)</f>
        <v>#REF!</v>
      </c>
      <c r="W92">
        <v>90</v>
      </c>
      <c r="AA92">
        <v>3</v>
      </c>
      <c r="AB92">
        <v>41</v>
      </c>
      <c r="AC92" t="s">
        <v>883</v>
      </c>
      <c r="AD92" s="12">
        <v>0</v>
      </c>
      <c r="AE92" s="12">
        <v>1</v>
      </c>
      <c r="AI92" t="s">
        <v>72</v>
      </c>
      <c r="AJ92">
        <v>53</v>
      </c>
      <c r="AN92" s="12">
        <v>0</v>
      </c>
      <c r="AO92" s="12">
        <v>2</v>
      </c>
      <c r="AP92" s="12">
        <f t="shared" si="1"/>
        <v>2</v>
      </c>
    </row>
    <row r="93" spans="1:42" ht="16.25" customHeight="1" x14ac:dyDescent="0.2">
      <c r="A93" s="10" t="s">
        <v>834</v>
      </c>
      <c r="B93" s="10" t="s">
        <v>85</v>
      </c>
      <c r="C93" s="29" t="s">
        <v>835</v>
      </c>
      <c r="D93" s="29" t="s">
        <v>836</v>
      </c>
      <c r="E93" s="10" t="s">
        <v>26</v>
      </c>
      <c r="F93" s="10"/>
      <c r="G93" s="10" t="s">
        <v>24</v>
      </c>
      <c r="H93" s="10"/>
      <c r="I93" s="30" t="s">
        <v>1229</v>
      </c>
      <c r="J93" s="30" t="s">
        <v>1230</v>
      </c>
      <c r="K93" s="30" t="s">
        <v>1242</v>
      </c>
      <c r="L93" s="30" t="s">
        <v>1232</v>
      </c>
      <c r="M93" s="18" t="s">
        <v>26</v>
      </c>
      <c r="N93" s="18">
        <v>0</v>
      </c>
      <c r="O93" s="18">
        <v>0</v>
      </c>
      <c r="P93" s="18">
        <v>0</v>
      </c>
      <c r="Q93" s="18">
        <v>1</v>
      </c>
      <c r="R93" s="57">
        <v>4</v>
      </c>
      <c r="S93" s="57">
        <v>47</v>
      </c>
      <c r="T93" t="e">
        <f>_xlfn.XLOOKUP(A93,Master!#REF!,Master!G:G)</f>
        <v>#REF!</v>
      </c>
      <c r="W93">
        <v>92</v>
      </c>
      <c r="AA93">
        <v>3</v>
      </c>
      <c r="AB93">
        <v>41</v>
      </c>
      <c r="AC93" t="s">
        <v>879</v>
      </c>
      <c r="AD93" s="12">
        <v>0</v>
      </c>
      <c r="AE93" s="12">
        <v>1</v>
      </c>
      <c r="AI93" t="s">
        <v>72</v>
      </c>
      <c r="AJ93">
        <v>54</v>
      </c>
      <c r="AN93" s="12">
        <v>0</v>
      </c>
      <c r="AO93" s="12">
        <v>2</v>
      </c>
      <c r="AP93" s="12">
        <f t="shared" si="1"/>
        <v>2</v>
      </c>
    </row>
    <row r="94" spans="1:42" ht="16.25" customHeight="1" x14ac:dyDescent="0.2">
      <c r="A94" s="32" t="s">
        <v>838</v>
      </c>
      <c r="B94" s="32" t="s">
        <v>85</v>
      </c>
      <c r="C94" s="33" t="s">
        <v>839</v>
      </c>
      <c r="D94" s="33" t="s">
        <v>840</v>
      </c>
      <c r="E94" s="32" t="s">
        <v>26</v>
      </c>
      <c r="F94" s="32"/>
      <c r="G94" s="32" t="s">
        <v>24</v>
      </c>
      <c r="H94" s="32"/>
      <c r="I94" s="30" t="s">
        <v>1229</v>
      </c>
      <c r="J94" s="30" t="s">
        <v>1230</v>
      </c>
      <c r="K94" s="30" t="s">
        <v>1242</v>
      </c>
      <c r="L94" s="30" t="s">
        <v>1232</v>
      </c>
      <c r="M94" s="15" t="s">
        <v>26</v>
      </c>
      <c r="N94" s="15">
        <v>0</v>
      </c>
      <c r="O94" s="15">
        <v>0</v>
      </c>
      <c r="P94" s="15">
        <v>0</v>
      </c>
      <c r="Q94" s="15">
        <v>1</v>
      </c>
      <c r="R94" s="57">
        <v>4</v>
      </c>
      <c r="S94" s="57">
        <v>47</v>
      </c>
      <c r="T94" t="e">
        <f>_xlfn.XLOOKUP(A94,Master!#REF!,Master!G:G)</f>
        <v>#REF!</v>
      </c>
      <c r="W94">
        <v>93</v>
      </c>
      <c r="AA94">
        <v>3</v>
      </c>
      <c r="AB94">
        <v>42</v>
      </c>
      <c r="AC94" t="s">
        <v>871</v>
      </c>
      <c r="AD94" s="12">
        <v>0</v>
      </c>
      <c r="AE94" s="12">
        <v>1</v>
      </c>
      <c r="AI94" t="s">
        <v>72</v>
      </c>
      <c r="AJ94">
        <v>55</v>
      </c>
      <c r="AN94" s="12">
        <v>0</v>
      </c>
      <c r="AO94" s="12">
        <v>2</v>
      </c>
      <c r="AP94" s="12">
        <f t="shared" si="1"/>
        <v>2</v>
      </c>
    </row>
    <row r="95" spans="1:42" ht="16.25" customHeight="1" x14ac:dyDescent="0.2">
      <c r="A95" s="10" t="s">
        <v>826</v>
      </c>
      <c r="B95" s="10" t="s">
        <v>85</v>
      </c>
      <c r="C95" s="29" t="s">
        <v>827</v>
      </c>
      <c r="D95" s="29" t="s">
        <v>828</v>
      </c>
      <c r="E95" s="10" t="s">
        <v>26</v>
      </c>
      <c r="F95" s="10"/>
      <c r="G95" s="10" t="s">
        <v>24</v>
      </c>
      <c r="H95" s="10"/>
      <c r="I95" s="30" t="s">
        <v>1229</v>
      </c>
      <c r="J95" s="30" t="s">
        <v>1230</v>
      </c>
      <c r="K95" s="30" t="s">
        <v>1242</v>
      </c>
      <c r="L95" s="30" t="s">
        <v>1232</v>
      </c>
      <c r="M95" s="18" t="s">
        <v>26</v>
      </c>
      <c r="N95" s="18">
        <v>0</v>
      </c>
      <c r="O95" s="18">
        <v>0</v>
      </c>
      <c r="P95" s="18">
        <v>0</v>
      </c>
      <c r="Q95" s="18">
        <v>1</v>
      </c>
      <c r="R95" s="57">
        <v>4</v>
      </c>
      <c r="S95" s="57">
        <v>48</v>
      </c>
      <c r="T95" t="e">
        <f>_xlfn.XLOOKUP(A95,Master!#REF!,Master!G:G)</f>
        <v>#REF!</v>
      </c>
      <c r="W95">
        <v>94</v>
      </c>
      <c r="AA95">
        <v>3</v>
      </c>
      <c r="AB95">
        <v>42</v>
      </c>
      <c r="AC95" t="s">
        <v>875</v>
      </c>
      <c r="AD95" s="12">
        <v>0</v>
      </c>
      <c r="AE95" s="12">
        <v>1</v>
      </c>
      <c r="AI95" t="s">
        <v>72</v>
      </c>
      <c r="AJ95">
        <v>56</v>
      </c>
      <c r="AN95" s="12">
        <v>0</v>
      </c>
      <c r="AO95" s="12">
        <v>2</v>
      </c>
      <c r="AP95" s="12">
        <f t="shared" si="1"/>
        <v>2</v>
      </c>
    </row>
    <row r="96" spans="1:42" ht="16.25" customHeight="1" x14ac:dyDescent="0.2">
      <c r="A96" s="32" t="s">
        <v>830</v>
      </c>
      <c r="B96" s="32" t="s">
        <v>85</v>
      </c>
      <c r="C96" s="33" t="s">
        <v>831</v>
      </c>
      <c r="D96" s="33" t="s">
        <v>832</v>
      </c>
      <c r="E96" s="32" t="s">
        <v>26</v>
      </c>
      <c r="F96" s="32"/>
      <c r="G96" s="32" t="s">
        <v>24</v>
      </c>
      <c r="H96" s="32"/>
      <c r="I96" s="30" t="s">
        <v>1229</v>
      </c>
      <c r="J96" s="30" t="s">
        <v>1230</v>
      </c>
      <c r="K96" s="30" t="s">
        <v>1242</v>
      </c>
      <c r="L96" s="30" t="s">
        <v>1232</v>
      </c>
      <c r="M96" s="15" t="s">
        <v>26</v>
      </c>
      <c r="N96" s="15">
        <v>0</v>
      </c>
      <c r="O96" s="15">
        <v>0</v>
      </c>
      <c r="P96" s="15">
        <v>0</v>
      </c>
      <c r="Q96" s="15">
        <v>1</v>
      </c>
      <c r="R96" s="57">
        <v>4</v>
      </c>
      <c r="S96" s="57">
        <v>48</v>
      </c>
      <c r="T96" t="e">
        <f>_xlfn.XLOOKUP(A96,Master!#REF!,Master!G:G)</f>
        <v>#REF!</v>
      </c>
      <c r="W96">
        <v>95</v>
      </c>
      <c r="AA96">
        <v>3</v>
      </c>
      <c r="AB96">
        <v>43</v>
      </c>
      <c r="AC96" t="s">
        <v>866</v>
      </c>
      <c r="AD96" s="12">
        <v>1</v>
      </c>
      <c r="AE96" s="12">
        <v>2</v>
      </c>
      <c r="AI96" t="s">
        <v>72</v>
      </c>
      <c r="AJ96">
        <v>57</v>
      </c>
      <c r="AN96" s="12">
        <v>0</v>
      </c>
      <c r="AO96" s="12">
        <v>2</v>
      </c>
      <c r="AP96" s="12">
        <f t="shared" si="1"/>
        <v>2</v>
      </c>
    </row>
    <row r="97" spans="1:42" ht="16.25" customHeight="1" x14ac:dyDescent="0.2">
      <c r="A97" s="18" t="s">
        <v>821</v>
      </c>
      <c r="B97" s="18" t="s">
        <v>85</v>
      </c>
      <c r="C97" s="41" t="s">
        <v>822</v>
      </c>
      <c r="D97" s="41" t="s">
        <v>823</v>
      </c>
      <c r="E97" s="18" t="s">
        <v>23</v>
      </c>
      <c r="F97" s="46" t="s">
        <v>824</v>
      </c>
      <c r="G97" s="18" t="s">
        <v>24</v>
      </c>
      <c r="H97" s="18"/>
      <c r="I97" s="30" t="s">
        <v>1229</v>
      </c>
      <c r="J97" s="30" t="s">
        <v>1230</v>
      </c>
      <c r="K97" s="30" t="s">
        <v>1243</v>
      </c>
      <c r="L97" s="30" t="s">
        <v>1232</v>
      </c>
      <c r="M97" s="18" t="s">
        <v>23</v>
      </c>
      <c r="N97" s="18">
        <v>0</v>
      </c>
      <c r="O97" s="18">
        <v>1</v>
      </c>
      <c r="P97" s="18">
        <v>1</v>
      </c>
      <c r="Q97" s="18">
        <v>2</v>
      </c>
      <c r="R97" s="57">
        <v>4</v>
      </c>
      <c r="S97" s="57">
        <v>49</v>
      </c>
      <c r="T97" t="e">
        <f>_xlfn.XLOOKUP(A97,Master!#REF!,Master!G:G)</f>
        <v>#REF!</v>
      </c>
      <c r="W97">
        <v>96</v>
      </c>
      <c r="AA97">
        <v>3</v>
      </c>
      <c r="AB97">
        <v>44</v>
      </c>
      <c r="AC97" t="s">
        <v>854</v>
      </c>
      <c r="AD97" s="12">
        <v>0</v>
      </c>
      <c r="AE97" s="12">
        <v>1</v>
      </c>
      <c r="AI97" t="s">
        <v>72</v>
      </c>
      <c r="AJ97">
        <v>58</v>
      </c>
      <c r="AN97" s="12">
        <v>0</v>
      </c>
      <c r="AO97" s="12">
        <v>2</v>
      </c>
      <c r="AP97" s="12">
        <f t="shared" si="1"/>
        <v>2</v>
      </c>
    </row>
    <row r="98" spans="1:42" ht="16.25" customHeight="1" x14ac:dyDescent="0.2">
      <c r="A98" s="10" t="s">
        <v>813</v>
      </c>
      <c r="B98" s="10" t="s">
        <v>85</v>
      </c>
      <c r="C98" s="29" t="s">
        <v>814</v>
      </c>
      <c r="D98" s="29" t="s">
        <v>815</v>
      </c>
      <c r="E98" s="10" t="s">
        <v>26</v>
      </c>
      <c r="F98" s="10"/>
      <c r="G98" s="10" t="s">
        <v>24</v>
      </c>
      <c r="H98" s="10"/>
      <c r="I98" s="30" t="s">
        <v>1229</v>
      </c>
      <c r="J98" s="30" t="s">
        <v>1230</v>
      </c>
      <c r="K98" s="30" t="s">
        <v>1244</v>
      </c>
      <c r="L98" s="30" t="s">
        <v>1232</v>
      </c>
      <c r="M98" s="18" t="s">
        <v>26</v>
      </c>
      <c r="N98" s="18">
        <v>0</v>
      </c>
      <c r="O98" s="18">
        <v>0</v>
      </c>
      <c r="P98" s="18">
        <v>0</v>
      </c>
      <c r="Q98" s="18">
        <v>1</v>
      </c>
      <c r="R98" s="57">
        <v>4</v>
      </c>
      <c r="S98" s="57">
        <v>50</v>
      </c>
      <c r="T98" t="e">
        <f>_xlfn.XLOOKUP(A98,Master!#REF!,Master!G:G)</f>
        <v>#REF!</v>
      </c>
      <c r="W98">
        <v>97</v>
      </c>
      <c r="AA98">
        <v>3</v>
      </c>
      <c r="AB98">
        <v>44</v>
      </c>
      <c r="AC98" t="s">
        <v>858</v>
      </c>
      <c r="AD98" s="12">
        <v>0</v>
      </c>
      <c r="AE98" s="12">
        <v>1</v>
      </c>
      <c r="AI98" t="s">
        <v>72</v>
      </c>
      <c r="AJ98">
        <v>59</v>
      </c>
      <c r="AN98" s="12">
        <v>0</v>
      </c>
      <c r="AO98" s="12">
        <v>2</v>
      </c>
      <c r="AP98" s="12">
        <f t="shared" si="1"/>
        <v>2</v>
      </c>
    </row>
    <row r="99" spans="1:42" ht="16.25" customHeight="1" x14ac:dyDescent="0.2">
      <c r="A99" s="32" t="s">
        <v>817</v>
      </c>
      <c r="B99" s="32" t="s">
        <v>85</v>
      </c>
      <c r="C99" s="33" t="s">
        <v>818</v>
      </c>
      <c r="D99" s="33" t="s">
        <v>819</v>
      </c>
      <c r="E99" s="32" t="s">
        <v>26</v>
      </c>
      <c r="F99" s="32"/>
      <c r="G99" s="32" t="s">
        <v>24</v>
      </c>
      <c r="H99" s="32"/>
      <c r="I99" s="30" t="s">
        <v>1229</v>
      </c>
      <c r="J99" s="30" t="s">
        <v>1230</v>
      </c>
      <c r="K99" s="30" t="s">
        <v>1244</v>
      </c>
      <c r="L99" s="30" t="s">
        <v>1232</v>
      </c>
      <c r="M99" s="15" t="s">
        <v>26</v>
      </c>
      <c r="N99" s="15">
        <v>0</v>
      </c>
      <c r="O99" s="15">
        <v>0</v>
      </c>
      <c r="P99" s="15">
        <v>0</v>
      </c>
      <c r="Q99" s="15">
        <v>1</v>
      </c>
      <c r="R99" s="57">
        <v>4</v>
      </c>
      <c r="S99" s="57">
        <v>50</v>
      </c>
      <c r="T99" t="e">
        <f>_xlfn.XLOOKUP(A99,Master!#REF!,Master!G:G)</f>
        <v>#REF!</v>
      </c>
      <c r="W99">
        <v>98</v>
      </c>
      <c r="AA99">
        <v>3</v>
      </c>
      <c r="AB99">
        <v>45</v>
      </c>
      <c r="AC99" t="s">
        <v>1205</v>
      </c>
      <c r="AD99" s="12">
        <v>0</v>
      </c>
      <c r="AE99" s="12">
        <v>1</v>
      </c>
      <c r="AI99" t="s">
        <v>72</v>
      </c>
      <c r="AJ99">
        <v>63</v>
      </c>
      <c r="AN99" s="12">
        <v>0</v>
      </c>
      <c r="AO99" s="12">
        <v>2</v>
      </c>
      <c r="AP99" s="12">
        <f t="shared" si="1"/>
        <v>2</v>
      </c>
    </row>
    <row r="100" spans="1:42" ht="16.25" customHeight="1" x14ac:dyDescent="0.2">
      <c r="A100" s="10" t="s">
        <v>805</v>
      </c>
      <c r="B100" s="10" t="s">
        <v>85</v>
      </c>
      <c r="C100" s="29" t="s">
        <v>806</v>
      </c>
      <c r="D100" s="29" t="s">
        <v>807</v>
      </c>
      <c r="E100" s="10" t="s">
        <v>26</v>
      </c>
      <c r="F100" s="10"/>
      <c r="G100" s="10" t="s">
        <v>24</v>
      </c>
      <c r="H100" s="10"/>
      <c r="I100" s="30" t="s">
        <v>1229</v>
      </c>
      <c r="J100" s="30" t="s">
        <v>1230</v>
      </c>
      <c r="K100" s="30" t="s">
        <v>1244</v>
      </c>
      <c r="L100" s="30" t="s">
        <v>1232</v>
      </c>
      <c r="M100" s="18" t="s">
        <v>26</v>
      </c>
      <c r="N100" s="18">
        <v>0</v>
      </c>
      <c r="O100" s="18">
        <v>0</v>
      </c>
      <c r="P100" s="18">
        <v>0</v>
      </c>
      <c r="Q100" s="18">
        <v>1</v>
      </c>
      <c r="R100" s="57">
        <v>4</v>
      </c>
      <c r="S100" s="57">
        <v>51</v>
      </c>
      <c r="T100" t="e">
        <f>_xlfn.XLOOKUP(A100,Master!#REF!,Master!G:G)</f>
        <v>#REF!</v>
      </c>
      <c r="W100">
        <v>99</v>
      </c>
      <c r="AA100">
        <v>3</v>
      </c>
      <c r="AB100">
        <v>45</v>
      </c>
      <c r="AC100" t="s">
        <v>733</v>
      </c>
      <c r="AD100" s="12">
        <v>0</v>
      </c>
      <c r="AE100" s="12">
        <v>1</v>
      </c>
      <c r="AI100" t="s">
        <v>72</v>
      </c>
      <c r="AJ100">
        <v>64</v>
      </c>
      <c r="AN100" s="12">
        <v>0</v>
      </c>
      <c r="AO100" s="12">
        <v>2</v>
      </c>
      <c r="AP100" s="12">
        <f t="shared" si="1"/>
        <v>2</v>
      </c>
    </row>
    <row r="101" spans="1:42" ht="16.25" customHeight="1" x14ac:dyDescent="0.2">
      <c r="A101" s="32" t="s">
        <v>809</v>
      </c>
      <c r="B101" s="32" t="s">
        <v>85</v>
      </c>
      <c r="C101" s="33" t="s">
        <v>810</v>
      </c>
      <c r="D101" s="33" t="s">
        <v>811</v>
      </c>
      <c r="E101" s="32" t="s">
        <v>26</v>
      </c>
      <c r="F101" s="32"/>
      <c r="G101" s="32" t="s">
        <v>24</v>
      </c>
      <c r="H101" s="32"/>
      <c r="I101" s="30" t="s">
        <v>1229</v>
      </c>
      <c r="J101" s="30" t="s">
        <v>1230</v>
      </c>
      <c r="K101" s="30" t="s">
        <v>1244</v>
      </c>
      <c r="L101" s="30" t="s">
        <v>1232</v>
      </c>
      <c r="M101" s="15" t="s">
        <v>26</v>
      </c>
      <c r="N101" s="15">
        <v>0</v>
      </c>
      <c r="O101" s="15">
        <v>0</v>
      </c>
      <c r="P101" s="15">
        <v>0</v>
      </c>
      <c r="Q101" s="15">
        <v>1</v>
      </c>
      <c r="R101" s="57">
        <v>4</v>
      </c>
      <c r="S101" s="57">
        <v>51</v>
      </c>
      <c r="T101" t="e">
        <f>_xlfn.XLOOKUP(A101,Master!#REF!,Master!G:G)</f>
        <v>#REF!</v>
      </c>
      <c r="W101">
        <v>100</v>
      </c>
      <c r="AA101">
        <v>3</v>
      </c>
      <c r="AB101">
        <v>86</v>
      </c>
      <c r="AC101" t="s">
        <v>540</v>
      </c>
      <c r="AD101" s="12">
        <v>0</v>
      </c>
      <c r="AE101" s="12">
        <v>1</v>
      </c>
      <c r="AI101" t="s">
        <v>72</v>
      </c>
      <c r="AJ101">
        <v>65</v>
      </c>
      <c r="AN101" s="12">
        <v>0</v>
      </c>
      <c r="AO101" s="12">
        <v>2</v>
      </c>
      <c r="AP101" s="12">
        <f t="shared" si="1"/>
        <v>2</v>
      </c>
    </row>
    <row r="102" spans="1:42" ht="16.25" customHeight="1" x14ac:dyDescent="0.2">
      <c r="A102" s="32" t="s">
        <v>797</v>
      </c>
      <c r="B102" s="32" t="s">
        <v>85</v>
      </c>
      <c r="C102" s="33" t="s">
        <v>798</v>
      </c>
      <c r="D102" s="33" t="s">
        <v>799</v>
      </c>
      <c r="E102" s="32" t="s">
        <v>26</v>
      </c>
      <c r="F102" s="32"/>
      <c r="G102" s="32" t="s">
        <v>24</v>
      </c>
      <c r="H102" s="32"/>
      <c r="I102" s="30" t="s">
        <v>1229</v>
      </c>
      <c r="J102" s="30" t="s">
        <v>1230</v>
      </c>
      <c r="K102" s="30" t="s">
        <v>1244</v>
      </c>
      <c r="L102" s="30" t="s">
        <v>1232</v>
      </c>
      <c r="M102" s="15" t="s">
        <v>26</v>
      </c>
      <c r="N102" s="15">
        <v>0</v>
      </c>
      <c r="O102" s="15">
        <v>0</v>
      </c>
      <c r="P102" s="15">
        <v>0</v>
      </c>
      <c r="Q102" s="15">
        <v>1</v>
      </c>
      <c r="R102" s="57">
        <v>4</v>
      </c>
      <c r="S102" s="57">
        <v>52</v>
      </c>
      <c r="T102" t="e">
        <f>_xlfn.XLOOKUP(A102,Master!#REF!,Master!G:G)</f>
        <v>#REF!</v>
      </c>
      <c r="W102">
        <v>101</v>
      </c>
      <c r="AA102">
        <v>3</v>
      </c>
      <c r="AB102">
        <v>87</v>
      </c>
      <c r="AC102" t="s">
        <v>729</v>
      </c>
      <c r="AD102" s="12">
        <v>0</v>
      </c>
      <c r="AE102" s="12">
        <v>1</v>
      </c>
      <c r="AI102" t="s">
        <v>72</v>
      </c>
      <c r="AJ102">
        <v>66</v>
      </c>
      <c r="AN102" s="12">
        <v>0</v>
      </c>
      <c r="AO102" s="12">
        <v>2</v>
      </c>
      <c r="AP102" s="12">
        <f t="shared" si="1"/>
        <v>2</v>
      </c>
    </row>
    <row r="103" spans="1:42" ht="16.25" customHeight="1" x14ac:dyDescent="0.2">
      <c r="A103" s="10" t="s">
        <v>801</v>
      </c>
      <c r="B103" s="10" t="s">
        <v>85</v>
      </c>
      <c r="C103" s="29" t="s">
        <v>802</v>
      </c>
      <c r="D103" s="29" t="s">
        <v>803</v>
      </c>
      <c r="E103" s="10" t="s">
        <v>26</v>
      </c>
      <c r="F103" s="10"/>
      <c r="G103" s="10" t="s">
        <v>24</v>
      </c>
      <c r="H103" s="10"/>
      <c r="I103" s="30" t="s">
        <v>1229</v>
      </c>
      <c r="J103" s="30" t="s">
        <v>1230</v>
      </c>
      <c r="K103" s="30" t="s">
        <v>1244</v>
      </c>
      <c r="L103" s="30" t="s">
        <v>1232</v>
      </c>
      <c r="M103" s="18" t="s">
        <v>26</v>
      </c>
      <c r="N103" s="18">
        <v>0</v>
      </c>
      <c r="O103" s="18">
        <v>0</v>
      </c>
      <c r="P103" s="18">
        <v>0</v>
      </c>
      <c r="Q103" s="18">
        <v>1</v>
      </c>
      <c r="R103" s="57">
        <v>4</v>
      </c>
      <c r="S103" s="57">
        <v>52</v>
      </c>
      <c r="T103" t="e">
        <f>_xlfn.XLOOKUP(A103,Master!#REF!,Master!G:G)</f>
        <v>#REF!</v>
      </c>
      <c r="W103">
        <v>102</v>
      </c>
      <c r="AA103">
        <v>3</v>
      </c>
      <c r="AB103">
        <v>71</v>
      </c>
      <c r="AC103" t="s">
        <v>655</v>
      </c>
      <c r="AD103" s="12">
        <v>1</v>
      </c>
      <c r="AE103" s="12">
        <v>2</v>
      </c>
      <c r="AI103" t="s">
        <v>72</v>
      </c>
      <c r="AJ103">
        <v>67</v>
      </c>
      <c r="AN103" s="12">
        <v>0</v>
      </c>
      <c r="AO103" s="12">
        <v>2</v>
      </c>
      <c r="AP103" s="12">
        <f t="shared" si="1"/>
        <v>2</v>
      </c>
    </row>
    <row r="104" spans="1:42" ht="16.25" customHeight="1" x14ac:dyDescent="0.2">
      <c r="A104" s="32" t="s">
        <v>789</v>
      </c>
      <c r="B104" s="32" t="s">
        <v>85</v>
      </c>
      <c r="C104" s="33" t="s">
        <v>790</v>
      </c>
      <c r="D104" s="33" t="s">
        <v>791</v>
      </c>
      <c r="E104" s="32" t="s">
        <v>26</v>
      </c>
      <c r="F104" s="39"/>
      <c r="G104" s="32" t="s">
        <v>24</v>
      </c>
      <c r="H104" s="32"/>
      <c r="I104" s="30" t="s">
        <v>1229</v>
      </c>
      <c r="J104" s="30" t="s">
        <v>1230</v>
      </c>
      <c r="K104" s="30" t="s">
        <v>1244</v>
      </c>
      <c r="L104" s="30" t="s">
        <v>1232</v>
      </c>
      <c r="M104" s="15" t="s">
        <v>26</v>
      </c>
      <c r="N104" s="15">
        <v>0</v>
      </c>
      <c r="O104" s="15">
        <v>0</v>
      </c>
      <c r="P104" s="15">
        <v>0</v>
      </c>
      <c r="Q104" s="15">
        <v>1</v>
      </c>
      <c r="R104" s="57">
        <v>4</v>
      </c>
      <c r="S104" s="57">
        <v>53</v>
      </c>
      <c r="T104" t="e">
        <f>_xlfn.XLOOKUP(A104,Master!#REF!,Master!G:G)</f>
        <v>#REF!</v>
      </c>
      <c r="W104">
        <v>103</v>
      </c>
      <c r="AA104">
        <v>3</v>
      </c>
      <c r="AB104">
        <v>72</v>
      </c>
      <c r="AC104" t="s">
        <v>650</v>
      </c>
      <c r="AD104" s="12">
        <v>1</v>
      </c>
      <c r="AE104" s="12">
        <v>2</v>
      </c>
      <c r="AI104" t="s">
        <v>72</v>
      </c>
      <c r="AJ104">
        <v>68</v>
      </c>
      <c r="AN104" s="12">
        <v>0</v>
      </c>
      <c r="AO104" s="12">
        <v>1</v>
      </c>
      <c r="AP104" s="12">
        <f t="shared" si="1"/>
        <v>1</v>
      </c>
    </row>
    <row r="105" spans="1:42" ht="16.25" customHeight="1" x14ac:dyDescent="0.2">
      <c r="A105" s="10" t="s">
        <v>793</v>
      </c>
      <c r="B105" s="10" t="s">
        <v>85</v>
      </c>
      <c r="C105" s="29" t="s">
        <v>794</v>
      </c>
      <c r="D105" s="29" t="s">
        <v>795</v>
      </c>
      <c r="E105" s="10" t="s">
        <v>26</v>
      </c>
      <c r="F105" s="42"/>
      <c r="G105" s="10" t="s">
        <v>24</v>
      </c>
      <c r="H105" s="10"/>
      <c r="I105" s="30" t="s">
        <v>1229</v>
      </c>
      <c r="J105" s="30" t="s">
        <v>1230</v>
      </c>
      <c r="K105" s="30" t="s">
        <v>1244</v>
      </c>
      <c r="L105" s="30" t="s">
        <v>1232</v>
      </c>
      <c r="M105" s="18" t="s">
        <v>26</v>
      </c>
      <c r="N105" s="18">
        <v>0</v>
      </c>
      <c r="O105" s="18">
        <v>0</v>
      </c>
      <c r="P105" s="18">
        <v>0</v>
      </c>
      <c r="Q105" s="18">
        <v>1</v>
      </c>
      <c r="R105" s="57">
        <v>4</v>
      </c>
      <c r="S105" s="57">
        <v>53</v>
      </c>
      <c r="T105" t="e">
        <f>_xlfn.XLOOKUP(A105,Master!#REF!,Master!G:G)</f>
        <v>#REF!</v>
      </c>
      <c r="W105">
        <v>104</v>
      </c>
      <c r="AA105">
        <v>3</v>
      </c>
      <c r="AB105">
        <v>74</v>
      </c>
      <c r="AC105" t="s">
        <v>640</v>
      </c>
      <c r="AD105" s="12">
        <v>3</v>
      </c>
      <c r="AE105" s="12">
        <v>4</v>
      </c>
      <c r="AI105" t="s">
        <v>72</v>
      </c>
      <c r="AJ105">
        <v>78</v>
      </c>
      <c r="AN105" s="12">
        <v>0</v>
      </c>
      <c r="AO105" s="12">
        <v>2</v>
      </c>
      <c r="AP105" s="12">
        <f t="shared" si="1"/>
        <v>2</v>
      </c>
    </row>
    <row r="106" spans="1:42" ht="16.25" customHeight="1" x14ac:dyDescent="0.2">
      <c r="A106" s="15" t="s">
        <v>1209</v>
      </c>
      <c r="B106" s="15" t="s">
        <v>85</v>
      </c>
      <c r="C106" s="44" t="s">
        <v>1210</v>
      </c>
      <c r="D106" s="44" t="s">
        <v>1211</v>
      </c>
      <c r="E106" s="15" t="s">
        <v>26</v>
      </c>
      <c r="F106" s="15"/>
      <c r="G106" s="15" t="s">
        <v>24</v>
      </c>
      <c r="H106" s="15"/>
      <c r="I106" s="30" t="s">
        <v>1229</v>
      </c>
      <c r="J106" s="30" t="s">
        <v>1230</v>
      </c>
      <c r="K106" s="30" t="s">
        <v>1243</v>
      </c>
      <c r="L106" s="30" t="s">
        <v>1232</v>
      </c>
      <c r="M106" s="15" t="s">
        <v>26</v>
      </c>
      <c r="N106" s="15">
        <v>0</v>
      </c>
      <c r="O106" s="15">
        <v>0</v>
      </c>
      <c r="P106" s="15">
        <v>0</v>
      </c>
      <c r="Q106" s="15">
        <v>1</v>
      </c>
      <c r="R106" s="57">
        <v>4</v>
      </c>
      <c r="S106" s="57">
        <v>54</v>
      </c>
      <c r="T106" t="e">
        <f>_xlfn.XLOOKUP(A106,Master!#REF!,Master!G:G)</f>
        <v>#REF!</v>
      </c>
      <c r="W106">
        <v>105</v>
      </c>
      <c r="AA106">
        <v>3</v>
      </c>
      <c r="AB106">
        <v>75</v>
      </c>
      <c r="AC106" t="s">
        <v>635</v>
      </c>
      <c r="AD106" s="12">
        <v>3</v>
      </c>
      <c r="AE106" s="12">
        <v>4</v>
      </c>
      <c r="AI106" t="s">
        <v>72</v>
      </c>
      <c r="AJ106">
        <v>79</v>
      </c>
      <c r="AN106" s="12">
        <v>0</v>
      </c>
      <c r="AO106" s="12">
        <v>2</v>
      </c>
      <c r="AP106" s="12">
        <f t="shared" si="1"/>
        <v>2</v>
      </c>
    </row>
    <row r="107" spans="1:42" ht="16.25" customHeight="1" x14ac:dyDescent="0.2">
      <c r="A107" s="10" t="s">
        <v>785</v>
      </c>
      <c r="B107" s="10" t="s">
        <v>85</v>
      </c>
      <c r="C107" s="29" t="s">
        <v>786</v>
      </c>
      <c r="D107" s="29" t="s">
        <v>787</v>
      </c>
      <c r="E107" s="10" t="s">
        <v>26</v>
      </c>
      <c r="F107" s="10"/>
      <c r="G107" s="10" t="s">
        <v>24</v>
      </c>
      <c r="H107" s="10"/>
      <c r="I107" s="30" t="s">
        <v>1229</v>
      </c>
      <c r="J107" s="30" t="s">
        <v>1230</v>
      </c>
      <c r="K107" s="30" t="s">
        <v>1243</v>
      </c>
      <c r="L107" s="30" t="s">
        <v>1232</v>
      </c>
      <c r="M107" s="18" t="s">
        <v>26</v>
      </c>
      <c r="N107" s="18">
        <v>0</v>
      </c>
      <c r="O107" s="18">
        <v>0</v>
      </c>
      <c r="P107" s="18">
        <v>0</v>
      </c>
      <c r="Q107" s="18">
        <v>1</v>
      </c>
      <c r="R107" s="57">
        <v>4</v>
      </c>
      <c r="S107" s="57">
        <v>54</v>
      </c>
      <c r="T107" t="e">
        <f>_xlfn.XLOOKUP(A107,Master!#REF!,Master!G:G)</f>
        <v>#REF!</v>
      </c>
      <c r="W107">
        <v>106</v>
      </c>
      <c r="AA107">
        <v>3</v>
      </c>
      <c r="AB107">
        <v>76</v>
      </c>
      <c r="AC107" t="s">
        <v>630</v>
      </c>
      <c r="AD107" s="12">
        <v>2</v>
      </c>
      <c r="AE107" s="12">
        <v>3</v>
      </c>
      <c r="AI107" t="s">
        <v>72</v>
      </c>
      <c r="AJ107">
        <v>80</v>
      </c>
      <c r="AN107" s="12">
        <v>0</v>
      </c>
      <c r="AO107" s="12">
        <v>2</v>
      </c>
      <c r="AP107" s="12">
        <f t="shared" si="1"/>
        <v>2</v>
      </c>
    </row>
    <row r="108" spans="1:42" ht="16.25" customHeight="1" x14ac:dyDescent="0.2">
      <c r="A108" s="32" t="s">
        <v>773</v>
      </c>
      <c r="B108" s="32" t="s">
        <v>85</v>
      </c>
      <c r="C108" s="33" t="s">
        <v>774</v>
      </c>
      <c r="D108" s="33" t="s">
        <v>775</v>
      </c>
      <c r="E108" s="32" t="s">
        <v>26</v>
      </c>
      <c r="F108" s="39"/>
      <c r="G108" s="32" t="s">
        <v>24</v>
      </c>
      <c r="H108" s="32"/>
      <c r="I108" s="30" t="s">
        <v>1229</v>
      </c>
      <c r="J108" s="30" t="s">
        <v>1230</v>
      </c>
      <c r="K108" s="30" t="s">
        <v>1243</v>
      </c>
      <c r="L108" s="30" t="s">
        <v>1232</v>
      </c>
      <c r="M108" s="15" t="s">
        <v>26</v>
      </c>
      <c r="N108" s="15">
        <v>0</v>
      </c>
      <c r="O108" s="15">
        <v>0</v>
      </c>
      <c r="P108" s="15">
        <v>0</v>
      </c>
      <c r="Q108" s="15">
        <v>1</v>
      </c>
      <c r="R108" s="57">
        <v>4</v>
      </c>
      <c r="S108" s="57">
        <v>55</v>
      </c>
      <c r="T108" t="e">
        <f>_xlfn.XLOOKUP(A108,Master!#REF!,Master!G:G)</f>
        <v>#REF!</v>
      </c>
      <c r="W108">
        <v>107</v>
      </c>
      <c r="AA108" t="s">
        <v>1217</v>
      </c>
      <c r="AD108" s="12">
        <v>11</v>
      </c>
      <c r="AE108" s="12">
        <v>39</v>
      </c>
      <c r="AI108" t="s">
        <v>72</v>
      </c>
      <c r="AJ108">
        <v>81</v>
      </c>
      <c r="AN108" s="12">
        <v>0</v>
      </c>
      <c r="AO108" s="12">
        <v>2</v>
      </c>
      <c r="AP108" s="12">
        <f t="shared" si="1"/>
        <v>2</v>
      </c>
    </row>
    <row r="109" spans="1:42" ht="16.25" customHeight="1" x14ac:dyDescent="0.2">
      <c r="A109" s="53" t="s">
        <v>781</v>
      </c>
      <c r="B109" s="47" t="s">
        <v>85</v>
      </c>
      <c r="C109" s="54" t="s">
        <v>782</v>
      </c>
      <c r="D109" s="54" t="s">
        <v>783</v>
      </c>
      <c r="E109" s="53" t="s">
        <v>26</v>
      </c>
      <c r="F109" s="55"/>
      <c r="G109" s="53" t="s">
        <v>170</v>
      </c>
      <c r="H109" s="53"/>
      <c r="I109" s="45" t="s">
        <v>1229</v>
      </c>
      <c r="J109" s="45" t="s">
        <v>1230</v>
      </c>
      <c r="K109" s="45" t="s">
        <v>1241</v>
      </c>
      <c r="L109" s="45" t="s">
        <v>1232</v>
      </c>
      <c r="M109" s="47" t="s">
        <v>26</v>
      </c>
      <c r="N109" s="47">
        <v>0</v>
      </c>
      <c r="O109" s="47">
        <v>0</v>
      </c>
      <c r="P109" s="47">
        <v>0</v>
      </c>
      <c r="Q109" s="47">
        <v>1</v>
      </c>
      <c r="R109" s="45" t="s">
        <v>1245</v>
      </c>
      <c r="S109" s="70">
        <v>55</v>
      </c>
      <c r="T109" t="e">
        <f>_xlfn.XLOOKUP(A109,Master!#REF!,Master!G:G)</f>
        <v>#REF!</v>
      </c>
      <c r="W109">
        <v>108</v>
      </c>
      <c r="AA109">
        <v>4</v>
      </c>
      <c r="AB109">
        <v>46</v>
      </c>
      <c r="AC109" t="s">
        <v>846</v>
      </c>
      <c r="AD109" s="12">
        <v>0</v>
      </c>
      <c r="AE109" s="12">
        <v>1</v>
      </c>
      <c r="AI109" t="s">
        <v>72</v>
      </c>
      <c r="AJ109">
        <v>90</v>
      </c>
      <c r="AN109" s="12">
        <v>0</v>
      </c>
      <c r="AO109" s="12">
        <v>2</v>
      </c>
      <c r="AP109" s="12">
        <f t="shared" si="1"/>
        <v>2</v>
      </c>
    </row>
    <row r="110" spans="1:42" ht="16.25" customHeight="1" x14ac:dyDescent="0.2">
      <c r="A110" s="32" t="s">
        <v>769</v>
      </c>
      <c r="B110" s="32" t="s">
        <v>85</v>
      </c>
      <c r="C110" s="33" t="s">
        <v>770</v>
      </c>
      <c r="D110" s="33" t="s">
        <v>771</v>
      </c>
      <c r="E110" s="32" t="s">
        <v>26</v>
      </c>
      <c r="F110" s="39"/>
      <c r="G110" s="32" t="s">
        <v>24</v>
      </c>
      <c r="H110" s="32"/>
      <c r="I110" s="30" t="s">
        <v>1229</v>
      </c>
      <c r="J110" s="30" t="s">
        <v>1230</v>
      </c>
      <c r="K110" s="30" t="s">
        <v>1244</v>
      </c>
      <c r="L110" s="30" t="s">
        <v>1232</v>
      </c>
      <c r="M110" s="15" t="s">
        <v>26</v>
      </c>
      <c r="N110" s="15">
        <v>0</v>
      </c>
      <c r="O110" s="15">
        <v>0</v>
      </c>
      <c r="P110" s="15">
        <v>0</v>
      </c>
      <c r="Q110" s="15">
        <v>1</v>
      </c>
      <c r="R110" s="57">
        <v>4</v>
      </c>
      <c r="S110" s="57">
        <v>56</v>
      </c>
      <c r="T110" t="e">
        <f>_xlfn.XLOOKUP(A110,Master!#REF!,Master!G:G)</f>
        <v>#REF!</v>
      </c>
      <c r="W110">
        <v>109</v>
      </c>
      <c r="AA110">
        <v>4</v>
      </c>
      <c r="AB110">
        <v>46</v>
      </c>
      <c r="AC110" t="s">
        <v>842</v>
      </c>
      <c r="AD110" s="12">
        <v>0</v>
      </c>
      <c r="AE110" s="12">
        <v>1</v>
      </c>
      <c r="AI110" t="s">
        <v>72</v>
      </c>
      <c r="AJ110">
        <v>92</v>
      </c>
      <c r="AN110" s="12">
        <v>0</v>
      </c>
      <c r="AO110" s="12">
        <v>2</v>
      </c>
      <c r="AP110" s="12">
        <f t="shared" si="1"/>
        <v>2</v>
      </c>
    </row>
    <row r="111" spans="1:42" ht="16.25" customHeight="1" x14ac:dyDescent="0.2">
      <c r="A111" s="32" t="s">
        <v>777</v>
      </c>
      <c r="B111" s="15" t="s">
        <v>85</v>
      </c>
      <c r="C111" s="33" t="s">
        <v>778</v>
      </c>
      <c r="D111" s="33" t="s">
        <v>779</v>
      </c>
      <c r="E111" s="32" t="s">
        <v>26</v>
      </c>
      <c r="F111" s="32"/>
      <c r="G111" s="32" t="s">
        <v>24</v>
      </c>
      <c r="H111" s="32"/>
      <c r="I111" s="30" t="s">
        <v>1229</v>
      </c>
      <c r="J111" s="30" t="s">
        <v>1230</v>
      </c>
      <c r="K111" s="30" t="s">
        <v>1241</v>
      </c>
      <c r="L111" s="30" t="s">
        <v>1232</v>
      </c>
      <c r="M111" s="15" t="s">
        <v>26</v>
      </c>
      <c r="N111" s="15">
        <v>0</v>
      </c>
      <c r="O111" s="15">
        <v>0</v>
      </c>
      <c r="P111" s="15">
        <v>0</v>
      </c>
      <c r="Q111" s="15">
        <v>1</v>
      </c>
      <c r="R111" s="57">
        <v>4</v>
      </c>
      <c r="S111" s="57">
        <v>56</v>
      </c>
      <c r="T111" t="e">
        <f>_xlfn.XLOOKUP(A111,Master!#REF!,Master!G:G)</f>
        <v>#REF!</v>
      </c>
      <c r="W111">
        <v>110</v>
      </c>
      <c r="AA111">
        <v>4</v>
      </c>
      <c r="AB111">
        <v>47</v>
      </c>
      <c r="AC111" t="s">
        <v>834</v>
      </c>
      <c r="AD111" s="12">
        <v>0</v>
      </c>
      <c r="AE111" s="12">
        <v>1</v>
      </c>
      <c r="AI111" t="s">
        <v>72</v>
      </c>
      <c r="AJ111">
        <v>106</v>
      </c>
      <c r="AN111" s="12">
        <v>0</v>
      </c>
      <c r="AO111" s="12">
        <v>2</v>
      </c>
      <c r="AP111" s="12">
        <f t="shared" si="1"/>
        <v>2</v>
      </c>
    </row>
    <row r="112" spans="1:42" ht="16.25" customHeight="1" x14ac:dyDescent="0.2">
      <c r="A112" s="10" t="s">
        <v>891</v>
      </c>
      <c r="B112" s="18" t="s">
        <v>85</v>
      </c>
      <c r="C112" s="29" t="s">
        <v>892</v>
      </c>
      <c r="D112" s="29" t="s">
        <v>893</v>
      </c>
      <c r="E112" s="10" t="s">
        <v>26</v>
      </c>
      <c r="F112" s="42"/>
      <c r="G112" s="10" t="s">
        <v>24</v>
      </c>
      <c r="H112" s="10"/>
      <c r="I112" s="30" t="s">
        <v>1229</v>
      </c>
      <c r="J112" s="30" t="s">
        <v>1230</v>
      </c>
      <c r="K112" s="30" t="s">
        <v>1241</v>
      </c>
      <c r="L112" s="30" t="s">
        <v>1232</v>
      </c>
      <c r="M112" s="18" t="s">
        <v>26</v>
      </c>
      <c r="N112" s="18">
        <v>0</v>
      </c>
      <c r="O112" s="18">
        <v>0</v>
      </c>
      <c r="P112" s="18">
        <v>0</v>
      </c>
      <c r="Q112" s="18">
        <v>1</v>
      </c>
      <c r="R112" s="57">
        <v>3</v>
      </c>
      <c r="S112" s="57">
        <v>40</v>
      </c>
      <c r="T112" t="e">
        <f>_xlfn.XLOOKUP(A112,Master!#REF!,Master!G:G)</f>
        <v>#REF!</v>
      </c>
      <c r="W112">
        <v>111</v>
      </c>
      <c r="AA112">
        <v>4</v>
      </c>
      <c r="AB112">
        <v>47</v>
      </c>
      <c r="AC112" t="s">
        <v>838</v>
      </c>
      <c r="AD112" s="12">
        <v>0</v>
      </c>
      <c r="AE112" s="12">
        <v>1</v>
      </c>
      <c r="AI112" t="s">
        <v>72</v>
      </c>
      <c r="AJ112">
        <v>107</v>
      </c>
      <c r="AN112" s="12">
        <v>0</v>
      </c>
      <c r="AO112" s="12">
        <v>2</v>
      </c>
      <c r="AP112" s="12">
        <f t="shared" si="1"/>
        <v>2</v>
      </c>
    </row>
    <row r="113" spans="1:42" ht="16.25" customHeight="1" x14ac:dyDescent="0.2">
      <c r="A113" s="32" t="s">
        <v>765</v>
      </c>
      <c r="B113" s="15" t="s">
        <v>85</v>
      </c>
      <c r="C113" s="33" t="s">
        <v>766</v>
      </c>
      <c r="D113" s="33" t="s">
        <v>767</v>
      </c>
      <c r="E113" s="32" t="s">
        <v>26</v>
      </c>
      <c r="F113" s="39"/>
      <c r="G113" s="32" t="s">
        <v>24</v>
      </c>
      <c r="H113" s="32"/>
      <c r="I113" s="30" t="s">
        <v>1229</v>
      </c>
      <c r="J113" s="30" t="s">
        <v>1230</v>
      </c>
      <c r="K113" s="30" t="s">
        <v>1241</v>
      </c>
      <c r="L113" s="30" t="s">
        <v>1232</v>
      </c>
      <c r="M113" s="15" t="s">
        <v>26</v>
      </c>
      <c r="N113" s="15">
        <v>0</v>
      </c>
      <c r="O113" s="15">
        <v>0</v>
      </c>
      <c r="P113" s="15">
        <v>0</v>
      </c>
      <c r="Q113" s="15">
        <v>1</v>
      </c>
      <c r="R113" s="57">
        <v>4</v>
      </c>
      <c r="S113" s="57">
        <v>57</v>
      </c>
      <c r="T113" t="e">
        <f>_xlfn.XLOOKUP(A113,Master!#REF!,Master!G:G)</f>
        <v>#REF!</v>
      </c>
      <c r="W113">
        <v>112</v>
      </c>
      <c r="AA113">
        <v>4</v>
      </c>
      <c r="AB113">
        <v>48</v>
      </c>
      <c r="AC113" t="s">
        <v>830</v>
      </c>
      <c r="AD113" s="12">
        <v>0</v>
      </c>
      <c r="AE113" s="12">
        <v>1</v>
      </c>
      <c r="AI113" t="s">
        <v>72</v>
      </c>
      <c r="AJ113">
        <v>108</v>
      </c>
      <c r="AN113" s="12">
        <v>0</v>
      </c>
      <c r="AO113" s="12">
        <v>2</v>
      </c>
      <c r="AP113" s="12">
        <f t="shared" si="1"/>
        <v>2</v>
      </c>
    </row>
    <row r="114" spans="1:42" ht="16.25" customHeight="1" x14ac:dyDescent="0.2">
      <c r="A114" s="10" t="s">
        <v>758</v>
      </c>
      <c r="B114" s="18" t="s">
        <v>85</v>
      </c>
      <c r="C114" s="29" t="s">
        <v>759</v>
      </c>
      <c r="D114" s="29" t="s">
        <v>760</v>
      </c>
      <c r="E114" s="10" t="s">
        <v>26</v>
      </c>
      <c r="F114" s="42"/>
      <c r="G114" s="10" t="s">
        <v>24</v>
      </c>
      <c r="H114" s="10"/>
      <c r="I114" s="30" t="s">
        <v>1229</v>
      </c>
      <c r="J114" s="30" t="s">
        <v>1230</v>
      </c>
      <c r="K114" s="30" t="s">
        <v>1241</v>
      </c>
      <c r="L114" s="30" t="s">
        <v>1232</v>
      </c>
      <c r="M114" s="18" t="s">
        <v>26</v>
      </c>
      <c r="N114" s="18">
        <v>0</v>
      </c>
      <c r="O114" s="18">
        <v>0</v>
      </c>
      <c r="P114" s="18">
        <v>0</v>
      </c>
      <c r="Q114" s="18">
        <v>1</v>
      </c>
      <c r="R114" s="57">
        <v>4</v>
      </c>
      <c r="S114" s="57">
        <v>58</v>
      </c>
      <c r="T114" t="e">
        <f>_xlfn.XLOOKUP(A114,Master!#REF!,Master!G:G)</f>
        <v>#REF!</v>
      </c>
      <c r="W114">
        <v>113</v>
      </c>
      <c r="AA114">
        <v>4</v>
      </c>
      <c r="AB114">
        <v>48</v>
      </c>
      <c r="AC114" t="s">
        <v>826</v>
      </c>
      <c r="AD114" s="12">
        <v>0</v>
      </c>
      <c r="AE114" s="12">
        <v>1</v>
      </c>
      <c r="AI114" t="s">
        <v>72</v>
      </c>
      <c r="AJ114">
        <v>109</v>
      </c>
      <c r="AN114" s="12">
        <v>0</v>
      </c>
      <c r="AO114" s="12">
        <v>2</v>
      </c>
      <c r="AP114" s="12">
        <f t="shared" si="1"/>
        <v>2</v>
      </c>
    </row>
    <row r="115" spans="1:42" ht="16.25" customHeight="1" x14ac:dyDescent="0.2">
      <c r="A115" s="32" t="s">
        <v>746</v>
      </c>
      <c r="B115" s="15" t="s">
        <v>85</v>
      </c>
      <c r="C115" s="33" t="s">
        <v>747</v>
      </c>
      <c r="D115" s="33" t="s">
        <v>748</v>
      </c>
      <c r="E115" s="32" t="s">
        <v>26</v>
      </c>
      <c r="F115" s="39"/>
      <c r="G115" s="32" t="s">
        <v>24</v>
      </c>
      <c r="H115" s="32"/>
      <c r="I115" s="30" t="s">
        <v>1229</v>
      </c>
      <c r="J115" s="30" t="s">
        <v>1230</v>
      </c>
      <c r="K115" s="30" t="s">
        <v>1241</v>
      </c>
      <c r="L115" s="30" t="s">
        <v>1232</v>
      </c>
      <c r="M115" s="15" t="s">
        <v>26</v>
      </c>
      <c r="N115" s="15">
        <v>0</v>
      </c>
      <c r="O115" s="15">
        <v>0</v>
      </c>
      <c r="P115" s="15">
        <v>0</v>
      </c>
      <c r="Q115" s="15">
        <v>1</v>
      </c>
      <c r="R115" s="57">
        <v>4</v>
      </c>
      <c r="S115" s="57">
        <v>58</v>
      </c>
      <c r="T115" t="e">
        <f>_xlfn.XLOOKUP(A115,Master!#REF!,Master!G:G)</f>
        <v>#REF!</v>
      </c>
      <c r="W115">
        <v>114</v>
      </c>
      <c r="AA115">
        <v>4</v>
      </c>
      <c r="AB115">
        <v>49</v>
      </c>
      <c r="AC115" t="s">
        <v>821</v>
      </c>
      <c r="AD115" s="12">
        <v>1</v>
      </c>
      <c r="AE115" s="12">
        <v>2</v>
      </c>
      <c r="AI115" t="s">
        <v>72</v>
      </c>
      <c r="AJ115">
        <v>110</v>
      </c>
      <c r="AN115" s="12">
        <v>0</v>
      </c>
      <c r="AO115" s="12">
        <v>2</v>
      </c>
      <c r="AP115" s="12">
        <f t="shared" si="1"/>
        <v>2</v>
      </c>
    </row>
    <row r="116" spans="1:42" ht="16.25" customHeight="1" x14ac:dyDescent="0.2">
      <c r="A116" s="10" t="s">
        <v>915</v>
      </c>
      <c r="B116" s="18" t="s">
        <v>85</v>
      </c>
      <c r="C116" s="29" t="s">
        <v>916</v>
      </c>
      <c r="D116" s="29" t="s">
        <v>917</v>
      </c>
      <c r="E116" s="10" t="s">
        <v>26</v>
      </c>
      <c r="F116" s="10"/>
      <c r="G116" s="10" t="s">
        <v>24</v>
      </c>
      <c r="H116" s="10"/>
      <c r="I116" s="30" t="s">
        <v>1229</v>
      </c>
      <c r="J116" s="30" t="s">
        <v>1230</v>
      </c>
      <c r="K116" s="30" t="s">
        <v>1241</v>
      </c>
      <c r="L116" s="30" t="s">
        <v>1232</v>
      </c>
      <c r="M116" s="18" t="s">
        <v>26</v>
      </c>
      <c r="N116" s="18">
        <v>0</v>
      </c>
      <c r="O116" s="18">
        <v>0</v>
      </c>
      <c r="P116" s="18">
        <v>0</v>
      </c>
      <c r="Q116" s="18">
        <v>1</v>
      </c>
      <c r="R116" s="57">
        <v>4</v>
      </c>
      <c r="S116" s="57">
        <v>59</v>
      </c>
      <c r="T116" t="e">
        <f>_xlfn.XLOOKUP(A116,Master!#REF!,Master!G:G)</f>
        <v>#REF!</v>
      </c>
      <c r="W116">
        <v>115</v>
      </c>
      <c r="AA116">
        <v>4</v>
      </c>
      <c r="AB116">
        <v>50</v>
      </c>
      <c r="AC116" t="s">
        <v>813</v>
      </c>
      <c r="AD116" s="12">
        <v>0</v>
      </c>
      <c r="AE116" s="12">
        <v>1</v>
      </c>
      <c r="AI116" t="s">
        <v>72</v>
      </c>
      <c r="AJ116">
        <v>111</v>
      </c>
      <c r="AN116" s="12">
        <v>0</v>
      </c>
      <c r="AO116" s="12">
        <v>2</v>
      </c>
      <c r="AP116" s="12">
        <f t="shared" si="1"/>
        <v>2</v>
      </c>
    </row>
    <row r="117" spans="1:42" ht="16.25" customHeight="1" x14ac:dyDescent="0.2">
      <c r="A117" s="17" t="s">
        <v>750</v>
      </c>
      <c r="B117" s="18" t="s">
        <v>85</v>
      </c>
      <c r="C117" s="41" t="s">
        <v>751</v>
      </c>
      <c r="D117" s="10" t="s">
        <v>752</v>
      </c>
      <c r="E117" s="10" t="s">
        <v>26</v>
      </c>
      <c r="F117" s="10"/>
      <c r="G117" s="10" t="s">
        <v>24</v>
      </c>
      <c r="H117" s="10"/>
      <c r="I117" s="30" t="s">
        <v>1229</v>
      </c>
      <c r="J117" s="30" t="s">
        <v>1230</v>
      </c>
      <c r="K117" s="30" t="s">
        <v>1241</v>
      </c>
      <c r="L117" s="30" t="s">
        <v>1232</v>
      </c>
      <c r="M117" s="18" t="s">
        <v>26</v>
      </c>
      <c r="N117" s="18">
        <v>0</v>
      </c>
      <c r="O117" s="18">
        <v>0</v>
      </c>
      <c r="P117" s="18">
        <v>0</v>
      </c>
      <c r="Q117" s="18">
        <v>1</v>
      </c>
      <c r="R117" s="57">
        <v>4</v>
      </c>
      <c r="S117" s="57">
        <v>59</v>
      </c>
      <c r="T117" t="e">
        <f>_xlfn.XLOOKUP(A117,Master!#REF!,Master!G:G)</f>
        <v>#REF!</v>
      </c>
      <c r="W117">
        <v>116</v>
      </c>
      <c r="AA117">
        <v>4</v>
      </c>
      <c r="AB117">
        <v>50</v>
      </c>
      <c r="AC117" t="s">
        <v>817</v>
      </c>
      <c r="AD117" s="12">
        <v>0</v>
      </c>
      <c r="AE117" s="12">
        <v>1</v>
      </c>
      <c r="AI117" t="s">
        <v>72</v>
      </c>
      <c r="AJ117">
        <v>112</v>
      </c>
      <c r="AN117" s="12">
        <v>0</v>
      </c>
      <c r="AO117" s="12">
        <v>2</v>
      </c>
      <c r="AP117" s="12">
        <f t="shared" si="1"/>
        <v>2</v>
      </c>
    </row>
    <row r="118" spans="1:42" ht="16.25" customHeight="1" x14ac:dyDescent="0.2">
      <c r="A118" s="10" t="s">
        <v>737</v>
      </c>
      <c r="B118" s="10" t="s">
        <v>85</v>
      </c>
      <c r="C118" s="29" t="s">
        <v>738</v>
      </c>
      <c r="D118" s="29" t="s">
        <v>739</v>
      </c>
      <c r="E118" s="10" t="s">
        <v>26</v>
      </c>
      <c r="F118" s="10"/>
      <c r="G118" s="10" t="s">
        <v>24</v>
      </c>
      <c r="H118" s="10"/>
      <c r="I118" s="30" t="s">
        <v>1229</v>
      </c>
      <c r="J118" s="30" t="s">
        <v>1230</v>
      </c>
      <c r="K118" s="30" t="s">
        <v>1244</v>
      </c>
      <c r="L118" s="30" t="s">
        <v>1232</v>
      </c>
      <c r="M118" s="18" t="s">
        <v>26</v>
      </c>
      <c r="N118" s="18">
        <v>0</v>
      </c>
      <c r="O118" s="18">
        <v>0</v>
      </c>
      <c r="P118" s="18">
        <v>0</v>
      </c>
      <c r="Q118" s="18">
        <v>1</v>
      </c>
      <c r="R118" s="57">
        <v>7</v>
      </c>
      <c r="S118" s="57">
        <v>60</v>
      </c>
      <c r="T118" t="e">
        <f>_xlfn.XLOOKUP(A118,Master!#REF!,Master!G:G)</f>
        <v>#REF!</v>
      </c>
      <c r="W118">
        <v>117</v>
      </c>
      <c r="AA118">
        <v>4</v>
      </c>
      <c r="AB118">
        <v>51</v>
      </c>
      <c r="AC118" t="s">
        <v>805</v>
      </c>
      <c r="AD118" s="12">
        <v>0</v>
      </c>
      <c r="AE118" s="12">
        <v>1</v>
      </c>
      <c r="AI118" t="s">
        <v>72</v>
      </c>
      <c r="AJ118">
        <v>113</v>
      </c>
      <c r="AN118" s="12">
        <v>0</v>
      </c>
      <c r="AO118" s="12">
        <v>2</v>
      </c>
      <c r="AP118" s="12">
        <f t="shared" si="1"/>
        <v>2</v>
      </c>
    </row>
    <row r="119" spans="1:42" ht="16.25" customHeight="1" x14ac:dyDescent="0.2">
      <c r="A119" s="32" t="s">
        <v>721</v>
      </c>
      <c r="B119" s="15" t="s">
        <v>85</v>
      </c>
      <c r="C119" s="33" t="s">
        <v>722</v>
      </c>
      <c r="D119" s="33" t="s">
        <v>723</v>
      </c>
      <c r="E119" s="32" t="s">
        <v>26</v>
      </c>
      <c r="F119" s="39"/>
      <c r="G119" s="32" t="s">
        <v>24</v>
      </c>
      <c r="H119" s="32"/>
      <c r="I119" s="30" t="s">
        <v>1229</v>
      </c>
      <c r="J119" s="30" t="s">
        <v>1230</v>
      </c>
      <c r="K119" s="30" t="s">
        <v>1241</v>
      </c>
      <c r="L119" s="30" t="s">
        <v>1232</v>
      </c>
      <c r="M119" s="15" t="s">
        <v>26</v>
      </c>
      <c r="N119" s="15">
        <v>0</v>
      </c>
      <c r="O119" s="15">
        <v>0</v>
      </c>
      <c r="P119" s="15">
        <v>0</v>
      </c>
      <c r="Q119" s="15">
        <v>1</v>
      </c>
      <c r="R119" s="57">
        <v>4</v>
      </c>
      <c r="S119" s="57">
        <v>62</v>
      </c>
      <c r="T119" t="e">
        <f>_xlfn.XLOOKUP(A119,Master!#REF!,Master!G:G)</f>
        <v>#REF!</v>
      </c>
      <c r="W119">
        <v>118</v>
      </c>
      <c r="AA119">
        <v>4</v>
      </c>
      <c r="AB119">
        <v>51</v>
      </c>
      <c r="AC119" t="s">
        <v>809</v>
      </c>
      <c r="AD119" s="12">
        <v>0</v>
      </c>
      <c r="AE119" s="12">
        <v>1</v>
      </c>
      <c r="AI119" t="s">
        <v>72</v>
      </c>
      <c r="AJ119">
        <v>114</v>
      </c>
      <c r="AN119" s="12">
        <v>0</v>
      </c>
      <c r="AO119" s="12">
        <v>2</v>
      </c>
      <c r="AP119" s="12">
        <f t="shared" si="1"/>
        <v>2</v>
      </c>
    </row>
    <row r="120" spans="1:42" ht="16.25" customHeight="1" x14ac:dyDescent="0.2">
      <c r="A120" s="43" t="s">
        <v>544</v>
      </c>
      <c r="B120" s="15" t="s">
        <v>85</v>
      </c>
      <c r="C120" s="32" t="s">
        <v>545</v>
      </c>
      <c r="D120" s="32" t="s">
        <v>546</v>
      </c>
      <c r="E120" s="32" t="s">
        <v>26</v>
      </c>
      <c r="F120" s="32"/>
      <c r="G120" s="32" t="s">
        <v>24</v>
      </c>
      <c r="H120" s="32" t="s">
        <v>547</v>
      </c>
      <c r="I120" s="30" t="s">
        <v>1229</v>
      </c>
      <c r="J120" s="30" t="s">
        <v>1230</v>
      </c>
      <c r="K120" s="30" t="s">
        <v>1241</v>
      </c>
      <c r="L120" s="30" t="s">
        <v>1232</v>
      </c>
      <c r="M120" s="15" t="s">
        <v>26</v>
      </c>
      <c r="N120" s="15">
        <v>0</v>
      </c>
      <c r="O120" s="15">
        <v>0</v>
      </c>
      <c r="P120" s="15">
        <v>0</v>
      </c>
      <c r="Q120" s="15">
        <v>1</v>
      </c>
      <c r="R120" s="57">
        <v>4</v>
      </c>
      <c r="S120" s="57">
        <v>61</v>
      </c>
      <c r="T120" t="e">
        <f>_xlfn.XLOOKUP(A120,Master!#REF!,Master!G:G)</f>
        <v>#REF!</v>
      </c>
      <c r="W120">
        <v>119</v>
      </c>
      <c r="AA120">
        <v>4</v>
      </c>
      <c r="AB120">
        <v>52</v>
      </c>
      <c r="AC120" t="s">
        <v>801</v>
      </c>
      <c r="AD120" s="12">
        <v>0</v>
      </c>
      <c r="AE120" s="12">
        <v>1</v>
      </c>
      <c r="AI120" t="s">
        <v>72</v>
      </c>
      <c r="AJ120">
        <v>115</v>
      </c>
      <c r="AN120" s="12">
        <v>0</v>
      </c>
      <c r="AO120" s="12">
        <v>2</v>
      </c>
      <c r="AP120" s="12">
        <f t="shared" si="1"/>
        <v>2</v>
      </c>
    </row>
    <row r="121" spans="1:42" ht="16.25" customHeight="1" x14ac:dyDescent="0.2">
      <c r="A121" s="17" t="s">
        <v>665</v>
      </c>
      <c r="B121" s="15" t="s">
        <v>85</v>
      </c>
      <c r="C121" s="33" t="s">
        <v>666</v>
      </c>
      <c r="D121" s="32" t="s">
        <v>667</v>
      </c>
      <c r="E121" s="32" t="s">
        <v>26</v>
      </c>
      <c r="F121" s="32"/>
      <c r="G121" s="32" t="s">
        <v>24</v>
      </c>
      <c r="H121" s="32"/>
      <c r="I121" s="30" t="s">
        <v>1229</v>
      </c>
      <c r="J121" s="30" t="s">
        <v>1230</v>
      </c>
      <c r="K121" s="30" t="s">
        <v>1241</v>
      </c>
      <c r="L121" s="30" t="s">
        <v>1232</v>
      </c>
      <c r="M121" s="15" t="s">
        <v>26</v>
      </c>
      <c r="N121" s="15">
        <v>0</v>
      </c>
      <c r="O121" s="15">
        <v>0</v>
      </c>
      <c r="P121" s="15">
        <v>0</v>
      </c>
      <c r="Q121" s="15">
        <v>1</v>
      </c>
      <c r="R121" s="57">
        <v>4</v>
      </c>
      <c r="S121" s="57">
        <v>69</v>
      </c>
      <c r="T121" t="e">
        <f>_xlfn.XLOOKUP(A121,Master!#REF!,Master!G:G)</f>
        <v>#REF!</v>
      </c>
      <c r="W121">
        <v>120</v>
      </c>
      <c r="AA121">
        <v>4</v>
      </c>
      <c r="AB121">
        <v>52</v>
      </c>
      <c r="AC121" t="s">
        <v>797</v>
      </c>
      <c r="AD121" s="12">
        <v>0</v>
      </c>
      <c r="AE121" s="12">
        <v>1</v>
      </c>
      <c r="AI121" t="s">
        <v>72</v>
      </c>
      <c r="AJ121">
        <v>132</v>
      </c>
      <c r="AN121" s="12">
        <v>0</v>
      </c>
      <c r="AO121" s="12">
        <v>2</v>
      </c>
      <c r="AP121" s="12">
        <f t="shared" si="1"/>
        <v>2</v>
      </c>
    </row>
    <row r="122" spans="1:42" ht="16.25" customHeight="1" x14ac:dyDescent="0.2">
      <c r="A122" s="32" t="s">
        <v>862</v>
      </c>
      <c r="B122" s="15" t="s">
        <v>85</v>
      </c>
      <c r="C122" s="33" t="s">
        <v>863</v>
      </c>
      <c r="D122" s="33" t="s">
        <v>864</v>
      </c>
      <c r="E122" s="32" t="s">
        <v>26</v>
      </c>
      <c r="F122" s="32"/>
      <c r="G122" s="32" t="s">
        <v>24</v>
      </c>
      <c r="H122" s="32"/>
      <c r="I122" s="30" t="s">
        <v>1229</v>
      </c>
      <c r="J122" s="30" t="s">
        <v>1230</v>
      </c>
      <c r="K122" s="30" t="s">
        <v>1241</v>
      </c>
      <c r="L122" s="30" t="s">
        <v>1232</v>
      </c>
      <c r="M122" s="15" t="s">
        <v>26</v>
      </c>
      <c r="N122" s="15">
        <v>0</v>
      </c>
      <c r="O122" s="15">
        <v>0</v>
      </c>
      <c r="P122" s="15">
        <v>0</v>
      </c>
      <c r="Q122" s="15">
        <v>1</v>
      </c>
      <c r="R122" s="65">
        <v>7</v>
      </c>
      <c r="S122" s="65">
        <v>62</v>
      </c>
      <c r="T122" t="e">
        <f>_xlfn.XLOOKUP(A122,Master!#REF!,Master!G:G)</f>
        <v>#REF!</v>
      </c>
      <c r="W122">
        <v>121</v>
      </c>
      <c r="AA122">
        <v>4</v>
      </c>
      <c r="AB122">
        <v>53</v>
      </c>
      <c r="AC122" t="s">
        <v>789</v>
      </c>
      <c r="AD122" s="12">
        <v>0</v>
      </c>
      <c r="AE122" s="12">
        <v>1</v>
      </c>
      <c r="AI122" t="s">
        <v>72</v>
      </c>
      <c r="AJ122">
        <v>133</v>
      </c>
      <c r="AN122" s="12">
        <v>0</v>
      </c>
      <c r="AO122" s="12">
        <v>2</v>
      </c>
      <c r="AP122" s="12">
        <f t="shared" si="1"/>
        <v>2</v>
      </c>
    </row>
    <row r="123" spans="1:42" ht="16.25" customHeight="1" x14ac:dyDescent="0.2">
      <c r="A123" s="32" t="s">
        <v>741</v>
      </c>
      <c r="B123" s="32" t="s">
        <v>85</v>
      </c>
      <c r="C123" s="33" t="s">
        <v>742</v>
      </c>
      <c r="D123" s="33" t="s">
        <v>743</v>
      </c>
      <c r="E123" s="32" t="s">
        <v>26</v>
      </c>
      <c r="F123" s="32"/>
      <c r="G123" s="32" t="s">
        <v>24</v>
      </c>
      <c r="H123" s="32" t="s">
        <v>744</v>
      </c>
      <c r="I123" s="30" t="s">
        <v>1229</v>
      </c>
      <c r="J123" s="30" t="s">
        <v>1230</v>
      </c>
      <c r="K123" s="30" t="s">
        <v>1246</v>
      </c>
      <c r="L123" s="30" t="s">
        <v>1232</v>
      </c>
      <c r="M123" s="15" t="s">
        <v>26</v>
      </c>
      <c r="N123" s="15">
        <v>0</v>
      </c>
      <c r="O123" s="15">
        <v>0</v>
      </c>
      <c r="P123" s="15">
        <v>0</v>
      </c>
      <c r="Q123" s="15">
        <v>1</v>
      </c>
      <c r="R123" s="65">
        <v>7</v>
      </c>
      <c r="S123" s="65">
        <v>60</v>
      </c>
      <c r="T123" t="e">
        <f>_xlfn.XLOOKUP(A123,Master!#REF!,Master!G:G)</f>
        <v>#REF!</v>
      </c>
      <c r="W123">
        <v>122</v>
      </c>
      <c r="AA123">
        <v>4</v>
      </c>
      <c r="AB123">
        <v>53</v>
      </c>
      <c r="AC123" t="s">
        <v>793</v>
      </c>
      <c r="AD123" s="12">
        <v>0</v>
      </c>
      <c r="AE123" s="12">
        <v>1</v>
      </c>
      <c r="AI123" t="s">
        <v>72</v>
      </c>
      <c r="AJ123">
        <v>134</v>
      </c>
      <c r="AN123" s="12">
        <v>0</v>
      </c>
      <c r="AO123" s="12">
        <v>2</v>
      </c>
      <c r="AP123" s="12">
        <f t="shared" si="1"/>
        <v>2</v>
      </c>
    </row>
    <row r="124" spans="1:42" ht="16.25" customHeight="1" x14ac:dyDescent="0.2">
      <c r="A124" s="10" t="s">
        <v>713</v>
      </c>
      <c r="B124" s="10" t="s">
        <v>85</v>
      </c>
      <c r="C124" s="29" t="s">
        <v>714</v>
      </c>
      <c r="D124" s="29" t="s">
        <v>715</v>
      </c>
      <c r="E124" s="10" t="s">
        <v>26</v>
      </c>
      <c r="F124" s="10"/>
      <c r="G124" s="10" t="s">
        <v>24</v>
      </c>
      <c r="H124" s="10"/>
      <c r="I124" s="30" t="s">
        <v>1229</v>
      </c>
      <c r="J124" s="30" t="s">
        <v>1230</v>
      </c>
      <c r="K124" s="30" t="s">
        <v>1246</v>
      </c>
      <c r="L124" s="30" t="s">
        <v>1232</v>
      </c>
      <c r="M124" s="18" t="s">
        <v>26</v>
      </c>
      <c r="N124" s="18">
        <v>0</v>
      </c>
      <c r="O124" s="18">
        <v>0</v>
      </c>
      <c r="P124" s="18">
        <v>0</v>
      </c>
      <c r="Q124" s="18">
        <v>1</v>
      </c>
      <c r="R124" s="65">
        <v>7</v>
      </c>
      <c r="S124" s="65">
        <v>63</v>
      </c>
      <c r="T124" t="e">
        <f>_xlfn.XLOOKUP(A124,Master!#REF!,Master!G:G)</f>
        <v>#REF!</v>
      </c>
      <c r="W124">
        <v>123</v>
      </c>
      <c r="AA124">
        <v>4</v>
      </c>
      <c r="AB124">
        <v>54</v>
      </c>
      <c r="AC124" t="s">
        <v>1209</v>
      </c>
      <c r="AD124" s="12">
        <v>0</v>
      </c>
      <c r="AE124" s="12">
        <v>1</v>
      </c>
      <c r="AI124" t="s">
        <v>72</v>
      </c>
      <c r="AJ124">
        <v>135</v>
      </c>
      <c r="AN124" s="12">
        <v>0</v>
      </c>
      <c r="AO124" s="12">
        <v>2</v>
      </c>
      <c r="AP124" s="12">
        <f t="shared" si="1"/>
        <v>2</v>
      </c>
    </row>
    <row r="125" spans="1:42" ht="16.25" customHeight="1" x14ac:dyDescent="0.2">
      <c r="A125" s="10" t="s">
        <v>717</v>
      </c>
      <c r="B125" s="10" t="s">
        <v>85</v>
      </c>
      <c r="C125" s="29" t="s">
        <v>718</v>
      </c>
      <c r="D125" s="29" t="s">
        <v>719</v>
      </c>
      <c r="E125" s="10" t="s">
        <v>26</v>
      </c>
      <c r="F125" s="10"/>
      <c r="G125" s="10" t="s">
        <v>24</v>
      </c>
      <c r="H125" s="10"/>
      <c r="I125" s="30" t="s">
        <v>1229</v>
      </c>
      <c r="J125" s="30" t="s">
        <v>1230</v>
      </c>
      <c r="K125" s="30" t="s">
        <v>1246</v>
      </c>
      <c r="L125" s="30" t="s">
        <v>1232</v>
      </c>
      <c r="M125" s="18" t="s">
        <v>26</v>
      </c>
      <c r="N125" s="18">
        <v>0</v>
      </c>
      <c r="O125" s="18">
        <v>0</v>
      </c>
      <c r="P125" s="18">
        <v>0</v>
      </c>
      <c r="Q125" s="18">
        <v>1</v>
      </c>
      <c r="R125" s="65">
        <v>7</v>
      </c>
      <c r="S125" s="65">
        <v>63</v>
      </c>
      <c r="T125" t="e">
        <f>_xlfn.XLOOKUP(A125,Master!#REF!,Master!G:G)</f>
        <v>#REF!</v>
      </c>
      <c r="W125">
        <v>124</v>
      </c>
      <c r="AA125">
        <v>4</v>
      </c>
      <c r="AB125">
        <v>54</v>
      </c>
      <c r="AC125" t="s">
        <v>785</v>
      </c>
      <c r="AD125" s="12">
        <v>0</v>
      </c>
      <c r="AE125" s="12">
        <v>1</v>
      </c>
      <c r="AI125" t="s">
        <v>72</v>
      </c>
      <c r="AJ125">
        <v>136</v>
      </c>
      <c r="AN125" s="12">
        <v>0</v>
      </c>
      <c r="AO125" s="12">
        <v>2</v>
      </c>
      <c r="AP125" s="12">
        <f t="shared" si="1"/>
        <v>2</v>
      </c>
    </row>
    <row r="126" spans="1:42" ht="16.25" customHeight="1" x14ac:dyDescent="0.2">
      <c r="A126" s="32" t="s">
        <v>705</v>
      </c>
      <c r="B126" s="32" t="s">
        <v>85</v>
      </c>
      <c r="C126" s="33" t="s">
        <v>706</v>
      </c>
      <c r="D126" s="33" t="s">
        <v>707</v>
      </c>
      <c r="E126" s="32" t="s">
        <v>26</v>
      </c>
      <c r="F126" s="32"/>
      <c r="G126" s="32" t="s">
        <v>24</v>
      </c>
      <c r="H126" s="32"/>
      <c r="I126" s="30" t="s">
        <v>1229</v>
      </c>
      <c r="J126" s="30" t="s">
        <v>1230</v>
      </c>
      <c r="K126" s="30" t="s">
        <v>1246</v>
      </c>
      <c r="L126" s="30" t="s">
        <v>1232</v>
      </c>
      <c r="M126" s="15" t="s">
        <v>26</v>
      </c>
      <c r="N126" s="15">
        <v>0</v>
      </c>
      <c r="O126" s="15">
        <v>0</v>
      </c>
      <c r="P126" s="15">
        <v>0</v>
      </c>
      <c r="Q126" s="15">
        <v>1</v>
      </c>
      <c r="R126" s="65">
        <v>7</v>
      </c>
      <c r="S126" s="65">
        <v>64</v>
      </c>
      <c r="T126" t="e">
        <f>_xlfn.XLOOKUP(A126,Master!#REF!,Master!G:G)</f>
        <v>#REF!</v>
      </c>
      <c r="W126">
        <v>125</v>
      </c>
      <c r="AA126">
        <v>4</v>
      </c>
      <c r="AB126">
        <v>55</v>
      </c>
      <c r="AC126" t="s">
        <v>773</v>
      </c>
      <c r="AD126" s="12">
        <v>0</v>
      </c>
      <c r="AE126" s="12">
        <v>1</v>
      </c>
      <c r="AI126" t="s">
        <v>72</v>
      </c>
      <c r="AJ126">
        <v>137</v>
      </c>
      <c r="AN126" s="12">
        <v>0</v>
      </c>
      <c r="AO126" s="12">
        <v>2</v>
      </c>
      <c r="AP126" s="12">
        <f t="shared" si="1"/>
        <v>2</v>
      </c>
    </row>
    <row r="127" spans="1:42" ht="16.25" customHeight="1" x14ac:dyDescent="0.2">
      <c r="A127" s="32" t="s">
        <v>709</v>
      </c>
      <c r="B127" s="32" t="s">
        <v>85</v>
      </c>
      <c r="C127" s="33" t="s">
        <v>710</v>
      </c>
      <c r="D127" s="33" t="s">
        <v>711</v>
      </c>
      <c r="E127" s="32" t="s">
        <v>26</v>
      </c>
      <c r="F127" s="39"/>
      <c r="G127" s="32" t="s">
        <v>24</v>
      </c>
      <c r="H127" s="32"/>
      <c r="I127" s="30" t="s">
        <v>1229</v>
      </c>
      <c r="J127" s="30" t="s">
        <v>1230</v>
      </c>
      <c r="K127" s="30" t="s">
        <v>1246</v>
      </c>
      <c r="L127" s="30" t="s">
        <v>1232</v>
      </c>
      <c r="M127" s="15" t="s">
        <v>26</v>
      </c>
      <c r="N127" s="15">
        <v>0</v>
      </c>
      <c r="O127" s="15">
        <v>0</v>
      </c>
      <c r="P127" s="15">
        <v>0</v>
      </c>
      <c r="Q127" s="15">
        <v>1</v>
      </c>
      <c r="R127" s="65">
        <v>7</v>
      </c>
      <c r="S127" s="65">
        <v>64</v>
      </c>
      <c r="T127" t="e">
        <f>_xlfn.XLOOKUP(A127,Master!#REF!,Master!G:G)</f>
        <v>#REF!</v>
      </c>
      <c r="W127">
        <v>126</v>
      </c>
      <c r="AA127">
        <v>4</v>
      </c>
      <c r="AB127">
        <v>56</v>
      </c>
      <c r="AC127" t="s">
        <v>769</v>
      </c>
      <c r="AD127" s="12">
        <v>0</v>
      </c>
      <c r="AE127" s="12">
        <v>1</v>
      </c>
      <c r="AI127" t="s">
        <v>72</v>
      </c>
      <c r="AJ127">
        <v>138</v>
      </c>
      <c r="AN127" s="12">
        <v>0</v>
      </c>
      <c r="AO127" s="12">
        <v>2</v>
      </c>
      <c r="AP127" s="12">
        <f t="shared" si="1"/>
        <v>2</v>
      </c>
    </row>
    <row r="128" spans="1:42" ht="16.25" customHeight="1" x14ac:dyDescent="0.2">
      <c r="A128" s="32" t="s">
        <v>1074</v>
      </c>
      <c r="B128" s="32" t="s">
        <v>85</v>
      </c>
      <c r="C128" s="33" t="s">
        <v>1075</v>
      </c>
      <c r="D128" s="33" t="s">
        <v>1076</v>
      </c>
      <c r="E128" s="32" t="s">
        <v>26</v>
      </c>
      <c r="F128" s="39"/>
      <c r="G128" s="32" t="s">
        <v>24</v>
      </c>
      <c r="H128" s="32"/>
      <c r="I128" s="30" t="s">
        <v>1229</v>
      </c>
      <c r="J128" s="30" t="s">
        <v>1230</v>
      </c>
      <c r="K128" s="30" t="s">
        <v>1238</v>
      </c>
      <c r="L128" s="30" t="s">
        <v>1232</v>
      </c>
      <c r="M128" s="15" t="s">
        <v>26</v>
      </c>
      <c r="N128" s="15">
        <v>0</v>
      </c>
      <c r="O128" s="15">
        <v>0</v>
      </c>
      <c r="P128" s="15">
        <v>0</v>
      </c>
      <c r="Q128" s="15">
        <v>1</v>
      </c>
      <c r="R128" s="65">
        <v>2</v>
      </c>
      <c r="S128" s="65">
        <v>65</v>
      </c>
      <c r="T128" t="e">
        <f>_xlfn.XLOOKUP(A128,Master!#REF!,Master!G:G)</f>
        <v>#REF!</v>
      </c>
      <c r="W128">
        <v>127</v>
      </c>
      <c r="AA128">
        <v>4</v>
      </c>
      <c r="AB128">
        <v>56</v>
      </c>
      <c r="AC128" t="s">
        <v>777</v>
      </c>
      <c r="AD128" s="12">
        <v>0</v>
      </c>
      <c r="AE128" s="12">
        <v>1</v>
      </c>
      <c r="AI128" t="s">
        <v>72</v>
      </c>
      <c r="AJ128">
        <v>139</v>
      </c>
      <c r="AN128" s="12">
        <v>0</v>
      </c>
      <c r="AO128" s="12">
        <v>2</v>
      </c>
      <c r="AP128" s="12">
        <f t="shared" si="1"/>
        <v>2</v>
      </c>
    </row>
    <row r="129" spans="1:42" ht="16.25" customHeight="1" x14ac:dyDescent="0.2">
      <c r="A129" s="10" t="s">
        <v>701</v>
      </c>
      <c r="B129" s="10" t="s">
        <v>85</v>
      </c>
      <c r="C129" s="29" t="s">
        <v>702</v>
      </c>
      <c r="D129" s="29" t="s">
        <v>703</v>
      </c>
      <c r="E129" s="10" t="s">
        <v>26</v>
      </c>
      <c r="F129" s="10"/>
      <c r="G129" s="10" t="s">
        <v>24</v>
      </c>
      <c r="H129" s="10"/>
      <c r="I129" s="30" t="s">
        <v>1229</v>
      </c>
      <c r="J129" s="30" t="s">
        <v>1230</v>
      </c>
      <c r="K129" s="30" t="s">
        <v>1246</v>
      </c>
      <c r="L129" s="30" t="s">
        <v>1232</v>
      </c>
      <c r="M129" s="18" t="s">
        <v>26</v>
      </c>
      <c r="N129" s="18">
        <v>0</v>
      </c>
      <c r="O129" s="18">
        <v>0</v>
      </c>
      <c r="P129" s="18">
        <v>0</v>
      </c>
      <c r="Q129" s="18">
        <v>1</v>
      </c>
      <c r="R129" s="65">
        <v>7</v>
      </c>
      <c r="S129" s="65">
        <v>65</v>
      </c>
      <c r="T129" t="e">
        <f>_xlfn.XLOOKUP(A129,Master!#REF!,Master!G:G)</f>
        <v>#REF!</v>
      </c>
      <c r="W129">
        <v>128</v>
      </c>
      <c r="AA129">
        <v>4</v>
      </c>
      <c r="AB129">
        <v>57</v>
      </c>
      <c r="AC129" t="s">
        <v>891</v>
      </c>
      <c r="AD129" s="12">
        <v>0</v>
      </c>
      <c r="AE129" s="12">
        <v>1</v>
      </c>
      <c r="AI129" t="s">
        <v>72</v>
      </c>
      <c r="AJ129">
        <v>140</v>
      </c>
      <c r="AN129" s="12">
        <v>0</v>
      </c>
      <c r="AO129" s="12">
        <v>2</v>
      </c>
      <c r="AP129" s="12">
        <f t="shared" si="1"/>
        <v>2</v>
      </c>
    </row>
    <row r="130" spans="1:42" ht="16.25" customHeight="1" x14ac:dyDescent="0.2">
      <c r="A130" s="32" t="s">
        <v>1062</v>
      </c>
      <c r="B130" s="32" t="s">
        <v>85</v>
      </c>
      <c r="C130" s="33" t="s">
        <v>1063</v>
      </c>
      <c r="D130" s="33" t="s">
        <v>1064</v>
      </c>
      <c r="E130" s="32" t="s">
        <v>26</v>
      </c>
      <c r="F130" s="32"/>
      <c r="G130" s="32" t="s">
        <v>24</v>
      </c>
      <c r="H130" s="32"/>
      <c r="I130" s="30" t="s">
        <v>1229</v>
      </c>
      <c r="J130" s="30" t="s">
        <v>1230</v>
      </c>
      <c r="K130" s="30" t="s">
        <v>1238</v>
      </c>
      <c r="L130" s="30" t="s">
        <v>1232</v>
      </c>
      <c r="M130" s="15" t="s">
        <v>26</v>
      </c>
      <c r="N130" s="15">
        <v>0</v>
      </c>
      <c r="O130" s="15">
        <v>0</v>
      </c>
      <c r="P130" s="15">
        <v>0</v>
      </c>
      <c r="Q130" s="15">
        <v>1</v>
      </c>
      <c r="R130" s="65">
        <v>2</v>
      </c>
      <c r="S130" s="65">
        <v>66</v>
      </c>
      <c r="T130" t="e">
        <f>_xlfn.XLOOKUP(A130,Master!#REF!,Master!G:G)</f>
        <v>#REF!</v>
      </c>
      <c r="W130">
        <v>129</v>
      </c>
      <c r="AA130">
        <v>4</v>
      </c>
      <c r="AB130">
        <v>57</v>
      </c>
      <c r="AC130" t="s">
        <v>765</v>
      </c>
      <c r="AD130" s="12">
        <v>0</v>
      </c>
      <c r="AE130" s="12">
        <v>1</v>
      </c>
      <c r="AI130" t="s">
        <v>72</v>
      </c>
      <c r="AJ130">
        <v>141</v>
      </c>
      <c r="AN130" s="12">
        <v>0</v>
      </c>
      <c r="AO130" s="12">
        <v>2</v>
      </c>
      <c r="AP130" s="12">
        <f t="shared" si="1"/>
        <v>2</v>
      </c>
    </row>
    <row r="131" spans="1:42" ht="16.25" customHeight="1" x14ac:dyDescent="0.2">
      <c r="A131" s="10" t="s">
        <v>1066</v>
      </c>
      <c r="B131" s="10" t="s">
        <v>85</v>
      </c>
      <c r="C131" s="29" t="s">
        <v>1067</v>
      </c>
      <c r="D131" s="29" t="s">
        <v>1068</v>
      </c>
      <c r="E131" s="10" t="s">
        <v>26</v>
      </c>
      <c r="F131" s="10"/>
      <c r="G131" s="10" t="s">
        <v>24</v>
      </c>
      <c r="H131" s="10"/>
      <c r="I131" s="30" t="s">
        <v>1229</v>
      </c>
      <c r="J131" s="30" t="s">
        <v>1230</v>
      </c>
      <c r="K131" s="30" t="s">
        <v>1238</v>
      </c>
      <c r="L131" s="30" t="s">
        <v>1232</v>
      </c>
      <c r="M131" s="18" t="s">
        <v>26</v>
      </c>
      <c r="N131" s="18">
        <v>0</v>
      </c>
      <c r="O131" s="18">
        <v>0</v>
      </c>
      <c r="P131" s="18">
        <v>0</v>
      </c>
      <c r="Q131" s="18">
        <v>1</v>
      </c>
      <c r="R131" s="65">
        <v>2</v>
      </c>
      <c r="S131" s="65">
        <v>66</v>
      </c>
      <c r="T131" t="e">
        <f>_xlfn.XLOOKUP(A131,Master!#REF!,Master!G:G)</f>
        <v>#REF!</v>
      </c>
      <c r="W131">
        <v>130</v>
      </c>
      <c r="AA131">
        <v>4</v>
      </c>
      <c r="AB131">
        <v>58</v>
      </c>
      <c r="AC131" t="s">
        <v>746</v>
      </c>
      <c r="AD131" s="12">
        <v>0</v>
      </c>
      <c r="AE131" s="12">
        <v>1</v>
      </c>
      <c r="AI131" t="s">
        <v>72</v>
      </c>
      <c r="AJ131">
        <v>142</v>
      </c>
      <c r="AN131" s="12">
        <v>0</v>
      </c>
      <c r="AO131" s="12">
        <v>2</v>
      </c>
      <c r="AP131" s="12">
        <f t="shared" si="1"/>
        <v>2</v>
      </c>
    </row>
    <row r="132" spans="1:42" ht="16.25" customHeight="1" x14ac:dyDescent="0.2">
      <c r="A132" s="32" t="s">
        <v>1053</v>
      </c>
      <c r="B132" s="32" t="s">
        <v>85</v>
      </c>
      <c r="C132" s="33" t="s">
        <v>1054</v>
      </c>
      <c r="D132" s="33" t="s">
        <v>1055</v>
      </c>
      <c r="E132" s="32" t="s">
        <v>26</v>
      </c>
      <c r="F132" s="32"/>
      <c r="G132" s="32" t="s">
        <v>24</v>
      </c>
      <c r="H132" s="32"/>
      <c r="I132" s="30" t="s">
        <v>1229</v>
      </c>
      <c r="J132" s="30" t="s">
        <v>1230</v>
      </c>
      <c r="K132" s="30" t="s">
        <v>1238</v>
      </c>
      <c r="L132" s="30" t="s">
        <v>1232</v>
      </c>
      <c r="M132" s="15" t="s">
        <v>26</v>
      </c>
      <c r="N132" s="15">
        <v>0</v>
      </c>
      <c r="O132" s="15">
        <v>0</v>
      </c>
      <c r="P132" s="15">
        <v>0</v>
      </c>
      <c r="Q132" s="15">
        <v>1</v>
      </c>
      <c r="R132" s="65">
        <v>2</v>
      </c>
      <c r="S132" s="65">
        <v>67</v>
      </c>
      <c r="T132" t="e">
        <f>_xlfn.XLOOKUP(A132,Master!#REF!,Master!G:G)</f>
        <v>#REF!</v>
      </c>
      <c r="W132">
        <v>131</v>
      </c>
      <c r="AA132">
        <v>4</v>
      </c>
      <c r="AB132">
        <v>58</v>
      </c>
      <c r="AC132" t="s">
        <v>758</v>
      </c>
      <c r="AD132" s="12">
        <v>0</v>
      </c>
      <c r="AE132" s="12">
        <v>1</v>
      </c>
      <c r="AI132" t="s">
        <v>72</v>
      </c>
      <c r="AJ132">
        <v>144</v>
      </c>
      <c r="AN132" s="12">
        <v>0</v>
      </c>
      <c r="AO132" s="12">
        <v>1</v>
      </c>
      <c r="AP132" s="12">
        <f t="shared" si="1"/>
        <v>1</v>
      </c>
    </row>
    <row r="133" spans="1:42" ht="16.25" customHeight="1" x14ac:dyDescent="0.2">
      <c r="A133" s="10" t="s">
        <v>1057</v>
      </c>
      <c r="B133" s="10" t="s">
        <v>85</v>
      </c>
      <c r="C133" s="29" t="s">
        <v>1058</v>
      </c>
      <c r="D133" s="29" t="s">
        <v>1059</v>
      </c>
      <c r="E133" s="10" t="s">
        <v>26</v>
      </c>
      <c r="F133" s="10"/>
      <c r="G133" s="10" t="s">
        <v>24</v>
      </c>
      <c r="H133" s="10" t="s">
        <v>1060</v>
      </c>
      <c r="I133" s="30" t="s">
        <v>1229</v>
      </c>
      <c r="J133" s="30" t="s">
        <v>1230</v>
      </c>
      <c r="K133" s="30" t="s">
        <v>1238</v>
      </c>
      <c r="L133" s="30" t="s">
        <v>1232</v>
      </c>
      <c r="M133" s="18" t="s">
        <v>26</v>
      </c>
      <c r="N133" s="18">
        <v>0</v>
      </c>
      <c r="O133" s="18">
        <v>0</v>
      </c>
      <c r="P133" s="18">
        <v>0</v>
      </c>
      <c r="Q133" s="18">
        <v>1</v>
      </c>
      <c r="R133" s="65">
        <v>2</v>
      </c>
      <c r="S133" s="65">
        <v>67</v>
      </c>
      <c r="T133" t="e">
        <f>_xlfn.XLOOKUP(A133,Master!#REF!,Master!G:G)</f>
        <v>#REF!</v>
      </c>
      <c r="W133">
        <v>132</v>
      </c>
      <c r="AA133">
        <v>4</v>
      </c>
      <c r="AB133">
        <v>59</v>
      </c>
      <c r="AC133" t="s">
        <v>915</v>
      </c>
      <c r="AD133" s="12">
        <v>0</v>
      </c>
      <c r="AE133" s="12">
        <v>1</v>
      </c>
      <c r="AI133" t="s">
        <v>1223</v>
      </c>
      <c r="AJ133" t="s">
        <v>1223</v>
      </c>
      <c r="AN133" s="12"/>
      <c r="AO133" s="12"/>
    </row>
    <row r="134" spans="1:42" ht="16.25" customHeight="1" x14ac:dyDescent="0.2">
      <c r="A134" s="38" t="s">
        <v>673</v>
      </c>
      <c r="B134" s="32" t="s">
        <v>85</v>
      </c>
      <c r="C134" s="33" t="s">
        <v>674</v>
      </c>
      <c r="D134" s="33" t="s">
        <v>675</v>
      </c>
      <c r="E134" s="32" t="s">
        <v>26</v>
      </c>
      <c r="F134" s="60"/>
      <c r="G134" s="38" t="s">
        <v>24</v>
      </c>
      <c r="H134" s="38"/>
      <c r="I134" s="35" t="s">
        <v>1229</v>
      </c>
      <c r="J134" s="30" t="s">
        <v>1247</v>
      </c>
      <c r="K134" s="35" t="s">
        <v>1248</v>
      </c>
      <c r="L134" s="30" t="s">
        <v>1232</v>
      </c>
      <c r="M134" s="15" t="s">
        <v>26</v>
      </c>
      <c r="N134" s="15">
        <v>0</v>
      </c>
      <c r="O134" s="15">
        <v>0</v>
      </c>
      <c r="P134" s="15">
        <v>0</v>
      </c>
      <c r="Q134" s="40">
        <v>1</v>
      </c>
      <c r="R134" s="59">
        <v>4</v>
      </c>
      <c r="S134" s="59">
        <v>68</v>
      </c>
      <c r="T134" s="25" t="e">
        <f>_xlfn.XLOOKUP(A134,Master!#REF!,Master!G:G)</f>
        <v>#REF!</v>
      </c>
      <c r="W134">
        <v>133</v>
      </c>
      <c r="AA134">
        <v>4</v>
      </c>
      <c r="AB134">
        <v>59</v>
      </c>
      <c r="AC134" t="s">
        <v>750</v>
      </c>
      <c r="AD134" s="12">
        <v>0</v>
      </c>
      <c r="AE134" s="12">
        <v>1</v>
      </c>
      <c r="AI134" t="s">
        <v>1225</v>
      </c>
      <c r="AN134" s="12">
        <v>0</v>
      </c>
      <c r="AO134" s="12">
        <v>256</v>
      </c>
    </row>
    <row r="135" spans="1:42" ht="16.25" customHeight="1" x14ac:dyDescent="0.2">
      <c r="A135" s="38" t="s">
        <v>677</v>
      </c>
      <c r="B135" s="32" t="s">
        <v>85</v>
      </c>
      <c r="C135" s="33" t="s">
        <v>678</v>
      </c>
      <c r="D135" s="33" t="s">
        <v>679</v>
      </c>
      <c r="E135" s="32" t="s">
        <v>26</v>
      </c>
      <c r="F135" s="38"/>
      <c r="G135" s="38" t="s">
        <v>24</v>
      </c>
      <c r="H135" s="38"/>
      <c r="I135" s="35" t="s">
        <v>1229</v>
      </c>
      <c r="J135" s="35" t="s">
        <v>1247</v>
      </c>
      <c r="K135" s="35" t="s">
        <v>1248</v>
      </c>
      <c r="L135" s="30" t="s">
        <v>1232</v>
      </c>
      <c r="M135" s="15" t="s">
        <v>26</v>
      </c>
      <c r="N135" s="15">
        <v>0</v>
      </c>
      <c r="O135" s="15">
        <v>0</v>
      </c>
      <c r="P135" s="15">
        <v>0</v>
      </c>
      <c r="Q135" s="40">
        <v>1</v>
      </c>
      <c r="R135" s="66">
        <v>7</v>
      </c>
      <c r="S135" s="66">
        <v>68</v>
      </c>
      <c r="T135" s="25" t="e">
        <f>_xlfn.XLOOKUP(A135,Master!#REF!,Master!G:G)</f>
        <v>#REF!</v>
      </c>
      <c r="W135">
        <v>134</v>
      </c>
      <c r="AA135">
        <v>4</v>
      </c>
      <c r="AB135">
        <v>60</v>
      </c>
      <c r="AC135" t="s">
        <v>721</v>
      </c>
      <c r="AD135" s="12">
        <v>0</v>
      </c>
      <c r="AE135" s="12">
        <v>1</v>
      </c>
    </row>
    <row r="136" spans="1:42" ht="16.25" customHeight="1" x14ac:dyDescent="0.2">
      <c r="A136" s="32" t="s">
        <v>669</v>
      </c>
      <c r="B136" s="15" t="s">
        <v>85</v>
      </c>
      <c r="C136" s="33" t="s">
        <v>670</v>
      </c>
      <c r="D136" s="33" t="s">
        <v>671</v>
      </c>
      <c r="E136" s="32" t="s">
        <v>26</v>
      </c>
      <c r="F136" s="32"/>
      <c r="G136" s="32" t="s">
        <v>24</v>
      </c>
      <c r="H136" s="32"/>
      <c r="I136" s="30" t="s">
        <v>1229</v>
      </c>
      <c r="J136" s="30" t="s">
        <v>1230</v>
      </c>
      <c r="K136" s="30" t="s">
        <v>1241</v>
      </c>
      <c r="L136" s="30" t="s">
        <v>1232</v>
      </c>
      <c r="M136" s="15" t="s">
        <v>26</v>
      </c>
      <c r="N136" s="15">
        <v>0</v>
      </c>
      <c r="O136" s="15">
        <v>0</v>
      </c>
      <c r="P136" s="15">
        <v>0</v>
      </c>
      <c r="Q136" s="15">
        <v>1</v>
      </c>
      <c r="R136" s="65">
        <v>4</v>
      </c>
      <c r="S136" s="65">
        <v>69</v>
      </c>
      <c r="T136" t="e">
        <f>_xlfn.XLOOKUP(A136,Master!#REF!,Master!G:G)</f>
        <v>#REF!</v>
      </c>
      <c r="V136">
        <v>17</v>
      </c>
      <c r="W136">
        <v>135</v>
      </c>
      <c r="AA136">
        <v>4</v>
      </c>
      <c r="AB136">
        <v>60</v>
      </c>
      <c r="AC136" t="s">
        <v>737</v>
      </c>
      <c r="AD136" s="12">
        <v>0</v>
      </c>
      <c r="AE136" s="12">
        <v>1</v>
      </c>
    </row>
    <row r="137" spans="1:42" ht="16.25" customHeight="1" x14ac:dyDescent="0.2">
      <c r="A137" s="32" t="s">
        <v>725</v>
      </c>
      <c r="B137" s="15" t="s">
        <v>85</v>
      </c>
      <c r="C137" s="33" t="s">
        <v>726</v>
      </c>
      <c r="D137" s="33" t="s">
        <v>727</v>
      </c>
      <c r="E137" s="32" t="s">
        <v>26</v>
      </c>
      <c r="F137" s="32"/>
      <c r="G137" s="32" t="s">
        <v>24</v>
      </c>
      <c r="H137" s="32"/>
      <c r="I137" s="30" t="s">
        <v>1229</v>
      </c>
      <c r="J137" s="30" t="s">
        <v>1230</v>
      </c>
      <c r="K137" s="30" t="s">
        <v>1241</v>
      </c>
      <c r="L137" s="30" t="s">
        <v>1232</v>
      </c>
      <c r="M137" s="15" t="s">
        <v>26</v>
      </c>
      <c r="N137" s="15">
        <v>0</v>
      </c>
      <c r="O137" s="15">
        <v>0</v>
      </c>
      <c r="P137" s="15">
        <v>0</v>
      </c>
      <c r="Q137" s="15">
        <v>1</v>
      </c>
      <c r="R137" s="65">
        <v>4</v>
      </c>
      <c r="S137" s="65">
        <v>62</v>
      </c>
      <c r="T137" t="e">
        <f>_xlfn.XLOOKUP(A137,Master!#REF!,Master!G:G)</f>
        <v>#REF!</v>
      </c>
      <c r="V137">
        <v>18</v>
      </c>
      <c r="W137">
        <v>136</v>
      </c>
      <c r="AA137">
        <v>4</v>
      </c>
      <c r="AB137">
        <v>61</v>
      </c>
      <c r="AC137" t="s">
        <v>665</v>
      </c>
      <c r="AD137" s="12">
        <v>0</v>
      </c>
      <c r="AE137" s="12">
        <v>1</v>
      </c>
    </row>
    <row r="138" spans="1:42" ht="16.25" customHeight="1" x14ac:dyDescent="0.2">
      <c r="A138" s="10" t="s">
        <v>660</v>
      </c>
      <c r="B138" s="10" t="s">
        <v>85</v>
      </c>
      <c r="C138" s="29" t="s">
        <v>661</v>
      </c>
      <c r="D138" s="29" t="s">
        <v>662</v>
      </c>
      <c r="E138" s="10" t="s">
        <v>23</v>
      </c>
      <c r="F138" s="10" t="s">
        <v>663</v>
      </c>
      <c r="G138" s="10" t="s">
        <v>24</v>
      </c>
      <c r="H138" s="10"/>
      <c r="I138" s="30" t="s">
        <v>1229</v>
      </c>
      <c r="J138" s="30" t="s">
        <v>1230</v>
      </c>
      <c r="K138" s="30" t="s">
        <v>1241</v>
      </c>
      <c r="L138" s="30" t="s">
        <v>1232</v>
      </c>
      <c r="M138" s="18" t="s">
        <v>23</v>
      </c>
      <c r="N138" s="18">
        <v>0</v>
      </c>
      <c r="O138" s="18">
        <v>1</v>
      </c>
      <c r="P138" s="18">
        <v>1</v>
      </c>
      <c r="Q138" s="18">
        <v>2</v>
      </c>
      <c r="R138" s="57">
        <v>4</v>
      </c>
      <c r="S138" s="57">
        <v>70</v>
      </c>
      <c r="T138" t="e">
        <f>_xlfn.XLOOKUP(A138,Master!#REF!,Master!G:G)</f>
        <v>#REF!</v>
      </c>
      <c r="V138">
        <v>18</v>
      </c>
      <c r="W138">
        <v>137</v>
      </c>
      <c r="AA138">
        <v>4</v>
      </c>
      <c r="AB138">
        <v>61</v>
      </c>
      <c r="AC138" t="s">
        <v>544</v>
      </c>
      <c r="AD138" s="12">
        <v>0</v>
      </c>
      <c r="AE138" s="12">
        <v>1</v>
      </c>
    </row>
    <row r="139" spans="1:42" ht="16.25" customHeight="1" x14ac:dyDescent="0.2">
      <c r="A139" s="10" t="s">
        <v>655</v>
      </c>
      <c r="B139" s="10" t="s">
        <v>85</v>
      </c>
      <c r="C139" s="29" t="s">
        <v>656</v>
      </c>
      <c r="D139" s="29" t="s">
        <v>657</v>
      </c>
      <c r="E139" s="10" t="s">
        <v>23</v>
      </c>
      <c r="F139" s="10" t="s">
        <v>658</v>
      </c>
      <c r="G139" s="10" t="s">
        <v>24</v>
      </c>
      <c r="H139" s="10"/>
      <c r="I139" s="30" t="s">
        <v>1229</v>
      </c>
      <c r="J139" s="30" t="s">
        <v>1230</v>
      </c>
      <c r="K139" s="30" t="s">
        <v>1241</v>
      </c>
      <c r="L139" s="30" t="s">
        <v>1232</v>
      </c>
      <c r="M139" s="18" t="s">
        <v>23</v>
      </c>
      <c r="N139" s="18">
        <v>0</v>
      </c>
      <c r="O139" s="18">
        <v>1</v>
      </c>
      <c r="P139" s="18">
        <v>1</v>
      </c>
      <c r="Q139" s="18">
        <v>2</v>
      </c>
      <c r="R139" s="62">
        <v>3</v>
      </c>
      <c r="S139" s="62">
        <v>71</v>
      </c>
      <c r="T139" t="e">
        <f>_xlfn.XLOOKUP(A139,Master!#REF!,Master!G:G)</f>
        <v>#REF!</v>
      </c>
      <c r="V139">
        <v>19</v>
      </c>
      <c r="W139">
        <v>138</v>
      </c>
      <c r="AA139">
        <v>4</v>
      </c>
      <c r="AB139">
        <v>68</v>
      </c>
      <c r="AC139" t="s">
        <v>673</v>
      </c>
      <c r="AD139" s="12">
        <v>0</v>
      </c>
      <c r="AE139" s="12">
        <v>1</v>
      </c>
    </row>
    <row r="140" spans="1:42" ht="16.25" customHeight="1" x14ac:dyDescent="0.2">
      <c r="A140" s="32" t="s">
        <v>650</v>
      </c>
      <c r="B140" s="32" t="s">
        <v>85</v>
      </c>
      <c r="C140" s="33" t="s">
        <v>651</v>
      </c>
      <c r="D140" s="33" t="s">
        <v>652</v>
      </c>
      <c r="E140" s="32" t="s">
        <v>23</v>
      </c>
      <c r="F140" s="32" t="s">
        <v>653</v>
      </c>
      <c r="G140" s="32" t="s">
        <v>24</v>
      </c>
      <c r="H140" s="32"/>
      <c r="I140" s="30" t="s">
        <v>1229</v>
      </c>
      <c r="J140" s="30" t="s">
        <v>1230</v>
      </c>
      <c r="K140" s="30" t="s">
        <v>1241</v>
      </c>
      <c r="L140" s="30" t="s">
        <v>1232</v>
      </c>
      <c r="M140" s="15" t="s">
        <v>23</v>
      </c>
      <c r="N140" s="15">
        <v>0</v>
      </c>
      <c r="O140" s="15">
        <v>1</v>
      </c>
      <c r="P140" s="15">
        <v>1</v>
      </c>
      <c r="Q140" s="15">
        <v>2</v>
      </c>
      <c r="R140" s="62">
        <v>3</v>
      </c>
      <c r="S140" s="62">
        <v>72</v>
      </c>
      <c r="T140" t="e">
        <f>_xlfn.XLOOKUP(A140,Master!#REF!,Master!G:G)</f>
        <v>#REF!</v>
      </c>
      <c r="V140">
        <v>19</v>
      </c>
      <c r="W140">
        <v>139</v>
      </c>
      <c r="AA140">
        <v>4</v>
      </c>
      <c r="AB140">
        <v>70</v>
      </c>
      <c r="AC140" t="s">
        <v>660</v>
      </c>
      <c r="AD140" s="12">
        <v>1</v>
      </c>
      <c r="AE140" s="12">
        <v>2</v>
      </c>
    </row>
    <row r="141" spans="1:42" ht="16.25" customHeight="1" x14ac:dyDescent="0.2">
      <c r="A141" s="32" t="s">
        <v>645</v>
      </c>
      <c r="B141" s="32" t="s">
        <v>85</v>
      </c>
      <c r="C141" s="33" t="s">
        <v>646</v>
      </c>
      <c r="D141" s="33" t="s">
        <v>647</v>
      </c>
      <c r="E141" s="32" t="s">
        <v>23</v>
      </c>
      <c r="F141" s="39" t="s">
        <v>648</v>
      </c>
      <c r="G141" s="32" t="s">
        <v>24</v>
      </c>
      <c r="H141" s="32"/>
      <c r="I141" s="30" t="s">
        <v>1229</v>
      </c>
      <c r="J141" s="30" t="s">
        <v>1230</v>
      </c>
      <c r="K141" s="30" t="s">
        <v>1233</v>
      </c>
      <c r="L141" s="30" t="s">
        <v>1232</v>
      </c>
      <c r="M141" s="15" t="s">
        <v>23</v>
      </c>
      <c r="N141" s="15">
        <v>1</v>
      </c>
      <c r="O141" s="15">
        <v>1</v>
      </c>
      <c r="P141" s="15">
        <v>2</v>
      </c>
      <c r="Q141" s="15">
        <v>3</v>
      </c>
      <c r="R141" s="31">
        <v>1</v>
      </c>
      <c r="S141" s="31">
        <v>73</v>
      </c>
      <c r="T141" t="e">
        <f>_xlfn.XLOOKUP(A141,Master!#REF!,Master!G:G)</f>
        <v>#REF!</v>
      </c>
      <c r="W141">
        <v>140</v>
      </c>
      <c r="AA141">
        <v>4</v>
      </c>
      <c r="AB141">
        <v>88</v>
      </c>
      <c r="AC141" t="s">
        <v>553</v>
      </c>
      <c r="AD141" s="12">
        <v>0</v>
      </c>
      <c r="AE141" s="12">
        <v>1</v>
      </c>
    </row>
    <row r="142" spans="1:42" ht="16.25" customHeight="1" x14ac:dyDescent="0.2">
      <c r="A142" s="10" t="s">
        <v>640</v>
      </c>
      <c r="B142" s="10" t="s">
        <v>85</v>
      </c>
      <c r="C142" s="29" t="s">
        <v>641</v>
      </c>
      <c r="D142" s="29" t="s">
        <v>642</v>
      </c>
      <c r="E142" s="10" t="s">
        <v>23</v>
      </c>
      <c r="F142" s="42" t="s">
        <v>643</v>
      </c>
      <c r="G142" s="10" t="s">
        <v>24</v>
      </c>
      <c r="H142" s="10"/>
      <c r="I142" s="30" t="s">
        <v>1229</v>
      </c>
      <c r="J142" s="30" t="s">
        <v>1230</v>
      </c>
      <c r="K142" s="30" t="s">
        <v>1241</v>
      </c>
      <c r="L142" s="30" t="s">
        <v>1232</v>
      </c>
      <c r="M142" s="18" t="s">
        <v>23</v>
      </c>
      <c r="N142" s="18">
        <v>2</v>
      </c>
      <c r="O142" s="18">
        <v>1</v>
      </c>
      <c r="P142" s="18">
        <v>3</v>
      </c>
      <c r="Q142" s="18">
        <v>4</v>
      </c>
      <c r="R142" s="62">
        <v>3</v>
      </c>
      <c r="S142" s="62">
        <v>74</v>
      </c>
      <c r="T142" t="e">
        <f>_xlfn.XLOOKUP(A142,Master!#REF!,Master!G:G)</f>
        <v>#REF!</v>
      </c>
      <c r="W142">
        <v>141</v>
      </c>
      <c r="AA142">
        <v>4</v>
      </c>
      <c r="AB142">
        <v>89</v>
      </c>
      <c r="AC142" t="s">
        <v>524</v>
      </c>
      <c r="AD142" s="12">
        <v>0</v>
      </c>
      <c r="AE142" s="12">
        <v>1</v>
      </c>
    </row>
    <row r="143" spans="1:42" ht="16.25" customHeight="1" x14ac:dyDescent="0.2">
      <c r="A143" s="32" t="s">
        <v>635</v>
      </c>
      <c r="B143" s="32" t="s">
        <v>85</v>
      </c>
      <c r="C143" s="33" t="s">
        <v>636</v>
      </c>
      <c r="D143" s="33" t="s">
        <v>637</v>
      </c>
      <c r="E143" s="32" t="s">
        <v>23</v>
      </c>
      <c r="F143" s="39" t="s">
        <v>638</v>
      </c>
      <c r="G143" s="32" t="s">
        <v>24</v>
      </c>
      <c r="H143" s="32"/>
      <c r="I143" s="30" t="s">
        <v>1229</v>
      </c>
      <c r="J143" s="30" t="s">
        <v>1230</v>
      </c>
      <c r="K143" s="30" t="s">
        <v>1241</v>
      </c>
      <c r="L143" s="30" t="s">
        <v>1232</v>
      </c>
      <c r="M143" s="15" t="s">
        <v>23</v>
      </c>
      <c r="N143" s="15">
        <v>2</v>
      </c>
      <c r="O143" s="15">
        <v>1</v>
      </c>
      <c r="P143" s="15">
        <v>3</v>
      </c>
      <c r="Q143" s="15">
        <v>4</v>
      </c>
      <c r="R143" s="62">
        <v>3</v>
      </c>
      <c r="S143" s="62">
        <v>75</v>
      </c>
      <c r="T143" t="e">
        <f>_xlfn.XLOOKUP(A143,Master!#REF!,Master!G:G)</f>
        <v>#REF!</v>
      </c>
      <c r="W143">
        <v>142</v>
      </c>
      <c r="AA143" t="s">
        <v>1218</v>
      </c>
      <c r="AD143" s="12">
        <v>2</v>
      </c>
      <c r="AE143" s="12">
        <v>36</v>
      </c>
    </row>
    <row r="144" spans="1:42" ht="16.25" customHeight="1" x14ac:dyDescent="0.2">
      <c r="A144" s="10" t="s">
        <v>630</v>
      </c>
      <c r="B144" s="10" t="s">
        <v>85</v>
      </c>
      <c r="C144" s="29" t="s">
        <v>631</v>
      </c>
      <c r="D144" s="29" t="s">
        <v>632</v>
      </c>
      <c r="E144" s="10" t="s">
        <v>23</v>
      </c>
      <c r="F144" s="42" t="s">
        <v>633</v>
      </c>
      <c r="G144" s="10" t="s">
        <v>24</v>
      </c>
      <c r="H144" s="10"/>
      <c r="I144" s="30" t="s">
        <v>1229</v>
      </c>
      <c r="J144" s="30" t="s">
        <v>1230</v>
      </c>
      <c r="K144" s="30" t="s">
        <v>1241</v>
      </c>
      <c r="L144" s="30" t="s">
        <v>1232</v>
      </c>
      <c r="M144" s="18" t="s">
        <v>23</v>
      </c>
      <c r="N144" s="18">
        <v>1</v>
      </c>
      <c r="O144" s="18">
        <v>1</v>
      </c>
      <c r="P144" s="18">
        <v>2</v>
      </c>
      <c r="Q144" s="18">
        <v>3</v>
      </c>
      <c r="R144" s="62">
        <v>3</v>
      </c>
      <c r="S144" s="62">
        <v>76</v>
      </c>
      <c r="T144" t="e">
        <f>_xlfn.XLOOKUP(A144,Master!#REF!,Master!G:G)</f>
        <v>#REF!</v>
      </c>
      <c r="W144">
        <v>143</v>
      </c>
      <c r="AA144">
        <v>5</v>
      </c>
      <c r="AB144">
        <v>94</v>
      </c>
      <c r="AC144" t="s">
        <v>495</v>
      </c>
      <c r="AD144" s="12">
        <v>0</v>
      </c>
      <c r="AE144" s="12">
        <v>1</v>
      </c>
    </row>
    <row r="145" spans="1:31" ht="16.25" customHeight="1" x14ac:dyDescent="0.2">
      <c r="A145" s="51" t="s">
        <v>625</v>
      </c>
      <c r="B145" s="51" t="s">
        <v>85</v>
      </c>
      <c r="C145" s="52" t="s">
        <v>626</v>
      </c>
      <c r="D145" s="52" t="s">
        <v>627</v>
      </c>
      <c r="E145" s="51" t="s">
        <v>23</v>
      </c>
      <c r="F145" s="51" t="s">
        <v>628</v>
      </c>
      <c r="G145" s="51" t="s">
        <v>170</v>
      </c>
      <c r="H145" s="51"/>
      <c r="I145" s="45" t="s">
        <v>1229</v>
      </c>
      <c r="J145" s="45" t="s">
        <v>1230</v>
      </c>
      <c r="K145" s="45" t="s">
        <v>1241</v>
      </c>
      <c r="L145" s="45" t="s">
        <v>1232</v>
      </c>
      <c r="M145" s="45" t="s">
        <v>23</v>
      </c>
      <c r="N145" s="45">
        <v>0</v>
      </c>
      <c r="O145" s="45">
        <v>1</v>
      </c>
      <c r="P145" s="45">
        <v>1</v>
      </c>
      <c r="Q145" s="45">
        <v>2</v>
      </c>
      <c r="R145" s="45" t="s">
        <v>1245</v>
      </c>
      <c r="S145" s="45">
        <v>77</v>
      </c>
      <c r="T145" t="e">
        <f>_xlfn.XLOOKUP(A145,Master!#REF!,Master!G:G)</f>
        <v>#REF!</v>
      </c>
      <c r="W145">
        <v>144</v>
      </c>
      <c r="AA145">
        <v>5</v>
      </c>
      <c r="AB145">
        <v>94</v>
      </c>
      <c r="AC145" t="s">
        <v>499</v>
      </c>
      <c r="AD145" s="12">
        <v>0</v>
      </c>
      <c r="AE145" s="12">
        <v>1</v>
      </c>
    </row>
    <row r="146" spans="1:31" ht="16.25" customHeight="1" x14ac:dyDescent="0.2">
      <c r="A146" s="51" t="s">
        <v>617</v>
      </c>
      <c r="B146" s="51" t="s">
        <v>85</v>
      </c>
      <c r="C146" s="52" t="s">
        <v>618</v>
      </c>
      <c r="D146" s="52" t="s">
        <v>619</v>
      </c>
      <c r="E146" s="51" t="s">
        <v>26</v>
      </c>
      <c r="F146" s="51"/>
      <c r="G146" s="51" t="s">
        <v>170</v>
      </c>
      <c r="H146" s="51"/>
      <c r="I146" s="45" t="s">
        <v>1229</v>
      </c>
      <c r="J146" s="45" t="s">
        <v>1230</v>
      </c>
      <c r="K146" s="45" t="s">
        <v>1235</v>
      </c>
      <c r="L146" s="45" t="s">
        <v>1232</v>
      </c>
      <c r="M146" s="45" t="s">
        <v>26</v>
      </c>
      <c r="N146" s="45">
        <v>0</v>
      </c>
      <c r="O146" s="45">
        <v>0</v>
      </c>
      <c r="P146" s="45">
        <v>0</v>
      </c>
      <c r="Q146" s="45">
        <v>1</v>
      </c>
      <c r="R146" s="45" t="s">
        <v>1245</v>
      </c>
      <c r="S146" s="45">
        <v>78</v>
      </c>
      <c r="T146" t="e">
        <f>_xlfn.XLOOKUP(A146,Master!#REF!,Master!G:G)</f>
        <v>#REF!</v>
      </c>
      <c r="AA146">
        <v>5</v>
      </c>
      <c r="AB146">
        <v>95</v>
      </c>
      <c r="AC146" t="s">
        <v>491</v>
      </c>
      <c r="AD146" s="12">
        <v>0</v>
      </c>
      <c r="AE146" s="12">
        <v>1</v>
      </c>
    </row>
    <row r="147" spans="1:31" ht="16.25" customHeight="1" x14ac:dyDescent="0.2">
      <c r="A147" s="53" t="s">
        <v>621</v>
      </c>
      <c r="B147" s="53" t="s">
        <v>85</v>
      </c>
      <c r="C147" s="54" t="s">
        <v>622</v>
      </c>
      <c r="D147" s="54" t="s">
        <v>623</v>
      </c>
      <c r="E147" s="53" t="s">
        <v>26</v>
      </c>
      <c r="F147" s="53"/>
      <c r="G147" s="53" t="s">
        <v>170</v>
      </c>
      <c r="H147" s="53"/>
      <c r="I147" s="45" t="s">
        <v>1229</v>
      </c>
      <c r="J147" s="45" t="s">
        <v>1230</v>
      </c>
      <c r="K147" s="45" t="s">
        <v>1238</v>
      </c>
      <c r="L147" s="45" t="s">
        <v>1232</v>
      </c>
      <c r="M147" s="47" t="s">
        <v>26</v>
      </c>
      <c r="N147" s="47">
        <v>0</v>
      </c>
      <c r="O147" s="47">
        <v>0</v>
      </c>
      <c r="P147" s="47">
        <v>0</v>
      </c>
      <c r="Q147" s="47">
        <v>1</v>
      </c>
      <c r="R147" s="45" t="s">
        <v>1245</v>
      </c>
      <c r="S147" s="47">
        <v>78</v>
      </c>
      <c r="T147" t="e">
        <f>_xlfn.XLOOKUP(A147,Master!#REF!,Master!G:G)</f>
        <v>#REF!</v>
      </c>
      <c r="AA147">
        <v>5</v>
      </c>
      <c r="AB147">
        <v>95</v>
      </c>
      <c r="AC147" t="s">
        <v>487</v>
      </c>
      <c r="AD147" s="12">
        <v>0</v>
      </c>
      <c r="AE147" s="12">
        <v>1</v>
      </c>
    </row>
    <row r="148" spans="1:31" ht="16.25" customHeight="1" x14ac:dyDescent="0.2">
      <c r="A148" s="10" t="s">
        <v>609</v>
      </c>
      <c r="B148" s="18" t="s">
        <v>85</v>
      </c>
      <c r="C148" s="29" t="s">
        <v>610</v>
      </c>
      <c r="D148" s="29" t="s">
        <v>611</v>
      </c>
      <c r="E148" s="10" t="s">
        <v>26</v>
      </c>
      <c r="F148" s="10"/>
      <c r="G148" s="10" t="s">
        <v>24</v>
      </c>
      <c r="H148" s="10"/>
      <c r="I148" s="30" t="s">
        <v>1229</v>
      </c>
      <c r="J148" s="30" t="s">
        <v>1230</v>
      </c>
      <c r="K148" s="30" t="s">
        <v>1241</v>
      </c>
      <c r="L148" s="30" t="s">
        <v>1232</v>
      </c>
      <c r="M148" s="18" t="s">
        <v>26</v>
      </c>
      <c r="N148" s="18">
        <v>0</v>
      </c>
      <c r="O148" s="18">
        <v>0</v>
      </c>
      <c r="P148" s="18">
        <v>0</v>
      </c>
      <c r="Q148" s="18">
        <v>1</v>
      </c>
      <c r="R148" s="65">
        <v>7</v>
      </c>
      <c r="S148" s="65">
        <v>79</v>
      </c>
      <c r="T148" t="e">
        <f>_xlfn.XLOOKUP(A148,Master!#REF!,Master!G:G)</f>
        <v>#REF!</v>
      </c>
      <c r="AA148">
        <v>5</v>
      </c>
      <c r="AB148">
        <v>96</v>
      </c>
      <c r="AC148" t="s">
        <v>483</v>
      </c>
      <c r="AD148" s="12">
        <v>0</v>
      </c>
      <c r="AE148" s="12">
        <v>1</v>
      </c>
    </row>
    <row r="149" spans="1:31" ht="16.25" customHeight="1" x14ac:dyDescent="0.2">
      <c r="A149" s="10" t="s">
        <v>613</v>
      </c>
      <c r="B149" s="18" t="s">
        <v>85</v>
      </c>
      <c r="C149" s="29" t="s">
        <v>614</v>
      </c>
      <c r="D149" s="29" t="s">
        <v>615</v>
      </c>
      <c r="E149" s="10" t="s">
        <v>26</v>
      </c>
      <c r="F149" s="10"/>
      <c r="G149" s="10" t="s">
        <v>24</v>
      </c>
      <c r="H149" s="10"/>
      <c r="I149" s="30" t="s">
        <v>1229</v>
      </c>
      <c r="J149" s="30" t="s">
        <v>1230</v>
      </c>
      <c r="K149" s="30" t="s">
        <v>1241</v>
      </c>
      <c r="L149" s="30" t="s">
        <v>1232</v>
      </c>
      <c r="M149" s="18" t="s">
        <v>26</v>
      </c>
      <c r="N149" s="18">
        <v>0</v>
      </c>
      <c r="O149" s="18">
        <v>0</v>
      </c>
      <c r="P149" s="18">
        <v>0</v>
      </c>
      <c r="Q149" s="18">
        <v>1</v>
      </c>
      <c r="R149" s="65">
        <v>7</v>
      </c>
      <c r="S149" s="65">
        <v>79</v>
      </c>
      <c r="T149" t="e">
        <f>_xlfn.XLOOKUP(A149,Master!#REF!,Master!G:G)</f>
        <v>#REF!</v>
      </c>
      <c r="AA149">
        <v>5</v>
      </c>
      <c r="AB149">
        <v>96</v>
      </c>
      <c r="AC149" t="s">
        <v>478</v>
      </c>
      <c r="AD149" s="12">
        <v>0</v>
      </c>
      <c r="AE149" s="12">
        <v>1</v>
      </c>
    </row>
    <row r="150" spans="1:31" ht="16.25" customHeight="1" x14ac:dyDescent="0.2">
      <c r="A150" s="15" t="s">
        <v>601</v>
      </c>
      <c r="B150" s="15" t="s">
        <v>85</v>
      </c>
      <c r="C150" s="44" t="s">
        <v>602</v>
      </c>
      <c r="D150" s="44" t="s">
        <v>603</v>
      </c>
      <c r="E150" s="15" t="s">
        <v>26</v>
      </c>
      <c r="F150" s="15"/>
      <c r="G150" s="15" t="s">
        <v>24</v>
      </c>
      <c r="H150" s="15"/>
      <c r="I150" s="30" t="s">
        <v>1249</v>
      </c>
      <c r="J150" s="30" t="s">
        <v>1250</v>
      </c>
      <c r="K150" s="30" t="s">
        <v>1251</v>
      </c>
      <c r="L150" s="30" t="s">
        <v>1232</v>
      </c>
      <c r="M150" s="15" t="s">
        <v>26</v>
      </c>
      <c r="N150" s="15">
        <v>0</v>
      </c>
      <c r="O150" s="15">
        <v>0</v>
      </c>
      <c r="P150" s="15">
        <v>0</v>
      </c>
      <c r="Q150" s="15">
        <v>1</v>
      </c>
      <c r="R150" s="65">
        <v>7</v>
      </c>
      <c r="S150" s="65">
        <v>80</v>
      </c>
      <c r="T150" t="e">
        <f>_xlfn.XLOOKUP(A150,Master!#REF!,Master!G:G)</f>
        <v>#REF!</v>
      </c>
      <c r="AA150">
        <v>5</v>
      </c>
      <c r="AB150">
        <v>97</v>
      </c>
      <c r="AC150" t="s">
        <v>474</v>
      </c>
      <c r="AD150" s="12">
        <v>0</v>
      </c>
      <c r="AE150" s="12">
        <v>1</v>
      </c>
    </row>
    <row r="151" spans="1:31" ht="16.25" customHeight="1" x14ac:dyDescent="0.2">
      <c r="A151" s="32" t="s">
        <v>605</v>
      </c>
      <c r="B151" s="32" t="s">
        <v>85</v>
      </c>
      <c r="C151" s="33" t="s">
        <v>606</v>
      </c>
      <c r="D151" s="33" t="s">
        <v>607</v>
      </c>
      <c r="E151" s="32" t="s">
        <v>26</v>
      </c>
      <c r="F151" s="32"/>
      <c r="G151" s="32" t="s">
        <v>24</v>
      </c>
      <c r="H151" s="32"/>
      <c r="I151" s="30" t="s">
        <v>1249</v>
      </c>
      <c r="J151" s="30" t="s">
        <v>1250</v>
      </c>
      <c r="K151" s="30" t="s">
        <v>1251</v>
      </c>
      <c r="L151" s="30" t="s">
        <v>1232</v>
      </c>
      <c r="M151" s="15" t="s">
        <v>26</v>
      </c>
      <c r="N151" s="15">
        <v>0</v>
      </c>
      <c r="O151" s="15">
        <v>0</v>
      </c>
      <c r="P151" s="15">
        <v>0</v>
      </c>
      <c r="Q151" s="15">
        <v>1</v>
      </c>
      <c r="R151" s="65">
        <v>7</v>
      </c>
      <c r="S151" s="65">
        <v>80</v>
      </c>
      <c r="T151" t="e">
        <f>_xlfn.XLOOKUP(A151,Master!#REF!,Master!G:G)</f>
        <v>#REF!</v>
      </c>
      <c r="AA151">
        <v>5</v>
      </c>
      <c r="AB151">
        <v>97</v>
      </c>
      <c r="AC151" t="s">
        <v>470</v>
      </c>
      <c r="AD151" s="12">
        <v>0</v>
      </c>
      <c r="AE151" s="12">
        <v>1</v>
      </c>
    </row>
    <row r="152" spans="1:31" ht="16.25" customHeight="1" x14ac:dyDescent="0.2">
      <c r="A152" s="10" t="s">
        <v>592</v>
      </c>
      <c r="B152" s="10" t="s">
        <v>85</v>
      </c>
      <c r="C152" s="29" t="s">
        <v>593</v>
      </c>
      <c r="D152" s="29" t="s">
        <v>594</v>
      </c>
      <c r="E152" s="10" t="s">
        <v>26</v>
      </c>
      <c r="F152" s="42"/>
      <c r="G152" s="10" t="s">
        <v>24</v>
      </c>
      <c r="H152" s="10"/>
      <c r="I152" s="30" t="s">
        <v>1249</v>
      </c>
      <c r="J152" s="30" t="s">
        <v>1250</v>
      </c>
      <c r="K152" s="30" t="s">
        <v>1251</v>
      </c>
      <c r="L152" s="30" t="s">
        <v>1232</v>
      </c>
      <c r="M152" s="18" t="s">
        <v>26</v>
      </c>
      <c r="N152" s="18">
        <v>0</v>
      </c>
      <c r="O152" s="18">
        <v>0</v>
      </c>
      <c r="P152" s="18">
        <v>0</v>
      </c>
      <c r="Q152" s="18">
        <v>1</v>
      </c>
      <c r="R152" s="65">
        <v>7</v>
      </c>
      <c r="S152" s="65">
        <v>81</v>
      </c>
      <c r="T152" t="e">
        <f>_xlfn.XLOOKUP(A152,Master!#REF!,Master!G:G)</f>
        <v>#REF!</v>
      </c>
      <c r="AA152">
        <v>5</v>
      </c>
      <c r="AB152">
        <v>98</v>
      </c>
      <c r="AC152" t="s">
        <v>466</v>
      </c>
      <c r="AD152" s="12">
        <v>0</v>
      </c>
      <c r="AE152" s="12">
        <v>1</v>
      </c>
    </row>
    <row r="153" spans="1:31" ht="16.25" customHeight="1" x14ac:dyDescent="0.2">
      <c r="A153" s="32" t="s">
        <v>596</v>
      </c>
      <c r="B153" s="32" t="s">
        <v>85</v>
      </c>
      <c r="C153" s="33" t="s">
        <v>597</v>
      </c>
      <c r="D153" s="33" t="s">
        <v>598</v>
      </c>
      <c r="E153" s="32" t="s">
        <v>26</v>
      </c>
      <c r="F153" s="39"/>
      <c r="G153" s="32" t="s">
        <v>24</v>
      </c>
      <c r="H153" s="32" t="s">
        <v>599</v>
      </c>
      <c r="I153" s="30" t="s">
        <v>1249</v>
      </c>
      <c r="J153" s="30" t="s">
        <v>1252</v>
      </c>
      <c r="K153" s="30" t="s">
        <v>1253</v>
      </c>
      <c r="L153" s="30" t="s">
        <v>1232</v>
      </c>
      <c r="M153" s="15" t="s">
        <v>26</v>
      </c>
      <c r="N153" s="15">
        <v>0</v>
      </c>
      <c r="O153" s="15">
        <v>0</v>
      </c>
      <c r="P153" s="15">
        <v>0</v>
      </c>
      <c r="Q153" s="15">
        <v>1</v>
      </c>
      <c r="R153" s="65">
        <v>7</v>
      </c>
      <c r="S153" s="65">
        <v>81</v>
      </c>
      <c r="T153" t="e">
        <f>_xlfn.XLOOKUP(A153,Master!#REF!,Master!G:G)</f>
        <v>#REF!</v>
      </c>
      <c r="AA153">
        <v>5</v>
      </c>
      <c r="AB153">
        <v>98</v>
      </c>
      <c r="AC153" t="s">
        <v>462</v>
      </c>
      <c r="AD153" s="12">
        <v>0</v>
      </c>
      <c r="AE153" s="12">
        <v>1</v>
      </c>
    </row>
    <row r="154" spans="1:31" ht="16.25" customHeight="1" x14ac:dyDescent="0.2">
      <c r="A154" s="10" t="s">
        <v>583</v>
      </c>
      <c r="B154" s="10" t="s">
        <v>85</v>
      </c>
      <c r="C154" s="29" t="s">
        <v>584</v>
      </c>
      <c r="D154" s="29" t="s">
        <v>585</v>
      </c>
      <c r="E154" s="10" t="s">
        <v>26</v>
      </c>
      <c r="F154" s="10"/>
      <c r="G154" s="10" t="s">
        <v>24</v>
      </c>
      <c r="H154" s="10" t="s">
        <v>586</v>
      </c>
      <c r="I154" s="30" t="s">
        <v>1249</v>
      </c>
      <c r="J154" s="30" t="s">
        <v>1254</v>
      </c>
      <c r="K154" s="30" t="s">
        <v>1255</v>
      </c>
      <c r="L154" s="30" t="s">
        <v>1232</v>
      </c>
      <c r="M154" s="18" t="s">
        <v>26</v>
      </c>
      <c r="N154" s="18">
        <v>0</v>
      </c>
      <c r="O154" s="18">
        <v>0</v>
      </c>
      <c r="P154" s="18">
        <v>0</v>
      </c>
      <c r="Q154" s="18">
        <v>1</v>
      </c>
      <c r="R154" s="65">
        <v>7</v>
      </c>
      <c r="S154" s="65">
        <v>82</v>
      </c>
      <c r="T154" t="e">
        <f>_xlfn.XLOOKUP(A154,Master!#REF!,Master!G:G)</f>
        <v>#REF!</v>
      </c>
      <c r="AA154">
        <v>5</v>
      </c>
      <c r="AB154">
        <v>99</v>
      </c>
      <c r="AC154" t="s">
        <v>454</v>
      </c>
      <c r="AD154" s="12">
        <v>0</v>
      </c>
      <c r="AE154" s="12">
        <v>1</v>
      </c>
    </row>
    <row r="155" spans="1:31" ht="16.25" customHeight="1" x14ac:dyDescent="0.2">
      <c r="A155" s="15" t="s">
        <v>588</v>
      </c>
      <c r="B155" s="15" t="s">
        <v>85</v>
      </c>
      <c r="C155" s="44" t="s">
        <v>589</v>
      </c>
      <c r="D155" s="44" t="s">
        <v>590</v>
      </c>
      <c r="E155" s="15" t="s">
        <v>26</v>
      </c>
      <c r="F155" s="15"/>
      <c r="G155" s="15" t="s">
        <v>24</v>
      </c>
      <c r="H155" s="15"/>
      <c r="I155" s="30" t="s">
        <v>1249</v>
      </c>
      <c r="J155" s="30" t="s">
        <v>1252</v>
      </c>
      <c r="K155" s="30" t="s">
        <v>1256</v>
      </c>
      <c r="L155" s="30" t="s">
        <v>1232</v>
      </c>
      <c r="M155" s="15" t="s">
        <v>26</v>
      </c>
      <c r="N155" s="15">
        <v>0</v>
      </c>
      <c r="O155" s="15">
        <v>0</v>
      </c>
      <c r="P155" s="15">
        <v>0</v>
      </c>
      <c r="Q155" s="15">
        <v>1</v>
      </c>
      <c r="R155" s="65">
        <v>7</v>
      </c>
      <c r="S155" s="65">
        <v>82</v>
      </c>
      <c r="T155" t="e">
        <f>_xlfn.XLOOKUP(A155,Master!#REF!,Master!G:G)</f>
        <v>#REF!</v>
      </c>
      <c r="AA155">
        <v>5</v>
      </c>
      <c r="AB155">
        <v>99</v>
      </c>
      <c r="AC155" t="s">
        <v>458</v>
      </c>
      <c r="AD155" s="12">
        <v>0</v>
      </c>
      <c r="AE155" s="12">
        <v>1</v>
      </c>
    </row>
    <row r="156" spans="1:31" ht="16.25" customHeight="1" x14ac:dyDescent="0.2">
      <c r="A156" s="18" t="s">
        <v>574</v>
      </c>
      <c r="B156" s="18" t="s">
        <v>85</v>
      </c>
      <c r="C156" s="41" t="s">
        <v>575</v>
      </c>
      <c r="D156" s="41" t="s">
        <v>576</v>
      </c>
      <c r="E156" s="18" t="s">
        <v>26</v>
      </c>
      <c r="F156" s="18"/>
      <c r="G156" s="18" t="s">
        <v>24</v>
      </c>
      <c r="H156" s="18"/>
      <c r="I156" s="30" t="s">
        <v>1249</v>
      </c>
      <c r="J156" s="30" t="s">
        <v>1250</v>
      </c>
      <c r="K156" s="30" t="s">
        <v>1251</v>
      </c>
      <c r="L156" s="30" t="s">
        <v>1232</v>
      </c>
      <c r="M156" s="18" t="s">
        <v>26</v>
      </c>
      <c r="N156" s="18">
        <v>0</v>
      </c>
      <c r="O156" s="18">
        <v>0</v>
      </c>
      <c r="P156" s="18">
        <v>0</v>
      </c>
      <c r="Q156" s="18">
        <v>1</v>
      </c>
      <c r="R156" s="65">
        <v>7</v>
      </c>
      <c r="S156" s="65">
        <v>83</v>
      </c>
      <c r="T156" t="e">
        <f>_xlfn.XLOOKUP(A156,Master!#REF!,Master!G:G)</f>
        <v>#REF!</v>
      </c>
      <c r="AA156">
        <v>5</v>
      </c>
      <c r="AB156">
        <v>100</v>
      </c>
      <c r="AC156" t="s">
        <v>91</v>
      </c>
      <c r="AD156" s="12">
        <v>0</v>
      </c>
      <c r="AE156" s="12">
        <v>1</v>
      </c>
    </row>
    <row r="157" spans="1:31" ht="16.25" customHeight="1" x14ac:dyDescent="0.2">
      <c r="A157" s="10" t="s">
        <v>578</v>
      </c>
      <c r="B157" s="10" t="s">
        <v>85</v>
      </c>
      <c r="C157" s="29" t="s">
        <v>579</v>
      </c>
      <c r="D157" s="29" t="s">
        <v>580</v>
      </c>
      <c r="E157" s="10" t="s">
        <v>26</v>
      </c>
      <c r="F157" s="10"/>
      <c r="G157" s="10" t="s">
        <v>24</v>
      </c>
      <c r="H157" s="10" t="s">
        <v>581</v>
      </c>
      <c r="I157" s="30" t="s">
        <v>1249</v>
      </c>
      <c r="J157" s="30" t="s">
        <v>1252</v>
      </c>
      <c r="K157" s="30" t="s">
        <v>1256</v>
      </c>
      <c r="L157" s="30" t="s">
        <v>1232</v>
      </c>
      <c r="M157" s="18" t="s">
        <v>26</v>
      </c>
      <c r="N157" s="18">
        <v>0</v>
      </c>
      <c r="O157" s="18">
        <v>0</v>
      </c>
      <c r="P157" s="18">
        <v>0</v>
      </c>
      <c r="Q157" s="18">
        <v>1</v>
      </c>
      <c r="R157" s="65">
        <v>7</v>
      </c>
      <c r="S157" s="65">
        <v>83</v>
      </c>
      <c r="T157" t="e">
        <f>_xlfn.XLOOKUP(A157,Master!#REF!,Master!G:G)</f>
        <v>#REF!</v>
      </c>
      <c r="AA157">
        <v>5</v>
      </c>
      <c r="AB157">
        <v>100</v>
      </c>
      <c r="AC157" t="s">
        <v>447</v>
      </c>
      <c r="AD157" s="12">
        <v>0</v>
      </c>
      <c r="AE157" s="12">
        <v>1</v>
      </c>
    </row>
    <row r="158" spans="1:31" ht="16.25" customHeight="1" x14ac:dyDescent="0.2">
      <c r="A158" s="10" t="s">
        <v>565</v>
      </c>
      <c r="B158" s="10" t="s">
        <v>85</v>
      </c>
      <c r="C158" s="29" t="s">
        <v>566</v>
      </c>
      <c r="D158" s="29" t="s">
        <v>567</v>
      </c>
      <c r="E158" s="10" t="s">
        <v>26</v>
      </c>
      <c r="F158" s="10"/>
      <c r="G158" s="10" t="s">
        <v>24</v>
      </c>
      <c r="H158" s="10"/>
      <c r="I158" s="30" t="s">
        <v>1249</v>
      </c>
      <c r="J158" s="30" t="s">
        <v>1257</v>
      </c>
      <c r="K158" s="30" t="s">
        <v>1258</v>
      </c>
      <c r="L158" s="30" t="s">
        <v>1232</v>
      </c>
      <c r="M158" s="18" t="s">
        <v>26</v>
      </c>
      <c r="N158" s="18">
        <v>0</v>
      </c>
      <c r="O158" s="18">
        <v>0</v>
      </c>
      <c r="P158" s="18">
        <v>0</v>
      </c>
      <c r="Q158" s="18">
        <v>1</v>
      </c>
      <c r="R158" s="65">
        <v>7</v>
      </c>
      <c r="S158" s="65">
        <v>84</v>
      </c>
      <c r="T158" t="e">
        <f>_xlfn.XLOOKUP(A158,Master!#REF!,Master!G:G)</f>
        <v>#REF!</v>
      </c>
      <c r="AA158">
        <v>5</v>
      </c>
      <c r="AB158">
        <v>101</v>
      </c>
      <c r="AC158" t="s">
        <v>439</v>
      </c>
      <c r="AD158" s="12">
        <v>0</v>
      </c>
      <c r="AE158" s="12">
        <v>1</v>
      </c>
    </row>
    <row r="159" spans="1:31" ht="16.25" customHeight="1" x14ac:dyDescent="0.2">
      <c r="A159" s="32" t="s">
        <v>569</v>
      </c>
      <c r="B159" s="32" t="s">
        <v>85</v>
      </c>
      <c r="C159" s="33" t="s">
        <v>570</v>
      </c>
      <c r="D159" s="33" t="s">
        <v>571</v>
      </c>
      <c r="E159" s="32" t="s">
        <v>26</v>
      </c>
      <c r="F159" s="32"/>
      <c r="G159" s="32" t="s">
        <v>24</v>
      </c>
      <c r="H159" s="32" t="s">
        <v>572</v>
      </c>
      <c r="I159" s="30" t="s">
        <v>1249</v>
      </c>
      <c r="J159" s="30" t="s">
        <v>1252</v>
      </c>
      <c r="K159" s="30" t="s">
        <v>1259</v>
      </c>
      <c r="L159" s="30" t="s">
        <v>1232</v>
      </c>
      <c r="M159" s="15" t="s">
        <v>26</v>
      </c>
      <c r="N159" s="15">
        <v>0</v>
      </c>
      <c r="O159" s="15">
        <v>0</v>
      </c>
      <c r="P159" s="15">
        <v>0</v>
      </c>
      <c r="Q159" s="15">
        <v>1</v>
      </c>
      <c r="R159" s="65">
        <v>7</v>
      </c>
      <c r="S159" s="65">
        <v>84</v>
      </c>
      <c r="T159" t="e">
        <f>_xlfn.XLOOKUP(A159,Master!#REF!,Master!G:G)</f>
        <v>#REF!</v>
      </c>
      <c r="AA159">
        <v>5</v>
      </c>
      <c r="AB159">
        <v>101</v>
      </c>
      <c r="AC159" t="s">
        <v>443</v>
      </c>
      <c r="AD159" s="12">
        <v>0</v>
      </c>
      <c r="AE159" s="12">
        <v>1</v>
      </c>
    </row>
    <row r="160" spans="1:31" ht="16.25" customHeight="1" x14ac:dyDescent="0.2">
      <c r="A160" s="34" t="s">
        <v>557</v>
      </c>
      <c r="B160" s="10" t="s">
        <v>85</v>
      </c>
      <c r="C160" s="29" t="s">
        <v>558</v>
      </c>
      <c r="D160" s="29" t="s">
        <v>559</v>
      </c>
      <c r="E160" s="10" t="s">
        <v>26</v>
      </c>
      <c r="F160" s="10"/>
      <c r="G160" s="10" t="s">
        <v>24</v>
      </c>
      <c r="H160" s="10"/>
      <c r="I160" s="35" t="s">
        <v>1229</v>
      </c>
      <c r="J160" s="35" t="s">
        <v>1247</v>
      </c>
      <c r="K160" s="35" t="s">
        <v>1246</v>
      </c>
      <c r="L160" s="30" t="s">
        <v>1232</v>
      </c>
      <c r="M160" s="18" t="s">
        <v>26</v>
      </c>
      <c r="N160" s="18">
        <v>0</v>
      </c>
      <c r="O160" s="18">
        <v>0</v>
      </c>
      <c r="P160" s="18">
        <v>0</v>
      </c>
      <c r="Q160" s="36">
        <v>1</v>
      </c>
      <c r="R160" s="37">
        <v>1</v>
      </c>
      <c r="S160" s="37">
        <v>85</v>
      </c>
      <c r="T160" s="25" t="e">
        <f>_xlfn.XLOOKUP(A160,Master!#REF!,Master!G:G)</f>
        <v>#REF!</v>
      </c>
      <c r="AA160">
        <v>5</v>
      </c>
      <c r="AB160">
        <v>102</v>
      </c>
      <c r="AC160" t="s">
        <v>435</v>
      </c>
      <c r="AD160" s="12">
        <v>0</v>
      </c>
      <c r="AE160" s="12">
        <v>1</v>
      </c>
    </row>
    <row r="161" spans="1:31" ht="16.25" customHeight="1" x14ac:dyDescent="0.2">
      <c r="A161" s="38" t="s">
        <v>532</v>
      </c>
      <c r="B161" s="32" t="s">
        <v>85</v>
      </c>
      <c r="C161" s="33" t="s">
        <v>533</v>
      </c>
      <c r="D161" s="33" t="s">
        <v>534</v>
      </c>
      <c r="E161" s="32" t="s">
        <v>26</v>
      </c>
      <c r="F161" s="39"/>
      <c r="G161" s="32" t="s">
        <v>24</v>
      </c>
      <c r="H161" s="32"/>
      <c r="I161" s="35" t="s">
        <v>1229</v>
      </c>
      <c r="J161" s="35" t="s">
        <v>1247</v>
      </c>
      <c r="K161" s="35" t="s">
        <v>1246</v>
      </c>
      <c r="L161" s="30" t="s">
        <v>1232</v>
      </c>
      <c r="M161" s="15" t="s">
        <v>26</v>
      </c>
      <c r="N161" s="15">
        <v>0</v>
      </c>
      <c r="O161" s="15">
        <v>0</v>
      </c>
      <c r="P161" s="15">
        <v>0</v>
      </c>
      <c r="Q161" s="40">
        <v>1</v>
      </c>
      <c r="R161" s="37">
        <v>1</v>
      </c>
      <c r="S161" s="37">
        <v>85</v>
      </c>
      <c r="T161" s="25" t="e">
        <f>_xlfn.XLOOKUP(A161,Master!#REF!,Master!G:G)</f>
        <v>#REF!</v>
      </c>
      <c r="AA161">
        <v>5</v>
      </c>
      <c r="AB161">
        <v>102</v>
      </c>
      <c r="AC161" t="s">
        <v>431</v>
      </c>
      <c r="AD161" s="12">
        <v>0</v>
      </c>
      <c r="AE161" s="12">
        <v>1</v>
      </c>
    </row>
    <row r="162" spans="1:31" ht="16.25" customHeight="1" x14ac:dyDescent="0.2">
      <c r="A162" s="34" t="s">
        <v>561</v>
      </c>
      <c r="B162" s="10" t="s">
        <v>85</v>
      </c>
      <c r="C162" s="29" t="s">
        <v>562</v>
      </c>
      <c r="D162" s="29" t="s">
        <v>563</v>
      </c>
      <c r="E162" s="10" t="s">
        <v>26</v>
      </c>
      <c r="F162" s="10"/>
      <c r="G162" s="10" t="s">
        <v>24</v>
      </c>
      <c r="H162" s="10"/>
      <c r="I162" s="35" t="s">
        <v>1229</v>
      </c>
      <c r="J162" s="35" t="s">
        <v>1260</v>
      </c>
      <c r="K162" s="35" t="s">
        <v>1261</v>
      </c>
      <c r="L162" s="30" t="s">
        <v>1232</v>
      </c>
      <c r="M162" s="18" t="s">
        <v>26</v>
      </c>
      <c r="N162" s="18">
        <v>0</v>
      </c>
      <c r="O162" s="18">
        <v>0</v>
      </c>
      <c r="P162" s="18">
        <v>0</v>
      </c>
      <c r="Q162" s="36">
        <v>1</v>
      </c>
      <c r="R162" s="37">
        <v>1</v>
      </c>
      <c r="S162" s="37">
        <v>86</v>
      </c>
      <c r="T162" s="25" t="e">
        <f>_xlfn.XLOOKUP(A162,Master!#REF!,Master!G:G)</f>
        <v>#REF!</v>
      </c>
      <c r="AA162">
        <v>5</v>
      </c>
      <c r="AB162">
        <v>103</v>
      </c>
      <c r="AC162" t="s">
        <v>423</v>
      </c>
      <c r="AD162" s="12">
        <v>0</v>
      </c>
      <c r="AE162" s="12">
        <v>1</v>
      </c>
    </row>
    <row r="163" spans="1:31" ht="16.25" customHeight="1" x14ac:dyDescent="0.2">
      <c r="A163" s="40" t="s">
        <v>540</v>
      </c>
      <c r="B163" s="15" t="s">
        <v>85</v>
      </c>
      <c r="C163" s="44" t="s">
        <v>541</v>
      </c>
      <c r="D163" s="44" t="s">
        <v>542</v>
      </c>
      <c r="E163" s="15" t="s">
        <v>26</v>
      </c>
      <c r="F163" s="15"/>
      <c r="G163" s="40" t="s">
        <v>24</v>
      </c>
      <c r="H163" s="40"/>
      <c r="I163" s="35" t="s">
        <v>1229</v>
      </c>
      <c r="J163" s="30" t="s">
        <v>1262</v>
      </c>
      <c r="K163" s="35" t="s">
        <v>1248</v>
      </c>
      <c r="L163" s="30" t="s">
        <v>1232</v>
      </c>
      <c r="M163" s="15" t="s">
        <v>26</v>
      </c>
      <c r="N163" s="15">
        <v>0</v>
      </c>
      <c r="O163" s="15">
        <v>0</v>
      </c>
      <c r="P163" s="15">
        <v>0</v>
      </c>
      <c r="Q163" s="40">
        <v>1</v>
      </c>
      <c r="R163" s="63">
        <v>3</v>
      </c>
      <c r="S163" s="63">
        <v>86</v>
      </c>
      <c r="T163" s="25" t="e">
        <f>_xlfn.XLOOKUP(A163,Master!#REF!,Master!G:G)</f>
        <v>#REF!</v>
      </c>
      <c r="AA163">
        <v>5</v>
      </c>
      <c r="AB163">
        <v>103</v>
      </c>
      <c r="AC163" t="s">
        <v>427</v>
      </c>
      <c r="AD163" s="12">
        <v>0</v>
      </c>
      <c r="AE163" s="12">
        <v>1</v>
      </c>
    </row>
    <row r="164" spans="1:31" ht="16.25" customHeight="1" x14ac:dyDescent="0.2">
      <c r="A164" s="34" t="s">
        <v>549</v>
      </c>
      <c r="B164" s="10" t="s">
        <v>85</v>
      </c>
      <c r="C164" s="29" t="s">
        <v>550</v>
      </c>
      <c r="D164" s="29" t="s">
        <v>551</v>
      </c>
      <c r="E164" s="10" t="s">
        <v>26</v>
      </c>
      <c r="F164" s="42"/>
      <c r="G164" s="34" t="s">
        <v>24</v>
      </c>
      <c r="H164" s="34"/>
      <c r="I164" s="35" t="s">
        <v>1229</v>
      </c>
      <c r="J164" s="30" t="s">
        <v>1262</v>
      </c>
      <c r="K164" s="35" t="s">
        <v>1239</v>
      </c>
      <c r="L164" s="30" t="s">
        <v>1232</v>
      </c>
      <c r="M164" s="18" t="s">
        <v>26</v>
      </c>
      <c r="N164" s="18">
        <v>0</v>
      </c>
      <c r="O164" s="18">
        <v>0</v>
      </c>
      <c r="P164" s="18">
        <v>0</v>
      </c>
      <c r="Q164" s="36">
        <v>1</v>
      </c>
      <c r="R164" s="58">
        <v>2</v>
      </c>
      <c r="S164" s="58">
        <v>87</v>
      </c>
      <c r="T164" s="25" t="e">
        <f>_xlfn.XLOOKUP(A164,Master!#REF!,Master!G:G)</f>
        <v>#REF!</v>
      </c>
      <c r="AA164">
        <v>5</v>
      </c>
      <c r="AB164">
        <v>104</v>
      </c>
      <c r="AC164" t="s">
        <v>414</v>
      </c>
      <c r="AD164" s="12">
        <v>0</v>
      </c>
      <c r="AE164" s="12">
        <v>1</v>
      </c>
    </row>
    <row r="165" spans="1:31" ht="16.25" customHeight="1" x14ac:dyDescent="0.2">
      <c r="A165" s="34" t="s">
        <v>729</v>
      </c>
      <c r="B165" s="10" t="s">
        <v>85</v>
      </c>
      <c r="C165" s="29" t="s">
        <v>730</v>
      </c>
      <c r="D165" s="29" t="s">
        <v>731</v>
      </c>
      <c r="E165" s="10" t="s">
        <v>26</v>
      </c>
      <c r="F165" s="34"/>
      <c r="G165" s="34" t="s">
        <v>24</v>
      </c>
      <c r="H165" s="34"/>
      <c r="I165" s="35" t="s">
        <v>1229</v>
      </c>
      <c r="J165" s="30" t="s">
        <v>1262</v>
      </c>
      <c r="K165" s="35" t="s">
        <v>1239</v>
      </c>
      <c r="L165" s="30" t="s">
        <v>1232</v>
      </c>
      <c r="M165" s="18" t="s">
        <v>26</v>
      </c>
      <c r="N165" s="18">
        <v>0</v>
      </c>
      <c r="O165" s="18">
        <v>0</v>
      </c>
      <c r="P165" s="18">
        <v>0</v>
      </c>
      <c r="Q165" s="36">
        <v>1</v>
      </c>
      <c r="R165" s="63">
        <v>3</v>
      </c>
      <c r="S165" s="63">
        <v>45</v>
      </c>
      <c r="T165" s="25" t="e">
        <f>_xlfn.XLOOKUP(A165,Master!#REF!,Master!G:G)</f>
        <v>#REF!</v>
      </c>
      <c r="AA165">
        <v>5</v>
      </c>
      <c r="AB165">
        <v>104</v>
      </c>
      <c r="AC165" t="s">
        <v>410</v>
      </c>
      <c r="AD165" s="12">
        <v>0</v>
      </c>
      <c r="AE165" s="12">
        <v>1</v>
      </c>
    </row>
    <row r="166" spans="1:31" ht="16.25" customHeight="1" x14ac:dyDescent="0.2">
      <c r="A166" s="38" t="s">
        <v>553</v>
      </c>
      <c r="B166" s="32" t="s">
        <v>85</v>
      </c>
      <c r="C166" s="33" t="s">
        <v>554</v>
      </c>
      <c r="D166" s="33" t="s">
        <v>555</v>
      </c>
      <c r="E166" s="32" t="s">
        <v>26</v>
      </c>
      <c r="F166" s="60"/>
      <c r="G166" s="38" t="s">
        <v>24</v>
      </c>
      <c r="H166" s="38"/>
      <c r="I166" s="35">
        <v>76777</v>
      </c>
      <c r="J166" s="30" t="s">
        <v>1247</v>
      </c>
      <c r="K166" s="35" t="s">
        <v>1243</v>
      </c>
      <c r="L166" s="30" t="s">
        <v>1232</v>
      </c>
      <c r="M166" s="15" t="s">
        <v>26</v>
      </c>
      <c r="N166" s="15">
        <v>0</v>
      </c>
      <c r="O166" s="15">
        <v>0</v>
      </c>
      <c r="P166" s="15">
        <v>0</v>
      </c>
      <c r="Q166" s="40">
        <v>1</v>
      </c>
      <c r="R166" s="59">
        <v>4</v>
      </c>
      <c r="S166" s="59">
        <v>88</v>
      </c>
      <c r="T166" s="25" t="e">
        <f>_xlfn.XLOOKUP(A166,Master!#REF!,Master!G:G)</f>
        <v>#REF!</v>
      </c>
      <c r="AA166">
        <v>5</v>
      </c>
      <c r="AB166">
        <v>105</v>
      </c>
      <c r="AC166" t="s">
        <v>405</v>
      </c>
      <c r="AD166" s="12">
        <v>1</v>
      </c>
      <c r="AE166" s="12">
        <v>2</v>
      </c>
    </row>
    <row r="167" spans="1:31" ht="16.25" customHeight="1" x14ac:dyDescent="0.2">
      <c r="A167" s="38" t="s">
        <v>536</v>
      </c>
      <c r="B167" s="32" t="s">
        <v>85</v>
      </c>
      <c r="C167" s="33" t="s">
        <v>537</v>
      </c>
      <c r="D167" s="33" t="s">
        <v>538</v>
      </c>
      <c r="E167" s="32" t="s">
        <v>26</v>
      </c>
      <c r="F167" s="60"/>
      <c r="G167" s="38" t="s">
        <v>24</v>
      </c>
      <c r="H167" s="38"/>
      <c r="I167" s="35" t="s">
        <v>1229</v>
      </c>
      <c r="J167" s="35" t="s">
        <v>1247</v>
      </c>
      <c r="K167" s="35" t="s">
        <v>1243</v>
      </c>
      <c r="L167" s="30" t="s">
        <v>1232</v>
      </c>
      <c r="M167" s="15" t="s">
        <v>26</v>
      </c>
      <c r="N167" s="15">
        <v>0</v>
      </c>
      <c r="O167" s="15">
        <v>0</v>
      </c>
      <c r="P167" s="15">
        <v>0</v>
      </c>
      <c r="Q167" s="40">
        <v>1</v>
      </c>
      <c r="R167" s="66">
        <v>7</v>
      </c>
      <c r="S167" s="66">
        <v>88</v>
      </c>
      <c r="T167" s="25" t="e">
        <f>_xlfn.XLOOKUP(A167,Master!#REF!,Master!G:G)</f>
        <v>#REF!</v>
      </c>
      <c r="AA167">
        <v>5</v>
      </c>
      <c r="AB167">
        <v>106</v>
      </c>
      <c r="AC167" t="s">
        <v>397</v>
      </c>
      <c r="AD167" s="12">
        <v>0</v>
      </c>
      <c r="AE167" s="12">
        <v>1</v>
      </c>
    </row>
    <row r="168" spans="1:31" ht="16.25" customHeight="1" x14ac:dyDescent="0.2">
      <c r="A168" s="10" t="s">
        <v>524</v>
      </c>
      <c r="B168" s="10" t="s">
        <v>85</v>
      </c>
      <c r="C168" s="29" t="s">
        <v>525</v>
      </c>
      <c r="D168" s="29" t="s">
        <v>526</v>
      </c>
      <c r="E168" s="10" t="s">
        <v>26</v>
      </c>
      <c r="F168" s="10"/>
      <c r="G168" s="10" t="s">
        <v>24</v>
      </c>
      <c r="H168" s="10"/>
      <c r="I168" s="30" t="s">
        <v>1229</v>
      </c>
      <c r="J168" s="30" t="s">
        <v>1230</v>
      </c>
      <c r="K168" s="30" t="s">
        <v>1242</v>
      </c>
      <c r="L168" s="30" t="s">
        <v>1232</v>
      </c>
      <c r="M168" s="18" t="s">
        <v>26</v>
      </c>
      <c r="N168" s="18">
        <v>0</v>
      </c>
      <c r="O168" s="18">
        <v>0</v>
      </c>
      <c r="P168" s="18">
        <v>0</v>
      </c>
      <c r="Q168" s="18">
        <v>1</v>
      </c>
      <c r="R168" s="57">
        <v>4</v>
      </c>
      <c r="S168" s="57">
        <v>89</v>
      </c>
      <c r="T168" t="e">
        <f>_xlfn.XLOOKUP(A168,Master!#REF!,Master!G:G)</f>
        <v>#REF!</v>
      </c>
      <c r="AA168">
        <v>5</v>
      </c>
      <c r="AB168">
        <v>106</v>
      </c>
      <c r="AC168" t="s">
        <v>401</v>
      </c>
      <c r="AD168" s="12">
        <v>0</v>
      </c>
      <c r="AE168" s="12">
        <v>1</v>
      </c>
    </row>
    <row r="169" spans="1:31" ht="16.25" customHeight="1" x14ac:dyDescent="0.2">
      <c r="A169" s="32" t="s">
        <v>528</v>
      </c>
      <c r="B169" s="32" t="s">
        <v>85</v>
      </c>
      <c r="C169" s="33" t="s">
        <v>529</v>
      </c>
      <c r="D169" s="33" t="s">
        <v>530</v>
      </c>
      <c r="E169" s="32" t="s">
        <v>26</v>
      </c>
      <c r="F169" s="32"/>
      <c r="G169" s="32" t="s">
        <v>24</v>
      </c>
      <c r="H169" s="32"/>
      <c r="I169" s="30" t="s">
        <v>1229</v>
      </c>
      <c r="J169" s="30" t="s">
        <v>1263</v>
      </c>
      <c r="K169" s="30" t="s">
        <v>1264</v>
      </c>
      <c r="L169" s="30" t="s">
        <v>1232</v>
      </c>
      <c r="M169" s="15" t="s">
        <v>26</v>
      </c>
      <c r="N169" s="15">
        <v>0</v>
      </c>
      <c r="O169" s="15">
        <v>0</v>
      </c>
      <c r="P169" s="15">
        <v>0</v>
      </c>
      <c r="Q169" s="15">
        <v>1</v>
      </c>
      <c r="R169" s="67">
        <v>8</v>
      </c>
      <c r="S169" s="67">
        <v>89</v>
      </c>
      <c r="T169" t="e">
        <f>_xlfn.XLOOKUP(A169,Master!#REF!,Master!G:G)</f>
        <v>#REF!</v>
      </c>
      <c r="AA169">
        <v>5</v>
      </c>
      <c r="AB169">
        <v>107</v>
      </c>
      <c r="AC169" t="s">
        <v>393</v>
      </c>
      <c r="AD169" s="12">
        <v>0</v>
      </c>
      <c r="AE169" s="12">
        <v>1</v>
      </c>
    </row>
    <row r="170" spans="1:31" ht="16.25" customHeight="1" x14ac:dyDescent="0.2">
      <c r="A170" s="38" t="s">
        <v>516</v>
      </c>
      <c r="B170" s="32" t="s">
        <v>85</v>
      </c>
      <c r="C170" s="33" t="s">
        <v>517</v>
      </c>
      <c r="D170" s="33" t="s">
        <v>518</v>
      </c>
      <c r="E170" s="32" t="s">
        <v>26</v>
      </c>
      <c r="F170" s="32"/>
      <c r="G170" s="32" t="s">
        <v>24</v>
      </c>
      <c r="H170" s="32"/>
      <c r="I170" s="35" t="s">
        <v>1229</v>
      </c>
      <c r="J170" s="35" t="s">
        <v>1247</v>
      </c>
      <c r="K170" s="35" t="s">
        <v>1246</v>
      </c>
      <c r="L170" s="30" t="s">
        <v>1232</v>
      </c>
      <c r="M170" s="15" t="s">
        <v>26</v>
      </c>
      <c r="N170" s="15">
        <v>0</v>
      </c>
      <c r="O170" s="15">
        <v>0</v>
      </c>
      <c r="P170" s="15">
        <v>0</v>
      </c>
      <c r="Q170" s="40">
        <v>1</v>
      </c>
      <c r="R170" s="37">
        <v>1</v>
      </c>
      <c r="S170" s="37">
        <v>90</v>
      </c>
      <c r="T170" t="e">
        <f>_xlfn.XLOOKUP(A170,Master!#REF!,Master!G:G)</f>
        <v>#REF!</v>
      </c>
      <c r="AA170">
        <v>5</v>
      </c>
      <c r="AB170">
        <v>107</v>
      </c>
      <c r="AC170" t="s">
        <v>389</v>
      </c>
      <c r="AD170" s="12">
        <v>0</v>
      </c>
      <c r="AE170" s="12">
        <v>1</v>
      </c>
    </row>
    <row r="171" spans="1:31" ht="16.25" customHeight="1" x14ac:dyDescent="0.2">
      <c r="A171" s="34" t="s">
        <v>520</v>
      </c>
      <c r="B171" s="10" t="s">
        <v>85</v>
      </c>
      <c r="C171" s="29" t="s">
        <v>521</v>
      </c>
      <c r="D171" s="29" t="s">
        <v>522</v>
      </c>
      <c r="E171" s="10" t="s">
        <v>26</v>
      </c>
      <c r="F171" s="34"/>
      <c r="G171" s="34" t="s">
        <v>24</v>
      </c>
      <c r="H171" s="34"/>
      <c r="I171" s="35" t="s">
        <v>1229</v>
      </c>
      <c r="J171" s="35" t="s">
        <v>1262</v>
      </c>
      <c r="K171" s="35" t="s">
        <v>1265</v>
      </c>
      <c r="L171" s="30" t="s">
        <v>1232</v>
      </c>
      <c r="M171" s="18" t="s">
        <v>26</v>
      </c>
      <c r="N171" s="18">
        <v>0</v>
      </c>
      <c r="O171" s="18">
        <v>0</v>
      </c>
      <c r="P171" s="18">
        <v>0</v>
      </c>
      <c r="Q171" s="36">
        <v>1</v>
      </c>
      <c r="R171" s="68">
        <v>8</v>
      </c>
      <c r="S171" s="68">
        <v>90</v>
      </c>
      <c r="T171" t="e">
        <f>_xlfn.XLOOKUP(A171,Master!#REF!,Master!G:G)</f>
        <v>#REF!</v>
      </c>
      <c r="AA171">
        <v>5</v>
      </c>
      <c r="AB171">
        <v>108</v>
      </c>
      <c r="AC171" t="s">
        <v>381</v>
      </c>
      <c r="AD171" s="12">
        <v>0</v>
      </c>
      <c r="AE171" s="12">
        <v>1</v>
      </c>
    </row>
    <row r="172" spans="1:31" ht="16.25" customHeight="1" x14ac:dyDescent="0.2">
      <c r="A172" s="47" t="s">
        <v>508</v>
      </c>
      <c r="B172" s="47" t="s">
        <v>85</v>
      </c>
      <c r="C172" s="48" t="s">
        <v>509</v>
      </c>
      <c r="D172" s="48" t="s">
        <v>510</v>
      </c>
      <c r="E172" s="47" t="s">
        <v>26</v>
      </c>
      <c r="F172" s="47"/>
      <c r="G172" s="47" t="s">
        <v>170</v>
      </c>
      <c r="H172" s="47"/>
      <c r="I172" s="45" t="s">
        <v>1266</v>
      </c>
      <c r="J172" s="45" t="s">
        <v>1267</v>
      </c>
      <c r="K172" s="45" t="s">
        <v>1268</v>
      </c>
      <c r="L172" s="45" t="s">
        <v>1232</v>
      </c>
      <c r="M172" s="47" t="s">
        <v>26</v>
      </c>
      <c r="N172" s="47">
        <v>0</v>
      </c>
      <c r="O172" s="47">
        <v>0</v>
      </c>
      <c r="P172" s="47">
        <v>0</v>
      </c>
      <c r="Q172" s="47">
        <v>1</v>
      </c>
      <c r="R172" s="45" t="s">
        <v>1245</v>
      </c>
      <c r="S172" s="47">
        <v>92</v>
      </c>
      <c r="T172" t="e">
        <f>_xlfn.XLOOKUP(A172,Master!#REF!,Master!G:G)</f>
        <v>#REF!</v>
      </c>
      <c r="AA172">
        <v>5</v>
      </c>
      <c r="AB172">
        <v>108</v>
      </c>
      <c r="AC172" t="s">
        <v>385</v>
      </c>
      <c r="AD172" s="12">
        <v>0</v>
      </c>
      <c r="AE172" s="12">
        <v>1</v>
      </c>
    </row>
    <row r="173" spans="1:31" ht="16.25" customHeight="1" x14ac:dyDescent="0.2">
      <c r="A173" s="45" t="s">
        <v>512</v>
      </c>
      <c r="B173" s="45" t="s">
        <v>85</v>
      </c>
      <c r="C173" s="49" t="s">
        <v>513</v>
      </c>
      <c r="D173" s="49" t="s">
        <v>514</v>
      </c>
      <c r="E173" s="45" t="s">
        <v>26</v>
      </c>
      <c r="F173" s="45"/>
      <c r="G173" s="45" t="s">
        <v>170</v>
      </c>
      <c r="H173" s="45"/>
      <c r="I173" s="45" t="s">
        <v>1266</v>
      </c>
      <c r="J173" s="45" t="s">
        <v>1269</v>
      </c>
      <c r="K173" s="45" t="s">
        <v>1270</v>
      </c>
      <c r="L173" s="45" t="s">
        <v>1232</v>
      </c>
      <c r="M173" s="45" t="s">
        <v>26</v>
      </c>
      <c r="N173" s="45">
        <v>0</v>
      </c>
      <c r="O173" s="45">
        <v>0</v>
      </c>
      <c r="P173" s="45">
        <v>0</v>
      </c>
      <c r="Q173" s="45">
        <v>1</v>
      </c>
      <c r="R173" s="45" t="s">
        <v>1245</v>
      </c>
      <c r="S173" s="45">
        <v>92</v>
      </c>
      <c r="T173" t="e">
        <f>_xlfn.XLOOKUP(A173,Master!#REF!,Master!G:G)</f>
        <v>#REF!</v>
      </c>
      <c r="AA173">
        <v>5</v>
      </c>
      <c r="AB173">
        <v>109</v>
      </c>
      <c r="AC173" t="s">
        <v>377</v>
      </c>
      <c r="AD173" s="12">
        <v>0</v>
      </c>
      <c r="AE173" s="12">
        <v>1</v>
      </c>
    </row>
    <row r="174" spans="1:31" ht="16.25" customHeight="1" x14ac:dyDescent="0.2">
      <c r="A174" s="45" t="s">
        <v>503</v>
      </c>
      <c r="B174" s="45" t="s">
        <v>85</v>
      </c>
      <c r="C174" s="49" t="s">
        <v>504</v>
      </c>
      <c r="D174" s="49" t="s">
        <v>505</v>
      </c>
      <c r="E174" s="45" t="s">
        <v>23</v>
      </c>
      <c r="F174" s="50" t="s">
        <v>506</v>
      </c>
      <c r="G174" s="45" t="s">
        <v>170</v>
      </c>
      <c r="H174" s="45"/>
      <c r="I174" s="45" t="s">
        <v>1266</v>
      </c>
      <c r="J174" s="45" t="s">
        <v>1271</v>
      </c>
      <c r="K174" s="45" t="s">
        <v>1272</v>
      </c>
      <c r="L174" s="45" t="s">
        <v>1232</v>
      </c>
      <c r="M174" s="45" t="s">
        <v>23</v>
      </c>
      <c r="N174" s="45">
        <v>1</v>
      </c>
      <c r="O174" s="45">
        <v>1</v>
      </c>
      <c r="P174" s="45">
        <v>2</v>
      </c>
      <c r="Q174" s="45">
        <v>3</v>
      </c>
      <c r="R174" s="45" t="s">
        <v>1245</v>
      </c>
      <c r="S174" s="45">
        <v>93</v>
      </c>
      <c r="T174" t="e">
        <f>_xlfn.XLOOKUP(A174,Master!#REF!,Master!G:G)</f>
        <v>#REF!</v>
      </c>
      <c r="AA174">
        <v>5</v>
      </c>
      <c r="AB174">
        <v>109</v>
      </c>
      <c r="AC174" t="s">
        <v>372</v>
      </c>
      <c r="AD174" s="12">
        <v>0</v>
      </c>
      <c r="AE174" s="12">
        <v>1</v>
      </c>
    </row>
    <row r="175" spans="1:31" ht="16.25" customHeight="1" x14ac:dyDescent="0.2">
      <c r="A175" s="32" t="s">
        <v>495</v>
      </c>
      <c r="B175" s="32" t="s">
        <v>85</v>
      </c>
      <c r="C175" s="33" t="s">
        <v>496</v>
      </c>
      <c r="D175" s="33" t="s">
        <v>497</v>
      </c>
      <c r="E175" s="32" t="s">
        <v>26</v>
      </c>
      <c r="F175" s="32"/>
      <c r="G175" s="32" t="s">
        <v>24</v>
      </c>
      <c r="H175" s="32"/>
      <c r="I175" s="30" t="s">
        <v>1273</v>
      </c>
      <c r="J175" s="30" t="s">
        <v>1274</v>
      </c>
      <c r="K175" s="30" t="s">
        <v>1275</v>
      </c>
      <c r="L175" s="30" t="s">
        <v>1232</v>
      </c>
      <c r="M175" s="15" t="s">
        <v>26</v>
      </c>
      <c r="N175" s="15">
        <v>0</v>
      </c>
      <c r="O175" s="15">
        <v>0</v>
      </c>
      <c r="P175" s="15">
        <v>0</v>
      </c>
      <c r="Q175" s="15">
        <v>1</v>
      </c>
      <c r="R175" s="61">
        <v>5</v>
      </c>
      <c r="S175" s="61">
        <v>94</v>
      </c>
      <c r="T175" t="e">
        <f>_xlfn.XLOOKUP(A175,Master!#REF!,Master!G:G)</f>
        <v>#REF!</v>
      </c>
      <c r="AA175">
        <v>5</v>
      </c>
      <c r="AB175">
        <v>110</v>
      </c>
      <c r="AC175" t="s">
        <v>364</v>
      </c>
      <c r="AD175" s="12">
        <v>0</v>
      </c>
      <c r="AE175" s="12">
        <v>1</v>
      </c>
    </row>
    <row r="176" spans="1:31" ht="16.25" customHeight="1" x14ac:dyDescent="0.2">
      <c r="A176" s="10" t="s">
        <v>499</v>
      </c>
      <c r="B176" s="10" t="s">
        <v>85</v>
      </c>
      <c r="C176" s="29" t="s">
        <v>500</v>
      </c>
      <c r="D176" s="29" t="s">
        <v>501</v>
      </c>
      <c r="E176" s="10" t="s">
        <v>26</v>
      </c>
      <c r="F176" s="10"/>
      <c r="G176" s="10" t="s">
        <v>24</v>
      </c>
      <c r="H176" s="10"/>
      <c r="I176" s="30" t="s">
        <v>1273</v>
      </c>
      <c r="J176" s="30" t="s">
        <v>1274</v>
      </c>
      <c r="K176" s="30" t="s">
        <v>1276</v>
      </c>
      <c r="L176" s="30" t="s">
        <v>1232</v>
      </c>
      <c r="M176" s="18" t="s">
        <v>26</v>
      </c>
      <c r="N176" s="18">
        <v>0</v>
      </c>
      <c r="O176" s="18">
        <v>0</v>
      </c>
      <c r="P176" s="18">
        <v>0</v>
      </c>
      <c r="Q176" s="18">
        <v>1</v>
      </c>
      <c r="R176" s="61">
        <v>5</v>
      </c>
      <c r="S176" s="61">
        <v>94</v>
      </c>
      <c r="T176" t="e">
        <f>_xlfn.XLOOKUP(A176,Master!#REF!,Master!G:G)</f>
        <v>#REF!</v>
      </c>
      <c r="AA176" t="s">
        <v>1219</v>
      </c>
      <c r="AD176" s="12">
        <v>1</v>
      </c>
      <c r="AE176" s="12">
        <v>33</v>
      </c>
    </row>
    <row r="177" spans="1:31" ht="16.25" customHeight="1" x14ac:dyDescent="0.2">
      <c r="A177" s="15" t="s">
        <v>487</v>
      </c>
      <c r="B177" s="15" t="s">
        <v>85</v>
      </c>
      <c r="C177" s="44" t="s">
        <v>488</v>
      </c>
      <c r="D177" s="44" t="s">
        <v>489</v>
      </c>
      <c r="E177" s="15" t="s">
        <v>26</v>
      </c>
      <c r="F177" s="15"/>
      <c r="G177" s="15" t="s">
        <v>24</v>
      </c>
      <c r="H177" s="15"/>
      <c r="I177" s="30" t="s">
        <v>1277</v>
      </c>
      <c r="J177" s="30" t="s">
        <v>1278</v>
      </c>
      <c r="K177" s="30" t="s">
        <v>1239</v>
      </c>
      <c r="L177" s="30" t="s">
        <v>1232</v>
      </c>
      <c r="M177" s="15" t="s">
        <v>26</v>
      </c>
      <c r="N177" s="15">
        <v>0</v>
      </c>
      <c r="O177" s="15">
        <v>0</v>
      </c>
      <c r="P177" s="15">
        <v>0</v>
      </c>
      <c r="Q177" s="15">
        <v>1</v>
      </c>
      <c r="R177" s="61">
        <v>5</v>
      </c>
      <c r="S177" s="61">
        <v>95</v>
      </c>
      <c r="T177" t="e">
        <f>_xlfn.XLOOKUP(A177,Master!#REF!,Master!G:G)</f>
        <v>#REF!</v>
      </c>
      <c r="AA177">
        <v>6</v>
      </c>
      <c r="AB177">
        <v>127</v>
      </c>
      <c r="AC177" t="s">
        <v>231</v>
      </c>
      <c r="AD177" s="12">
        <v>0</v>
      </c>
      <c r="AE177" s="12">
        <v>1</v>
      </c>
    </row>
    <row r="178" spans="1:31" ht="16.25" customHeight="1" x14ac:dyDescent="0.2">
      <c r="A178" s="10" t="s">
        <v>491</v>
      </c>
      <c r="B178" s="10" t="s">
        <v>85</v>
      </c>
      <c r="C178" s="29" t="s">
        <v>492</v>
      </c>
      <c r="D178" s="29" t="s">
        <v>493</v>
      </c>
      <c r="E178" s="10" t="s">
        <v>26</v>
      </c>
      <c r="F178" s="10"/>
      <c r="G178" s="10" t="s">
        <v>24</v>
      </c>
      <c r="H178" s="10"/>
      <c r="I178" s="30" t="s">
        <v>1273</v>
      </c>
      <c r="J178" s="30" t="s">
        <v>1279</v>
      </c>
      <c r="K178" s="30" t="s">
        <v>447</v>
      </c>
      <c r="L178" s="30" t="s">
        <v>1232</v>
      </c>
      <c r="M178" s="18" t="s">
        <v>26</v>
      </c>
      <c r="N178" s="18">
        <v>0</v>
      </c>
      <c r="O178" s="18">
        <v>0</v>
      </c>
      <c r="P178" s="18">
        <v>0</v>
      </c>
      <c r="Q178" s="18">
        <v>1</v>
      </c>
      <c r="R178" s="61">
        <v>5</v>
      </c>
      <c r="S178" s="61">
        <v>95</v>
      </c>
      <c r="T178" t="e">
        <f>_xlfn.XLOOKUP(A178,Master!#REF!,Master!G:G)</f>
        <v>#REF!</v>
      </c>
      <c r="AA178">
        <v>6</v>
      </c>
      <c r="AB178">
        <v>128</v>
      </c>
      <c r="AC178" t="s">
        <v>226</v>
      </c>
      <c r="AD178" s="12">
        <v>0</v>
      </c>
      <c r="AE178" s="12">
        <v>1</v>
      </c>
    </row>
    <row r="179" spans="1:31" ht="16.25" customHeight="1" x14ac:dyDescent="0.2">
      <c r="A179" s="10" t="s">
        <v>478</v>
      </c>
      <c r="B179" s="10" t="s">
        <v>85</v>
      </c>
      <c r="C179" s="29" t="s">
        <v>479</v>
      </c>
      <c r="D179" s="29" t="s">
        <v>480</v>
      </c>
      <c r="E179" s="10" t="s">
        <v>26</v>
      </c>
      <c r="F179" s="10"/>
      <c r="G179" s="10" t="s">
        <v>24</v>
      </c>
      <c r="H179" s="10" t="s">
        <v>481</v>
      </c>
      <c r="I179" s="30" t="s">
        <v>1273</v>
      </c>
      <c r="J179" s="30" t="s">
        <v>1274</v>
      </c>
      <c r="K179" s="30" t="s">
        <v>1280</v>
      </c>
      <c r="L179" s="30" t="s">
        <v>1232</v>
      </c>
      <c r="M179" s="18" t="s">
        <v>26</v>
      </c>
      <c r="N179" s="18">
        <v>0</v>
      </c>
      <c r="O179" s="18">
        <v>0</v>
      </c>
      <c r="P179" s="18">
        <v>0</v>
      </c>
      <c r="Q179" s="18">
        <v>1</v>
      </c>
      <c r="R179" s="61">
        <v>5</v>
      </c>
      <c r="S179" s="61">
        <v>96</v>
      </c>
      <c r="T179" t="e">
        <f>_xlfn.XLOOKUP(A179,Master!#REF!,Master!G:G)</f>
        <v>#REF!</v>
      </c>
      <c r="AA179">
        <v>6</v>
      </c>
      <c r="AB179">
        <v>128</v>
      </c>
      <c r="AC179" t="s">
        <v>222</v>
      </c>
      <c r="AD179" s="12">
        <v>0</v>
      </c>
      <c r="AE179" s="12">
        <v>1</v>
      </c>
    </row>
    <row r="180" spans="1:31" ht="16.25" customHeight="1" x14ac:dyDescent="0.2">
      <c r="A180" s="32" t="s">
        <v>483</v>
      </c>
      <c r="B180" s="32" t="s">
        <v>85</v>
      </c>
      <c r="C180" s="33" t="s">
        <v>484</v>
      </c>
      <c r="D180" s="33" t="s">
        <v>485</v>
      </c>
      <c r="E180" s="32" t="s">
        <v>26</v>
      </c>
      <c r="F180" s="32"/>
      <c r="G180" s="32" t="s">
        <v>24</v>
      </c>
      <c r="H180" s="32"/>
      <c r="I180" s="30" t="s">
        <v>1273</v>
      </c>
      <c r="J180" s="30" t="s">
        <v>1281</v>
      </c>
      <c r="K180" s="30" t="s">
        <v>1282</v>
      </c>
      <c r="L180" s="30" t="s">
        <v>1232</v>
      </c>
      <c r="M180" s="15" t="s">
        <v>26</v>
      </c>
      <c r="N180" s="15">
        <v>0</v>
      </c>
      <c r="O180" s="15">
        <v>0</v>
      </c>
      <c r="P180" s="15">
        <v>0</v>
      </c>
      <c r="Q180" s="15">
        <v>1</v>
      </c>
      <c r="R180" s="61">
        <v>5</v>
      </c>
      <c r="S180" s="61">
        <v>96</v>
      </c>
      <c r="T180" t="e">
        <f>_xlfn.XLOOKUP(A180,Master!#REF!,Master!G:G)</f>
        <v>#REF!</v>
      </c>
      <c r="AA180">
        <v>6</v>
      </c>
      <c r="AB180">
        <v>129</v>
      </c>
      <c r="AC180" t="s">
        <v>217</v>
      </c>
      <c r="AD180" s="12">
        <v>0</v>
      </c>
      <c r="AE180" s="12">
        <v>1</v>
      </c>
    </row>
    <row r="181" spans="1:31" ht="16.25" customHeight="1" x14ac:dyDescent="0.2">
      <c r="A181" s="10" t="s">
        <v>470</v>
      </c>
      <c r="B181" s="10" t="s">
        <v>85</v>
      </c>
      <c r="C181" s="29" t="s">
        <v>471</v>
      </c>
      <c r="D181" s="29" t="s">
        <v>472</v>
      </c>
      <c r="E181" s="10" t="s">
        <v>26</v>
      </c>
      <c r="F181" s="10"/>
      <c r="G181" s="10" t="s">
        <v>24</v>
      </c>
      <c r="H181" s="10"/>
      <c r="I181" s="30" t="s">
        <v>1273</v>
      </c>
      <c r="J181" s="30" t="s">
        <v>1274</v>
      </c>
      <c r="K181" s="30" t="s">
        <v>1280</v>
      </c>
      <c r="L181" s="30" t="s">
        <v>1232</v>
      </c>
      <c r="M181" s="18" t="s">
        <v>26</v>
      </c>
      <c r="N181" s="18">
        <v>0</v>
      </c>
      <c r="O181" s="18">
        <v>0</v>
      </c>
      <c r="P181" s="18">
        <v>0</v>
      </c>
      <c r="Q181" s="18">
        <v>1</v>
      </c>
      <c r="R181" s="61">
        <v>5</v>
      </c>
      <c r="S181" s="61">
        <v>97</v>
      </c>
      <c r="T181" t="e">
        <f>_xlfn.XLOOKUP(A181,Master!#REF!,Master!G:G)</f>
        <v>#REF!</v>
      </c>
      <c r="AA181">
        <v>6</v>
      </c>
      <c r="AB181">
        <v>129</v>
      </c>
      <c r="AC181" t="s">
        <v>213</v>
      </c>
      <c r="AD181" s="12">
        <v>0</v>
      </c>
      <c r="AE181" s="12">
        <v>1</v>
      </c>
    </row>
    <row r="182" spans="1:31" ht="16.25" customHeight="1" x14ac:dyDescent="0.2">
      <c r="A182" s="32" t="s">
        <v>474</v>
      </c>
      <c r="B182" s="32" t="s">
        <v>85</v>
      </c>
      <c r="C182" s="33" t="s">
        <v>475</v>
      </c>
      <c r="D182" s="33" t="s">
        <v>476</v>
      </c>
      <c r="E182" s="32" t="s">
        <v>26</v>
      </c>
      <c r="F182" s="32"/>
      <c r="G182" s="32" t="s">
        <v>24</v>
      </c>
      <c r="H182" s="32"/>
      <c r="I182" s="30" t="s">
        <v>1273</v>
      </c>
      <c r="J182" s="30" t="s">
        <v>1274</v>
      </c>
      <c r="K182" s="30" t="s">
        <v>1280</v>
      </c>
      <c r="L182" s="30" t="s">
        <v>1232</v>
      </c>
      <c r="M182" s="15" t="s">
        <v>26</v>
      </c>
      <c r="N182" s="15">
        <v>0</v>
      </c>
      <c r="O182" s="15">
        <v>0</v>
      </c>
      <c r="P182" s="15">
        <v>0</v>
      </c>
      <c r="Q182" s="15">
        <v>1</v>
      </c>
      <c r="R182" s="61">
        <v>5</v>
      </c>
      <c r="S182" s="61">
        <v>97</v>
      </c>
      <c r="T182" t="e">
        <f>_xlfn.XLOOKUP(A182,Master!#REF!,Master!G:G)</f>
        <v>#REF!</v>
      </c>
      <c r="AA182">
        <v>6</v>
      </c>
      <c r="AB182">
        <v>130</v>
      </c>
      <c r="AC182" t="s">
        <v>209</v>
      </c>
      <c r="AD182" s="12">
        <v>0</v>
      </c>
      <c r="AE182" s="12">
        <v>1</v>
      </c>
    </row>
    <row r="183" spans="1:31" ht="16.25" customHeight="1" x14ac:dyDescent="0.2">
      <c r="A183" s="32" t="s">
        <v>462</v>
      </c>
      <c r="B183" s="32" t="s">
        <v>85</v>
      </c>
      <c r="C183" s="33" t="s">
        <v>463</v>
      </c>
      <c r="D183" s="33" t="s">
        <v>464</v>
      </c>
      <c r="E183" s="32" t="s">
        <v>26</v>
      </c>
      <c r="F183" s="32"/>
      <c r="G183" s="32" t="s">
        <v>24</v>
      </c>
      <c r="H183" s="32"/>
      <c r="I183" s="30" t="s">
        <v>1273</v>
      </c>
      <c r="J183" s="30" t="s">
        <v>1274</v>
      </c>
      <c r="K183" s="30" t="s">
        <v>1280</v>
      </c>
      <c r="L183" s="30" t="s">
        <v>1232</v>
      </c>
      <c r="M183" s="15" t="s">
        <v>26</v>
      </c>
      <c r="N183" s="15">
        <v>0</v>
      </c>
      <c r="O183" s="15">
        <v>0</v>
      </c>
      <c r="P183" s="15">
        <v>0</v>
      </c>
      <c r="Q183" s="15">
        <v>1</v>
      </c>
      <c r="R183" s="61">
        <v>5</v>
      </c>
      <c r="S183" s="61">
        <v>98</v>
      </c>
      <c r="T183" t="e">
        <f>_xlfn.XLOOKUP(A183,Master!#REF!,Master!G:G)</f>
        <v>#REF!</v>
      </c>
      <c r="AA183">
        <v>6</v>
      </c>
      <c r="AB183">
        <v>130</v>
      </c>
      <c r="AC183" t="s">
        <v>205</v>
      </c>
      <c r="AD183" s="12">
        <v>0</v>
      </c>
      <c r="AE183" s="12">
        <v>1</v>
      </c>
    </row>
    <row r="184" spans="1:31" ht="16.25" customHeight="1" x14ac:dyDescent="0.2">
      <c r="A184" s="32" t="s">
        <v>466</v>
      </c>
      <c r="B184" s="32" t="s">
        <v>85</v>
      </c>
      <c r="C184" s="33" t="s">
        <v>467</v>
      </c>
      <c r="D184" s="33" t="s">
        <v>468</v>
      </c>
      <c r="E184" s="32" t="s">
        <v>26</v>
      </c>
      <c r="F184" s="32"/>
      <c r="G184" s="32" t="s">
        <v>24</v>
      </c>
      <c r="H184" s="32"/>
      <c r="I184" s="30" t="s">
        <v>1273</v>
      </c>
      <c r="J184" s="30" t="s">
        <v>1274</v>
      </c>
      <c r="K184" s="30" t="s">
        <v>1280</v>
      </c>
      <c r="L184" s="30" t="s">
        <v>1232</v>
      </c>
      <c r="M184" s="15" t="s">
        <v>26</v>
      </c>
      <c r="N184" s="15">
        <v>0</v>
      </c>
      <c r="O184" s="15">
        <v>0</v>
      </c>
      <c r="P184" s="15">
        <v>0</v>
      </c>
      <c r="Q184" s="15">
        <v>1</v>
      </c>
      <c r="R184" s="61">
        <v>5</v>
      </c>
      <c r="S184" s="61">
        <v>98</v>
      </c>
      <c r="T184" t="e">
        <f>_xlfn.XLOOKUP(A184,Master!#REF!,Master!G:G)</f>
        <v>#REF!</v>
      </c>
      <c r="AA184">
        <v>6</v>
      </c>
      <c r="AB184">
        <v>131</v>
      </c>
      <c r="AC184" t="s">
        <v>196</v>
      </c>
      <c r="AD184" s="12">
        <v>0</v>
      </c>
      <c r="AE184" s="12">
        <v>1</v>
      </c>
    </row>
    <row r="185" spans="1:31" ht="16.25" customHeight="1" x14ac:dyDescent="0.2">
      <c r="A185" s="10" t="s">
        <v>454</v>
      </c>
      <c r="B185" s="10" t="s">
        <v>85</v>
      </c>
      <c r="C185" s="29" t="s">
        <v>455</v>
      </c>
      <c r="D185" s="29" t="s">
        <v>456</v>
      </c>
      <c r="E185" s="10" t="s">
        <v>26</v>
      </c>
      <c r="F185" s="10"/>
      <c r="G185" s="10" t="s">
        <v>24</v>
      </c>
      <c r="H185" s="10"/>
      <c r="I185" s="30" t="s">
        <v>1273</v>
      </c>
      <c r="J185" s="30" t="s">
        <v>1283</v>
      </c>
      <c r="K185" s="30" t="s">
        <v>451</v>
      </c>
      <c r="L185" s="30" t="s">
        <v>1232</v>
      </c>
      <c r="M185" s="18" t="s">
        <v>26</v>
      </c>
      <c r="N185" s="18">
        <v>0</v>
      </c>
      <c r="O185" s="18">
        <v>0</v>
      </c>
      <c r="P185" s="18">
        <v>0</v>
      </c>
      <c r="Q185" s="18">
        <v>1</v>
      </c>
      <c r="R185" s="61">
        <v>5</v>
      </c>
      <c r="S185" s="61">
        <v>99</v>
      </c>
      <c r="T185" t="e">
        <f>_xlfn.XLOOKUP(A185,Master!#REF!,Master!G:G)</f>
        <v>#REF!</v>
      </c>
      <c r="AA185">
        <v>6</v>
      </c>
      <c r="AB185">
        <v>131</v>
      </c>
      <c r="AC185" t="s">
        <v>200</v>
      </c>
      <c r="AD185" s="12">
        <v>0</v>
      </c>
      <c r="AE185" s="12">
        <v>1</v>
      </c>
    </row>
    <row r="186" spans="1:31" ht="16.25" customHeight="1" x14ac:dyDescent="0.2">
      <c r="A186" s="32" t="s">
        <v>458</v>
      </c>
      <c r="B186" s="32" t="s">
        <v>85</v>
      </c>
      <c r="C186" s="33" t="s">
        <v>459</v>
      </c>
      <c r="D186" s="33" t="s">
        <v>460</v>
      </c>
      <c r="E186" s="32" t="s">
        <v>26</v>
      </c>
      <c r="F186" s="39"/>
      <c r="G186" s="32" t="s">
        <v>24</v>
      </c>
      <c r="H186" s="32"/>
      <c r="I186" s="30" t="s">
        <v>1273</v>
      </c>
      <c r="J186" s="30" t="s">
        <v>1283</v>
      </c>
      <c r="K186" s="30" t="s">
        <v>451</v>
      </c>
      <c r="L186" s="30" t="s">
        <v>1232</v>
      </c>
      <c r="M186" s="15" t="s">
        <v>26</v>
      </c>
      <c r="N186" s="15">
        <v>0</v>
      </c>
      <c r="O186" s="15">
        <v>0</v>
      </c>
      <c r="P186" s="15">
        <v>0</v>
      </c>
      <c r="Q186" s="15">
        <v>1</v>
      </c>
      <c r="R186" s="61">
        <v>5</v>
      </c>
      <c r="S186" s="61">
        <v>99</v>
      </c>
      <c r="T186" t="e">
        <f>_xlfn.XLOOKUP(A186,Master!#REF!,Master!G:G)</f>
        <v>#REF!</v>
      </c>
      <c r="AA186">
        <v>6</v>
      </c>
      <c r="AB186">
        <v>132</v>
      </c>
      <c r="AC186" t="s">
        <v>188</v>
      </c>
      <c r="AD186" s="12">
        <v>0</v>
      </c>
      <c r="AE186" s="12">
        <v>1</v>
      </c>
    </row>
    <row r="187" spans="1:31" ht="16.25" customHeight="1" x14ac:dyDescent="0.2">
      <c r="A187" s="18" t="s">
        <v>91</v>
      </c>
      <c r="B187" s="18" t="s">
        <v>85</v>
      </c>
      <c r="C187" s="41" t="s">
        <v>92</v>
      </c>
      <c r="D187" s="41" t="s">
        <v>93</v>
      </c>
      <c r="E187" s="18" t="s">
        <v>26</v>
      </c>
      <c r="F187" s="18"/>
      <c r="G187" s="18" t="s">
        <v>24</v>
      </c>
      <c r="H187" s="18"/>
      <c r="I187" s="30" t="s">
        <v>1273</v>
      </c>
      <c r="J187" s="30" t="s">
        <v>1274</v>
      </c>
      <c r="K187" s="30" t="s">
        <v>1284</v>
      </c>
      <c r="L187" s="30" t="s">
        <v>1232</v>
      </c>
      <c r="M187" s="18" t="s">
        <v>26</v>
      </c>
      <c r="N187" s="18">
        <v>0</v>
      </c>
      <c r="O187" s="18">
        <v>0</v>
      </c>
      <c r="P187" s="18">
        <v>0</v>
      </c>
      <c r="Q187" s="18">
        <v>1</v>
      </c>
      <c r="R187" s="61">
        <v>5</v>
      </c>
      <c r="S187" s="61">
        <v>100</v>
      </c>
      <c r="T187" t="e">
        <f>_xlfn.XLOOKUP(A187,Master!#REF!,Master!G:G)</f>
        <v>#REF!</v>
      </c>
      <c r="AA187">
        <v>6</v>
      </c>
      <c r="AB187">
        <v>132</v>
      </c>
      <c r="AC187" t="s">
        <v>192</v>
      </c>
      <c r="AD187" s="12">
        <v>0</v>
      </c>
      <c r="AE187" s="12">
        <v>1</v>
      </c>
    </row>
    <row r="188" spans="1:31" ht="16.25" customHeight="1" x14ac:dyDescent="0.2">
      <c r="A188" s="32" t="s">
        <v>447</v>
      </c>
      <c r="B188" s="32" t="s">
        <v>85</v>
      </c>
      <c r="C188" s="32" t="s">
        <v>448</v>
      </c>
      <c r="D188" s="32" t="s">
        <v>449</v>
      </c>
      <c r="E188" s="32" t="s">
        <v>26</v>
      </c>
      <c r="F188" s="32"/>
      <c r="G188" s="32" t="s">
        <v>24</v>
      </c>
      <c r="H188" s="32"/>
      <c r="I188" s="30" t="s">
        <v>1273</v>
      </c>
      <c r="J188" s="30" t="s">
        <v>1279</v>
      </c>
      <c r="K188" s="30" t="s">
        <v>1285</v>
      </c>
      <c r="L188" s="30" t="s">
        <v>1232</v>
      </c>
      <c r="M188" s="15" t="s">
        <v>26</v>
      </c>
      <c r="N188" s="15">
        <v>0</v>
      </c>
      <c r="O188" s="15">
        <v>0</v>
      </c>
      <c r="P188" s="15">
        <v>0</v>
      </c>
      <c r="Q188" s="15">
        <v>1</v>
      </c>
      <c r="R188" s="61">
        <v>5</v>
      </c>
      <c r="S188" s="61">
        <v>100</v>
      </c>
      <c r="T188" t="e">
        <f>_xlfn.XLOOKUP(A188,Master!#REF!,Master!G:G)</f>
        <v>#REF!</v>
      </c>
      <c r="AA188">
        <v>6</v>
      </c>
      <c r="AB188">
        <v>133</v>
      </c>
      <c r="AC188" t="s">
        <v>180</v>
      </c>
      <c r="AD188" s="12">
        <v>0</v>
      </c>
      <c r="AE188" s="12">
        <v>1</v>
      </c>
    </row>
    <row r="189" spans="1:31" ht="16.25" customHeight="1" x14ac:dyDescent="0.2">
      <c r="A189" s="10" t="s">
        <v>439</v>
      </c>
      <c r="B189" s="10" t="s">
        <v>85</v>
      </c>
      <c r="C189" s="29" t="s">
        <v>440</v>
      </c>
      <c r="D189" s="29" t="s">
        <v>441</v>
      </c>
      <c r="E189" s="10" t="s">
        <v>26</v>
      </c>
      <c r="F189" s="10"/>
      <c r="G189" s="10" t="s">
        <v>24</v>
      </c>
      <c r="H189" s="10"/>
      <c r="I189" s="30" t="s">
        <v>1273</v>
      </c>
      <c r="J189" s="30" t="s">
        <v>1274</v>
      </c>
      <c r="K189" s="30" t="s">
        <v>1286</v>
      </c>
      <c r="L189" s="30" t="s">
        <v>1232</v>
      </c>
      <c r="M189" s="18" t="s">
        <v>26</v>
      </c>
      <c r="N189" s="18">
        <v>0</v>
      </c>
      <c r="O189" s="18">
        <v>0</v>
      </c>
      <c r="P189" s="18">
        <v>0</v>
      </c>
      <c r="Q189" s="18">
        <v>1</v>
      </c>
      <c r="R189" s="61">
        <v>5</v>
      </c>
      <c r="S189" s="61">
        <v>101</v>
      </c>
      <c r="T189" t="e">
        <f>_xlfn.XLOOKUP(A189,Master!#REF!,Master!G:G)</f>
        <v>#REF!</v>
      </c>
      <c r="AA189">
        <v>6</v>
      </c>
      <c r="AB189">
        <v>133</v>
      </c>
      <c r="AC189" t="s">
        <v>184</v>
      </c>
      <c r="AD189" s="12">
        <v>0</v>
      </c>
      <c r="AE189" s="12">
        <v>1</v>
      </c>
    </row>
    <row r="190" spans="1:31" ht="16.25" customHeight="1" x14ac:dyDescent="0.2">
      <c r="A190" s="32" t="s">
        <v>443</v>
      </c>
      <c r="B190" s="32" t="s">
        <v>85</v>
      </c>
      <c r="C190" s="33" t="s">
        <v>444</v>
      </c>
      <c r="D190" s="33" t="s">
        <v>445</v>
      </c>
      <c r="E190" s="32" t="s">
        <v>26</v>
      </c>
      <c r="F190" s="32"/>
      <c r="G190" s="32" t="s">
        <v>24</v>
      </c>
      <c r="H190" s="32"/>
      <c r="I190" s="30" t="s">
        <v>1273</v>
      </c>
      <c r="J190" s="30" t="s">
        <v>1274</v>
      </c>
      <c r="K190" s="30" t="s">
        <v>1276</v>
      </c>
      <c r="L190" s="30" t="s">
        <v>1232</v>
      </c>
      <c r="M190" s="15" t="s">
        <v>26</v>
      </c>
      <c r="N190" s="15">
        <v>0</v>
      </c>
      <c r="O190" s="15">
        <v>0</v>
      </c>
      <c r="P190" s="15">
        <v>0</v>
      </c>
      <c r="Q190" s="15">
        <v>1</v>
      </c>
      <c r="R190" s="61">
        <v>5</v>
      </c>
      <c r="S190" s="61">
        <v>101</v>
      </c>
      <c r="T190" t="e">
        <f>_xlfn.XLOOKUP(A190,Master!#REF!,Master!G:G)</f>
        <v>#REF!</v>
      </c>
      <c r="AA190">
        <v>6</v>
      </c>
      <c r="AB190">
        <v>134</v>
      </c>
      <c r="AC190" t="s">
        <v>172</v>
      </c>
      <c r="AD190" s="12">
        <v>0</v>
      </c>
      <c r="AE190" s="12">
        <v>1</v>
      </c>
    </row>
    <row r="191" spans="1:31" ht="16.25" customHeight="1" x14ac:dyDescent="0.2">
      <c r="A191" s="10" t="s">
        <v>431</v>
      </c>
      <c r="B191" s="10" t="s">
        <v>85</v>
      </c>
      <c r="C191" s="29" t="s">
        <v>432</v>
      </c>
      <c r="D191" s="29" t="s">
        <v>433</v>
      </c>
      <c r="E191" s="10" t="s">
        <v>26</v>
      </c>
      <c r="F191" s="10"/>
      <c r="G191" s="10" t="s">
        <v>24</v>
      </c>
      <c r="H191" s="10"/>
      <c r="I191" s="30" t="s">
        <v>1273</v>
      </c>
      <c r="J191" s="30" t="s">
        <v>1274</v>
      </c>
      <c r="K191" s="30" t="s">
        <v>1276</v>
      </c>
      <c r="L191" s="30" t="s">
        <v>1232</v>
      </c>
      <c r="M191" s="18" t="s">
        <v>26</v>
      </c>
      <c r="N191" s="18">
        <v>0</v>
      </c>
      <c r="O191" s="18">
        <v>0</v>
      </c>
      <c r="P191" s="18">
        <v>0</v>
      </c>
      <c r="Q191" s="18">
        <v>1</v>
      </c>
      <c r="R191" s="61">
        <v>5</v>
      </c>
      <c r="S191" s="61">
        <v>102</v>
      </c>
      <c r="T191" t="e">
        <f>_xlfn.XLOOKUP(A191,Master!#REF!,Master!G:G)</f>
        <v>#REF!</v>
      </c>
      <c r="AA191">
        <v>6</v>
      </c>
      <c r="AB191">
        <v>134</v>
      </c>
      <c r="AC191" t="s">
        <v>176</v>
      </c>
      <c r="AD191" s="12">
        <v>0</v>
      </c>
      <c r="AE191" s="12">
        <v>1</v>
      </c>
    </row>
    <row r="192" spans="1:31" ht="16.25" customHeight="1" x14ac:dyDescent="0.2">
      <c r="A192" s="10" t="s">
        <v>435</v>
      </c>
      <c r="B192" s="10" t="s">
        <v>85</v>
      </c>
      <c r="C192" s="29" t="s">
        <v>436</v>
      </c>
      <c r="D192" s="29" t="s">
        <v>437</v>
      </c>
      <c r="E192" s="10" t="s">
        <v>26</v>
      </c>
      <c r="F192" s="10"/>
      <c r="G192" s="10" t="s">
        <v>24</v>
      </c>
      <c r="H192" s="10"/>
      <c r="I192" s="30" t="s">
        <v>1273</v>
      </c>
      <c r="J192" s="30" t="s">
        <v>1274</v>
      </c>
      <c r="K192" s="30" t="s">
        <v>1287</v>
      </c>
      <c r="L192" s="30" t="s">
        <v>1232</v>
      </c>
      <c r="M192" s="18" t="s">
        <v>26</v>
      </c>
      <c r="N192" s="18">
        <v>0</v>
      </c>
      <c r="O192" s="18">
        <v>0</v>
      </c>
      <c r="P192" s="18">
        <v>0</v>
      </c>
      <c r="Q192" s="18">
        <v>1</v>
      </c>
      <c r="R192" s="61">
        <v>5</v>
      </c>
      <c r="S192" s="61">
        <v>102</v>
      </c>
      <c r="T192" t="e">
        <f>_xlfn.XLOOKUP(A192,Master!#REF!,Master!G:G)</f>
        <v>#REF!</v>
      </c>
      <c r="AA192">
        <v>6</v>
      </c>
      <c r="AB192">
        <v>135</v>
      </c>
      <c r="AC192" t="s">
        <v>162</v>
      </c>
      <c r="AD192" s="12">
        <v>0</v>
      </c>
      <c r="AE192" s="12">
        <v>1</v>
      </c>
    </row>
    <row r="193" spans="1:31" ht="16.25" customHeight="1" x14ac:dyDescent="0.2">
      <c r="A193" s="32" t="s">
        <v>423</v>
      </c>
      <c r="B193" s="32" t="s">
        <v>85</v>
      </c>
      <c r="C193" s="33" t="s">
        <v>424</v>
      </c>
      <c r="D193" s="33" t="s">
        <v>425</v>
      </c>
      <c r="E193" s="32" t="s">
        <v>26</v>
      </c>
      <c r="F193" s="32"/>
      <c r="G193" s="32" t="s">
        <v>24</v>
      </c>
      <c r="H193" s="32"/>
      <c r="I193" s="30" t="s">
        <v>1273</v>
      </c>
      <c r="J193" s="30" t="s">
        <v>1274</v>
      </c>
      <c r="K193" s="30" t="s">
        <v>1286</v>
      </c>
      <c r="L193" s="30" t="s">
        <v>1232</v>
      </c>
      <c r="M193" s="15" t="s">
        <v>26</v>
      </c>
      <c r="N193" s="15">
        <v>0</v>
      </c>
      <c r="O193" s="15">
        <v>0</v>
      </c>
      <c r="P193" s="15">
        <v>0</v>
      </c>
      <c r="Q193" s="15">
        <v>1</v>
      </c>
      <c r="R193" s="61">
        <v>5</v>
      </c>
      <c r="S193" s="61">
        <v>103</v>
      </c>
      <c r="T193" t="e">
        <f>_xlfn.XLOOKUP(A193,Master!#REF!,Master!G:G)</f>
        <v>#REF!</v>
      </c>
      <c r="AA193">
        <v>6</v>
      </c>
      <c r="AB193">
        <v>136</v>
      </c>
      <c r="AC193" t="s">
        <v>158</v>
      </c>
      <c r="AD193" s="12">
        <v>0</v>
      </c>
      <c r="AE193" s="12">
        <v>1</v>
      </c>
    </row>
    <row r="194" spans="1:31" ht="16.25" customHeight="1" x14ac:dyDescent="0.2">
      <c r="A194" s="10" t="s">
        <v>427</v>
      </c>
      <c r="B194" s="10" t="s">
        <v>85</v>
      </c>
      <c r="C194" s="29" t="s">
        <v>428</v>
      </c>
      <c r="D194" s="29" t="s">
        <v>429</v>
      </c>
      <c r="E194" s="10" t="s">
        <v>26</v>
      </c>
      <c r="F194" s="10"/>
      <c r="G194" s="10" t="s">
        <v>24</v>
      </c>
      <c r="H194" s="10"/>
      <c r="I194" s="30" t="s">
        <v>1273</v>
      </c>
      <c r="J194" s="30" t="s">
        <v>1274</v>
      </c>
      <c r="K194" s="30" t="s">
        <v>1275</v>
      </c>
      <c r="L194" s="30" t="s">
        <v>1232</v>
      </c>
      <c r="M194" s="18" t="s">
        <v>26</v>
      </c>
      <c r="N194" s="18">
        <v>0</v>
      </c>
      <c r="O194" s="18">
        <v>0</v>
      </c>
      <c r="P194" s="18">
        <v>0</v>
      </c>
      <c r="Q194" s="18">
        <v>1</v>
      </c>
      <c r="R194" s="61">
        <v>5</v>
      </c>
      <c r="S194" s="61">
        <v>103</v>
      </c>
      <c r="T194" t="e">
        <f>_xlfn.XLOOKUP(A194,Master!#REF!,Master!G:G)</f>
        <v>#REF!</v>
      </c>
      <c r="AA194">
        <v>6</v>
      </c>
      <c r="AB194">
        <v>136</v>
      </c>
      <c r="AC194" t="s">
        <v>154</v>
      </c>
      <c r="AD194" s="12">
        <v>0</v>
      </c>
      <c r="AE194" s="12">
        <v>1</v>
      </c>
    </row>
    <row r="195" spans="1:31" ht="16.25" customHeight="1" x14ac:dyDescent="0.2">
      <c r="A195" s="10" t="s">
        <v>410</v>
      </c>
      <c r="B195" s="10" t="s">
        <v>85</v>
      </c>
      <c r="C195" s="29" t="s">
        <v>411</v>
      </c>
      <c r="D195" s="29" t="s">
        <v>412</v>
      </c>
      <c r="E195" s="10" t="s">
        <v>26</v>
      </c>
      <c r="F195" s="10"/>
      <c r="G195" s="10" t="s">
        <v>24</v>
      </c>
      <c r="H195" s="10"/>
      <c r="I195" s="30" t="s">
        <v>1273</v>
      </c>
      <c r="J195" s="30" t="s">
        <v>1274</v>
      </c>
      <c r="K195" s="30" t="s">
        <v>1288</v>
      </c>
      <c r="L195" s="30" t="s">
        <v>1232</v>
      </c>
      <c r="M195" s="18" t="s">
        <v>26</v>
      </c>
      <c r="N195" s="18">
        <v>0</v>
      </c>
      <c r="O195" s="18">
        <v>0</v>
      </c>
      <c r="P195" s="18">
        <v>0</v>
      </c>
      <c r="Q195" s="18">
        <v>1</v>
      </c>
      <c r="R195" s="61">
        <v>5</v>
      </c>
      <c r="S195" s="61">
        <v>104</v>
      </c>
      <c r="T195" t="e">
        <f>_xlfn.XLOOKUP(A195,Master!#REF!,Master!G:G)</f>
        <v>#REF!</v>
      </c>
      <c r="AA195">
        <v>6</v>
      </c>
      <c r="AB195">
        <v>137</v>
      </c>
      <c r="AC195" t="s">
        <v>146</v>
      </c>
      <c r="AD195" s="12">
        <v>0</v>
      </c>
      <c r="AE195" s="12">
        <v>1</v>
      </c>
    </row>
    <row r="196" spans="1:31" ht="16.25" customHeight="1" x14ac:dyDescent="0.2">
      <c r="A196" s="10" t="s">
        <v>414</v>
      </c>
      <c r="B196" s="10" t="s">
        <v>85</v>
      </c>
      <c r="C196" s="29" t="s">
        <v>415</v>
      </c>
      <c r="D196" s="29" t="s">
        <v>416</v>
      </c>
      <c r="E196" s="10" t="s">
        <v>26</v>
      </c>
      <c r="F196" s="42"/>
      <c r="G196" s="10" t="s">
        <v>24</v>
      </c>
      <c r="H196" s="10" t="s">
        <v>417</v>
      </c>
      <c r="I196" s="30" t="s">
        <v>1273</v>
      </c>
      <c r="J196" s="30" t="s">
        <v>1274</v>
      </c>
      <c r="K196" s="30" t="s">
        <v>1289</v>
      </c>
      <c r="L196" s="30" t="s">
        <v>1232</v>
      </c>
      <c r="M196" s="18" t="s">
        <v>26</v>
      </c>
      <c r="N196" s="18">
        <v>0</v>
      </c>
      <c r="O196" s="18">
        <v>0</v>
      </c>
      <c r="P196" s="18">
        <v>0</v>
      </c>
      <c r="Q196" s="18">
        <v>1</v>
      </c>
      <c r="R196" s="61">
        <v>5</v>
      </c>
      <c r="S196" s="61">
        <v>104</v>
      </c>
      <c r="T196" t="e">
        <f>_xlfn.XLOOKUP(A196,Master!#REF!,Master!G:G)</f>
        <v>#REF!</v>
      </c>
      <c r="AA196">
        <v>6</v>
      </c>
      <c r="AB196">
        <v>137</v>
      </c>
      <c r="AC196" t="s">
        <v>150</v>
      </c>
      <c r="AD196" s="12">
        <v>0</v>
      </c>
      <c r="AE196" s="12">
        <v>1</v>
      </c>
    </row>
    <row r="197" spans="1:31" ht="16.25" customHeight="1" x14ac:dyDescent="0.2">
      <c r="A197" s="10" t="s">
        <v>405</v>
      </c>
      <c r="B197" s="10" t="s">
        <v>85</v>
      </c>
      <c r="C197" s="29" t="s">
        <v>406</v>
      </c>
      <c r="D197" s="29" t="s">
        <v>407</v>
      </c>
      <c r="E197" s="10" t="s">
        <v>23</v>
      </c>
      <c r="F197" s="10" t="s">
        <v>408</v>
      </c>
      <c r="G197" s="10" t="s">
        <v>24</v>
      </c>
      <c r="H197" s="10"/>
      <c r="I197" s="30" t="s">
        <v>1273</v>
      </c>
      <c r="J197" s="30" t="s">
        <v>1274</v>
      </c>
      <c r="K197" s="30" t="s">
        <v>1290</v>
      </c>
      <c r="L197" s="30" t="s">
        <v>1232</v>
      </c>
      <c r="M197" s="18" t="s">
        <v>23</v>
      </c>
      <c r="N197" s="18">
        <v>0</v>
      </c>
      <c r="O197" s="18">
        <v>1</v>
      </c>
      <c r="P197" s="18">
        <v>1</v>
      </c>
      <c r="Q197" s="18">
        <v>2</v>
      </c>
      <c r="R197" s="61">
        <v>5</v>
      </c>
      <c r="S197" s="61">
        <v>105</v>
      </c>
      <c r="T197" t="e">
        <f>_xlfn.XLOOKUP(A197,Master!#REF!,Master!G:G)</f>
        <v>#REF!</v>
      </c>
      <c r="AA197">
        <v>6</v>
      </c>
      <c r="AB197">
        <v>138</v>
      </c>
      <c r="AC197" t="s">
        <v>137</v>
      </c>
      <c r="AD197" s="12">
        <v>0</v>
      </c>
      <c r="AE197" s="12">
        <v>1</v>
      </c>
    </row>
    <row r="198" spans="1:31" ht="16.25" customHeight="1" x14ac:dyDescent="0.2">
      <c r="A198" s="15" t="s">
        <v>397</v>
      </c>
      <c r="B198" s="15" t="s">
        <v>85</v>
      </c>
      <c r="C198" s="44" t="s">
        <v>398</v>
      </c>
      <c r="D198" s="44" t="s">
        <v>399</v>
      </c>
      <c r="E198" s="15" t="s">
        <v>26</v>
      </c>
      <c r="F198" s="15"/>
      <c r="G198" s="15" t="s">
        <v>24</v>
      </c>
      <c r="H198" s="15"/>
      <c r="I198" s="30" t="s">
        <v>1273</v>
      </c>
      <c r="J198" s="30" t="s">
        <v>1283</v>
      </c>
      <c r="K198" s="30" t="s">
        <v>451</v>
      </c>
      <c r="L198" s="30" t="s">
        <v>1232</v>
      </c>
      <c r="M198" s="15" t="s">
        <v>26</v>
      </c>
      <c r="N198" s="15">
        <v>0</v>
      </c>
      <c r="O198" s="15">
        <v>0</v>
      </c>
      <c r="P198" s="15">
        <v>0</v>
      </c>
      <c r="Q198" s="15">
        <v>1</v>
      </c>
      <c r="R198" s="61">
        <v>5</v>
      </c>
      <c r="S198" s="61">
        <v>106</v>
      </c>
      <c r="T198" t="e">
        <f>_xlfn.XLOOKUP(A198,Master!#REF!,Master!G:G)</f>
        <v>#REF!</v>
      </c>
      <c r="AA198">
        <v>6</v>
      </c>
      <c r="AB198">
        <v>138</v>
      </c>
      <c r="AC198" t="s">
        <v>142</v>
      </c>
      <c r="AD198" s="12">
        <v>0</v>
      </c>
      <c r="AE198" s="12">
        <v>1</v>
      </c>
    </row>
    <row r="199" spans="1:31" ht="16.25" customHeight="1" x14ac:dyDescent="0.2">
      <c r="A199" s="15" t="s">
        <v>401</v>
      </c>
      <c r="B199" s="15" t="s">
        <v>85</v>
      </c>
      <c r="C199" s="44" t="s">
        <v>402</v>
      </c>
      <c r="D199" s="44" t="s">
        <v>403</v>
      </c>
      <c r="E199" s="15" t="s">
        <v>26</v>
      </c>
      <c r="F199" s="15"/>
      <c r="G199" s="15" t="s">
        <v>24</v>
      </c>
      <c r="H199" s="15"/>
      <c r="I199" s="30" t="s">
        <v>1273</v>
      </c>
      <c r="J199" s="30" t="s">
        <v>1291</v>
      </c>
      <c r="K199" s="30" t="s">
        <v>1292</v>
      </c>
      <c r="L199" s="30" t="s">
        <v>1232</v>
      </c>
      <c r="M199" s="15" t="s">
        <v>26</v>
      </c>
      <c r="N199" s="15">
        <v>0</v>
      </c>
      <c r="O199" s="15">
        <v>0</v>
      </c>
      <c r="P199" s="15">
        <v>0</v>
      </c>
      <c r="Q199" s="15">
        <v>1</v>
      </c>
      <c r="R199" s="61">
        <v>5</v>
      </c>
      <c r="S199" s="61">
        <v>106</v>
      </c>
      <c r="T199" t="e">
        <f>_xlfn.XLOOKUP(A199,Master!#REF!,Master!G:G)</f>
        <v>#REF!</v>
      </c>
      <c r="AA199">
        <v>6</v>
      </c>
      <c r="AB199">
        <v>139</v>
      </c>
      <c r="AC199" t="s">
        <v>133</v>
      </c>
      <c r="AD199" s="12">
        <v>0</v>
      </c>
      <c r="AE199" s="12">
        <v>1</v>
      </c>
    </row>
    <row r="200" spans="1:31" ht="16.25" customHeight="1" x14ac:dyDescent="0.2">
      <c r="A200" s="32" t="s">
        <v>389</v>
      </c>
      <c r="B200" s="32" t="s">
        <v>85</v>
      </c>
      <c r="C200" s="33" t="s">
        <v>390</v>
      </c>
      <c r="D200" s="33" t="s">
        <v>391</v>
      </c>
      <c r="E200" s="32" t="s">
        <v>26</v>
      </c>
      <c r="F200" s="32"/>
      <c r="G200" s="32" t="s">
        <v>24</v>
      </c>
      <c r="H200" s="32"/>
      <c r="I200" s="30" t="s">
        <v>1273</v>
      </c>
      <c r="J200" s="30" t="s">
        <v>1283</v>
      </c>
      <c r="K200" s="30" t="s">
        <v>1293</v>
      </c>
      <c r="L200" s="30" t="s">
        <v>1232</v>
      </c>
      <c r="M200" s="15" t="s">
        <v>26</v>
      </c>
      <c r="N200" s="15">
        <v>0</v>
      </c>
      <c r="O200" s="15">
        <v>0</v>
      </c>
      <c r="P200" s="15">
        <v>0</v>
      </c>
      <c r="Q200" s="15">
        <v>1</v>
      </c>
      <c r="R200" s="61">
        <v>5</v>
      </c>
      <c r="S200" s="61">
        <v>107</v>
      </c>
      <c r="T200" t="e">
        <f>_xlfn.XLOOKUP(A200,Master!#REF!,Master!G:G)</f>
        <v>#REF!</v>
      </c>
      <c r="AA200">
        <v>6</v>
      </c>
      <c r="AB200">
        <v>139</v>
      </c>
      <c r="AC200" t="s">
        <v>129</v>
      </c>
      <c r="AD200" s="12">
        <v>0</v>
      </c>
      <c r="AE200" s="12">
        <v>1</v>
      </c>
    </row>
    <row r="201" spans="1:31" ht="16.25" customHeight="1" x14ac:dyDescent="0.2">
      <c r="A201" s="32" t="s">
        <v>393</v>
      </c>
      <c r="B201" s="32" t="s">
        <v>85</v>
      </c>
      <c r="C201" s="33" t="s">
        <v>394</v>
      </c>
      <c r="D201" s="33" t="s">
        <v>395</v>
      </c>
      <c r="E201" s="32" t="s">
        <v>26</v>
      </c>
      <c r="F201" s="32"/>
      <c r="G201" s="32" t="s">
        <v>24</v>
      </c>
      <c r="H201" s="32"/>
      <c r="I201" s="30" t="s">
        <v>1273</v>
      </c>
      <c r="J201" s="30" t="s">
        <v>1279</v>
      </c>
      <c r="K201" s="30" t="s">
        <v>447</v>
      </c>
      <c r="L201" s="30" t="s">
        <v>1232</v>
      </c>
      <c r="M201" s="15" t="s">
        <v>26</v>
      </c>
      <c r="N201" s="15">
        <v>0</v>
      </c>
      <c r="O201" s="15">
        <v>0</v>
      </c>
      <c r="P201" s="15">
        <v>0</v>
      </c>
      <c r="Q201" s="15">
        <v>1</v>
      </c>
      <c r="R201" s="61">
        <v>5</v>
      </c>
      <c r="S201" s="61">
        <v>107</v>
      </c>
      <c r="T201" t="e">
        <f>_xlfn.XLOOKUP(A201,Master!#REF!,Master!G:G)</f>
        <v>#REF!</v>
      </c>
      <c r="AA201">
        <v>6</v>
      </c>
      <c r="AB201">
        <v>140</v>
      </c>
      <c r="AC201" t="s">
        <v>125</v>
      </c>
      <c r="AD201" s="12">
        <v>0</v>
      </c>
      <c r="AE201" s="12">
        <v>1</v>
      </c>
    </row>
    <row r="202" spans="1:31" ht="16.25" customHeight="1" x14ac:dyDescent="0.2">
      <c r="A202" s="10" t="s">
        <v>381</v>
      </c>
      <c r="B202" s="10" t="s">
        <v>85</v>
      </c>
      <c r="C202" s="29" t="s">
        <v>382</v>
      </c>
      <c r="D202" s="29" t="s">
        <v>383</v>
      </c>
      <c r="E202" s="10" t="s">
        <v>26</v>
      </c>
      <c r="F202" s="10"/>
      <c r="G202" s="10" t="s">
        <v>24</v>
      </c>
      <c r="H202" s="10"/>
      <c r="I202" s="30" t="s">
        <v>1273</v>
      </c>
      <c r="J202" s="30" t="s">
        <v>1291</v>
      </c>
      <c r="K202" s="30" t="s">
        <v>1294</v>
      </c>
      <c r="L202" s="30" t="s">
        <v>1232</v>
      </c>
      <c r="M202" s="18" t="s">
        <v>26</v>
      </c>
      <c r="N202" s="18">
        <v>0</v>
      </c>
      <c r="O202" s="18">
        <v>0</v>
      </c>
      <c r="P202" s="18">
        <v>0</v>
      </c>
      <c r="Q202" s="18">
        <v>1</v>
      </c>
      <c r="R202" s="61">
        <v>5</v>
      </c>
      <c r="S202" s="61">
        <v>108</v>
      </c>
      <c r="T202" t="e">
        <f>_xlfn.XLOOKUP(A202,Master!#REF!,Master!G:G)</f>
        <v>#REF!</v>
      </c>
      <c r="AA202">
        <v>6</v>
      </c>
      <c r="AB202">
        <v>140</v>
      </c>
      <c r="AC202" t="s">
        <v>121</v>
      </c>
      <c r="AD202" s="12">
        <v>0</v>
      </c>
      <c r="AE202" s="12">
        <v>1</v>
      </c>
    </row>
    <row r="203" spans="1:31" ht="16.25" customHeight="1" x14ac:dyDescent="0.2">
      <c r="A203" s="32" t="s">
        <v>385</v>
      </c>
      <c r="B203" s="32" t="s">
        <v>85</v>
      </c>
      <c r="C203" s="33" t="s">
        <v>386</v>
      </c>
      <c r="D203" s="33" t="s">
        <v>387</v>
      </c>
      <c r="E203" s="32" t="s">
        <v>26</v>
      </c>
      <c r="F203" s="39"/>
      <c r="G203" s="32" t="s">
        <v>24</v>
      </c>
      <c r="H203" s="32"/>
      <c r="I203" s="30" t="s">
        <v>1273</v>
      </c>
      <c r="J203" s="30" t="s">
        <v>1291</v>
      </c>
      <c r="K203" s="30" t="s">
        <v>1295</v>
      </c>
      <c r="L203" s="30" t="s">
        <v>1232</v>
      </c>
      <c r="M203" s="15" t="s">
        <v>26</v>
      </c>
      <c r="N203" s="15">
        <v>0</v>
      </c>
      <c r="O203" s="15">
        <v>0</v>
      </c>
      <c r="P203" s="15">
        <v>0</v>
      </c>
      <c r="Q203" s="15">
        <v>1</v>
      </c>
      <c r="R203" s="61">
        <v>5</v>
      </c>
      <c r="S203" s="61">
        <v>108</v>
      </c>
      <c r="T203" t="e">
        <f>_xlfn.XLOOKUP(A203,Master!#REF!,Master!G:G)</f>
        <v>#REF!</v>
      </c>
      <c r="AA203">
        <v>6</v>
      </c>
      <c r="AB203">
        <v>141</v>
      </c>
      <c r="AC203" t="s">
        <v>117</v>
      </c>
      <c r="AD203" s="12">
        <v>0</v>
      </c>
      <c r="AE203" s="12">
        <v>1</v>
      </c>
    </row>
    <row r="204" spans="1:31" ht="16.25" customHeight="1" x14ac:dyDescent="0.2">
      <c r="A204" s="10" t="s">
        <v>372</v>
      </c>
      <c r="B204" s="10" t="s">
        <v>85</v>
      </c>
      <c r="C204" s="29" t="s">
        <v>373</v>
      </c>
      <c r="D204" s="29" t="s">
        <v>374</v>
      </c>
      <c r="E204" s="10" t="s">
        <v>26</v>
      </c>
      <c r="F204" s="10"/>
      <c r="G204" s="10" t="s">
        <v>24</v>
      </c>
      <c r="H204" s="10" t="s">
        <v>375</v>
      </c>
      <c r="I204" s="30" t="s">
        <v>1273</v>
      </c>
      <c r="J204" s="30" t="s">
        <v>1274</v>
      </c>
      <c r="K204" s="30" t="s">
        <v>1280</v>
      </c>
      <c r="L204" s="30" t="s">
        <v>1232</v>
      </c>
      <c r="M204" s="18" t="s">
        <v>26</v>
      </c>
      <c r="N204" s="18">
        <v>0</v>
      </c>
      <c r="O204" s="18">
        <v>0</v>
      </c>
      <c r="P204" s="18">
        <v>0</v>
      </c>
      <c r="Q204" s="18">
        <v>1</v>
      </c>
      <c r="R204" s="61">
        <v>5</v>
      </c>
      <c r="S204" s="61">
        <v>109</v>
      </c>
      <c r="T204" t="e">
        <f>_xlfn.XLOOKUP(A204,Master!#REF!,Master!G:G)</f>
        <v>#REF!</v>
      </c>
      <c r="AA204">
        <v>6</v>
      </c>
      <c r="AB204">
        <v>141</v>
      </c>
      <c r="AC204" t="s">
        <v>113</v>
      </c>
      <c r="AD204" s="12">
        <v>0</v>
      </c>
      <c r="AE204" s="12">
        <v>1</v>
      </c>
    </row>
    <row r="205" spans="1:31" ht="16.25" customHeight="1" x14ac:dyDescent="0.2">
      <c r="A205" s="10" t="s">
        <v>377</v>
      </c>
      <c r="B205" s="10" t="s">
        <v>85</v>
      </c>
      <c r="C205" s="29" t="s">
        <v>378</v>
      </c>
      <c r="D205" s="29" t="s">
        <v>379</v>
      </c>
      <c r="E205" s="10" t="s">
        <v>26</v>
      </c>
      <c r="F205" s="42"/>
      <c r="G205" s="10" t="s">
        <v>24</v>
      </c>
      <c r="H205" s="10"/>
      <c r="I205" s="30" t="s">
        <v>1273</v>
      </c>
      <c r="J205" s="30" t="s">
        <v>1274</v>
      </c>
      <c r="K205" s="30" t="s">
        <v>451</v>
      </c>
      <c r="L205" s="30" t="s">
        <v>1232</v>
      </c>
      <c r="M205" s="18" t="s">
        <v>26</v>
      </c>
      <c r="N205" s="18">
        <v>0</v>
      </c>
      <c r="O205" s="18">
        <v>0</v>
      </c>
      <c r="P205" s="18">
        <v>0</v>
      </c>
      <c r="Q205" s="18">
        <v>1</v>
      </c>
      <c r="R205" s="61">
        <v>5</v>
      </c>
      <c r="S205" s="61">
        <v>109</v>
      </c>
      <c r="T205" t="e">
        <f>_xlfn.XLOOKUP(A205,Master!#REF!,Master!G:G)</f>
        <v>#REF!</v>
      </c>
      <c r="AA205">
        <v>6</v>
      </c>
      <c r="AB205">
        <v>142</v>
      </c>
      <c r="AC205" t="s">
        <v>109</v>
      </c>
      <c r="AD205" s="12">
        <v>0</v>
      </c>
      <c r="AE205" s="12">
        <v>1</v>
      </c>
    </row>
    <row r="206" spans="1:31" ht="16.25" customHeight="1" x14ac:dyDescent="0.2">
      <c r="A206" s="32" t="s">
        <v>364</v>
      </c>
      <c r="B206" s="32" t="s">
        <v>85</v>
      </c>
      <c r="C206" s="33" t="s">
        <v>365</v>
      </c>
      <c r="D206" s="33" t="s">
        <v>366</v>
      </c>
      <c r="E206" s="32" t="s">
        <v>26</v>
      </c>
      <c r="F206" s="32"/>
      <c r="G206" s="32" t="s">
        <v>24</v>
      </c>
      <c r="H206" s="32"/>
      <c r="I206" s="30" t="s">
        <v>1273</v>
      </c>
      <c r="J206" s="30" t="s">
        <v>1281</v>
      </c>
      <c r="K206" s="30" t="s">
        <v>1294</v>
      </c>
      <c r="L206" s="30" t="s">
        <v>1232</v>
      </c>
      <c r="M206" s="15" t="s">
        <v>26</v>
      </c>
      <c r="N206" s="15">
        <v>0</v>
      </c>
      <c r="O206" s="15">
        <v>0</v>
      </c>
      <c r="P206" s="15">
        <v>0</v>
      </c>
      <c r="Q206" s="15">
        <v>1</v>
      </c>
      <c r="R206" s="61">
        <v>5</v>
      </c>
      <c r="S206" s="61">
        <v>110</v>
      </c>
      <c r="T206" t="e">
        <f>_xlfn.XLOOKUP(A206,Master!#REF!,Master!G:G)</f>
        <v>#REF!</v>
      </c>
      <c r="AA206">
        <v>6</v>
      </c>
      <c r="AB206">
        <v>142</v>
      </c>
      <c r="AC206" t="s">
        <v>105</v>
      </c>
      <c r="AD206" s="12">
        <v>0</v>
      </c>
      <c r="AE206" s="12">
        <v>1</v>
      </c>
    </row>
    <row r="207" spans="1:31" ht="16.25" customHeight="1" x14ac:dyDescent="0.2">
      <c r="A207" s="38" t="s">
        <v>368</v>
      </c>
      <c r="B207" s="32" t="s">
        <v>85</v>
      </c>
      <c r="C207" s="32" t="s">
        <v>369</v>
      </c>
      <c r="D207" s="33" t="s">
        <v>370</v>
      </c>
      <c r="E207" s="32" t="s">
        <v>26</v>
      </c>
      <c r="F207" s="38"/>
      <c r="G207" s="38" t="s">
        <v>24</v>
      </c>
      <c r="H207" s="38"/>
      <c r="I207" s="35" t="s">
        <v>1229</v>
      </c>
      <c r="J207" s="35" t="s">
        <v>1296</v>
      </c>
      <c r="K207" s="35" t="s">
        <v>1297</v>
      </c>
      <c r="L207" s="30" t="s">
        <v>1232</v>
      </c>
      <c r="M207" s="15" t="s">
        <v>26</v>
      </c>
      <c r="N207" s="15">
        <v>0</v>
      </c>
      <c r="O207" s="15">
        <v>0</v>
      </c>
      <c r="P207" s="15">
        <v>0</v>
      </c>
      <c r="Q207" s="40">
        <v>1</v>
      </c>
      <c r="R207" s="68">
        <v>8</v>
      </c>
      <c r="S207" s="68">
        <v>110</v>
      </c>
      <c r="T207" t="e">
        <f>_xlfn.XLOOKUP(A207,Master!#REF!,Master!G:G)</f>
        <v>#REF!</v>
      </c>
      <c r="AA207">
        <v>6</v>
      </c>
      <c r="AB207">
        <v>143</v>
      </c>
      <c r="AC207" t="s">
        <v>100</v>
      </c>
      <c r="AD207" s="12">
        <v>2</v>
      </c>
      <c r="AE207" s="12">
        <v>3</v>
      </c>
    </row>
    <row r="208" spans="1:31" ht="16.25" customHeight="1" x14ac:dyDescent="0.2">
      <c r="A208" s="10" t="s">
        <v>355</v>
      </c>
      <c r="B208" s="10" t="s">
        <v>85</v>
      </c>
      <c r="C208" s="29" t="s">
        <v>356</v>
      </c>
      <c r="D208" s="29" t="s">
        <v>357</v>
      </c>
      <c r="E208" s="10" t="s">
        <v>26</v>
      </c>
      <c r="F208" s="10"/>
      <c r="G208" s="10" t="s">
        <v>24</v>
      </c>
      <c r="H208" s="10"/>
      <c r="I208" s="30" t="s">
        <v>1266</v>
      </c>
      <c r="J208" s="30" t="s">
        <v>1298</v>
      </c>
      <c r="K208" s="30" t="s">
        <v>1299</v>
      </c>
      <c r="L208" s="30" t="s">
        <v>1232</v>
      </c>
      <c r="M208" s="18" t="s">
        <v>26</v>
      </c>
      <c r="N208" s="18">
        <v>0</v>
      </c>
      <c r="O208" s="18">
        <v>0</v>
      </c>
      <c r="P208" s="18">
        <v>0</v>
      </c>
      <c r="Q208" s="18">
        <v>1</v>
      </c>
      <c r="R208" s="67">
        <v>8</v>
      </c>
      <c r="S208" s="67">
        <v>111</v>
      </c>
      <c r="T208" t="e">
        <f>_xlfn.XLOOKUP(A208,Master!#REF!,Master!G:G)</f>
        <v>#REF!</v>
      </c>
      <c r="AA208">
        <v>6</v>
      </c>
      <c r="AB208">
        <v>144</v>
      </c>
      <c r="AC208" t="s">
        <v>95</v>
      </c>
      <c r="AD208" s="12">
        <v>0</v>
      </c>
      <c r="AE208" s="12">
        <v>1</v>
      </c>
    </row>
    <row r="209" spans="1:31" ht="16.25" customHeight="1" x14ac:dyDescent="0.2">
      <c r="A209" s="32" t="s">
        <v>359</v>
      </c>
      <c r="B209" s="32" t="s">
        <v>85</v>
      </c>
      <c r="C209" s="33" t="s">
        <v>360</v>
      </c>
      <c r="D209" s="33" t="s">
        <v>361</v>
      </c>
      <c r="E209" s="32" t="s">
        <v>26</v>
      </c>
      <c r="F209" s="32"/>
      <c r="G209" s="32" t="s">
        <v>24</v>
      </c>
      <c r="H209" s="32" t="s">
        <v>362</v>
      </c>
      <c r="I209" s="30" t="s">
        <v>1229</v>
      </c>
      <c r="J209" s="30" t="s">
        <v>1263</v>
      </c>
      <c r="K209" s="30" t="s">
        <v>1300</v>
      </c>
      <c r="L209" s="30" t="s">
        <v>1232</v>
      </c>
      <c r="M209" s="15" t="s">
        <v>26</v>
      </c>
      <c r="N209" s="15">
        <v>0</v>
      </c>
      <c r="O209" s="15">
        <v>0</v>
      </c>
      <c r="P209" s="15">
        <v>0</v>
      </c>
      <c r="Q209" s="15">
        <v>1</v>
      </c>
      <c r="R209" s="67">
        <v>8</v>
      </c>
      <c r="S209" s="67">
        <v>111</v>
      </c>
      <c r="T209" t="e">
        <f>_xlfn.XLOOKUP(A209,Master!#REF!,Master!G:G)</f>
        <v>#REF!</v>
      </c>
      <c r="AA209" t="s">
        <v>1220</v>
      </c>
      <c r="AD209" s="12">
        <v>2</v>
      </c>
      <c r="AE209" s="12">
        <v>34</v>
      </c>
    </row>
    <row r="210" spans="1:31" ht="16.25" customHeight="1" x14ac:dyDescent="0.2">
      <c r="A210" s="15" t="s">
        <v>347</v>
      </c>
      <c r="B210" s="15" t="s">
        <v>85</v>
      </c>
      <c r="C210" s="44" t="s">
        <v>348</v>
      </c>
      <c r="D210" s="44" t="s">
        <v>349</v>
      </c>
      <c r="E210" s="15" t="s">
        <v>26</v>
      </c>
      <c r="F210" s="15"/>
      <c r="G210" s="15" t="s">
        <v>24</v>
      </c>
      <c r="H210" s="15"/>
      <c r="I210" s="30" t="s">
        <v>1266</v>
      </c>
      <c r="J210" s="30" t="s">
        <v>1298</v>
      </c>
      <c r="K210" s="30" t="s">
        <v>1272</v>
      </c>
      <c r="L210" s="30" t="s">
        <v>1232</v>
      </c>
      <c r="M210" s="15" t="s">
        <v>26</v>
      </c>
      <c r="N210" s="15">
        <v>0</v>
      </c>
      <c r="O210" s="15">
        <v>0</v>
      </c>
      <c r="P210" s="15">
        <v>0</v>
      </c>
      <c r="Q210" s="15">
        <v>1</v>
      </c>
      <c r="R210" s="67">
        <v>8</v>
      </c>
      <c r="S210" s="67">
        <v>112</v>
      </c>
      <c r="T210" t="e">
        <f>_xlfn.XLOOKUP(A210,Master!#REF!,Master!G:G)</f>
        <v>#REF!</v>
      </c>
      <c r="AA210">
        <v>7</v>
      </c>
      <c r="AB210">
        <v>62</v>
      </c>
      <c r="AC210" t="s">
        <v>741</v>
      </c>
      <c r="AD210" s="12">
        <v>0</v>
      </c>
      <c r="AE210" s="12">
        <v>1</v>
      </c>
    </row>
    <row r="211" spans="1:31" ht="16.25" customHeight="1" x14ac:dyDescent="0.2">
      <c r="A211" s="32" t="s">
        <v>351</v>
      </c>
      <c r="B211" s="32" t="s">
        <v>85</v>
      </c>
      <c r="C211" s="33" t="s">
        <v>352</v>
      </c>
      <c r="D211" s="33" t="s">
        <v>353</v>
      </c>
      <c r="E211" s="32" t="s">
        <v>26</v>
      </c>
      <c r="F211" s="32"/>
      <c r="G211" s="32" t="s">
        <v>24</v>
      </c>
      <c r="H211" s="32"/>
      <c r="I211" s="30" t="s">
        <v>1266</v>
      </c>
      <c r="J211" s="30" t="s">
        <v>1298</v>
      </c>
      <c r="K211" s="30" t="s">
        <v>1299</v>
      </c>
      <c r="L211" s="30" t="s">
        <v>1232</v>
      </c>
      <c r="M211" s="15" t="s">
        <v>26</v>
      </c>
      <c r="N211" s="15">
        <v>0</v>
      </c>
      <c r="O211" s="15">
        <v>0</v>
      </c>
      <c r="P211" s="15">
        <v>0</v>
      </c>
      <c r="Q211" s="15">
        <v>1</v>
      </c>
      <c r="R211" s="67">
        <v>8</v>
      </c>
      <c r="S211" s="67">
        <v>112</v>
      </c>
      <c r="T211" t="e">
        <f>_xlfn.XLOOKUP(A211,Master!#REF!,Master!G:G)</f>
        <v>#REF!</v>
      </c>
      <c r="AA211">
        <v>7</v>
      </c>
      <c r="AB211">
        <v>62</v>
      </c>
      <c r="AC211" t="s">
        <v>862</v>
      </c>
      <c r="AD211" s="12">
        <v>0</v>
      </c>
      <c r="AE211" s="12">
        <v>1</v>
      </c>
    </row>
    <row r="212" spans="1:31" ht="16.25" customHeight="1" x14ac:dyDescent="0.2">
      <c r="A212" s="32" t="s">
        <v>339</v>
      </c>
      <c r="B212" s="32" t="s">
        <v>85</v>
      </c>
      <c r="C212" s="33" t="s">
        <v>340</v>
      </c>
      <c r="D212" s="33" t="s">
        <v>341</v>
      </c>
      <c r="E212" s="32" t="s">
        <v>26</v>
      </c>
      <c r="F212" s="32"/>
      <c r="G212" s="32" t="s">
        <v>24</v>
      </c>
      <c r="H212" s="32"/>
      <c r="I212" s="30" t="s">
        <v>1266</v>
      </c>
      <c r="J212" s="30" t="s">
        <v>1301</v>
      </c>
      <c r="K212" s="30" t="s">
        <v>1302</v>
      </c>
      <c r="L212" s="30" t="s">
        <v>1232</v>
      </c>
      <c r="M212" s="15" t="s">
        <v>26</v>
      </c>
      <c r="N212" s="15">
        <v>0</v>
      </c>
      <c r="O212" s="15">
        <v>0</v>
      </c>
      <c r="P212" s="15">
        <v>0</v>
      </c>
      <c r="Q212" s="15">
        <v>1</v>
      </c>
      <c r="R212" s="67">
        <v>8</v>
      </c>
      <c r="S212" s="67">
        <v>113</v>
      </c>
      <c r="T212" t="e">
        <f>_xlfn.XLOOKUP(A212,Master!#REF!,Master!G:G)</f>
        <v>#REF!</v>
      </c>
      <c r="AA212">
        <v>7</v>
      </c>
      <c r="AB212">
        <v>63</v>
      </c>
      <c r="AC212" t="s">
        <v>713</v>
      </c>
      <c r="AD212" s="12">
        <v>0</v>
      </c>
      <c r="AE212" s="12">
        <v>1</v>
      </c>
    </row>
    <row r="213" spans="1:31" ht="16.25" customHeight="1" x14ac:dyDescent="0.2">
      <c r="A213" s="10" t="s">
        <v>343</v>
      </c>
      <c r="B213" s="10" t="s">
        <v>85</v>
      </c>
      <c r="C213" s="29" t="s">
        <v>344</v>
      </c>
      <c r="D213" s="29" t="s">
        <v>345</v>
      </c>
      <c r="E213" s="10" t="s">
        <v>26</v>
      </c>
      <c r="F213" s="42"/>
      <c r="G213" s="10" t="s">
        <v>24</v>
      </c>
      <c r="H213" s="10"/>
      <c r="I213" s="30" t="s">
        <v>1266</v>
      </c>
      <c r="J213" s="30" t="s">
        <v>1267</v>
      </c>
      <c r="K213" s="30" t="s">
        <v>1268</v>
      </c>
      <c r="L213" s="30" t="s">
        <v>1232</v>
      </c>
      <c r="M213" s="18" t="s">
        <v>26</v>
      </c>
      <c r="N213" s="18">
        <v>0</v>
      </c>
      <c r="O213" s="18">
        <v>0</v>
      </c>
      <c r="P213" s="18">
        <v>0</v>
      </c>
      <c r="Q213" s="18">
        <v>1</v>
      </c>
      <c r="R213" s="67">
        <v>8</v>
      </c>
      <c r="S213" s="67">
        <v>113</v>
      </c>
      <c r="T213" t="e">
        <f>_xlfn.XLOOKUP(A213,Master!#REF!,Master!G:G)</f>
        <v>#REF!</v>
      </c>
      <c r="AA213">
        <v>7</v>
      </c>
      <c r="AB213">
        <v>63</v>
      </c>
      <c r="AC213" t="s">
        <v>717</v>
      </c>
      <c r="AD213" s="12">
        <v>0</v>
      </c>
      <c r="AE213" s="12">
        <v>1</v>
      </c>
    </row>
    <row r="214" spans="1:31" ht="16.25" customHeight="1" x14ac:dyDescent="0.2">
      <c r="A214" s="10" t="s">
        <v>331</v>
      </c>
      <c r="B214" s="10" t="s">
        <v>85</v>
      </c>
      <c r="C214" s="29" t="s">
        <v>332</v>
      </c>
      <c r="D214" s="29" t="s">
        <v>333</v>
      </c>
      <c r="E214" s="10" t="s">
        <v>26</v>
      </c>
      <c r="F214" s="10"/>
      <c r="G214" s="10" t="s">
        <v>24</v>
      </c>
      <c r="H214" s="10"/>
      <c r="I214" s="30" t="s">
        <v>1266</v>
      </c>
      <c r="J214" s="30" t="s">
        <v>1269</v>
      </c>
      <c r="K214" s="30" t="s">
        <v>1303</v>
      </c>
      <c r="L214" s="30" t="s">
        <v>1232</v>
      </c>
      <c r="M214" s="18" t="s">
        <v>26</v>
      </c>
      <c r="N214" s="18">
        <v>0</v>
      </c>
      <c r="O214" s="18">
        <v>0</v>
      </c>
      <c r="P214" s="18">
        <v>0</v>
      </c>
      <c r="Q214" s="18">
        <v>1</v>
      </c>
      <c r="R214" s="67">
        <v>8</v>
      </c>
      <c r="S214" s="67">
        <v>114</v>
      </c>
      <c r="T214" t="e">
        <f>_xlfn.XLOOKUP(A214,Master!#REF!,Master!G:G)</f>
        <v>#REF!</v>
      </c>
      <c r="AA214">
        <v>7</v>
      </c>
      <c r="AB214">
        <v>64</v>
      </c>
      <c r="AC214" t="s">
        <v>705</v>
      </c>
      <c r="AD214" s="12">
        <v>0</v>
      </c>
      <c r="AE214" s="12">
        <v>1</v>
      </c>
    </row>
    <row r="215" spans="1:31" ht="16.25" customHeight="1" x14ac:dyDescent="0.2">
      <c r="A215" s="32" t="s">
        <v>335</v>
      </c>
      <c r="B215" s="32" t="s">
        <v>85</v>
      </c>
      <c r="C215" s="33" t="s">
        <v>336</v>
      </c>
      <c r="D215" s="33" t="s">
        <v>337</v>
      </c>
      <c r="E215" s="32" t="s">
        <v>26</v>
      </c>
      <c r="F215" s="32"/>
      <c r="G215" s="32" t="s">
        <v>24</v>
      </c>
      <c r="H215" s="32"/>
      <c r="I215" s="30" t="s">
        <v>1266</v>
      </c>
      <c r="J215" s="30" t="s">
        <v>1269</v>
      </c>
      <c r="K215" s="30" t="s">
        <v>1303</v>
      </c>
      <c r="L215" s="30" t="s">
        <v>1232</v>
      </c>
      <c r="M215" s="15" t="s">
        <v>26</v>
      </c>
      <c r="N215" s="15">
        <v>0</v>
      </c>
      <c r="O215" s="15">
        <v>0</v>
      </c>
      <c r="P215" s="15">
        <v>0</v>
      </c>
      <c r="Q215" s="15">
        <v>1</v>
      </c>
      <c r="R215" s="67">
        <v>8</v>
      </c>
      <c r="S215" s="67">
        <v>114</v>
      </c>
      <c r="T215" t="e">
        <f>_xlfn.XLOOKUP(A215,Master!#REF!,Master!G:G)</f>
        <v>#REF!</v>
      </c>
      <c r="AA215">
        <v>7</v>
      </c>
      <c r="AB215">
        <v>64</v>
      </c>
      <c r="AC215" t="s">
        <v>709</v>
      </c>
      <c r="AD215" s="12">
        <v>0</v>
      </c>
      <c r="AE215" s="12">
        <v>1</v>
      </c>
    </row>
    <row r="216" spans="1:31" ht="16.25" customHeight="1" x14ac:dyDescent="0.2">
      <c r="A216" s="18" t="s">
        <v>323</v>
      </c>
      <c r="B216" s="18" t="s">
        <v>85</v>
      </c>
      <c r="C216" s="41" t="s">
        <v>324</v>
      </c>
      <c r="D216" s="41" t="s">
        <v>325</v>
      </c>
      <c r="E216" s="18" t="s">
        <v>26</v>
      </c>
      <c r="F216" s="18"/>
      <c r="G216" s="18" t="s">
        <v>24</v>
      </c>
      <c r="H216" s="18"/>
      <c r="I216" s="30" t="s">
        <v>1229</v>
      </c>
      <c r="J216" s="30" t="s">
        <v>1262</v>
      </c>
      <c r="K216" s="30" t="s">
        <v>1304</v>
      </c>
      <c r="L216" s="30" t="s">
        <v>1232</v>
      </c>
      <c r="M216" s="18" t="s">
        <v>26</v>
      </c>
      <c r="N216" s="18">
        <v>0</v>
      </c>
      <c r="O216" s="18">
        <v>0</v>
      </c>
      <c r="P216" s="18">
        <v>0</v>
      </c>
      <c r="Q216" s="18">
        <v>1</v>
      </c>
      <c r="R216" s="67">
        <v>8</v>
      </c>
      <c r="S216" s="67">
        <v>115</v>
      </c>
      <c r="T216" t="e">
        <f>_xlfn.XLOOKUP(A216,Master!#REF!,Master!G:G)</f>
        <v>#REF!</v>
      </c>
      <c r="AA216">
        <v>7</v>
      </c>
      <c r="AB216">
        <v>65</v>
      </c>
      <c r="AC216" t="s">
        <v>701</v>
      </c>
      <c r="AD216" s="12">
        <v>0</v>
      </c>
      <c r="AE216" s="12">
        <v>1</v>
      </c>
    </row>
    <row r="217" spans="1:31" ht="16.25" customHeight="1" x14ac:dyDescent="0.2">
      <c r="A217" s="32" t="s">
        <v>327</v>
      </c>
      <c r="B217" s="32" t="s">
        <v>85</v>
      </c>
      <c r="C217" s="33" t="s">
        <v>328</v>
      </c>
      <c r="D217" s="33" t="s">
        <v>329</v>
      </c>
      <c r="E217" s="32" t="s">
        <v>26</v>
      </c>
      <c r="F217" s="32"/>
      <c r="G217" s="32" t="s">
        <v>24</v>
      </c>
      <c r="H217" s="32"/>
      <c r="I217" s="30" t="s">
        <v>1305</v>
      </c>
      <c r="J217" s="30" t="s">
        <v>1306</v>
      </c>
      <c r="K217" s="30" t="s">
        <v>1307</v>
      </c>
      <c r="L217" s="30" t="s">
        <v>1232</v>
      </c>
      <c r="M217" s="15" t="s">
        <v>26</v>
      </c>
      <c r="N217" s="15">
        <v>0</v>
      </c>
      <c r="O217" s="15">
        <v>0</v>
      </c>
      <c r="P217" s="15">
        <v>0</v>
      </c>
      <c r="Q217" s="15">
        <v>1</v>
      </c>
      <c r="R217" s="67">
        <v>8</v>
      </c>
      <c r="S217" s="67">
        <v>115</v>
      </c>
      <c r="T217" t="e">
        <f>_xlfn.XLOOKUP(A217,Master!#REF!,Master!G:G)</f>
        <v>#REF!</v>
      </c>
      <c r="AA217">
        <v>7</v>
      </c>
      <c r="AB217">
        <v>65</v>
      </c>
      <c r="AC217" t="s">
        <v>1074</v>
      </c>
      <c r="AD217" s="12">
        <v>0</v>
      </c>
      <c r="AE217" s="12">
        <v>1</v>
      </c>
    </row>
    <row r="218" spans="1:31" ht="16.25" customHeight="1" x14ac:dyDescent="0.2">
      <c r="A218" s="15" t="s">
        <v>315</v>
      </c>
      <c r="B218" s="15" t="s">
        <v>85</v>
      </c>
      <c r="C218" s="44" t="s">
        <v>316</v>
      </c>
      <c r="D218" s="44" t="s">
        <v>317</v>
      </c>
      <c r="E218" s="15" t="s">
        <v>26</v>
      </c>
      <c r="F218" s="15"/>
      <c r="G218" s="15" t="s">
        <v>24</v>
      </c>
      <c r="H218" s="15"/>
      <c r="I218" s="30" t="s">
        <v>1308</v>
      </c>
      <c r="J218" s="30" t="s">
        <v>1309</v>
      </c>
      <c r="K218" s="30" t="s">
        <v>1310</v>
      </c>
      <c r="L218" s="30" t="s">
        <v>1232</v>
      </c>
      <c r="M218" s="15" t="s">
        <v>26</v>
      </c>
      <c r="N218" s="15">
        <v>0</v>
      </c>
      <c r="O218" s="15">
        <v>0</v>
      </c>
      <c r="P218" s="15">
        <v>0</v>
      </c>
      <c r="Q218" s="15">
        <v>1</v>
      </c>
      <c r="R218" s="67">
        <v>8</v>
      </c>
      <c r="S218" s="67">
        <v>116</v>
      </c>
      <c r="T218" t="e">
        <f>_xlfn.XLOOKUP(A218,Master!#REF!,Master!G:G)</f>
        <v>#REF!</v>
      </c>
      <c r="AA218">
        <v>7</v>
      </c>
      <c r="AB218">
        <v>66</v>
      </c>
      <c r="AC218" t="s">
        <v>1062</v>
      </c>
      <c r="AD218" s="12">
        <v>0</v>
      </c>
      <c r="AE218" s="12">
        <v>1</v>
      </c>
    </row>
    <row r="219" spans="1:31" ht="16.25" customHeight="1" x14ac:dyDescent="0.2">
      <c r="A219" s="10" t="s">
        <v>319</v>
      </c>
      <c r="B219" s="10" t="s">
        <v>85</v>
      </c>
      <c r="C219" s="29" t="s">
        <v>320</v>
      </c>
      <c r="D219" s="29" t="s">
        <v>321</v>
      </c>
      <c r="E219" s="10" t="s">
        <v>26</v>
      </c>
      <c r="F219" s="10"/>
      <c r="G219" s="10" t="s">
        <v>24</v>
      </c>
      <c r="H219" s="10"/>
      <c r="I219" s="30" t="s">
        <v>1308</v>
      </c>
      <c r="J219" s="30" t="s">
        <v>1309</v>
      </c>
      <c r="K219" s="30" t="s">
        <v>1310</v>
      </c>
      <c r="L219" s="30" t="s">
        <v>1232</v>
      </c>
      <c r="M219" s="18" t="s">
        <v>26</v>
      </c>
      <c r="N219" s="18">
        <v>0</v>
      </c>
      <c r="O219" s="18">
        <v>0</v>
      </c>
      <c r="P219" s="18">
        <v>0</v>
      </c>
      <c r="Q219" s="18">
        <v>1</v>
      </c>
      <c r="R219" s="67">
        <v>8</v>
      </c>
      <c r="S219" s="67">
        <v>116</v>
      </c>
      <c r="T219" t="e">
        <f>_xlfn.XLOOKUP(A219,Master!#REF!,Master!G:G)</f>
        <v>#REF!</v>
      </c>
      <c r="AA219">
        <v>7</v>
      </c>
      <c r="AB219">
        <v>66</v>
      </c>
      <c r="AC219" t="s">
        <v>1066</v>
      </c>
      <c r="AD219" s="12">
        <v>0</v>
      </c>
      <c r="AE219" s="12">
        <v>1</v>
      </c>
    </row>
    <row r="220" spans="1:31" ht="16.25" customHeight="1" x14ac:dyDescent="0.2">
      <c r="A220" s="18" t="s">
        <v>307</v>
      </c>
      <c r="B220" s="18" t="s">
        <v>85</v>
      </c>
      <c r="C220" s="18" t="s">
        <v>308</v>
      </c>
      <c r="D220" s="18" t="s">
        <v>309</v>
      </c>
      <c r="E220" s="18" t="s">
        <v>26</v>
      </c>
      <c r="F220" s="18"/>
      <c r="G220" s="18" t="s">
        <v>24</v>
      </c>
      <c r="H220" s="18"/>
      <c r="I220" s="30" t="s">
        <v>1229</v>
      </c>
      <c r="J220" s="30" t="s">
        <v>1263</v>
      </c>
      <c r="K220" s="30" t="s">
        <v>1300</v>
      </c>
      <c r="L220" s="30" t="s">
        <v>1232</v>
      </c>
      <c r="M220" s="18" t="s">
        <v>26</v>
      </c>
      <c r="N220" s="18">
        <v>0</v>
      </c>
      <c r="O220" s="18">
        <v>0</v>
      </c>
      <c r="P220" s="18">
        <v>0</v>
      </c>
      <c r="Q220" s="18">
        <v>1</v>
      </c>
      <c r="R220" s="67">
        <v>8</v>
      </c>
      <c r="S220" s="67">
        <v>117</v>
      </c>
      <c r="T220" t="e">
        <f>_xlfn.XLOOKUP(A220,Master!#REF!,Master!G:G)</f>
        <v>#REF!</v>
      </c>
      <c r="AA220">
        <v>7</v>
      </c>
      <c r="AB220">
        <v>67</v>
      </c>
      <c r="AC220" t="s">
        <v>1053</v>
      </c>
      <c r="AD220" s="12">
        <v>0</v>
      </c>
      <c r="AE220" s="12">
        <v>1</v>
      </c>
    </row>
    <row r="221" spans="1:31" ht="16.25" customHeight="1" x14ac:dyDescent="0.2">
      <c r="A221" s="10" t="s">
        <v>311</v>
      </c>
      <c r="B221" s="10" t="s">
        <v>85</v>
      </c>
      <c r="C221" s="29" t="s">
        <v>312</v>
      </c>
      <c r="D221" s="29" t="s">
        <v>313</v>
      </c>
      <c r="E221" s="10" t="s">
        <v>26</v>
      </c>
      <c r="F221" s="42"/>
      <c r="G221" s="10" t="s">
        <v>24</v>
      </c>
      <c r="H221" s="10"/>
      <c r="I221" s="30" t="s">
        <v>1229</v>
      </c>
      <c r="J221" s="30" t="s">
        <v>1263</v>
      </c>
      <c r="K221" s="30" t="s">
        <v>1300</v>
      </c>
      <c r="L221" s="30" t="s">
        <v>1232</v>
      </c>
      <c r="M221" s="18" t="s">
        <v>26</v>
      </c>
      <c r="N221" s="18">
        <v>0</v>
      </c>
      <c r="O221" s="18">
        <v>0</v>
      </c>
      <c r="P221" s="18">
        <v>0</v>
      </c>
      <c r="Q221" s="18">
        <v>1</v>
      </c>
      <c r="R221" s="67">
        <v>8</v>
      </c>
      <c r="S221" s="67">
        <v>117</v>
      </c>
      <c r="T221" t="e">
        <f>_xlfn.XLOOKUP(A221,Master!#REF!,Master!G:G)</f>
        <v>#REF!</v>
      </c>
      <c r="AA221">
        <v>7</v>
      </c>
      <c r="AB221">
        <v>67</v>
      </c>
      <c r="AC221" t="s">
        <v>1057</v>
      </c>
      <c r="AD221" s="12">
        <v>0</v>
      </c>
      <c r="AE221" s="12">
        <v>1</v>
      </c>
    </row>
    <row r="222" spans="1:31" ht="16.25" customHeight="1" x14ac:dyDescent="0.2">
      <c r="A222" s="32" t="s">
        <v>299</v>
      </c>
      <c r="B222" s="32" t="s">
        <v>85</v>
      </c>
      <c r="C222" s="33" t="s">
        <v>300</v>
      </c>
      <c r="D222" s="33" t="s">
        <v>301</v>
      </c>
      <c r="E222" s="32" t="s">
        <v>26</v>
      </c>
      <c r="F222" s="32"/>
      <c r="G222" s="32" t="s">
        <v>24</v>
      </c>
      <c r="H222" s="32"/>
      <c r="I222" s="30" t="s">
        <v>1229</v>
      </c>
      <c r="J222" s="30" t="s">
        <v>1263</v>
      </c>
      <c r="K222" s="30" t="s">
        <v>1311</v>
      </c>
      <c r="L222" s="30" t="s">
        <v>1232</v>
      </c>
      <c r="M222" s="15" t="s">
        <v>26</v>
      </c>
      <c r="N222" s="15">
        <v>0</v>
      </c>
      <c r="O222" s="15">
        <v>0</v>
      </c>
      <c r="P222" s="15">
        <v>0</v>
      </c>
      <c r="Q222" s="15">
        <v>1</v>
      </c>
      <c r="R222" s="67">
        <v>8</v>
      </c>
      <c r="S222" s="67">
        <v>118</v>
      </c>
      <c r="T222" t="e">
        <f>_xlfn.XLOOKUP(A222,Master!#REF!,Master!G:G)</f>
        <v>#REF!</v>
      </c>
      <c r="AA222">
        <v>7</v>
      </c>
      <c r="AB222">
        <v>68</v>
      </c>
      <c r="AC222" t="s">
        <v>677</v>
      </c>
      <c r="AD222" s="12">
        <v>0</v>
      </c>
      <c r="AE222" s="12">
        <v>1</v>
      </c>
    </row>
    <row r="223" spans="1:31" ht="16.25" customHeight="1" x14ac:dyDescent="0.2">
      <c r="A223" s="15" t="s">
        <v>303</v>
      </c>
      <c r="B223" s="15" t="s">
        <v>85</v>
      </c>
      <c r="C223" s="44" t="s">
        <v>304</v>
      </c>
      <c r="D223" s="44" t="s">
        <v>305</v>
      </c>
      <c r="E223" s="15" t="s">
        <v>26</v>
      </c>
      <c r="F223" s="15"/>
      <c r="G223" s="15" t="s">
        <v>24</v>
      </c>
      <c r="H223" s="15"/>
      <c r="I223" s="30" t="s">
        <v>1229</v>
      </c>
      <c r="J223" s="30" t="s">
        <v>1263</v>
      </c>
      <c r="K223" s="30" t="s">
        <v>1312</v>
      </c>
      <c r="L223" s="30" t="s">
        <v>1232</v>
      </c>
      <c r="M223" s="15" t="s">
        <v>26</v>
      </c>
      <c r="N223" s="15">
        <v>0</v>
      </c>
      <c r="O223" s="15">
        <v>0</v>
      </c>
      <c r="P223" s="15">
        <v>0</v>
      </c>
      <c r="Q223" s="15">
        <v>1</v>
      </c>
      <c r="R223" s="67">
        <v>8</v>
      </c>
      <c r="S223" s="67">
        <v>118</v>
      </c>
      <c r="T223" t="e">
        <f>_xlfn.XLOOKUP(A223,Master!#REF!,Master!G:G)</f>
        <v>#REF!</v>
      </c>
      <c r="AA223">
        <v>7</v>
      </c>
      <c r="AB223">
        <v>69</v>
      </c>
      <c r="AC223" t="s">
        <v>725</v>
      </c>
      <c r="AD223" s="12">
        <v>0</v>
      </c>
      <c r="AE223" s="12">
        <v>1</v>
      </c>
    </row>
    <row r="224" spans="1:31" ht="16.25" customHeight="1" x14ac:dyDescent="0.2">
      <c r="A224" s="10" t="s">
        <v>291</v>
      </c>
      <c r="B224" s="10" t="s">
        <v>85</v>
      </c>
      <c r="C224" s="29" t="s">
        <v>292</v>
      </c>
      <c r="D224" s="29" t="s">
        <v>293</v>
      </c>
      <c r="E224" s="10" t="s">
        <v>26</v>
      </c>
      <c r="F224" s="42"/>
      <c r="G224" s="10" t="s">
        <v>24</v>
      </c>
      <c r="H224" s="10"/>
      <c r="I224" s="30" t="s">
        <v>1229</v>
      </c>
      <c r="J224" s="30" t="s">
        <v>1263</v>
      </c>
      <c r="K224" s="30" t="s">
        <v>1313</v>
      </c>
      <c r="L224" s="30" t="s">
        <v>1232</v>
      </c>
      <c r="M224" s="18" t="s">
        <v>26</v>
      </c>
      <c r="N224" s="18">
        <v>0</v>
      </c>
      <c r="O224" s="18">
        <v>0</v>
      </c>
      <c r="P224" s="18">
        <v>0</v>
      </c>
      <c r="Q224" s="18">
        <v>1</v>
      </c>
      <c r="R224" s="67">
        <v>8</v>
      </c>
      <c r="S224" s="67">
        <v>119</v>
      </c>
      <c r="T224" t="e">
        <f>_xlfn.XLOOKUP(A224,Master!#REF!,Master!G:G)</f>
        <v>#REF!</v>
      </c>
      <c r="AA224">
        <v>7</v>
      </c>
      <c r="AB224">
        <v>69</v>
      </c>
      <c r="AC224" t="s">
        <v>669</v>
      </c>
      <c r="AD224" s="12">
        <v>0</v>
      </c>
      <c r="AE224" s="12">
        <v>1</v>
      </c>
    </row>
    <row r="225" spans="1:31" ht="16.25" customHeight="1" x14ac:dyDescent="0.2">
      <c r="A225" s="18" t="s">
        <v>295</v>
      </c>
      <c r="B225" s="18" t="s">
        <v>85</v>
      </c>
      <c r="C225" s="41" t="s">
        <v>296</v>
      </c>
      <c r="D225" s="41" t="s">
        <v>297</v>
      </c>
      <c r="E225" s="18" t="s">
        <v>26</v>
      </c>
      <c r="F225" s="18"/>
      <c r="G225" s="18" t="s">
        <v>24</v>
      </c>
      <c r="H225" s="18"/>
      <c r="I225" s="30" t="s">
        <v>1229</v>
      </c>
      <c r="J225" s="30" t="s">
        <v>1263</v>
      </c>
      <c r="K225" s="30" t="s">
        <v>1312</v>
      </c>
      <c r="L225" s="30" t="s">
        <v>1232</v>
      </c>
      <c r="M225" s="18" t="s">
        <v>26</v>
      </c>
      <c r="N225" s="18">
        <v>0</v>
      </c>
      <c r="O225" s="18">
        <v>0</v>
      </c>
      <c r="P225" s="18">
        <v>0</v>
      </c>
      <c r="Q225" s="18">
        <v>1</v>
      </c>
      <c r="R225" s="67">
        <v>8</v>
      </c>
      <c r="S225" s="67">
        <v>119</v>
      </c>
      <c r="T225" t="e">
        <f>_xlfn.XLOOKUP(A225,Master!#REF!,Master!G:G)</f>
        <v>#REF!</v>
      </c>
      <c r="AA225">
        <v>7</v>
      </c>
      <c r="AB225">
        <v>79</v>
      </c>
      <c r="AC225" t="s">
        <v>609</v>
      </c>
      <c r="AD225" s="12">
        <v>0</v>
      </c>
      <c r="AE225" s="12">
        <v>1</v>
      </c>
    </row>
    <row r="226" spans="1:31" ht="16.25" customHeight="1" x14ac:dyDescent="0.2">
      <c r="A226" s="32" t="s">
        <v>286</v>
      </c>
      <c r="B226" s="32" t="s">
        <v>85</v>
      </c>
      <c r="C226" s="33" t="s">
        <v>287</v>
      </c>
      <c r="D226" s="33" t="s">
        <v>288</v>
      </c>
      <c r="E226" s="32" t="s">
        <v>23</v>
      </c>
      <c r="F226" s="32" t="s">
        <v>289</v>
      </c>
      <c r="G226" s="32" t="s">
        <v>24</v>
      </c>
      <c r="H226" s="32"/>
      <c r="I226" s="30" t="s">
        <v>1229</v>
      </c>
      <c r="J226" s="30" t="s">
        <v>1263</v>
      </c>
      <c r="K226" s="30" t="s">
        <v>1312</v>
      </c>
      <c r="L226" s="30" t="s">
        <v>1232</v>
      </c>
      <c r="M226" s="15" t="s">
        <v>23</v>
      </c>
      <c r="N226" s="15">
        <v>0</v>
      </c>
      <c r="O226" s="15">
        <v>1</v>
      </c>
      <c r="P226" s="15">
        <v>1</v>
      </c>
      <c r="Q226" s="15">
        <v>2</v>
      </c>
      <c r="R226" s="67">
        <v>8</v>
      </c>
      <c r="S226" s="67">
        <v>120</v>
      </c>
      <c r="T226" t="e">
        <f>_xlfn.XLOOKUP(A226,Master!#REF!,Master!G:G)</f>
        <v>#REF!</v>
      </c>
      <c r="AA226">
        <v>7</v>
      </c>
      <c r="AB226">
        <v>79</v>
      </c>
      <c r="AC226" t="s">
        <v>613</v>
      </c>
      <c r="AD226" s="12">
        <v>0</v>
      </c>
      <c r="AE226" s="12">
        <v>1</v>
      </c>
    </row>
    <row r="227" spans="1:31" ht="16.25" customHeight="1" x14ac:dyDescent="0.2">
      <c r="A227" s="18" t="s">
        <v>281</v>
      </c>
      <c r="B227" s="18" t="s">
        <v>85</v>
      </c>
      <c r="C227" s="41" t="s">
        <v>282</v>
      </c>
      <c r="D227" s="41" t="s">
        <v>283</v>
      </c>
      <c r="E227" s="18" t="s">
        <v>23</v>
      </c>
      <c r="F227" s="18" t="s">
        <v>284</v>
      </c>
      <c r="G227" s="18" t="s">
        <v>24</v>
      </c>
      <c r="H227" s="18"/>
      <c r="I227" s="30" t="s">
        <v>1229</v>
      </c>
      <c r="J227" s="30" t="s">
        <v>1263</v>
      </c>
      <c r="K227" s="30" t="s">
        <v>1312</v>
      </c>
      <c r="L227" s="30" t="s">
        <v>1232</v>
      </c>
      <c r="M227" s="18" t="s">
        <v>23</v>
      </c>
      <c r="N227" s="18">
        <v>0</v>
      </c>
      <c r="O227" s="18">
        <v>1</v>
      </c>
      <c r="P227" s="18">
        <v>1</v>
      </c>
      <c r="Q227" s="18">
        <v>2</v>
      </c>
      <c r="R227" s="67">
        <v>8</v>
      </c>
      <c r="S227" s="67">
        <v>121</v>
      </c>
      <c r="T227" t="e">
        <f>_xlfn.XLOOKUP(A227,Master!#REF!,Master!G:G)</f>
        <v>#REF!</v>
      </c>
      <c r="AA227">
        <v>7</v>
      </c>
      <c r="AB227">
        <v>80</v>
      </c>
      <c r="AC227" t="s">
        <v>601</v>
      </c>
      <c r="AD227" s="12">
        <v>0</v>
      </c>
      <c r="AE227" s="12">
        <v>1</v>
      </c>
    </row>
    <row r="228" spans="1:31" ht="16.25" customHeight="1" x14ac:dyDescent="0.2">
      <c r="A228" s="32" t="s">
        <v>273</v>
      </c>
      <c r="B228" s="32" t="s">
        <v>85</v>
      </c>
      <c r="C228" s="33" t="s">
        <v>274</v>
      </c>
      <c r="D228" s="33" t="s">
        <v>275</v>
      </c>
      <c r="E228" s="32" t="s">
        <v>26</v>
      </c>
      <c r="F228" s="32"/>
      <c r="G228" s="32" t="s">
        <v>24</v>
      </c>
      <c r="H228" s="32"/>
      <c r="I228" s="30" t="s">
        <v>1314</v>
      </c>
      <c r="J228" s="30" t="s">
        <v>1315</v>
      </c>
      <c r="K228" s="30" t="s">
        <v>1316</v>
      </c>
      <c r="L228" s="30" t="s">
        <v>1232</v>
      </c>
      <c r="M228" s="15" t="s">
        <v>26</v>
      </c>
      <c r="N228" s="15">
        <v>0</v>
      </c>
      <c r="O228" s="15">
        <v>0</v>
      </c>
      <c r="P228" s="15">
        <v>0</v>
      </c>
      <c r="Q228" s="15">
        <v>1</v>
      </c>
      <c r="R228" s="67">
        <v>8</v>
      </c>
      <c r="S228" s="67">
        <v>122</v>
      </c>
      <c r="T228" t="e">
        <f>_xlfn.XLOOKUP(A228,Master!#REF!,Master!G:G)</f>
        <v>#REF!</v>
      </c>
      <c r="AA228">
        <v>7</v>
      </c>
      <c r="AB228">
        <v>80</v>
      </c>
      <c r="AC228" t="s">
        <v>605</v>
      </c>
      <c r="AD228" s="12">
        <v>0</v>
      </c>
      <c r="AE228" s="12">
        <v>1</v>
      </c>
    </row>
    <row r="229" spans="1:31" ht="16.25" customHeight="1" x14ac:dyDescent="0.2">
      <c r="A229" s="18" t="s">
        <v>277</v>
      </c>
      <c r="B229" s="18" t="s">
        <v>85</v>
      </c>
      <c r="C229" s="41" t="s">
        <v>278</v>
      </c>
      <c r="D229" s="41" t="s">
        <v>279</v>
      </c>
      <c r="E229" s="18" t="s">
        <v>26</v>
      </c>
      <c r="F229" s="18"/>
      <c r="G229" s="18" t="s">
        <v>24</v>
      </c>
      <c r="H229" s="18"/>
      <c r="I229" s="30" t="s">
        <v>1314</v>
      </c>
      <c r="J229" s="30" t="s">
        <v>1315</v>
      </c>
      <c r="K229" s="30" t="s">
        <v>1317</v>
      </c>
      <c r="L229" s="30" t="s">
        <v>1232</v>
      </c>
      <c r="M229" s="18" t="s">
        <v>26</v>
      </c>
      <c r="N229" s="18">
        <v>0</v>
      </c>
      <c r="O229" s="18">
        <v>0</v>
      </c>
      <c r="P229" s="18">
        <v>0</v>
      </c>
      <c r="Q229" s="18">
        <v>1</v>
      </c>
      <c r="R229" s="67">
        <v>8</v>
      </c>
      <c r="S229" s="67">
        <v>122</v>
      </c>
      <c r="T229" t="e">
        <f>_xlfn.XLOOKUP(A229,Master!#REF!,Master!G:G)</f>
        <v>#REF!</v>
      </c>
      <c r="AA229">
        <v>7</v>
      </c>
      <c r="AB229">
        <v>81</v>
      </c>
      <c r="AC229" t="s">
        <v>596</v>
      </c>
      <c r="AD229" s="12">
        <v>0</v>
      </c>
      <c r="AE229" s="12">
        <v>1</v>
      </c>
    </row>
    <row r="230" spans="1:31" ht="16.25" customHeight="1" x14ac:dyDescent="0.2">
      <c r="A230" s="15" t="s">
        <v>419</v>
      </c>
      <c r="B230" s="15" t="s">
        <v>85</v>
      </c>
      <c r="C230" s="44" t="s">
        <v>420</v>
      </c>
      <c r="D230" s="44" t="s">
        <v>421</v>
      </c>
      <c r="E230" s="15" t="s">
        <v>26</v>
      </c>
      <c r="F230" s="15"/>
      <c r="G230" s="15" t="s">
        <v>24</v>
      </c>
      <c r="H230" s="15"/>
      <c r="I230" s="30" t="s">
        <v>1318</v>
      </c>
      <c r="J230" s="30" t="s">
        <v>1319</v>
      </c>
      <c r="K230" s="30" t="s">
        <v>1320</v>
      </c>
      <c r="L230" s="30" t="s">
        <v>1232</v>
      </c>
      <c r="M230" s="15" t="s">
        <v>26</v>
      </c>
      <c r="N230" s="15">
        <v>0</v>
      </c>
      <c r="O230" s="15">
        <v>0</v>
      </c>
      <c r="P230" s="15">
        <v>0</v>
      </c>
      <c r="Q230" s="15">
        <v>1</v>
      </c>
      <c r="R230" s="67">
        <v>8</v>
      </c>
      <c r="S230" s="67">
        <v>123</v>
      </c>
      <c r="T230" t="e">
        <f>_xlfn.XLOOKUP(A230,Master!#REF!,Master!G:G)</f>
        <v>#REF!</v>
      </c>
      <c r="AA230">
        <v>7</v>
      </c>
      <c r="AB230">
        <v>81</v>
      </c>
      <c r="AC230" t="s">
        <v>592</v>
      </c>
      <c r="AD230" s="12">
        <v>0</v>
      </c>
      <c r="AE230" s="12">
        <v>1</v>
      </c>
    </row>
    <row r="231" spans="1:31" ht="16.25" customHeight="1" x14ac:dyDescent="0.2">
      <c r="A231" s="10" t="s">
        <v>264</v>
      </c>
      <c r="B231" s="10" t="s">
        <v>85</v>
      </c>
      <c r="C231" s="29" t="s">
        <v>265</v>
      </c>
      <c r="D231" s="29" t="s">
        <v>266</v>
      </c>
      <c r="E231" s="10" t="s">
        <v>26</v>
      </c>
      <c r="F231" s="10"/>
      <c r="G231" s="10" t="s">
        <v>24</v>
      </c>
      <c r="H231" s="10"/>
      <c r="I231" s="30" t="s">
        <v>1318</v>
      </c>
      <c r="J231" s="30" t="s">
        <v>1319</v>
      </c>
      <c r="K231" s="30" t="s">
        <v>1320</v>
      </c>
      <c r="L231" s="30" t="s">
        <v>1232</v>
      </c>
      <c r="M231" s="18" t="s">
        <v>26</v>
      </c>
      <c r="N231" s="18">
        <v>0</v>
      </c>
      <c r="O231" s="18">
        <v>0</v>
      </c>
      <c r="P231" s="18">
        <v>0</v>
      </c>
      <c r="Q231" s="18">
        <v>1</v>
      </c>
      <c r="R231" s="67">
        <v>8</v>
      </c>
      <c r="S231" s="67">
        <v>123</v>
      </c>
      <c r="T231" t="e">
        <f>_xlfn.XLOOKUP(A231,Master!#REF!,Master!G:G)</f>
        <v>#REF!</v>
      </c>
      <c r="AA231">
        <v>7</v>
      </c>
      <c r="AB231">
        <v>82</v>
      </c>
      <c r="AC231" t="s">
        <v>588</v>
      </c>
      <c r="AD231" s="12">
        <v>0</v>
      </c>
      <c r="AE231" s="12">
        <v>1</v>
      </c>
    </row>
    <row r="232" spans="1:31" ht="16.25" customHeight="1" x14ac:dyDescent="0.2">
      <c r="A232" s="32" t="s">
        <v>268</v>
      </c>
      <c r="B232" s="32" t="s">
        <v>85</v>
      </c>
      <c r="C232" s="33" t="s">
        <v>269</v>
      </c>
      <c r="D232" s="33" t="s">
        <v>270</v>
      </c>
      <c r="E232" s="32" t="s">
        <v>26</v>
      </c>
      <c r="F232" s="32"/>
      <c r="G232" s="32" t="s">
        <v>24</v>
      </c>
      <c r="H232" s="32" t="s">
        <v>271</v>
      </c>
      <c r="I232" s="30" t="s">
        <v>1318</v>
      </c>
      <c r="J232" s="30" t="s">
        <v>1319</v>
      </c>
      <c r="K232" s="30" t="s">
        <v>1320</v>
      </c>
      <c r="L232" s="30" t="s">
        <v>1232</v>
      </c>
      <c r="M232" s="15" t="s">
        <v>26</v>
      </c>
      <c r="N232" s="15">
        <v>0</v>
      </c>
      <c r="O232" s="15">
        <v>0</v>
      </c>
      <c r="P232" s="15">
        <v>0</v>
      </c>
      <c r="Q232" s="15">
        <v>1</v>
      </c>
      <c r="R232" s="67">
        <v>8</v>
      </c>
      <c r="S232" s="67">
        <v>123</v>
      </c>
      <c r="T232" t="e">
        <f>_xlfn.XLOOKUP(A232,Master!#REF!,Master!G:G)</f>
        <v>#REF!</v>
      </c>
      <c r="AA232">
        <v>7</v>
      </c>
      <c r="AB232">
        <v>82</v>
      </c>
      <c r="AC232" t="s">
        <v>583</v>
      </c>
      <c r="AD232" s="12">
        <v>0</v>
      </c>
      <c r="AE232" s="12">
        <v>1</v>
      </c>
    </row>
    <row r="233" spans="1:31" ht="16.25" customHeight="1" x14ac:dyDescent="0.2">
      <c r="A233" s="18" t="s">
        <v>256</v>
      </c>
      <c r="B233" s="18" t="s">
        <v>85</v>
      </c>
      <c r="C233" s="41" t="s">
        <v>257</v>
      </c>
      <c r="D233" s="41" t="s">
        <v>258</v>
      </c>
      <c r="E233" s="18" t="s">
        <v>26</v>
      </c>
      <c r="F233" s="18"/>
      <c r="G233" s="18" t="s">
        <v>24</v>
      </c>
      <c r="H233" s="18"/>
      <c r="I233" s="30" t="s">
        <v>1266</v>
      </c>
      <c r="J233" s="30" t="s">
        <v>1301</v>
      </c>
      <c r="K233" s="30" t="s">
        <v>1302</v>
      </c>
      <c r="L233" s="30" t="s">
        <v>1232</v>
      </c>
      <c r="M233" s="18" t="s">
        <v>26</v>
      </c>
      <c r="N233" s="18">
        <v>0</v>
      </c>
      <c r="O233" s="18">
        <v>0</v>
      </c>
      <c r="P233" s="18">
        <v>0</v>
      </c>
      <c r="Q233" s="18">
        <v>1</v>
      </c>
      <c r="R233" s="67">
        <v>8</v>
      </c>
      <c r="S233" s="67">
        <v>124</v>
      </c>
      <c r="T233" t="e">
        <f>_xlfn.XLOOKUP(A233,Master!#REF!,Master!G:G)</f>
        <v>#REF!</v>
      </c>
      <c r="AA233">
        <v>7</v>
      </c>
      <c r="AB233">
        <v>83</v>
      </c>
      <c r="AC233" t="s">
        <v>578</v>
      </c>
      <c r="AD233" s="12">
        <v>0</v>
      </c>
      <c r="AE233" s="12">
        <v>1</v>
      </c>
    </row>
    <row r="234" spans="1:31" ht="16.25" customHeight="1" x14ac:dyDescent="0.2">
      <c r="A234" s="10" t="s">
        <v>260</v>
      </c>
      <c r="B234" s="10" t="s">
        <v>85</v>
      </c>
      <c r="C234" s="29" t="s">
        <v>261</v>
      </c>
      <c r="D234" s="29" t="s">
        <v>262</v>
      </c>
      <c r="E234" s="10" t="s">
        <v>26</v>
      </c>
      <c r="F234" s="10"/>
      <c r="G234" s="10" t="s">
        <v>24</v>
      </c>
      <c r="H234" s="10"/>
      <c r="I234" s="30" t="s">
        <v>1305</v>
      </c>
      <c r="J234" s="30" t="s">
        <v>1306</v>
      </c>
      <c r="K234" s="30" t="s">
        <v>1307</v>
      </c>
      <c r="L234" s="30" t="s">
        <v>1232</v>
      </c>
      <c r="M234" s="18" t="s">
        <v>26</v>
      </c>
      <c r="N234" s="18">
        <v>0</v>
      </c>
      <c r="O234" s="18">
        <v>0</v>
      </c>
      <c r="P234" s="18">
        <v>0</v>
      </c>
      <c r="Q234" s="18">
        <v>1</v>
      </c>
      <c r="R234" s="67">
        <v>8</v>
      </c>
      <c r="S234" s="67">
        <v>124</v>
      </c>
      <c r="T234" t="e">
        <f>_xlfn.XLOOKUP(A234,Master!#REF!,Master!G:G)</f>
        <v>#REF!</v>
      </c>
      <c r="AA234">
        <v>7</v>
      </c>
      <c r="AB234">
        <v>83</v>
      </c>
      <c r="AC234" t="s">
        <v>574</v>
      </c>
      <c r="AD234" s="12">
        <v>0</v>
      </c>
      <c r="AE234" s="12">
        <v>1</v>
      </c>
    </row>
    <row r="235" spans="1:31" ht="16.25" customHeight="1" x14ac:dyDescent="0.2">
      <c r="A235" s="10" t="s">
        <v>248</v>
      </c>
      <c r="B235" s="10" t="s">
        <v>85</v>
      </c>
      <c r="C235" s="29" t="s">
        <v>249</v>
      </c>
      <c r="D235" s="29" t="s">
        <v>250</v>
      </c>
      <c r="E235" s="10" t="s">
        <v>26</v>
      </c>
      <c r="F235" s="10"/>
      <c r="G235" s="10" t="s">
        <v>24</v>
      </c>
      <c r="H235" s="10"/>
      <c r="I235" s="30" t="s">
        <v>1229</v>
      </c>
      <c r="J235" s="30" t="s">
        <v>1230</v>
      </c>
      <c r="K235" s="30" t="s">
        <v>1321</v>
      </c>
      <c r="L235" s="30" t="s">
        <v>1232</v>
      </c>
      <c r="M235" s="18" t="s">
        <v>26</v>
      </c>
      <c r="N235" s="18">
        <v>0</v>
      </c>
      <c r="O235" s="18">
        <v>0</v>
      </c>
      <c r="P235" s="18">
        <v>0</v>
      </c>
      <c r="Q235" s="18">
        <v>1</v>
      </c>
      <c r="R235" s="67">
        <v>8</v>
      </c>
      <c r="S235" s="67">
        <v>125</v>
      </c>
      <c r="T235" t="e">
        <f>_xlfn.XLOOKUP(A235,Master!#REF!,Master!G:G)</f>
        <v>#REF!</v>
      </c>
      <c r="AA235">
        <v>7</v>
      </c>
      <c r="AB235">
        <v>84</v>
      </c>
      <c r="AC235" t="s">
        <v>569</v>
      </c>
      <c r="AD235" s="12">
        <v>0</v>
      </c>
      <c r="AE235" s="12">
        <v>1</v>
      </c>
    </row>
    <row r="236" spans="1:31" ht="16.25" customHeight="1" x14ac:dyDescent="0.2">
      <c r="A236" s="32" t="s">
        <v>252</v>
      </c>
      <c r="B236" s="32" t="s">
        <v>85</v>
      </c>
      <c r="C236" s="33" t="s">
        <v>253</v>
      </c>
      <c r="D236" s="33" t="s">
        <v>254</v>
      </c>
      <c r="E236" s="32" t="s">
        <v>26</v>
      </c>
      <c r="F236" s="32"/>
      <c r="G236" s="32" t="s">
        <v>24</v>
      </c>
      <c r="H236" s="32"/>
      <c r="I236" s="30" t="s">
        <v>1266</v>
      </c>
      <c r="J236" s="30" t="s">
        <v>1322</v>
      </c>
      <c r="K236" s="30" t="s">
        <v>1299</v>
      </c>
      <c r="L236" s="30" t="s">
        <v>1232</v>
      </c>
      <c r="M236" s="15" t="s">
        <v>26</v>
      </c>
      <c r="N236" s="15">
        <v>0</v>
      </c>
      <c r="O236" s="15">
        <v>0</v>
      </c>
      <c r="P236" s="15">
        <v>0</v>
      </c>
      <c r="Q236" s="15">
        <v>1</v>
      </c>
      <c r="R236" s="67">
        <v>8</v>
      </c>
      <c r="S236" s="67">
        <v>125</v>
      </c>
      <c r="T236" t="e">
        <f>_xlfn.XLOOKUP(A236,Master!#REF!,Master!G:G)</f>
        <v>#REF!</v>
      </c>
      <c r="AA236">
        <v>7</v>
      </c>
      <c r="AB236">
        <v>84</v>
      </c>
      <c r="AC236" t="s">
        <v>565</v>
      </c>
      <c r="AD236" s="12">
        <v>0</v>
      </c>
      <c r="AE236" s="12">
        <v>1</v>
      </c>
    </row>
    <row r="237" spans="1:31" ht="16.25" customHeight="1" x14ac:dyDescent="0.2">
      <c r="A237" s="10" t="s">
        <v>240</v>
      </c>
      <c r="B237" s="10" t="s">
        <v>85</v>
      </c>
      <c r="C237" s="29" t="s">
        <v>241</v>
      </c>
      <c r="D237" s="29" t="s">
        <v>242</v>
      </c>
      <c r="E237" s="10" t="s">
        <v>26</v>
      </c>
      <c r="F237" s="42"/>
      <c r="G237" s="10" t="s">
        <v>24</v>
      </c>
      <c r="H237" s="10"/>
      <c r="I237" s="30" t="s">
        <v>1266</v>
      </c>
      <c r="J237" s="30" t="s">
        <v>1298</v>
      </c>
      <c r="K237" s="30" t="s">
        <v>1272</v>
      </c>
      <c r="L237" s="30" t="s">
        <v>1232</v>
      </c>
      <c r="M237" s="18" t="s">
        <v>26</v>
      </c>
      <c r="N237" s="18">
        <v>0</v>
      </c>
      <c r="O237" s="18">
        <v>0</v>
      </c>
      <c r="P237" s="18">
        <v>0</v>
      </c>
      <c r="Q237" s="18">
        <v>1</v>
      </c>
      <c r="R237" s="67">
        <v>8</v>
      </c>
      <c r="S237" s="67">
        <v>126</v>
      </c>
      <c r="T237" t="e">
        <f>_xlfn.XLOOKUP(A237,Master!#REF!,Master!G:G)</f>
        <v>#REF!</v>
      </c>
      <c r="AA237">
        <v>7</v>
      </c>
      <c r="AB237">
        <v>88</v>
      </c>
      <c r="AC237" t="s">
        <v>536</v>
      </c>
      <c r="AD237" s="12">
        <v>0</v>
      </c>
      <c r="AE237" s="12">
        <v>1</v>
      </c>
    </row>
    <row r="238" spans="1:31" ht="16.25" customHeight="1" x14ac:dyDescent="0.2">
      <c r="A238" s="10" t="s">
        <v>244</v>
      </c>
      <c r="B238" s="10" t="s">
        <v>85</v>
      </c>
      <c r="C238" s="29" t="s">
        <v>245</v>
      </c>
      <c r="D238" s="29" t="s">
        <v>246</v>
      </c>
      <c r="E238" s="10" t="s">
        <v>26</v>
      </c>
      <c r="F238" s="10"/>
      <c r="G238" s="10" t="s">
        <v>24</v>
      </c>
      <c r="H238" s="10"/>
      <c r="I238" s="30" t="s">
        <v>1266</v>
      </c>
      <c r="J238" s="30" t="s">
        <v>1298</v>
      </c>
      <c r="K238" s="30" t="s">
        <v>1323</v>
      </c>
      <c r="L238" s="30" t="s">
        <v>1232</v>
      </c>
      <c r="M238" s="18" t="s">
        <v>26</v>
      </c>
      <c r="N238" s="18">
        <v>0</v>
      </c>
      <c r="O238" s="18">
        <v>0</v>
      </c>
      <c r="P238" s="18">
        <v>0</v>
      </c>
      <c r="Q238" s="18">
        <v>1</v>
      </c>
      <c r="R238" s="67">
        <v>8</v>
      </c>
      <c r="S238" s="67">
        <v>126</v>
      </c>
      <c r="T238" t="e">
        <f>_xlfn.XLOOKUP(A238,Master!#REF!,Master!G:G)</f>
        <v>#REF!</v>
      </c>
      <c r="AA238" t="s">
        <v>1221</v>
      </c>
      <c r="AD238" s="12">
        <v>0</v>
      </c>
      <c r="AE238" s="12">
        <v>28</v>
      </c>
    </row>
    <row r="239" spans="1:31" ht="16.25" customHeight="1" x14ac:dyDescent="0.2">
      <c r="A239" s="32" t="s">
        <v>231</v>
      </c>
      <c r="B239" s="32" t="s">
        <v>85</v>
      </c>
      <c r="C239" s="33" t="s">
        <v>232</v>
      </c>
      <c r="D239" s="33" t="s">
        <v>233</v>
      </c>
      <c r="E239" s="32" t="s">
        <v>26</v>
      </c>
      <c r="F239" s="32"/>
      <c r="G239" s="32" t="s">
        <v>24</v>
      </c>
      <c r="H239" s="32" t="s">
        <v>234</v>
      </c>
      <c r="I239" s="30" t="s">
        <v>1266</v>
      </c>
      <c r="J239" s="30" t="s">
        <v>1324</v>
      </c>
      <c r="K239" s="30" t="s">
        <v>1325</v>
      </c>
      <c r="L239" s="30" t="s">
        <v>1232</v>
      </c>
      <c r="M239" s="15" t="s">
        <v>26</v>
      </c>
      <c r="N239" s="15">
        <v>0</v>
      </c>
      <c r="O239" s="15">
        <v>0</v>
      </c>
      <c r="P239" s="15">
        <v>0</v>
      </c>
      <c r="Q239" s="15">
        <v>1</v>
      </c>
      <c r="R239" s="64">
        <v>6</v>
      </c>
      <c r="S239" s="64">
        <v>127</v>
      </c>
      <c r="T239" t="e">
        <f>_xlfn.XLOOKUP(A239,Master!#REF!,Master!G:G)</f>
        <v>#REF!</v>
      </c>
      <c r="AA239">
        <v>8</v>
      </c>
      <c r="AB239">
        <v>89</v>
      </c>
      <c r="AC239" t="s">
        <v>528</v>
      </c>
      <c r="AD239" s="12">
        <v>0</v>
      </c>
      <c r="AE239" s="12">
        <v>1</v>
      </c>
    </row>
    <row r="240" spans="1:31" ht="16.25" customHeight="1" x14ac:dyDescent="0.2">
      <c r="A240" s="32" t="s">
        <v>236</v>
      </c>
      <c r="B240" s="32" t="s">
        <v>85</v>
      </c>
      <c r="C240" s="33" t="s">
        <v>237</v>
      </c>
      <c r="D240" s="33" t="s">
        <v>238</v>
      </c>
      <c r="E240" s="32" t="s">
        <v>26</v>
      </c>
      <c r="F240" s="32"/>
      <c r="G240" s="32" t="s">
        <v>24</v>
      </c>
      <c r="H240" s="32"/>
      <c r="I240" s="30" t="s">
        <v>1266</v>
      </c>
      <c r="J240" s="30" t="s">
        <v>1298</v>
      </c>
      <c r="K240" s="30" t="s">
        <v>1323</v>
      </c>
      <c r="L240" s="30" t="s">
        <v>1232</v>
      </c>
      <c r="M240" s="15" t="s">
        <v>26</v>
      </c>
      <c r="N240" s="15">
        <v>0</v>
      </c>
      <c r="O240" s="15">
        <v>0</v>
      </c>
      <c r="P240" s="15">
        <v>0</v>
      </c>
      <c r="Q240" s="15">
        <v>1</v>
      </c>
      <c r="R240" s="67">
        <v>8</v>
      </c>
      <c r="S240" s="67">
        <v>127</v>
      </c>
      <c r="T240" t="e">
        <f>_xlfn.XLOOKUP(A240,Master!#REF!,Master!G:G)</f>
        <v>#REF!</v>
      </c>
      <c r="AA240">
        <v>8</v>
      </c>
      <c r="AB240">
        <v>90</v>
      </c>
      <c r="AC240" t="s">
        <v>520</v>
      </c>
      <c r="AD240" s="12">
        <v>0</v>
      </c>
      <c r="AE240" s="12">
        <v>1</v>
      </c>
    </row>
    <row r="241" spans="1:31" ht="16.25" customHeight="1" x14ac:dyDescent="0.2">
      <c r="A241" s="10" t="s">
        <v>222</v>
      </c>
      <c r="B241" s="10" t="s">
        <v>85</v>
      </c>
      <c r="C241" s="29" t="s">
        <v>223</v>
      </c>
      <c r="D241" s="29" t="s">
        <v>224</v>
      </c>
      <c r="E241" s="10" t="s">
        <v>26</v>
      </c>
      <c r="F241" s="10"/>
      <c r="G241" s="10" t="s">
        <v>24</v>
      </c>
      <c r="H241" s="10"/>
      <c r="I241" s="30" t="s">
        <v>1266</v>
      </c>
      <c r="J241" s="30" t="s">
        <v>1298</v>
      </c>
      <c r="K241" s="30" t="s">
        <v>1326</v>
      </c>
      <c r="L241" s="30" t="s">
        <v>1232</v>
      </c>
      <c r="M241" s="18" t="s">
        <v>26</v>
      </c>
      <c r="N241" s="18">
        <v>0</v>
      </c>
      <c r="O241" s="18">
        <v>0</v>
      </c>
      <c r="P241" s="18">
        <v>0</v>
      </c>
      <c r="Q241" s="18">
        <v>1</v>
      </c>
      <c r="R241" s="64">
        <v>6</v>
      </c>
      <c r="S241" s="64">
        <v>128</v>
      </c>
      <c r="T241" t="e">
        <f>_xlfn.XLOOKUP(A241,Master!#REF!,Master!G:G)</f>
        <v>#REF!</v>
      </c>
      <c r="AA241">
        <v>8</v>
      </c>
      <c r="AB241">
        <v>110</v>
      </c>
      <c r="AC241" t="s">
        <v>368</v>
      </c>
      <c r="AD241" s="12">
        <v>0</v>
      </c>
      <c r="AE241" s="12">
        <v>1</v>
      </c>
    </row>
    <row r="242" spans="1:31" ht="16.25" customHeight="1" x14ac:dyDescent="0.2">
      <c r="A242" s="43" t="s">
        <v>226</v>
      </c>
      <c r="B242" s="10" t="s">
        <v>85</v>
      </c>
      <c r="C242" s="29" t="s">
        <v>227</v>
      </c>
      <c r="D242" s="29" t="s">
        <v>228</v>
      </c>
      <c r="E242" s="10" t="s">
        <v>26</v>
      </c>
      <c r="F242" s="42"/>
      <c r="G242" s="10" t="s">
        <v>24</v>
      </c>
      <c r="H242" s="43" t="s">
        <v>229</v>
      </c>
      <c r="I242" s="30" t="s">
        <v>1229</v>
      </c>
      <c r="J242" s="30" t="s">
        <v>1296</v>
      </c>
      <c r="K242" s="30" t="s">
        <v>1327</v>
      </c>
      <c r="L242" s="30" t="s">
        <v>1232</v>
      </c>
      <c r="M242" s="18" t="s">
        <v>26</v>
      </c>
      <c r="N242" s="18">
        <v>0</v>
      </c>
      <c r="O242" s="18">
        <v>0</v>
      </c>
      <c r="P242" s="18">
        <v>0</v>
      </c>
      <c r="Q242" s="18">
        <v>1</v>
      </c>
      <c r="R242" s="64">
        <v>6</v>
      </c>
      <c r="S242" s="64">
        <v>128</v>
      </c>
      <c r="T242" t="e">
        <f>_xlfn.XLOOKUP(A242,Master!#REF!,Master!G:G)</f>
        <v>#REF!</v>
      </c>
      <c r="AA242">
        <v>8</v>
      </c>
      <c r="AB242">
        <v>111</v>
      </c>
      <c r="AC242" t="s">
        <v>359</v>
      </c>
      <c r="AD242" s="12">
        <v>0</v>
      </c>
      <c r="AE242" s="12">
        <v>1</v>
      </c>
    </row>
    <row r="243" spans="1:31" ht="16.25" customHeight="1" x14ac:dyDescent="0.2">
      <c r="A243" s="10" t="s">
        <v>213</v>
      </c>
      <c r="B243" s="10" t="s">
        <v>85</v>
      </c>
      <c r="C243" s="29" t="s">
        <v>214</v>
      </c>
      <c r="D243" s="29" t="s">
        <v>215</v>
      </c>
      <c r="E243" s="10" t="s">
        <v>26</v>
      </c>
      <c r="F243" s="10"/>
      <c r="G243" s="10" t="s">
        <v>24</v>
      </c>
      <c r="H243" s="10"/>
      <c r="I243" s="30" t="s">
        <v>1266</v>
      </c>
      <c r="J243" s="30" t="s">
        <v>1324</v>
      </c>
      <c r="K243" s="30" t="s">
        <v>1326</v>
      </c>
      <c r="L243" s="30" t="s">
        <v>1232</v>
      </c>
      <c r="M243" s="18" t="s">
        <v>26</v>
      </c>
      <c r="N243" s="18">
        <v>0</v>
      </c>
      <c r="O243" s="18">
        <v>0</v>
      </c>
      <c r="P243" s="18">
        <v>0</v>
      </c>
      <c r="Q243" s="18">
        <v>1</v>
      </c>
      <c r="R243" s="64">
        <v>6</v>
      </c>
      <c r="S243" s="64">
        <v>129</v>
      </c>
      <c r="T243" t="e">
        <f>_xlfn.XLOOKUP(A243,Master!#REF!,Master!G:G)</f>
        <v>#REF!</v>
      </c>
      <c r="AA243">
        <v>8</v>
      </c>
      <c r="AB243">
        <v>111</v>
      </c>
      <c r="AC243" t="s">
        <v>355</v>
      </c>
      <c r="AD243" s="12">
        <v>0</v>
      </c>
      <c r="AE243" s="12">
        <v>1</v>
      </c>
    </row>
    <row r="244" spans="1:31" ht="16.25" customHeight="1" x14ac:dyDescent="0.2">
      <c r="A244" s="32" t="s">
        <v>217</v>
      </c>
      <c r="B244" s="32" t="s">
        <v>85</v>
      </c>
      <c r="C244" s="33" t="s">
        <v>218</v>
      </c>
      <c r="D244" s="33" t="s">
        <v>219</v>
      </c>
      <c r="E244" s="32" t="s">
        <v>26</v>
      </c>
      <c r="F244" s="32"/>
      <c r="G244" s="32" t="s">
        <v>24</v>
      </c>
      <c r="H244" s="32" t="s">
        <v>220</v>
      </c>
      <c r="I244" s="30" t="s">
        <v>1266</v>
      </c>
      <c r="J244" s="30" t="s">
        <v>1271</v>
      </c>
      <c r="K244" s="30" t="s">
        <v>1328</v>
      </c>
      <c r="L244" s="30" t="s">
        <v>1232</v>
      </c>
      <c r="M244" s="15" t="s">
        <v>26</v>
      </c>
      <c r="N244" s="15">
        <v>0</v>
      </c>
      <c r="O244" s="15">
        <v>0</v>
      </c>
      <c r="P244" s="15">
        <v>0</v>
      </c>
      <c r="Q244" s="15">
        <v>1</v>
      </c>
      <c r="R244" s="64">
        <v>6</v>
      </c>
      <c r="S244" s="64">
        <v>129</v>
      </c>
      <c r="T244" t="e">
        <f>_xlfn.XLOOKUP(A244,Master!#REF!,Master!G:G)</f>
        <v>#REF!</v>
      </c>
      <c r="AA244">
        <v>8</v>
      </c>
      <c r="AB244">
        <v>112</v>
      </c>
      <c r="AC244" t="s">
        <v>347</v>
      </c>
      <c r="AD244" s="12">
        <v>0</v>
      </c>
      <c r="AE244" s="12">
        <v>1</v>
      </c>
    </row>
    <row r="245" spans="1:31" ht="16.25" customHeight="1" x14ac:dyDescent="0.2">
      <c r="A245" s="32" t="s">
        <v>205</v>
      </c>
      <c r="B245" s="32" t="s">
        <v>85</v>
      </c>
      <c r="C245" s="33" t="s">
        <v>206</v>
      </c>
      <c r="D245" s="33" t="s">
        <v>207</v>
      </c>
      <c r="E245" s="32" t="s">
        <v>26</v>
      </c>
      <c r="F245" s="32"/>
      <c r="G245" s="32" t="s">
        <v>24</v>
      </c>
      <c r="H245" s="32"/>
      <c r="I245" s="30" t="s">
        <v>1266</v>
      </c>
      <c r="J245" s="30" t="s">
        <v>1324</v>
      </c>
      <c r="K245" s="30" t="s">
        <v>1323</v>
      </c>
      <c r="L245" s="30" t="s">
        <v>1232</v>
      </c>
      <c r="M245" s="15" t="s">
        <v>26</v>
      </c>
      <c r="N245" s="15">
        <v>0</v>
      </c>
      <c r="O245" s="15">
        <v>0</v>
      </c>
      <c r="P245" s="15">
        <v>0</v>
      </c>
      <c r="Q245" s="15">
        <v>1</v>
      </c>
      <c r="R245" s="64">
        <v>6</v>
      </c>
      <c r="S245" s="64">
        <v>130</v>
      </c>
      <c r="T245" t="e">
        <f>_xlfn.XLOOKUP(A245,Master!#REF!,Master!G:G)</f>
        <v>#REF!</v>
      </c>
      <c r="AA245">
        <v>8</v>
      </c>
      <c r="AB245">
        <v>112</v>
      </c>
      <c r="AC245" t="s">
        <v>351</v>
      </c>
      <c r="AD245" s="12">
        <v>0</v>
      </c>
      <c r="AE245" s="12">
        <v>1</v>
      </c>
    </row>
    <row r="246" spans="1:31" ht="16.25" customHeight="1" x14ac:dyDescent="0.2">
      <c r="A246" s="10" t="s">
        <v>209</v>
      </c>
      <c r="B246" s="10" t="s">
        <v>85</v>
      </c>
      <c r="C246" s="29" t="s">
        <v>210</v>
      </c>
      <c r="D246" s="29" t="s">
        <v>211</v>
      </c>
      <c r="E246" s="10" t="s">
        <v>26</v>
      </c>
      <c r="F246" s="10"/>
      <c r="G246" s="10" t="s">
        <v>24</v>
      </c>
      <c r="H246" s="10"/>
      <c r="I246" s="30" t="s">
        <v>1266</v>
      </c>
      <c r="J246" s="30" t="s">
        <v>1271</v>
      </c>
      <c r="K246" s="30" t="s">
        <v>1329</v>
      </c>
      <c r="L246" s="30" t="s">
        <v>1232</v>
      </c>
      <c r="M246" s="18" t="s">
        <v>26</v>
      </c>
      <c r="N246" s="18">
        <v>0</v>
      </c>
      <c r="O246" s="18">
        <v>0</v>
      </c>
      <c r="P246" s="18">
        <v>0</v>
      </c>
      <c r="Q246" s="18">
        <v>1</v>
      </c>
      <c r="R246" s="64">
        <v>6</v>
      </c>
      <c r="S246" s="64">
        <v>130</v>
      </c>
      <c r="T246" t="e">
        <f>_xlfn.XLOOKUP(A246,Master!#REF!,Master!G:G)</f>
        <v>#REF!</v>
      </c>
      <c r="AA246">
        <v>8</v>
      </c>
      <c r="AB246">
        <v>113</v>
      </c>
      <c r="AC246" t="s">
        <v>343</v>
      </c>
      <c r="AD246" s="12">
        <v>0</v>
      </c>
      <c r="AE246" s="12">
        <v>1</v>
      </c>
    </row>
    <row r="247" spans="1:31" ht="16.25" customHeight="1" x14ac:dyDescent="0.2">
      <c r="A247" s="32" t="s">
        <v>196</v>
      </c>
      <c r="B247" s="32" t="s">
        <v>85</v>
      </c>
      <c r="C247" s="33" t="s">
        <v>197</v>
      </c>
      <c r="D247" s="33" t="s">
        <v>198</v>
      </c>
      <c r="E247" s="32" t="s">
        <v>26</v>
      </c>
      <c r="F247" s="32"/>
      <c r="G247" s="32" t="s">
        <v>24</v>
      </c>
      <c r="H247" s="32"/>
      <c r="I247" s="30" t="s">
        <v>1266</v>
      </c>
      <c r="J247" s="30" t="s">
        <v>1324</v>
      </c>
      <c r="K247" s="30" t="s">
        <v>1272</v>
      </c>
      <c r="L247" s="30" t="s">
        <v>1232</v>
      </c>
      <c r="M247" s="15" t="s">
        <v>26</v>
      </c>
      <c r="N247" s="15">
        <v>0</v>
      </c>
      <c r="O247" s="15">
        <v>0</v>
      </c>
      <c r="P247" s="15">
        <v>0</v>
      </c>
      <c r="Q247" s="15">
        <v>1</v>
      </c>
      <c r="R247" s="64">
        <v>6</v>
      </c>
      <c r="S247" s="64">
        <v>131</v>
      </c>
      <c r="T247" t="e">
        <f>_xlfn.XLOOKUP(A247,Master!#REF!,Master!G:G)</f>
        <v>#REF!</v>
      </c>
      <c r="AA247">
        <v>8</v>
      </c>
      <c r="AB247">
        <v>113</v>
      </c>
      <c r="AC247" t="s">
        <v>339</v>
      </c>
      <c r="AD247" s="12">
        <v>0</v>
      </c>
      <c r="AE247" s="12">
        <v>1</v>
      </c>
    </row>
    <row r="248" spans="1:31" ht="16.25" customHeight="1" x14ac:dyDescent="0.2">
      <c r="A248" s="18" t="s">
        <v>200</v>
      </c>
      <c r="B248" s="18" t="s">
        <v>85</v>
      </c>
      <c r="C248" s="41" t="s">
        <v>201</v>
      </c>
      <c r="D248" s="41" t="s">
        <v>202</v>
      </c>
      <c r="E248" s="18" t="s">
        <v>26</v>
      </c>
      <c r="F248" s="18"/>
      <c r="G248" s="18" t="s">
        <v>24</v>
      </c>
      <c r="H248" s="18" t="s">
        <v>203</v>
      </c>
      <c r="I248" s="30" t="s">
        <v>1266</v>
      </c>
      <c r="J248" s="30" t="s">
        <v>1330</v>
      </c>
      <c r="K248" s="30" t="s">
        <v>1323</v>
      </c>
      <c r="L248" s="30" t="s">
        <v>1232</v>
      </c>
      <c r="M248" s="18" t="s">
        <v>26</v>
      </c>
      <c r="N248" s="18">
        <v>0</v>
      </c>
      <c r="O248" s="18">
        <v>0</v>
      </c>
      <c r="P248" s="18">
        <v>0</v>
      </c>
      <c r="Q248" s="18">
        <v>1</v>
      </c>
      <c r="R248" s="64">
        <v>6</v>
      </c>
      <c r="S248" s="64">
        <v>131</v>
      </c>
      <c r="T248" t="e">
        <f>_xlfn.XLOOKUP(A248,Master!#REF!,Master!G:G)</f>
        <v>#REF!</v>
      </c>
      <c r="AA248">
        <v>8</v>
      </c>
      <c r="AB248">
        <v>114</v>
      </c>
      <c r="AC248" t="s">
        <v>331</v>
      </c>
      <c r="AD248" s="12">
        <v>0</v>
      </c>
      <c r="AE248" s="12">
        <v>1</v>
      </c>
    </row>
    <row r="249" spans="1:31" ht="16.25" customHeight="1" x14ac:dyDescent="0.2">
      <c r="A249" s="15" t="s">
        <v>188</v>
      </c>
      <c r="B249" s="15" t="s">
        <v>85</v>
      </c>
      <c r="C249" s="44" t="s">
        <v>189</v>
      </c>
      <c r="D249" s="44" t="s">
        <v>190</v>
      </c>
      <c r="E249" s="15" t="s">
        <v>26</v>
      </c>
      <c r="F249" s="15"/>
      <c r="G249" s="15" t="s">
        <v>24</v>
      </c>
      <c r="H249" s="15"/>
      <c r="I249" s="30" t="s">
        <v>1266</v>
      </c>
      <c r="J249" s="30" t="s">
        <v>1271</v>
      </c>
      <c r="K249" s="30" t="s">
        <v>1331</v>
      </c>
      <c r="L249" s="30" t="s">
        <v>1232</v>
      </c>
      <c r="M249" s="15" t="s">
        <v>26</v>
      </c>
      <c r="N249" s="15">
        <v>0</v>
      </c>
      <c r="O249" s="15">
        <v>0</v>
      </c>
      <c r="P249" s="15">
        <v>0</v>
      </c>
      <c r="Q249" s="15">
        <v>1</v>
      </c>
      <c r="R249" s="64">
        <v>6</v>
      </c>
      <c r="S249" s="64">
        <v>132</v>
      </c>
      <c r="T249" t="e">
        <f>_xlfn.XLOOKUP(A249,Master!#REF!,Master!G:G)</f>
        <v>#REF!</v>
      </c>
      <c r="AA249">
        <v>8</v>
      </c>
      <c r="AB249">
        <v>114</v>
      </c>
      <c r="AC249" t="s">
        <v>335</v>
      </c>
      <c r="AD249" s="12">
        <v>0</v>
      </c>
      <c r="AE249" s="12">
        <v>1</v>
      </c>
    </row>
    <row r="250" spans="1:31" ht="16.25" customHeight="1" x14ac:dyDescent="0.2">
      <c r="A250" s="10" t="s">
        <v>192</v>
      </c>
      <c r="B250" s="10" t="s">
        <v>85</v>
      </c>
      <c r="C250" s="29" t="s">
        <v>193</v>
      </c>
      <c r="D250" s="29" t="s">
        <v>194</v>
      </c>
      <c r="E250" s="10" t="s">
        <v>26</v>
      </c>
      <c r="F250" s="10"/>
      <c r="G250" s="10" t="s">
        <v>24</v>
      </c>
      <c r="H250" s="10"/>
      <c r="I250" s="30" t="s">
        <v>1266</v>
      </c>
      <c r="J250" s="30" t="s">
        <v>1271</v>
      </c>
      <c r="K250" s="30" t="s">
        <v>1331</v>
      </c>
      <c r="L250" s="30" t="s">
        <v>1232</v>
      </c>
      <c r="M250" s="18" t="s">
        <v>26</v>
      </c>
      <c r="N250" s="18">
        <v>0</v>
      </c>
      <c r="O250" s="18">
        <v>0</v>
      </c>
      <c r="P250" s="18">
        <v>0</v>
      </c>
      <c r="Q250" s="18">
        <v>1</v>
      </c>
      <c r="R250" s="64">
        <v>6</v>
      </c>
      <c r="S250" s="64">
        <v>132</v>
      </c>
      <c r="T250" t="e">
        <f>_xlfn.XLOOKUP(A250,Master!#REF!,Master!G:G)</f>
        <v>#REF!</v>
      </c>
      <c r="AA250">
        <v>8</v>
      </c>
      <c r="AB250">
        <v>115</v>
      </c>
      <c r="AC250" t="s">
        <v>327</v>
      </c>
      <c r="AD250" s="12">
        <v>0</v>
      </c>
      <c r="AE250" s="12">
        <v>1</v>
      </c>
    </row>
    <row r="251" spans="1:31" ht="16.25" customHeight="1" x14ac:dyDescent="0.2">
      <c r="A251" s="10" t="s">
        <v>180</v>
      </c>
      <c r="B251" s="10" t="s">
        <v>85</v>
      </c>
      <c r="C251" s="29" t="s">
        <v>181</v>
      </c>
      <c r="D251" s="29" t="s">
        <v>182</v>
      </c>
      <c r="E251" s="10" t="s">
        <v>26</v>
      </c>
      <c r="F251" s="10"/>
      <c r="G251" s="10" t="s">
        <v>24</v>
      </c>
      <c r="H251" s="10"/>
      <c r="I251" s="30" t="s">
        <v>1266</v>
      </c>
      <c r="J251" s="30" t="s">
        <v>1271</v>
      </c>
      <c r="K251" s="30" t="s">
        <v>1328</v>
      </c>
      <c r="L251" s="30" t="s">
        <v>1232</v>
      </c>
      <c r="M251" s="18" t="s">
        <v>26</v>
      </c>
      <c r="N251" s="18">
        <v>0</v>
      </c>
      <c r="O251" s="18">
        <v>0</v>
      </c>
      <c r="P251" s="18">
        <v>0</v>
      </c>
      <c r="Q251" s="18">
        <v>1</v>
      </c>
      <c r="R251" s="64">
        <v>6</v>
      </c>
      <c r="S251" s="64">
        <v>133</v>
      </c>
      <c r="T251" t="e">
        <f>_xlfn.XLOOKUP(A251,Master!#REF!,Master!G:G)</f>
        <v>#REF!</v>
      </c>
      <c r="AA251">
        <v>8</v>
      </c>
      <c r="AB251">
        <v>115</v>
      </c>
      <c r="AC251" t="s">
        <v>323</v>
      </c>
      <c r="AD251" s="12">
        <v>0</v>
      </c>
      <c r="AE251" s="12">
        <v>1</v>
      </c>
    </row>
    <row r="252" spans="1:31" ht="16.25" customHeight="1" x14ac:dyDescent="0.2">
      <c r="A252" s="10" t="s">
        <v>184</v>
      </c>
      <c r="B252" s="10" t="s">
        <v>85</v>
      </c>
      <c r="C252" s="29" t="s">
        <v>185</v>
      </c>
      <c r="D252" s="29" t="s">
        <v>186</v>
      </c>
      <c r="E252" s="10" t="s">
        <v>26</v>
      </c>
      <c r="F252" s="10"/>
      <c r="G252" s="10" t="s">
        <v>24</v>
      </c>
      <c r="H252" s="10"/>
      <c r="I252" s="30" t="s">
        <v>1266</v>
      </c>
      <c r="J252" s="30" t="s">
        <v>1271</v>
      </c>
      <c r="K252" s="30" t="s">
        <v>1328</v>
      </c>
      <c r="L252" s="30" t="s">
        <v>1232</v>
      </c>
      <c r="M252" s="18" t="s">
        <v>26</v>
      </c>
      <c r="N252" s="18">
        <v>0</v>
      </c>
      <c r="O252" s="18">
        <v>0</v>
      </c>
      <c r="P252" s="18">
        <v>0</v>
      </c>
      <c r="Q252" s="18">
        <v>1</v>
      </c>
      <c r="R252" s="64">
        <v>6</v>
      </c>
      <c r="S252" s="64">
        <v>133</v>
      </c>
      <c r="T252" t="e">
        <f>_xlfn.XLOOKUP(A252,Master!#REF!,Master!G:G)</f>
        <v>#REF!</v>
      </c>
      <c r="AA252">
        <v>8</v>
      </c>
      <c r="AB252">
        <v>116</v>
      </c>
      <c r="AC252" t="s">
        <v>315</v>
      </c>
      <c r="AD252" s="12">
        <v>0</v>
      </c>
      <c r="AE252" s="12">
        <v>1</v>
      </c>
    </row>
    <row r="253" spans="1:31" ht="16.25" customHeight="1" x14ac:dyDescent="0.2">
      <c r="A253" s="18" t="s">
        <v>172</v>
      </c>
      <c r="B253" s="18" t="s">
        <v>85</v>
      </c>
      <c r="C253" s="41" t="s">
        <v>173</v>
      </c>
      <c r="D253" s="41" t="s">
        <v>174</v>
      </c>
      <c r="E253" s="18" t="s">
        <v>26</v>
      </c>
      <c r="F253" s="18"/>
      <c r="G253" s="18" t="s">
        <v>24</v>
      </c>
      <c r="H253" s="18"/>
      <c r="I253" s="30" t="s">
        <v>1266</v>
      </c>
      <c r="J253" s="30" t="s">
        <v>1271</v>
      </c>
      <c r="K253" s="30" t="s">
        <v>1328</v>
      </c>
      <c r="L253" s="30" t="s">
        <v>1232</v>
      </c>
      <c r="M253" s="18" t="s">
        <v>26</v>
      </c>
      <c r="N253" s="18">
        <v>0</v>
      </c>
      <c r="O253" s="18">
        <v>0</v>
      </c>
      <c r="P253" s="18">
        <v>0</v>
      </c>
      <c r="Q253" s="18">
        <v>1</v>
      </c>
      <c r="R253" s="64">
        <v>6</v>
      </c>
      <c r="S253" s="64">
        <v>134</v>
      </c>
      <c r="T253" t="e">
        <f>_xlfn.XLOOKUP(A253,Master!#REF!,Master!G:G)</f>
        <v>#REF!</v>
      </c>
      <c r="AA253">
        <v>8</v>
      </c>
      <c r="AB253">
        <v>116</v>
      </c>
      <c r="AC253" t="s">
        <v>319</v>
      </c>
      <c r="AD253" s="12">
        <v>0</v>
      </c>
      <c r="AE253" s="12">
        <v>1</v>
      </c>
    </row>
    <row r="254" spans="1:31" ht="16.25" customHeight="1" x14ac:dyDescent="0.2">
      <c r="A254" s="32" t="s">
        <v>176</v>
      </c>
      <c r="B254" s="32" t="s">
        <v>85</v>
      </c>
      <c r="C254" s="33" t="s">
        <v>177</v>
      </c>
      <c r="D254" s="33" t="s">
        <v>178</v>
      </c>
      <c r="E254" s="32" t="s">
        <v>26</v>
      </c>
      <c r="F254" s="32"/>
      <c r="G254" s="32" t="s">
        <v>24</v>
      </c>
      <c r="H254" s="32"/>
      <c r="I254" s="30" t="s">
        <v>1266</v>
      </c>
      <c r="J254" s="30" t="s">
        <v>1271</v>
      </c>
      <c r="K254" s="30" t="s">
        <v>1328</v>
      </c>
      <c r="L254" s="30" t="s">
        <v>1232</v>
      </c>
      <c r="M254" s="15" t="s">
        <v>26</v>
      </c>
      <c r="N254" s="15">
        <v>0</v>
      </c>
      <c r="O254" s="15">
        <v>0</v>
      </c>
      <c r="P254" s="15">
        <v>0</v>
      </c>
      <c r="Q254" s="15">
        <v>1</v>
      </c>
      <c r="R254" s="64">
        <v>6</v>
      </c>
      <c r="S254" s="64">
        <v>134</v>
      </c>
      <c r="T254" t="e">
        <f>_xlfn.XLOOKUP(A254,Master!#REF!,Master!G:G)</f>
        <v>#REF!</v>
      </c>
      <c r="AA254">
        <v>8</v>
      </c>
      <c r="AB254">
        <v>117</v>
      </c>
      <c r="AC254" t="s">
        <v>307</v>
      </c>
      <c r="AD254" s="12">
        <v>0</v>
      </c>
      <c r="AE254" s="12">
        <v>1</v>
      </c>
    </row>
    <row r="255" spans="1:31" ht="16.25" customHeight="1" x14ac:dyDescent="0.2">
      <c r="A255" s="10" t="s">
        <v>162</v>
      </c>
      <c r="B255" s="10" t="s">
        <v>85</v>
      </c>
      <c r="C255" s="29" t="s">
        <v>163</v>
      </c>
      <c r="D255" s="29" t="s">
        <v>164</v>
      </c>
      <c r="E255" s="10" t="s">
        <v>26</v>
      </c>
      <c r="F255" s="10"/>
      <c r="G255" s="10" t="s">
        <v>24</v>
      </c>
      <c r="H255" s="42" t="s">
        <v>165</v>
      </c>
      <c r="I255" s="30" t="s">
        <v>1266</v>
      </c>
      <c r="J255" s="30" t="s">
        <v>1330</v>
      </c>
      <c r="K255" s="30" t="s">
        <v>1299</v>
      </c>
      <c r="L255" s="30" t="s">
        <v>1232</v>
      </c>
      <c r="M255" s="18" t="s">
        <v>26</v>
      </c>
      <c r="N255" s="18">
        <v>0</v>
      </c>
      <c r="O255" s="18">
        <v>0</v>
      </c>
      <c r="P255" s="18">
        <v>0</v>
      </c>
      <c r="Q255" s="18">
        <v>1</v>
      </c>
      <c r="R255" s="64">
        <v>6</v>
      </c>
      <c r="S255" s="64">
        <v>135</v>
      </c>
      <c r="T255" t="e">
        <f>_xlfn.XLOOKUP(A255,Master!#REF!,Master!G:G)</f>
        <v>#REF!</v>
      </c>
      <c r="AA255">
        <v>8</v>
      </c>
      <c r="AB255">
        <v>117</v>
      </c>
      <c r="AC255" t="s">
        <v>311</v>
      </c>
      <c r="AD255" s="12">
        <v>0</v>
      </c>
      <c r="AE255" s="12">
        <v>1</v>
      </c>
    </row>
    <row r="256" spans="1:31" ht="16.25" customHeight="1" x14ac:dyDescent="0.2">
      <c r="A256" s="53" t="s">
        <v>167</v>
      </c>
      <c r="B256" s="53" t="s">
        <v>85</v>
      </c>
      <c r="C256" s="54" t="s">
        <v>168</v>
      </c>
      <c r="D256" s="54" t="s">
        <v>169</v>
      </c>
      <c r="E256" s="53" t="s">
        <v>26</v>
      </c>
      <c r="F256" s="55"/>
      <c r="G256" s="53" t="s">
        <v>170</v>
      </c>
      <c r="H256" s="53"/>
      <c r="I256" s="45" t="s">
        <v>1266</v>
      </c>
      <c r="J256" s="45" t="s">
        <v>1332</v>
      </c>
      <c r="K256" s="45" t="s">
        <v>1333</v>
      </c>
      <c r="L256" s="45" t="s">
        <v>1232</v>
      </c>
      <c r="M256" s="47" t="s">
        <v>26</v>
      </c>
      <c r="N256" s="47">
        <v>0</v>
      </c>
      <c r="O256" s="47">
        <v>0</v>
      </c>
      <c r="P256" s="47">
        <v>0</v>
      </c>
      <c r="Q256" s="47">
        <v>1</v>
      </c>
      <c r="R256" s="45" t="s">
        <v>1245</v>
      </c>
      <c r="S256" s="47">
        <v>135</v>
      </c>
      <c r="T256" t="e">
        <f>_xlfn.XLOOKUP(A256,Master!#REF!,Master!G:G)</f>
        <v>#REF!</v>
      </c>
      <c r="AA256">
        <v>8</v>
      </c>
      <c r="AB256">
        <v>118</v>
      </c>
      <c r="AC256" t="s">
        <v>303</v>
      </c>
      <c r="AD256" s="12">
        <v>0</v>
      </c>
      <c r="AE256" s="12">
        <v>1</v>
      </c>
    </row>
    <row r="257" spans="1:31" ht="16.25" customHeight="1" x14ac:dyDescent="0.2">
      <c r="A257" s="10" t="s">
        <v>154</v>
      </c>
      <c r="B257" s="10" t="s">
        <v>85</v>
      </c>
      <c r="C257" s="29" t="s">
        <v>155</v>
      </c>
      <c r="D257" s="29" t="s">
        <v>156</v>
      </c>
      <c r="E257" s="10" t="s">
        <v>26</v>
      </c>
      <c r="F257" s="10"/>
      <c r="G257" s="10" t="s">
        <v>24</v>
      </c>
      <c r="H257" s="10"/>
      <c r="I257" s="30" t="s">
        <v>1266</v>
      </c>
      <c r="J257" s="30" t="s">
        <v>1271</v>
      </c>
      <c r="K257" s="30" t="s">
        <v>1334</v>
      </c>
      <c r="L257" s="30" t="s">
        <v>1232</v>
      </c>
      <c r="M257" s="18" t="s">
        <v>26</v>
      </c>
      <c r="N257" s="18">
        <v>0</v>
      </c>
      <c r="O257" s="18">
        <v>0</v>
      </c>
      <c r="P257" s="18">
        <v>0</v>
      </c>
      <c r="Q257" s="18">
        <v>1</v>
      </c>
      <c r="R257" s="64">
        <v>6</v>
      </c>
      <c r="S257" s="64">
        <v>136</v>
      </c>
      <c r="T257" t="e">
        <f>_xlfn.XLOOKUP(A257,Master!#REF!,Master!G:G)</f>
        <v>#REF!</v>
      </c>
      <c r="AA257">
        <v>8</v>
      </c>
      <c r="AB257">
        <v>118</v>
      </c>
      <c r="AC257" t="s">
        <v>299</v>
      </c>
      <c r="AD257" s="12">
        <v>0</v>
      </c>
      <c r="AE257" s="12">
        <v>1</v>
      </c>
    </row>
    <row r="258" spans="1:31" ht="16.25" customHeight="1" x14ac:dyDescent="0.2">
      <c r="A258" s="32" t="s">
        <v>158</v>
      </c>
      <c r="B258" s="32" t="s">
        <v>85</v>
      </c>
      <c r="C258" s="33" t="s">
        <v>159</v>
      </c>
      <c r="D258" s="33" t="s">
        <v>160</v>
      </c>
      <c r="E258" s="32" t="s">
        <v>26</v>
      </c>
      <c r="F258" s="39"/>
      <c r="G258" s="32" t="s">
        <v>24</v>
      </c>
      <c r="H258" s="32"/>
      <c r="I258" s="30" t="s">
        <v>1266</v>
      </c>
      <c r="J258" s="30" t="s">
        <v>1271</v>
      </c>
      <c r="K258" s="30" t="s">
        <v>1334</v>
      </c>
      <c r="L258" s="30" t="s">
        <v>1232</v>
      </c>
      <c r="M258" s="15" t="s">
        <v>26</v>
      </c>
      <c r="N258" s="15">
        <v>0</v>
      </c>
      <c r="O258" s="15">
        <v>0</v>
      </c>
      <c r="P258" s="15">
        <v>0</v>
      </c>
      <c r="Q258" s="15">
        <v>1</v>
      </c>
      <c r="R258" s="64">
        <v>6</v>
      </c>
      <c r="S258" s="64">
        <v>136</v>
      </c>
      <c r="T258" t="e">
        <f>_xlfn.XLOOKUP(A258,Master!#REF!,Master!G:G)</f>
        <v>#REF!</v>
      </c>
      <c r="AA258">
        <v>8</v>
      </c>
      <c r="AB258">
        <v>119</v>
      </c>
      <c r="AC258" t="s">
        <v>295</v>
      </c>
      <c r="AD258" s="12">
        <v>0</v>
      </c>
      <c r="AE258" s="12">
        <v>1</v>
      </c>
    </row>
    <row r="259" spans="1:31" ht="16.25" customHeight="1" x14ac:dyDescent="0.2">
      <c r="A259" s="10" t="s">
        <v>146</v>
      </c>
      <c r="B259" s="10" t="s">
        <v>85</v>
      </c>
      <c r="C259" s="29" t="s">
        <v>147</v>
      </c>
      <c r="D259" s="29" t="s">
        <v>148</v>
      </c>
      <c r="E259" s="10" t="s">
        <v>26</v>
      </c>
      <c r="F259" s="10"/>
      <c r="G259" s="10" t="s">
        <v>24</v>
      </c>
      <c r="H259" s="10"/>
      <c r="I259" s="30" t="s">
        <v>1266</v>
      </c>
      <c r="J259" s="30" t="s">
        <v>1271</v>
      </c>
      <c r="K259" s="30" t="s">
        <v>1329</v>
      </c>
      <c r="L259" s="30" t="s">
        <v>1232</v>
      </c>
      <c r="M259" s="18" t="s">
        <v>26</v>
      </c>
      <c r="N259" s="18">
        <v>0</v>
      </c>
      <c r="O259" s="18">
        <v>0</v>
      </c>
      <c r="P259" s="18">
        <v>0</v>
      </c>
      <c r="Q259" s="18">
        <v>1</v>
      </c>
      <c r="R259" s="64">
        <v>6</v>
      </c>
      <c r="S259" s="64">
        <v>137</v>
      </c>
      <c r="T259" t="e">
        <f>_xlfn.XLOOKUP(A259,Master!#REF!,Master!G:G)</f>
        <v>#REF!</v>
      </c>
      <c r="AA259">
        <v>8</v>
      </c>
      <c r="AB259">
        <v>119</v>
      </c>
      <c r="AC259" t="s">
        <v>291</v>
      </c>
      <c r="AD259" s="12">
        <v>0</v>
      </c>
      <c r="AE259" s="12">
        <v>1</v>
      </c>
    </row>
    <row r="260" spans="1:31" ht="16.25" customHeight="1" x14ac:dyDescent="0.2">
      <c r="A260" s="15" t="s">
        <v>150</v>
      </c>
      <c r="B260" s="15" t="s">
        <v>85</v>
      </c>
      <c r="C260" s="44" t="s">
        <v>151</v>
      </c>
      <c r="D260" s="44" t="s">
        <v>152</v>
      </c>
      <c r="E260" s="15" t="s">
        <v>26</v>
      </c>
      <c r="F260" s="15"/>
      <c r="G260" s="15" t="s">
        <v>24</v>
      </c>
      <c r="H260" s="15"/>
      <c r="I260" s="30" t="s">
        <v>1266</v>
      </c>
      <c r="J260" s="30" t="s">
        <v>1271</v>
      </c>
      <c r="K260" s="30" t="s">
        <v>1334</v>
      </c>
      <c r="L260" s="30" t="s">
        <v>1232</v>
      </c>
      <c r="M260" s="15" t="s">
        <v>26</v>
      </c>
      <c r="N260" s="15">
        <v>0</v>
      </c>
      <c r="O260" s="15">
        <v>0</v>
      </c>
      <c r="P260" s="15">
        <v>0</v>
      </c>
      <c r="Q260" s="15">
        <v>1</v>
      </c>
      <c r="R260" s="64">
        <v>6</v>
      </c>
      <c r="S260" s="64">
        <v>137</v>
      </c>
      <c r="T260" t="e">
        <f>_xlfn.XLOOKUP(A260,Master!#REF!,Master!G:G)</f>
        <v>#REF!</v>
      </c>
      <c r="AA260">
        <v>8</v>
      </c>
      <c r="AB260">
        <v>120</v>
      </c>
      <c r="AC260" t="s">
        <v>286</v>
      </c>
      <c r="AD260" s="12">
        <v>1</v>
      </c>
      <c r="AE260" s="12">
        <v>2</v>
      </c>
    </row>
    <row r="261" spans="1:31" ht="16.25" customHeight="1" x14ac:dyDescent="0.2">
      <c r="A261" s="10" t="s">
        <v>137</v>
      </c>
      <c r="B261" s="10" t="s">
        <v>85</v>
      </c>
      <c r="C261" s="29" t="s">
        <v>138</v>
      </c>
      <c r="D261" s="29" t="s">
        <v>139</v>
      </c>
      <c r="E261" s="10" t="s">
        <v>26</v>
      </c>
      <c r="F261" s="10"/>
      <c r="G261" s="10" t="s">
        <v>24</v>
      </c>
      <c r="H261" s="10" t="s">
        <v>140</v>
      </c>
      <c r="I261" s="30" t="s">
        <v>1266</v>
      </c>
      <c r="J261" s="30" t="s">
        <v>1335</v>
      </c>
      <c r="K261" s="30" t="s">
        <v>1336</v>
      </c>
      <c r="L261" s="30" t="s">
        <v>1232</v>
      </c>
      <c r="M261" s="18" t="s">
        <v>26</v>
      </c>
      <c r="N261" s="18">
        <v>0</v>
      </c>
      <c r="O261" s="18">
        <v>0</v>
      </c>
      <c r="P261" s="18">
        <v>0</v>
      </c>
      <c r="Q261" s="18">
        <v>1</v>
      </c>
      <c r="R261" s="64">
        <v>6</v>
      </c>
      <c r="S261" s="64">
        <v>138</v>
      </c>
      <c r="T261" t="e">
        <f>_xlfn.XLOOKUP(A261,Master!#REF!,Master!G:G)</f>
        <v>#REF!</v>
      </c>
      <c r="AA261">
        <v>8</v>
      </c>
      <c r="AB261">
        <v>121</v>
      </c>
      <c r="AC261" t="s">
        <v>281</v>
      </c>
      <c r="AD261" s="12">
        <v>1</v>
      </c>
      <c r="AE261" s="12">
        <v>2</v>
      </c>
    </row>
    <row r="262" spans="1:31" ht="16.25" customHeight="1" x14ac:dyDescent="0.2">
      <c r="A262" s="10" t="s">
        <v>142</v>
      </c>
      <c r="B262" s="10" t="s">
        <v>85</v>
      </c>
      <c r="C262" s="29" t="s">
        <v>143</v>
      </c>
      <c r="D262" s="29" t="s">
        <v>144</v>
      </c>
      <c r="E262" s="10" t="s">
        <v>26</v>
      </c>
      <c r="F262" s="10"/>
      <c r="G262" s="10" t="s">
        <v>24</v>
      </c>
      <c r="H262" s="10"/>
      <c r="I262" s="30" t="s">
        <v>1266</v>
      </c>
      <c r="J262" s="30" t="s">
        <v>1271</v>
      </c>
      <c r="K262" s="30" t="s">
        <v>1272</v>
      </c>
      <c r="L262" s="30" t="s">
        <v>1232</v>
      </c>
      <c r="M262" s="18" t="s">
        <v>26</v>
      </c>
      <c r="N262" s="18">
        <v>0</v>
      </c>
      <c r="O262" s="18">
        <v>0</v>
      </c>
      <c r="P262" s="18">
        <v>0</v>
      </c>
      <c r="Q262" s="18">
        <v>1</v>
      </c>
      <c r="R262" s="64">
        <v>6</v>
      </c>
      <c r="S262" s="64">
        <v>138</v>
      </c>
      <c r="T262" t="e">
        <f>_xlfn.XLOOKUP(A262,Master!#REF!,Master!G:G)</f>
        <v>#REF!</v>
      </c>
      <c r="AA262">
        <v>8</v>
      </c>
      <c r="AB262">
        <v>122</v>
      </c>
      <c r="AC262" t="s">
        <v>277</v>
      </c>
      <c r="AD262" s="12">
        <v>0</v>
      </c>
      <c r="AE262" s="12">
        <v>1</v>
      </c>
    </row>
    <row r="263" spans="1:31" ht="16.25" customHeight="1" x14ac:dyDescent="0.2">
      <c r="A263" s="32" t="s">
        <v>129</v>
      </c>
      <c r="B263" s="32" t="s">
        <v>85</v>
      </c>
      <c r="C263" s="33" t="s">
        <v>130</v>
      </c>
      <c r="D263" s="33" t="s">
        <v>131</v>
      </c>
      <c r="E263" s="32" t="s">
        <v>26</v>
      </c>
      <c r="F263" s="32"/>
      <c r="G263" s="32" t="s">
        <v>24</v>
      </c>
      <c r="H263" s="32"/>
      <c r="I263" s="30" t="s">
        <v>1266</v>
      </c>
      <c r="J263" s="30" t="s">
        <v>1271</v>
      </c>
      <c r="K263" s="30" t="s">
        <v>1272</v>
      </c>
      <c r="L263" s="30" t="s">
        <v>1232</v>
      </c>
      <c r="M263" s="15" t="s">
        <v>26</v>
      </c>
      <c r="N263" s="15">
        <v>0</v>
      </c>
      <c r="O263" s="15">
        <v>0</v>
      </c>
      <c r="P263" s="15">
        <v>0</v>
      </c>
      <c r="Q263" s="15">
        <v>1</v>
      </c>
      <c r="R263" s="64">
        <v>6</v>
      </c>
      <c r="S263" s="64">
        <v>139</v>
      </c>
      <c r="T263" t="e">
        <f>_xlfn.XLOOKUP(A263,Master!#REF!,Master!G:G)</f>
        <v>#REF!</v>
      </c>
      <c r="AA263">
        <v>8</v>
      </c>
      <c r="AB263">
        <v>122</v>
      </c>
      <c r="AC263" t="s">
        <v>273</v>
      </c>
      <c r="AD263" s="12">
        <v>0</v>
      </c>
      <c r="AE263" s="12">
        <v>1</v>
      </c>
    </row>
    <row r="264" spans="1:31" ht="16.25" customHeight="1" x14ac:dyDescent="0.2">
      <c r="A264" s="10" t="s">
        <v>133</v>
      </c>
      <c r="B264" s="10" t="s">
        <v>85</v>
      </c>
      <c r="C264" s="29" t="s">
        <v>134</v>
      </c>
      <c r="D264" s="29" t="s">
        <v>135</v>
      </c>
      <c r="E264" s="10" t="s">
        <v>26</v>
      </c>
      <c r="F264" s="10"/>
      <c r="G264" s="10" t="s">
        <v>24</v>
      </c>
      <c r="H264" s="10"/>
      <c r="I264" s="30" t="s">
        <v>1266</v>
      </c>
      <c r="J264" s="30" t="s">
        <v>1324</v>
      </c>
      <c r="K264" s="30" t="s">
        <v>1323</v>
      </c>
      <c r="L264" s="30" t="s">
        <v>1232</v>
      </c>
      <c r="M264" s="18" t="s">
        <v>26</v>
      </c>
      <c r="N264" s="18">
        <v>0</v>
      </c>
      <c r="O264" s="18">
        <v>0</v>
      </c>
      <c r="P264" s="18">
        <v>0</v>
      </c>
      <c r="Q264" s="18">
        <v>1</v>
      </c>
      <c r="R264" s="64">
        <v>6</v>
      </c>
      <c r="S264" s="64">
        <v>139</v>
      </c>
      <c r="T264" t="e">
        <f>_xlfn.XLOOKUP(A264,Master!#REF!,Master!G:G)</f>
        <v>#REF!</v>
      </c>
      <c r="AA264">
        <v>8</v>
      </c>
      <c r="AB264">
        <v>123</v>
      </c>
      <c r="AC264" t="s">
        <v>419</v>
      </c>
      <c r="AD264" s="12">
        <v>0</v>
      </c>
      <c r="AE264" s="12">
        <v>1</v>
      </c>
    </row>
    <row r="265" spans="1:31" ht="16.25" customHeight="1" x14ac:dyDescent="0.2">
      <c r="A265" s="32" t="s">
        <v>121</v>
      </c>
      <c r="B265" s="32" t="s">
        <v>85</v>
      </c>
      <c r="C265" s="33" t="s">
        <v>122</v>
      </c>
      <c r="D265" s="33" t="s">
        <v>123</v>
      </c>
      <c r="E265" s="32" t="s">
        <v>26</v>
      </c>
      <c r="F265" s="32"/>
      <c r="G265" s="32" t="s">
        <v>24</v>
      </c>
      <c r="H265" s="32"/>
      <c r="I265" s="30" t="s">
        <v>1266</v>
      </c>
      <c r="J265" s="30" t="s">
        <v>1271</v>
      </c>
      <c r="K265" s="30" t="s">
        <v>1329</v>
      </c>
      <c r="L265" s="30" t="s">
        <v>1232</v>
      </c>
      <c r="M265" s="15" t="s">
        <v>26</v>
      </c>
      <c r="N265" s="15">
        <v>0</v>
      </c>
      <c r="O265" s="15">
        <v>0</v>
      </c>
      <c r="P265" s="15">
        <v>0</v>
      </c>
      <c r="Q265" s="15">
        <v>1</v>
      </c>
      <c r="R265" s="64">
        <v>6</v>
      </c>
      <c r="S265" s="64">
        <v>140</v>
      </c>
      <c r="T265" t="e">
        <f>_xlfn.XLOOKUP(A265,Master!#REF!,Master!G:G)</f>
        <v>#REF!</v>
      </c>
      <c r="AA265">
        <v>8</v>
      </c>
      <c r="AB265">
        <v>123</v>
      </c>
      <c r="AC265" t="s">
        <v>268</v>
      </c>
      <c r="AD265" s="12">
        <v>0</v>
      </c>
      <c r="AE265" s="12">
        <v>1</v>
      </c>
    </row>
    <row r="266" spans="1:31" ht="16.25" customHeight="1" x14ac:dyDescent="0.2">
      <c r="A266" s="10" t="s">
        <v>125</v>
      </c>
      <c r="B266" s="10" t="s">
        <v>85</v>
      </c>
      <c r="C266" s="29" t="s">
        <v>126</v>
      </c>
      <c r="D266" s="29" t="s">
        <v>127</v>
      </c>
      <c r="E266" s="10" t="s">
        <v>26</v>
      </c>
      <c r="F266" s="10"/>
      <c r="G266" s="10" t="s">
        <v>24</v>
      </c>
      <c r="H266" s="10"/>
      <c r="I266" s="30" t="s">
        <v>1266</v>
      </c>
      <c r="J266" s="30" t="s">
        <v>1271</v>
      </c>
      <c r="K266" s="30" t="s">
        <v>1329</v>
      </c>
      <c r="L266" s="30" t="s">
        <v>1232</v>
      </c>
      <c r="M266" s="18" t="s">
        <v>26</v>
      </c>
      <c r="N266" s="18">
        <v>0</v>
      </c>
      <c r="O266" s="18">
        <v>0</v>
      </c>
      <c r="P266" s="18">
        <v>0</v>
      </c>
      <c r="Q266" s="18">
        <v>1</v>
      </c>
      <c r="R266" s="64">
        <v>6</v>
      </c>
      <c r="S266" s="64">
        <v>140</v>
      </c>
      <c r="T266" t="e">
        <f>_xlfn.XLOOKUP(A266,Master!#REF!,Master!G:G)</f>
        <v>#REF!</v>
      </c>
      <c r="AA266">
        <v>8</v>
      </c>
      <c r="AB266">
        <v>123</v>
      </c>
      <c r="AC266" t="s">
        <v>264</v>
      </c>
      <c r="AD266" s="12">
        <v>0</v>
      </c>
      <c r="AE266" s="12">
        <v>1</v>
      </c>
    </row>
    <row r="267" spans="1:31" ht="16.25" customHeight="1" x14ac:dyDescent="0.2">
      <c r="A267" s="32" t="s">
        <v>113</v>
      </c>
      <c r="B267" s="32" t="s">
        <v>85</v>
      </c>
      <c r="C267" s="33" t="s">
        <v>114</v>
      </c>
      <c r="D267" s="33" t="s">
        <v>115</v>
      </c>
      <c r="E267" s="32" t="s">
        <v>26</v>
      </c>
      <c r="F267" s="32"/>
      <c r="G267" s="32" t="s">
        <v>24</v>
      </c>
      <c r="H267" s="32"/>
      <c r="I267" s="30" t="s">
        <v>1266</v>
      </c>
      <c r="J267" s="30" t="s">
        <v>1271</v>
      </c>
      <c r="K267" s="30" t="s">
        <v>1329</v>
      </c>
      <c r="L267" s="30" t="s">
        <v>1232</v>
      </c>
      <c r="M267" s="15" t="s">
        <v>26</v>
      </c>
      <c r="N267" s="15">
        <v>0</v>
      </c>
      <c r="O267" s="15">
        <v>0</v>
      </c>
      <c r="P267" s="15">
        <v>0</v>
      </c>
      <c r="Q267" s="15">
        <v>1</v>
      </c>
      <c r="R267" s="64">
        <v>6</v>
      </c>
      <c r="S267" s="64">
        <v>141</v>
      </c>
      <c r="T267" t="e">
        <f>_xlfn.XLOOKUP(A267,Master!#REF!,Master!G:G)</f>
        <v>#REF!</v>
      </c>
      <c r="AA267">
        <v>8</v>
      </c>
      <c r="AB267">
        <v>124</v>
      </c>
      <c r="AC267" t="s">
        <v>260</v>
      </c>
      <c r="AD267" s="12">
        <v>0</v>
      </c>
      <c r="AE267" s="12">
        <v>1</v>
      </c>
    </row>
    <row r="268" spans="1:31" ht="16.25" customHeight="1" x14ac:dyDescent="0.2">
      <c r="A268" s="32" t="s">
        <v>117</v>
      </c>
      <c r="B268" s="32" t="s">
        <v>85</v>
      </c>
      <c r="C268" s="33" t="s">
        <v>118</v>
      </c>
      <c r="D268" s="33" t="s">
        <v>119</v>
      </c>
      <c r="E268" s="32" t="s">
        <v>26</v>
      </c>
      <c r="F268" s="32"/>
      <c r="G268" s="32" t="s">
        <v>24</v>
      </c>
      <c r="H268" s="32"/>
      <c r="I268" s="30" t="s">
        <v>1266</v>
      </c>
      <c r="J268" s="30" t="s">
        <v>1271</v>
      </c>
      <c r="K268" s="30" t="s">
        <v>1329</v>
      </c>
      <c r="L268" s="30" t="s">
        <v>1232</v>
      </c>
      <c r="M268" s="15" t="s">
        <v>26</v>
      </c>
      <c r="N268" s="15">
        <v>0</v>
      </c>
      <c r="O268" s="15">
        <v>0</v>
      </c>
      <c r="P268" s="15">
        <v>0</v>
      </c>
      <c r="Q268" s="15">
        <v>1</v>
      </c>
      <c r="R268" s="64">
        <v>6</v>
      </c>
      <c r="S268" s="64">
        <v>141</v>
      </c>
      <c r="T268" t="e">
        <f>_xlfn.XLOOKUP(A268,Master!#REF!,Master!G:G)</f>
        <v>#REF!</v>
      </c>
      <c r="AA268">
        <v>8</v>
      </c>
      <c r="AB268">
        <v>124</v>
      </c>
      <c r="AC268" t="s">
        <v>256</v>
      </c>
      <c r="AD268" s="12">
        <v>0</v>
      </c>
      <c r="AE268" s="12">
        <v>1</v>
      </c>
    </row>
    <row r="269" spans="1:31" ht="16.25" customHeight="1" x14ac:dyDescent="0.2">
      <c r="A269" s="10" t="s">
        <v>105</v>
      </c>
      <c r="B269" s="10" t="s">
        <v>85</v>
      </c>
      <c r="C269" s="29" t="s">
        <v>106</v>
      </c>
      <c r="D269" s="29" t="s">
        <v>107</v>
      </c>
      <c r="E269" s="10" t="s">
        <v>26</v>
      </c>
      <c r="F269" s="10"/>
      <c r="G269" s="10" t="s">
        <v>24</v>
      </c>
      <c r="H269" s="10"/>
      <c r="I269" s="30" t="s">
        <v>1266</v>
      </c>
      <c r="J269" s="30" t="s">
        <v>1271</v>
      </c>
      <c r="K269" s="30" t="s">
        <v>1329</v>
      </c>
      <c r="L269" s="30" t="s">
        <v>1232</v>
      </c>
      <c r="M269" s="18" t="s">
        <v>26</v>
      </c>
      <c r="N269" s="18">
        <v>0</v>
      </c>
      <c r="O269" s="18">
        <v>0</v>
      </c>
      <c r="P269" s="18">
        <v>0</v>
      </c>
      <c r="Q269" s="18">
        <v>1</v>
      </c>
      <c r="R269" s="64">
        <v>6</v>
      </c>
      <c r="S269" s="64">
        <v>142</v>
      </c>
      <c r="T269" t="e">
        <f>_xlfn.XLOOKUP(A269,Master!#REF!,Master!G:G)</f>
        <v>#REF!</v>
      </c>
      <c r="AA269">
        <v>8</v>
      </c>
      <c r="AB269">
        <v>125</v>
      </c>
      <c r="AC269" t="s">
        <v>252</v>
      </c>
      <c r="AD269" s="12">
        <v>0</v>
      </c>
      <c r="AE269" s="12">
        <v>1</v>
      </c>
    </row>
    <row r="270" spans="1:31" ht="16.25" customHeight="1" x14ac:dyDescent="0.2">
      <c r="A270" s="32" t="s">
        <v>109</v>
      </c>
      <c r="B270" s="32" t="s">
        <v>85</v>
      </c>
      <c r="C270" s="33" t="s">
        <v>110</v>
      </c>
      <c r="D270" s="33" t="s">
        <v>111</v>
      </c>
      <c r="E270" s="32" t="s">
        <v>26</v>
      </c>
      <c r="F270" s="39"/>
      <c r="G270" s="32" t="s">
        <v>24</v>
      </c>
      <c r="H270" s="32"/>
      <c r="I270" s="30" t="s">
        <v>1266</v>
      </c>
      <c r="J270" s="30" t="s">
        <v>1271</v>
      </c>
      <c r="K270" s="30" t="s">
        <v>1329</v>
      </c>
      <c r="L270" s="30" t="s">
        <v>1232</v>
      </c>
      <c r="M270" s="15" t="s">
        <v>26</v>
      </c>
      <c r="N270" s="15">
        <v>0</v>
      </c>
      <c r="O270" s="15">
        <v>0</v>
      </c>
      <c r="P270" s="15">
        <v>0</v>
      </c>
      <c r="Q270" s="15">
        <v>1</v>
      </c>
      <c r="R270" s="64">
        <v>6</v>
      </c>
      <c r="S270" s="64">
        <v>142</v>
      </c>
      <c r="T270" t="e">
        <f>_xlfn.XLOOKUP(A270,Master!#REF!,Master!G:G)</f>
        <v>#REF!</v>
      </c>
      <c r="AA270">
        <v>8</v>
      </c>
      <c r="AB270">
        <v>125</v>
      </c>
      <c r="AC270" t="s">
        <v>248</v>
      </c>
      <c r="AD270" s="12">
        <v>0</v>
      </c>
      <c r="AE270" s="12">
        <v>1</v>
      </c>
    </row>
    <row r="271" spans="1:31" ht="16.25" customHeight="1" x14ac:dyDescent="0.2">
      <c r="A271" s="32" t="s">
        <v>100</v>
      </c>
      <c r="B271" s="32" t="s">
        <v>85</v>
      </c>
      <c r="C271" s="33" t="s">
        <v>101</v>
      </c>
      <c r="D271" s="33" t="s">
        <v>102</v>
      </c>
      <c r="E271" s="32" t="s">
        <v>23</v>
      </c>
      <c r="F271" s="39" t="s">
        <v>103</v>
      </c>
      <c r="G271" s="32" t="s">
        <v>24</v>
      </c>
      <c r="H271" s="32"/>
      <c r="I271" s="30" t="s">
        <v>1266</v>
      </c>
      <c r="J271" s="30" t="s">
        <v>1332</v>
      </c>
      <c r="K271" s="30" t="s">
        <v>1333</v>
      </c>
      <c r="L271" s="30" t="s">
        <v>1232</v>
      </c>
      <c r="M271" s="15" t="s">
        <v>23</v>
      </c>
      <c r="N271" s="15">
        <v>1</v>
      </c>
      <c r="O271" s="15">
        <v>1</v>
      </c>
      <c r="P271" s="15">
        <v>2</v>
      </c>
      <c r="Q271" s="15">
        <v>3</v>
      </c>
      <c r="R271" s="64">
        <v>6</v>
      </c>
      <c r="S271" s="64">
        <v>143</v>
      </c>
      <c r="T271" t="e">
        <f>_xlfn.XLOOKUP(A271,Master!#REF!,Master!G:G)</f>
        <v>#REF!</v>
      </c>
      <c r="AA271">
        <v>8</v>
      </c>
      <c r="AB271">
        <v>126</v>
      </c>
      <c r="AC271" t="s">
        <v>244</v>
      </c>
      <c r="AD271" s="12">
        <v>0</v>
      </c>
      <c r="AE271" s="12">
        <v>1</v>
      </c>
    </row>
    <row r="272" spans="1:31" ht="16.25" customHeight="1" x14ac:dyDescent="0.2">
      <c r="A272" s="32" t="s">
        <v>95</v>
      </c>
      <c r="B272" s="32" t="s">
        <v>85</v>
      </c>
      <c r="C272" s="33" t="s">
        <v>96</v>
      </c>
      <c r="D272" s="33" t="s">
        <v>97</v>
      </c>
      <c r="E272" s="32" t="s">
        <v>26</v>
      </c>
      <c r="F272" s="32"/>
      <c r="G272" s="32" t="s">
        <v>24</v>
      </c>
      <c r="H272" s="32" t="s">
        <v>98</v>
      </c>
      <c r="I272" s="30" t="s">
        <v>1266</v>
      </c>
      <c r="J272" s="30" t="s">
        <v>1330</v>
      </c>
      <c r="K272" s="30" t="s">
        <v>1326</v>
      </c>
      <c r="L272" s="30" t="s">
        <v>1232</v>
      </c>
      <c r="M272" s="15" t="s">
        <v>26</v>
      </c>
      <c r="N272" s="15">
        <v>0</v>
      </c>
      <c r="O272" s="15">
        <v>0</v>
      </c>
      <c r="P272" s="15">
        <v>0</v>
      </c>
      <c r="Q272" s="15">
        <v>1</v>
      </c>
      <c r="R272" s="64">
        <v>6</v>
      </c>
      <c r="S272" s="69">
        <v>144</v>
      </c>
      <c r="T272" t="e">
        <f>_xlfn.XLOOKUP(A272,Master!#REF!,Master!G:G)</f>
        <v>#REF!</v>
      </c>
      <c r="AA272">
        <v>8</v>
      </c>
      <c r="AB272">
        <v>126</v>
      </c>
      <c r="AC272" t="s">
        <v>240</v>
      </c>
      <c r="AD272" s="12">
        <v>0</v>
      </c>
      <c r="AE272" s="12">
        <v>1</v>
      </c>
    </row>
    <row r="273" spans="1:31" ht="16.25" customHeight="1" x14ac:dyDescent="0.2">
      <c r="AA273">
        <v>8</v>
      </c>
      <c r="AB273">
        <v>127</v>
      </c>
      <c r="AC273" t="s">
        <v>236</v>
      </c>
      <c r="AD273" s="12">
        <v>0</v>
      </c>
      <c r="AE273" s="12">
        <v>1</v>
      </c>
    </row>
    <row r="274" spans="1:31" ht="16.25" customHeight="1" x14ac:dyDescent="0.2">
      <c r="A274" s="32"/>
      <c r="B274" s="32"/>
      <c r="C274" s="33"/>
      <c r="D274" s="33"/>
      <c r="E274" s="32"/>
      <c r="F274" s="32"/>
      <c r="G274" s="32"/>
      <c r="H274" s="32"/>
      <c r="I274" s="30"/>
      <c r="J274" s="30"/>
      <c r="K274" s="30"/>
      <c r="L274" s="30"/>
      <c r="M274" s="15"/>
      <c r="N274" s="15"/>
      <c r="O274" s="15"/>
      <c r="P274" s="15"/>
      <c r="Q274" s="15"/>
      <c r="R274" s="17"/>
      <c r="S274" s="17"/>
      <c r="AA274" t="s">
        <v>1222</v>
      </c>
      <c r="AD274" s="12">
        <v>2</v>
      </c>
      <c r="AE274" s="12">
        <v>37</v>
      </c>
    </row>
    <row r="275" spans="1:31" x14ac:dyDescent="0.2">
      <c r="AA275" t="s">
        <v>1223</v>
      </c>
      <c r="AB275" t="s">
        <v>1223</v>
      </c>
      <c r="AC275" t="s">
        <v>1223</v>
      </c>
      <c r="AD275" s="12"/>
      <c r="AE275" s="12"/>
    </row>
    <row r="276" spans="1:31" x14ac:dyDescent="0.2">
      <c r="AA276" t="s">
        <v>1224</v>
      </c>
      <c r="AD276" s="12"/>
      <c r="AE276" s="12"/>
    </row>
    <row r="277" spans="1:31" x14ac:dyDescent="0.2">
      <c r="AA277" t="s">
        <v>1245</v>
      </c>
      <c r="AB277">
        <v>55</v>
      </c>
      <c r="AC277" t="s">
        <v>781</v>
      </c>
      <c r="AD277" s="12">
        <v>0</v>
      </c>
      <c r="AE277" s="12">
        <v>1</v>
      </c>
    </row>
    <row r="278" spans="1:31" x14ac:dyDescent="0.2">
      <c r="AA278" t="s">
        <v>1245</v>
      </c>
      <c r="AB278">
        <v>78</v>
      </c>
      <c r="AC278" t="s">
        <v>617</v>
      </c>
      <c r="AD278" s="12">
        <v>0</v>
      </c>
      <c r="AE278" s="12">
        <v>1</v>
      </c>
    </row>
    <row r="279" spans="1:31" x14ac:dyDescent="0.2">
      <c r="AA279" t="s">
        <v>1245</v>
      </c>
      <c r="AB279">
        <v>78</v>
      </c>
      <c r="AC279" t="s">
        <v>621</v>
      </c>
      <c r="AD279" s="12">
        <v>0</v>
      </c>
      <c r="AE279" s="12">
        <v>1</v>
      </c>
    </row>
    <row r="280" spans="1:31" x14ac:dyDescent="0.2">
      <c r="AA280" t="s">
        <v>1245</v>
      </c>
      <c r="AB280">
        <v>92</v>
      </c>
      <c r="AC280" t="s">
        <v>508</v>
      </c>
      <c r="AD280" s="12">
        <v>0</v>
      </c>
      <c r="AE280" s="12">
        <v>1</v>
      </c>
    </row>
    <row r="281" spans="1:31" x14ac:dyDescent="0.2">
      <c r="AA281" t="s">
        <v>1245</v>
      </c>
      <c r="AB281">
        <v>92</v>
      </c>
      <c r="AC281" t="s">
        <v>512</v>
      </c>
      <c r="AD281" s="12">
        <v>0</v>
      </c>
      <c r="AE281" s="12">
        <v>1</v>
      </c>
    </row>
    <row r="282" spans="1:31" x14ac:dyDescent="0.2">
      <c r="AA282" t="s">
        <v>1245</v>
      </c>
      <c r="AB282">
        <v>93</v>
      </c>
      <c r="AC282" t="s">
        <v>503</v>
      </c>
      <c r="AD282" s="12">
        <v>2</v>
      </c>
      <c r="AE282" s="12">
        <v>3</v>
      </c>
    </row>
    <row r="283" spans="1:31" x14ac:dyDescent="0.2">
      <c r="AA283" t="s">
        <v>1245</v>
      </c>
      <c r="AB283">
        <v>135</v>
      </c>
      <c r="AC283" t="s">
        <v>167</v>
      </c>
      <c r="AD283" s="12">
        <v>0</v>
      </c>
      <c r="AE283" s="12">
        <v>1</v>
      </c>
    </row>
    <row r="284" spans="1:31" x14ac:dyDescent="0.2">
      <c r="AA284" t="s">
        <v>1245</v>
      </c>
      <c r="AB284">
        <v>77</v>
      </c>
      <c r="AC284" t="s">
        <v>625</v>
      </c>
      <c r="AD284" s="12">
        <v>1</v>
      </c>
      <c r="AE284" s="12">
        <v>2</v>
      </c>
    </row>
    <row r="285" spans="1:31" x14ac:dyDescent="0.2">
      <c r="AA285" t="s">
        <v>1337</v>
      </c>
      <c r="AD285" s="12">
        <v>3</v>
      </c>
      <c r="AE285" s="12">
        <v>11</v>
      </c>
    </row>
    <row r="286" spans="1:31" x14ac:dyDescent="0.2">
      <c r="AA286" t="s">
        <v>1225</v>
      </c>
      <c r="AD286" s="12">
        <v>23</v>
      </c>
      <c r="AE286" s="12">
        <v>294</v>
      </c>
    </row>
  </sheetData>
  <autoFilter ref="A1:W274" xr:uid="{560193A3-B4EA-4548-A70F-3E55010F0B0C}"/>
  <conditionalFormatting sqref="A274 A1:A272">
    <cfRule type="duplicateValues" dxfId="14" priority="5"/>
  </conditionalFormatting>
  <conditionalFormatting sqref="A274:A1048576 A1:A272">
    <cfRule type="duplicateValues" dxfId="13" priority="4"/>
  </conditionalFormatting>
  <conditionalFormatting sqref="AJ1:AJ1048576">
    <cfRule type="duplicateValues" dxfId="12" priority="1"/>
  </conditionalFormatting>
  <conditionalFormatting sqref="AP1:AP1048576">
    <cfRule type="cellIs" dxfId="11" priority="2" operator="lessThan">
      <formula>2</formula>
    </cfRule>
    <cfRule type="cellIs" dxfId="10" priority="3" operator="greater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F7C5-848B-4248-9AD5-1EDD00DD5A07}">
  <sheetPr filterMode="1"/>
  <dimension ref="A1:AC272"/>
  <sheetViews>
    <sheetView zoomScale="72" workbookViewId="0">
      <selection activeCell="R268" sqref="R268"/>
    </sheetView>
  </sheetViews>
  <sheetFormatPr baseColWidth="10" defaultColWidth="8.83203125" defaultRowHeight="15" x14ac:dyDescent="0.2"/>
  <cols>
    <col min="1" max="1" width="30.5" bestFit="1" customWidth="1"/>
    <col min="6" max="6" width="10.6640625" customWidth="1"/>
    <col min="9" max="9" width="34.33203125" bestFit="1" customWidth="1"/>
    <col min="10" max="10" width="30.6640625" bestFit="1" customWidth="1"/>
    <col min="25" max="25" width="17.1640625" bestFit="1" customWidth="1"/>
    <col min="26" max="26" width="18.5" bestFit="1" customWidth="1"/>
  </cols>
  <sheetData>
    <row r="1" spans="1:29" x14ac:dyDescent="0.2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27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  <c r="R1" s="28" t="s">
        <v>18</v>
      </c>
      <c r="S1" s="28" t="s">
        <v>19</v>
      </c>
      <c r="Y1" s="9" t="s">
        <v>13</v>
      </c>
      <c r="Z1" t="s">
        <v>26</v>
      </c>
    </row>
    <row r="2" spans="1:29" hidden="1" x14ac:dyDescent="0.2">
      <c r="A2" s="10" t="s">
        <v>850</v>
      </c>
      <c r="B2" s="10" t="s">
        <v>85</v>
      </c>
      <c r="C2" s="29" t="s">
        <v>851</v>
      </c>
      <c r="D2" s="29" t="s">
        <v>852</v>
      </c>
      <c r="E2" s="10" t="s">
        <v>26</v>
      </c>
      <c r="F2" s="10"/>
      <c r="G2" s="10" t="s">
        <v>24</v>
      </c>
      <c r="H2" s="10"/>
      <c r="I2" s="30" t="s">
        <v>1229</v>
      </c>
      <c r="J2" s="30" t="s">
        <v>1230</v>
      </c>
      <c r="K2" s="30" t="s">
        <v>1231</v>
      </c>
      <c r="L2" s="30" t="s">
        <v>1232</v>
      </c>
      <c r="M2" s="18" t="s">
        <v>26</v>
      </c>
      <c r="N2" s="18">
        <v>0</v>
      </c>
      <c r="O2" s="18">
        <v>0</v>
      </c>
      <c r="P2" s="18">
        <v>0</v>
      </c>
      <c r="Q2" s="18">
        <v>1</v>
      </c>
      <c r="R2" s="31">
        <v>3</v>
      </c>
      <c r="S2" s="31">
        <v>45</v>
      </c>
    </row>
    <row r="3" spans="1:29" hidden="1" x14ac:dyDescent="0.2">
      <c r="A3" s="32" t="s">
        <v>1201</v>
      </c>
      <c r="B3" s="32" t="s">
        <v>85</v>
      </c>
      <c r="C3" s="33" t="s">
        <v>1202</v>
      </c>
      <c r="D3" s="33" t="s">
        <v>1203</v>
      </c>
      <c r="E3" s="32" t="s">
        <v>26</v>
      </c>
      <c r="F3" s="32"/>
      <c r="G3" s="32" t="s">
        <v>24</v>
      </c>
      <c r="H3" s="32"/>
      <c r="I3" s="30" t="s">
        <v>1229</v>
      </c>
      <c r="J3" s="30" t="s">
        <v>1230</v>
      </c>
      <c r="K3" s="30" t="s">
        <v>1233</v>
      </c>
      <c r="L3" s="30" t="s">
        <v>1232</v>
      </c>
      <c r="M3" s="15" t="s">
        <v>26</v>
      </c>
      <c r="N3" s="15">
        <v>0</v>
      </c>
      <c r="O3" s="15">
        <v>0</v>
      </c>
      <c r="P3" s="15">
        <v>0</v>
      </c>
      <c r="Q3" s="15">
        <v>1</v>
      </c>
      <c r="R3" s="31">
        <v>1</v>
      </c>
      <c r="S3" s="31">
        <v>1</v>
      </c>
      <c r="Y3" s="9" t="s">
        <v>1338</v>
      </c>
      <c r="Z3" t="s">
        <v>1214</v>
      </c>
      <c r="AB3">
        <f>MAX(Z:Z)</f>
        <v>256</v>
      </c>
    </row>
    <row r="4" spans="1:29" hidden="1" x14ac:dyDescent="0.2">
      <c r="A4" s="10" t="s">
        <v>1192</v>
      </c>
      <c r="B4" s="10" t="s">
        <v>85</v>
      </c>
      <c r="C4" s="29" t="s">
        <v>1193</v>
      </c>
      <c r="D4" s="29" t="s">
        <v>1194</v>
      </c>
      <c r="E4" s="10" t="s">
        <v>26</v>
      </c>
      <c r="F4" s="10"/>
      <c r="G4" s="10" t="s">
        <v>24</v>
      </c>
      <c r="H4" s="10"/>
      <c r="I4" s="30" t="s">
        <v>1229</v>
      </c>
      <c r="J4" s="30" t="s">
        <v>1230</v>
      </c>
      <c r="K4" s="30" t="s">
        <v>1233</v>
      </c>
      <c r="L4" s="30" t="s">
        <v>1232</v>
      </c>
      <c r="M4" s="18" t="s">
        <v>26</v>
      </c>
      <c r="N4" s="18">
        <v>0</v>
      </c>
      <c r="O4" s="18">
        <v>0</v>
      </c>
      <c r="P4" s="18">
        <v>0</v>
      </c>
      <c r="Q4" s="18">
        <v>1</v>
      </c>
      <c r="R4" s="31">
        <v>1</v>
      </c>
      <c r="S4" s="31">
        <v>2</v>
      </c>
      <c r="Y4" s="71">
        <v>1</v>
      </c>
      <c r="Z4">
        <v>2</v>
      </c>
      <c r="AC4">
        <f>Z4</f>
        <v>2</v>
      </c>
    </row>
    <row r="5" spans="1:29" hidden="1" x14ac:dyDescent="0.2">
      <c r="A5" s="32" t="s">
        <v>1196</v>
      </c>
      <c r="B5" s="32" t="s">
        <v>85</v>
      </c>
      <c r="C5" s="33" t="s">
        <v>1197</v>
      </c>
      <c r="D5" s="33" t="s">
        <v>1198</v>
      </c>
      <c r="E5" s="32" t="s">
        <v>26</v>
      </c>
      <c r="F5" s="26"/>
      <c r="G5" s="32" t="s">
        <v>24</v>
      </c>
      <c r="H5" s="32" t="s">
        <v>1199</v>
      </c>
      <c r="I5" s="30" t="s">
        <v>1229</v>
      </c>
      <c r="J5" s="30" t="s">
        <v>1230</v>
      </c>
      <c r="K5" s="30" t="s">
        <v>1233</v>
      </c>
      <c r="L5" s="30" t="s">
        <v>1232</v>
      </c>
      <c r="M5" s="15" t="s">
        <v>26</v>
      </c>
      <c r="N5" s="15">
        <v>0</v>
      </c>
      <c r="O5" s="15">
        <v>0</v>
      </c>
      <c r="P5" s="15">
        <v>0</v>
      </c>
      <c r="Q5" s="15">
        <v>1</v>
      </c>
      <c r="R5" s="31">
        <v>1</v>
      </c>
      <c r="S5" s="31">
        <v>2</v>
      </c>
      <c r="Y5" s="71">
        <v>2</v>
      </c>
      <c r="Z5">
        <v>2</v>
      </c>
      <c r="AC5">
        <f t="shared" ref="AC5:AC68" si="0">Z5</f>
        <v>2</v>
      </c>
    </row>
    <row r="6" spans="1:29" hidden="1" x14ac:dyDescent="0.2">
      <c r="A6" s="32" t="s">
        <v>1183</v>
      </c>
      <c r="B6" s="32" t="s">
        <v>85</v>
      </c>
      <c r="C6" s="33" t="s">
        <v>1184</v>
      </c>
      <c r="D6" s="33" t="s">
        <v>1185</v>
      </c>
      <c r="E6" s="32" t="s">
        <v>26</v>
      </c>
      <c r="F6" s="32"/>
      <c r="G6" s="32" t="s">
        <v>24</v>
      </c>
      <c r="H6" s="32"/>
      <c r="I6" s="30" t="s">
        <v>1229</v>
      </c>
      <c r="J6" s="30" t="s">
        <v>1230</v>
      </c>
      <c r="K6" s="30" t="s">
        <v>1231</v>
      </c>
      <c r="L6" s="30" t="s">
        <v>1232</v>
      </c>
      <c r="M6" s="15" t="s">
        <v>26</v>
      </c>
      <c r="N6" s="15">
        <v>0</v>
      </c>
      <c r="O6" s="15">
        <v>0</v>
      </c>
      <c r="P6" s="15">
        <v>0</v>
      </c>
      <c r="Q6" s="15">
        <v>1</v>
      </c>
      <c r="R6" s="31">
        <v>1</v>
      </c>
      <c r="S6" s="31">
        <v>3</v>
      </c>
      <c r="Y6" s="71">
        <v>3</v>
      </c>
      <c r="Z6">
        <v>2</v>
      </c>
      <c r="AC6">
        <f t="shared" si="0"/>
        <v>2</v>
      </c>
    </row>
    <row r="7" spans="1:29" hidden="1" x14ac:dyDescent="0.2">
      <c r="A7" s="10" t="s">
        <v>1187</v>
      </c>
      <c r="B7" s="10" t="s">
        <v>85</v>
      </c>
      <c r="C7" s="29" t="s">
        <v>1188</v>
      </c>
      <c r="D7" s="29" t="s">
        <v>1189</v>
      </c>
      <c r="E7" s="10" t="s">
        <v>26</v>
      </c>
      <c r="F7" s="10"/>
      <c r="G7" s="10" t="s">
        <v>24</v>
      </c>
      <c r="H7" s="10" t="s">
        <v>1190</v>
      </c>
      <c r="I7" s="30" t="s">
        <v>1229</v>
      </c>
      <c r="J7" s="30" t="s">
        <v>1230</v>
      </c>
      <c r="K7" s="30" t="s">
        <v>1231</v>
      </c>
      <c r="L7" s="30" t="s">
        <v>1232</v>
      </c>
      <c r="M7" s="18" t="s">
        <v>26</v>
      </c>
      <c r="N7" s="18">
        <v>0</v>
      </c>
      <c r="O7" s="18">
        <v>0</v>
      </c>
      <c r="P7" s="18">
        <v>0</v>
      </c>
      <c r="Q7" s="18">
        <v>1</v>
      </c>
      <c r="R7" s="31">
        <v>1</v>
      </c>
      <c r="S7" s="31">
        <v>3</v>
      </c>
      <c r="Y7" s="71">
        <v>4</v>
      </c>
      <c r="Z7">
        <v>2</v>
      </c>
      <c r="AC7">
        <f t="shared" si="0"/>
        <v>2</v>
      </c>
    </row>
    <row r="8" spans="1:29" hidden="1" x14ac:dyDescent="0.2">
      <c r="A8" s="32" t="s">
        <v>1175</v>
      </c>
      <c r="B8" s="32" t="s">
        <v>85</v>
      </c>
      <c r="C8" s="33" t="s">
        <v>1176</v>
      </c>
      <c r="D8" s="33" t="s">
        <v>1177</v>
      </c>
      <c r="E8" s="32" t="s">
        <v>26</v>
      </c>
      <c r="F8" s="32"/>
      <c r="G8" s="32" t="s">
        <v>24</v>
      </c>
      <c r="H8" s="32"/>
      <c r="I8" s="30" t="s">
        <v>1229</v>
      </c>
      <c r="J8" s="30" t="s">
        <v>1230</v>
      </c>
      <c r="K8" s="30" t="s">
        <v>1231</v>
      </c>
      <c r="L8" s="30" t="s">
        <v>1232</v>
      </c>
      <c r="M8" s="15" t="s">
        <v>26</v>
      </c>
      <c r="N8" s="15">
        <v>0</v>
      </c>
      <c r="O8" s="15">
        <v>0</v>
      </c>
      <c r="P8" s="15">
        <v>0</v>
      </c>
      <c r="Q8" s="15">
        <v>1</v>
      </c>
      <c r="R8" s="31">
        <v>1</v>
      </c>
      <c r="S8" s="31">
        <v>4</v>
      </c>
      <c r="Y8" s="71">
        <v>5</v>
      </c>
      <c r="Z8">
        <v>2</v>
      </c>
      <c r="AC8">
        <f t="shared" si="0"/>
        <v>2</v>
      </c>
    </row>
    <row r="9" spans="1:29" hidden="1" x14ac:dyDescent="0.2">
      <c r="A9" s="10" t="s">
        <v>1179</v>
      </c>
      <c r="B9" s="10" t="s">
        <v>85</v>
      </c>
      <c r="C9" s="29" t="s">
        <v>1180</v>
      </c>
      <c r="D9" s="29" t="s">
        <v>1181</v>
      </c>
      <c r="E9" s="10" t="s">
        <v>26</v>
      </c>
      <c r="F9" s="10"/>
      <c r="G9" s="10" t="s">
        <v>24</v>
      </c>
      <c r="H9" s="10"/>
      <c r="I9" s="30" t="s">
        <v>1229</v>
      </c>
      <c r="J9" s="30" t="s">
        <v>1230</v>
      </c>
      <c r="K9" s="30" t="s">
        <v>1231</v>
      </c>
      <c r="L9" s="30" t="s">
        <v>1232</v>
      </c>
      <c r="M9" s="18" t="s">
        <v>26</v>
      </c>
      <c r="N9" s="18">
        <v>0</v>
      </c>
      <c r="O9" s="18">
        <v>0</v>
      </c>
      <c r="P9" s="18">
        <v>0</v>
      </c>
      <c r="Q9" s="18">
        <v>1</v>
      </c>
      <c r="R9" s="31">
        <v>1</v>
      </c>
      <c r="S9" s="31">
        <v>4</v>
      </c>
      <c r="Y9" s="71">
        <v>6</v>
      </c>
      <c r="Z9">
        <v>2</v>
      </c>
      <c r="AC9">
        <f t="shared" si="0"/>
        <v>2</v>
      </c>
    </row>
    <row r="10" spans="1:29" hidden="1" x14ac:dyDescent="0.2">
      <c r="A10" s="32" t="s">
        <v>1167</v>
      </c>
      <c r="B10" s="32" t="s">
        <v>85</v>
      </c>
      <c r="C10" s="33" t="s">
        <v>1168</v>
      </c>
      <c r="D10" s="33" t="s">
        <v>1169</v>
      </c>
      <c r="E10" s="32" t="s">
        <v>26</v>
      </c>
      <c r="F10" s="32"/>
      <c r="G10" s="32" t="s">
        <v>24</v>
      </c>
      <c r="H10" s="32"/>
      <c r="I10" s="30" t="s">
        <v>1229</v>
      </c>
      <c r="J10" s="30" t="s">
        <v>1230</v>
      </c>
      <c r="K10" s="30" t="s">
        <v>1231</v>
      </c>
      <c r="L10" s="30" t="s">
        <v>1232</v>
      </c>
      <c r="M10" s="15" t="s">
        <v>26</v>
      </c>
      <c r="N10" s="15">
        <v>0</v>
      </c>
      <c r="O10" s="15">
        <v>0</v>
      </c>
      <c r="P10" s="15">
        <v>0</v>
      </c>
      <c r="Q10" s="15">
        <v>1</v>
      </c>
      <c r="R10" s="31">
        <v>1</v>
      </c>
      <c r="S10" s="31">
        <v>5</v>
      </c>
      <c r="Y10" s="71">
        <v>7</v>
      </c>
      <c r="Z10">
        <v>2</v>
      </c>
      <c r="AC10">
        <f t="shared" si="0"/>
        <v>2</v>
      </c>
    </row>
    <row r="11" spans="1:29" hidden="1" x14ac:dyDescent="0.2">
      <c r="A11" s="32" t="s">
        <v>1171</v>
      </c>
      <c r="B11" s="32" t="s">
        <v>85</v>
      </c>
      <c r="C11" s="33" t="s">
        <v>1172</v>
      </c>
      <c r="D11" s="33" t="s">
        <v>1173</v>
      </c>
      <c r="E11" s="32" t="s">
        <v>26</v>
      </c>
      <c r="F11" s="32"/>
      <c r="G11" s="32" t="s">
        <v>24</v>
      </c>
      <c r="H11" s="32"/>
      <c r="I11" s="30" t="s">
        <v>1229</v>
      </c>
      <c r="J11" s="30" t="s">
        <v>1230</v>
      </c>
      <c r="K11" s="30" t="s">
        <v>1231</v>
      </c>
      <c r="L11" s="30" t="s">
        <v>1232</v>
      </c>
      <c r="M11" s="15" t="s">
        <v>26</v>
      </c>
      <c r="N11" s="15">
        <v>0</v>
      </c>
      <c r="O11" s="15">
        <v>0</v>
      </c>
      <c r="P11" s="15">
        <v>0</v>
      </c>
      <c r="Q11" s="15">
        <v>1</v>
      </c>
      <c r="R11" s="31">
        <v>1</v>
      </c>
      <c r="S11" s="31">
        <v>5</v>
      </c>
      <c r="Y11" s="71">
        <v>8</v>
      </c>
      <c r="Z11">
        <v>2</v>
      </c>
      <c r="AC11">
        <f t="shared" si="0"/>
        <v>2</v>
      </c>
    </row>
    <row r="12" spans="1:29" hidden="1" x14ac:dyDescent="0.2">
      <c r="A12" s="10" t="s">
        <v>1159</v>
      </c>
      <c r="B12" s="10" t="s">
        <v>85</v>
      </c>
      <c r="C12" s="29" t="s">
        <v>1160</v>
      </c>
      <c r="D12" s="29" t="s">
        <v>1161</v>
      </c>
      <c r="E12" s="10" t="s">
        <v>26</v>
      </c>
      <c r="F12" s="10"/>
      <c r="G12" s="10" t="s">
        <v>24</v>
      </c>
      <c r="H12" s="10"/>
      <c r="I12" s="30" t="s">
        <v>1229</v>
      </c>
      <c r="J12" s="30" t="s">
        <v>1230</v>
      </c>
      <c r="K12" s="30" t="s">
        <v>1231</v>
      </c>
      <c r="L12" s="30" t="s">
        <v>1232</v>
      </c>
      <c r="M12" s="18" t="s">
        <v>26</v>
      </c>
      <c r="N12" s="18">
        <v>0</v>
      </c>
      <c r="O12" s="18">
        <v>0</v>
      </c>
      <c r="P12" s="18">
        <v>0</v>
      </c>
      <c r="Q12" s="18">
        <v>1</v>
      </c>
      <c r="R12" s="31">
        <v>1</v>
      </c>
      <c r="S12" s="31">
        <v>6</v>
      </c>
      <c r="Y12" s="71">
        <v>9</v>
      </c>
      <c r="Z12">
        <v>2</v>
      </c>
      <c r="AC12">
        <f t="shared" si="0"/>
        <v>2</v>
      </c>
    </row>
    <row r="13" spans="1:29" hidden="1" x14ac:dyDescent="0.2">
      <c r="A13" s="10" t="s">
        <v>1163</v>
      </c>
      <c r="B13" s="10" t="s">
        <v>85</v>
      </c>
      <c r="C13" s="29" t="s">
        <v>1164</v>
      </c>
      <c r="D13" s="29" t="s">
        <v>1165</v>
      </c>
      <c r="E13" s="10" t="s">
        <v>26</v>
      </c>
      <c r="F13" s="10"/>
      <c r="G13" s="10" t="s">
        <v>24</v>
      </c>
      <c r="H13" s="10"/>
      <c r="I13" s="30" t="s">
        <v>1229</v>
      </c>
      <c r="J13" s="30" t="s">
        <v>1230</v>
      </c>
      <c r="K13" s="30" t="s">
        <v>1231</v>
      </c>
      <c r="L13" s="30" t="s">
        <v>1232</v>
      </c>
      <c r="M13" s="18" t="s">
        <v>26</v>
      </c>
      <c r="N13" s="18">
        <v>0</v>
      </c>
      <c r="O13" s="18">
        <v>0</v>
      </c>
      <c r="P13" s="18">
        <v>0</v>
      </c>
      <c r="Q13" s="18">
        <v>1</v>
      </c>
      <c r="R13" s="31">
        <v>1</v>
      </c>
      <c r="S13" s="31">
        <v>6</v>
      </c>
      <c r="Y13" s="71">
        <v>10</v>
      </c>
      <c r="Z13">
        <v>2</v>
      </c>
      <c r="AC13">
        <f t="shared" si="0"/>
        <v>2</v>
      </c>
    </row>
    <row r="14" spans="1:29" hidden="1" x14ac:dyDescent="0.2">
      <c r="A14" s="43" t="s">
        <v>1151</v>
      </c>
      <c r="B14" s="32" t="s">
        <v>85</v>
      </c>
      <c r="C14" s="32" t="s">
        <v>1152</v>
      </c>
      <c r="D14" s="32" t="s">
        <v>1153</v>
      </c>
      <c r="E14" s="32" t="s">
        <v>26</v>
      </c>
      <c r="F14" s="32"/>
      <c r="G14" s="32" t="s">
        <v>24</v>
      </c>
      <c r="H14" s="32" t="s">
        <v>547</v>
      </c>
      <c r="I14" s="30" t="s">
        <v>1229</v>
      </c>
      <c r="J14" s="30" t="s">
        <v>1230</v>
      </c>
      <c r="K14" s="30" t="s">
        <v>1231</v>
      </c>
      <c r="L14" s="30" t="s">
        <v>1232</v>
      </c>
      <c r="M14" s="15" t="s">
        <v>26</v>
      </c>
      <c r="N14" s="15">
        <v>0</v>
      </c>
      <c r="O14" s="15">
        <v>0</v>
      </c>
      <c r="P14" s="15">
        <v>0</v>
      </c>
      <c r="Q14" s="15">
        <v>1</v>
      </c>
      <c r="R14" s="31">
        <v>1</v>
      </c>
      <c r="S14" s="31">
        <v>7</v>
      </c>
      <c r="Y14" s="71">
        <v>11</v>
      </c>
      <c r="Z14">
        <v>2</v>
      </c>
      <c r="AC14">
        <f t="shared" si="0"/>
        <v>2</v>
      </c>
    </row>
    <row r="15" spans="1:29" hidden="1" x14ac:dyDescent="0.2">
      <c r="A15" s="32" t="s">
        <v>1143</v>
      </c>
      <c r="B15" s="32" t="s">
        <v>85</v>
      </c>
      <c r="C15" s="33" t="s">
        <v>1144</v>
      </c>
      <c r="D15" s="33" t="s">
        <v>1145</v>
      </c>
      <c r="E15" s="32" t="s">
        <v>26</v>
      </c>
      <c r="F15" s="32"/>
      <c r="G15" s="32" t="s">
        <v>24</v>
      </c>
      <c r="H15" s="32"/>
      <c r="I15" s="30" t="s">
        <v>1229</v>
      </c>
      <c r="J15" s="30" t="s">
        <v>1230</v>
      </c>
      <c r="K15" s="30" t="s">
        <v>1231</v>
      </c>
      <c r="L15" s="30" t="s">
        <v>1232</v>
      </c>
      <c r="M15" s="15" t="s">
        <v>26</v>
      </c>
      <c r="N15" s="15">
        <v>0</v>
      </c>
      <c r="O15" s="15">
        <v>0</v>
      </c>
      <c r="P15" s="15">
        <v>0</v>
      </c>
      <c r="Q15" s="15">
        <v>1</v>
      </c>
      <c r="R15" s="31">
        <v>1</v>
      </c>
      <c r="S15" s="31">
        <v>7</v>
      </c>
      <c r="Y15" s="71">
        <v>12</v>
      </c>
      <c r="Z15">
        <v>2</v>
      </c>
      <c r="AC15">
        <f t="shared" si="0"/>
        <v>2</v>
      </c>
    </row>
    <row r="16" spans="1:29" hidden="1" x14ac:dyDescent="0.2">
      <c r="A16" s="17" t="s">
        <v>1155</v>
      </c>
      <c r="B16" s="10" t="s">
        <v>85</v>
      </c>
      <c r="C16" s="10" t="s">
        <v>1156</v>
      </c>
      <c r="D16" s="10" t="s">
        <v>1157</v>
      </c>
      <c r="E16" s="10" t="s">
        <v>26</v>
      </c>
      <c r="F16" s="10"/>
      <c r="G16" s="10" t="s">
        <v>24</v>
      </c>
      <c r="H16" s="10"/>
      <c r="I16" s="30" t="s">
        <v>1229</v>
      </c>
      <c r="J16" s="30" t="s">
        <v>1230</v>
      </c>
      <c r="K16" s="30" t="s">
        <v>1231</v>
      </c>
      <c r="L16" s="30" t="s">
        <v>1232</v>
      </c>
      <c r="M16" s="18" t="s">
        <v>26</v>
      </c>
      <c r="N16" s="18">
        <v>0</v>
      </c>
      <c r="O16" s="18">
        <v>0</v>
      </c>
      <c r="P16" s="18">
        <v>0</v>
      </c>
      <c r="Q16" s="18">
        <v>1</v>
      </c>
      <c r="R16" s="31">
        <v>1</v>
      </c>
      <c r="S16" s="31">
        <v>8</v>
      </c>
      <c r="Y16" s="71">
        <v>13</v>
      </c>
      <c r="Z16">
        <v>2</v>
      </c>
      <c r="AC16">
        <f t="shared" si="0"/>
        <v>2</v>
      </c>
    </row>
    <row r="17" spans="1:29" hidden="1" x14ac:dyDescent="0.2">
      <c r="A17" s="32" t="s">
        <v>1147</v>
      </c>
      <c r="B17" s="32" t="s">
        <v>85</v>
      </c>
      <c r="C17" s="33" t="s">
        <v>1148</v>
      </c>
      <c r="D17" s="33" t="s">
        <v>1149</v>
      </c>
      <c r="E17" s="32" t="s">
        <v>26</v>
      </c>
      <c r="F17" s="32"/>
      <c r="G17" s="32" t="s">
        <v>24</v>
      </c>
      <c r="H17" s="32"/>
      <c r="I17" s="30" t="s">
        <v>1229</v>
      </c>
      <c r="J17" s="30" t="s">
        <v>1230</v>
      </c>
      <c r="K17" s="30" t="s">
        <v>1233</v>
      </c>
      <c r="L17" s="30" t="s">
        <v>1232</v>
      </c>
      <c r="M17" s="15" t="s">
        <v>26</v>
      </c>
      <c r="N17" s="15">
        <v>0</v>
      </c>
      <c r="O17" s="15">
        <v>0</v>
      </c>
      <c r="P17" s="15">
        <v>0</v>
      </c>
      <c r="Q17" s="15">
        <v>1</v>
      </c>
      <c r="R17" s="31">
        <v>1</v>
      </c>
      <c r="S17" s="31">
        <v>8</v>
      </c>
      <c r="Y17" s="71">
        <v>14</v>
      </c>
      <c r="Z17">
        <v>2</v>
      </c>
      <c r="AC17">
        <f t="shared" si="0"/>
        <v>2</v>
      </c>
    </row>
    <row r="18" spans="1:29" hidden="1" x14ac:dyDescent="0.2">
      <c r="A18" s="10" t="s">
        <v>1135</v>
      </c>
      <c r="B18" s="10" t="s">
        <v>85</v>
      </c>
      <c r="C18" s="29" t="s">
        <v>1136</v>
      </c>
      <c r="D18" s="29" t="s">
        <v>1137</v>
      </c>
      <c r="E18" s="10" t="s">
        <v>26</v>
      </c>
      <c r="F18" s="10"/>
      <c r="G18" s="10" t="s">
        <v>24</v>
      </c>
      <c r="H18" s="10"/>
      <c r="I18" s="30" t="s">
        <v>1229</v>
      </c>
      <c r="J18" s="30" t="s">
        <v>1230</v>
      </c>
      <c r="K18" s="30" t="s">
        <v>1233</v>
      </c>
      <c r="L18" s="30" t="s">
        <v>1232</v>
      </c>
      <c r="M18" s="18" t="s">
        <v>26</v>
      </c>
      <c r="N18" s="18">
        <v>0</v>
      </c>
      <c r="O18" s="18">
        <v>0</v>
      </c>
      <c r="P18" s="18">
        <v>0</v>
      </c>
      <c r="Q18" s="18">
        <v>1</v>
      </c>
      <c r="R18" s="31">
        <v>1</v>
      </c>
      <c r="S18" s="31">
        <v>9</v>
      </c>
      <c r="Y18" s="71">
        <v>15</v>
      </c>
      <c r="Z18">
        <v>2</v>
      </c>
      <c r="AC18">
        <f t="shared" si="0"/>
        <v>2</v>
      </c>
    </row>
    <row r="19" spans="1:29" hidden="1" x14ac:dyDescent="0.2">
      <c r="A19" s="10" t="s">
        <v>1139</v>
      </c>
      <c r="B19" s="10" t="s">
        <v>85</v>
      </c>
      <c r="C19" s="29" t="s">
        <v>1140</v>
      </c>
      <c r="D19" s="29" t="s">
        <v>1141</v>
      </c>
      <c r="E19" s="10" t="s">
        <v>26</v>
      </c>
      <c r="F19" s="10"/>
      <c r="G19" s="10" t="s">
        <v>24</v>
      </c>
      <c r="H19" s="10"/>
      <c r="I19" s="30" t="s">
        <v>1229</v>
      </c>
      <c r="J19" s="30" t="s">
        <v>1230</v>
      </c>
      <c r="K19" s="30" t="s">
        <v>1233</v>
      </c>
      <c r="L19" s="30" t="s">
        <v>1232</v>
      </c>
      <c r="M19" s="18" t="s">
        <v>26</v>
      </c>
      <c r="N19" s="18">
        <v>0</v>
      </c>
      <c r="O19" s="18">
        <v>0</v>
      </c>
      <c r="P19" s="18">
        <v>0</v>
      </c>
      <c r="Q19" s="18">
        <v>1</v>
      </c>
      <c r="R19" s="31">
        <v>1</v>
      </c>
      <c r="S19" s="31">
        <v>9</v>
      </c>
      <c r="Y19" s="71">
        <v>16</v>
      </c>
      <c r="Z19">
        <v>2</v>
      </c>
      <c r="AC19">
        <f t="shared" si="0"/>
        <v>2</v>
      </c>
    </row>
    <row r="20" spans="1:29" hidden="1" x14ac:dyDescent="0.2">
      <c r="A20" s="32" t="s">
        <v>1127</v>
      </c>
      <c r="B20" s="32" t="s">
        <v>85</v>
      </c>
      <c r="C20" s="33" t="s">
        <v>1128</v>
      </c>
      <c r="D20" s="33" t="s">
        <v>1129</v>
      </c>
      <c r="E20" s="32" t="s">
        <v>26</v>
      </c>
      <c r="F20" s="32"/>
      <c r="G20" s="32" t="s">
        <v>24</v>
      </c>
      <c r="H20" s="32"/>
      <c r="I20" s="30" t="s">
        <v>1229</v>
      </c>
      <c r="J20" s="30" t="s">
        <v>1230</v>
      </c>
      <c r="K20" s="30" t="s">
        <v>1233</v>
      </c>
      <c r="L20" s="30" t="s">
        <v>1232</v>
      </c>
      <c r="M20" s="15" t="s">
        <v>26</v>
      </c>
      <c r="N20" s="15">
        <v>0</v>
      </c>
      <c r="O20" s="15">
        <v>0</v>
      </c>
      <c r="P20" s="15">
        <v>0</v>
      </c>
      <c r="Q20" s="15">
        <v>1</v>
      </c>
      <c r="R20" s="31">
        <v>1</v>
      </c>
      <c r="S20" s="31">
        <v>10</v>
      </c>
      <c r="Y20" s="71">
        <v>17</v>
      </c>
      <c r="Z20">
        <v>2</v>
      </c>
      <c r="AC20">
        <f t="shared" si="0"/>
        <v>2</v>
      </c>
    </row>
    <row r="21" spans="1:29" hidden="1" x14ac:dyDescent="0.2">
      <c r="A21" s="10" t="s">
        <v>1131</v>
      </c>
      <c r="B21" s="10" t="s">
        <v>85</v>
      </c>
      <c r="C21" s="29" t="s">
        <v>1132</v>
      </c>
      <c r="D21" s="29" t="s">
        <v>1133</v>
      </c>
      <c r="E21" s="10" t="s">
        <v>26</v>
      </c>
      <c r="F21" s="10"/>
      <c r="G21" s="10" t="s">
        <v>24</v>
      </c>
      <c r="H21" s="10"/>
      <c r="I21" s="30" t="s">
        <v>1229</v>
      </c>
      <c r="J21" s="30" t="s">
        <v>1230</v>
      </c>
      <c r="K21" s="30" t="s">
        <v>1233</v>
      </c>
      <c r="L21" s="30" t="s">
        <v>1232</v>
      </c>
      <c r="M21" s="18" t="s">
        <v>26</v>
      </c>
      <c r="N21" s="18">
        <v>0</v>
      </c>
      <c r="O21" s="18">
        <v>0</v>
      </c>
      <c r="P21" s="18">
        <v>0</v>
      </c>
      <c r="Q21" s="18">
        <v>1</v>
      </c>
      <c r="R21" s="31">
        <v>1</v>
      </c>
      <c r="S21" s="31">
        <v>10</v>
      </c>
      <c r="Y21" s="71">
        <v>18</v>
      </c>
      <c r="Z21">
        <v>2</v>
      </c>
      <c r="AC21">
        <f t="shared" si="0"/>
        <v>2</v>
      </c>
    </row>
    <row r="22" spans="1:29" hidden="1" x14ac:dyDescent="0.2">
      <c r="A22" s="10" t="s">
        <v>1123</v>
      </c>
      <c r="B22" s="10" t="s">
        <v>85</v>
      </c>
      <c r="C22" s="29" t="s">
        <v>1124</v>
      </c>
      <c r="D22" s="29" t="s">
        <v>1125</v>
      </c>
      <c r="E22" s="10" t="s">
        <v>26</v>
      </c>
      <c r="F22" s="10"/>
      <c r="G22" s="10" t="s">
        <v>24</v>
      </c>
      <c r="H22" s="10"/>
      <c r="I22" s="30" t="s">
        <v>1229</v>
      </c>
      <c r="J22" s="30" t="s">
        <v>1230</v>
      </c>
      <c r="K22" s="30" t="s">
        <v>1233</v>
      </c>
      <c r="L22" s="30" t="s">
        <v>1232</v>
      </c>
      <c r="M22" s="18" t="s">
        <v>26</v>
      </c>
      <c r="N22" s="18">
        <v>0</v>
      </c>
      <c r="O22" s="18">
        <v>0</v>
      </c>
      <c r="P22" s="18">
        <v>0</v>
      </c>
      <c r="Q22" s="18">
        <v>1</v>
      </c>
      <c r="R22" s="31">
        <v>1</v>
      </c>
      <c r="S22" s="31">
        <v>11</v>
      </c>
      <c r="Y22" s="71">
        <v>19</v>
      </c>
      <c r="Z22">
        <v>2</v>
      </c>
      <c r="AC22">
        <f t="shared" si="0"/>
        <v>2</v>
      </c>
    </row>
    <row r="23" spans="1:29" hidden="1" x14ac:dyDescent="0.2">
      <c r="A23" s="10" t="s">
        <v>1119</v>
      </c>
      <c r="B23" s="10" t="s">
        <v>85</v>
      </c>
      <c r="C23" s="29" t="s">
        <v>1120</v>
      </c>
      <c r="D23" s="29" t="s">
        <v>1121</v>
      </c>
      <c r="E23" s="10" t="s">
        <v>26</v>
      </c>
      <c r="F23" s="10"/>
      <c r="G23" s="10" t="s">
        <v>24</v>
      </c>
      <c r="H23" s="10"/>
      <c r="I23" s="30" t="s">
        <v>1229</v>
      </c>
      <c r="J23" s="30" t="s">
        <v>1230</v>
      </c>
      <c r="K23" s="30" t="s">
        <v>1233</v>
      </c>
      <c r="L23" s="30" t="s">
        <v>1232</v>
      </c>
      <c r="M23" s="18" t="s">
        <v>26</v>
      </c>
      <c r="N23" s="18">
        <v>0</v>
      </c>
      <c r="O23" s="18">
        <v>0</v>
      </c>
      <c r="P23" s="18">
        <v>0</v>
      </c>
      <c r="Q23" s="18">
        <v>1</v>
      </c>
      <c r="R23" s="31">
        <v>1</v>
      </c>
      <c r="S23" s="31">
        <v>11</v>
      </c>
      <c r="Y23" s="71">
        <v>20</v>
      </c>
      <c r="Z23">
        <v>2</v>
      </c>
      <c r="AC23">
        <f t="shared" si="0"/>
        <v>2</v>
      </c>
    </row>
    <row r="24" spans="1:29" hidden="1" x14ac:dyDescent="0.2">
      <c r="A24" s="32" t="s">
        <v>1111</v>
      </c>
      <c r="B24" s="32" t="s">
        <v>85</v>
      </c>
      <c r="C24" s="33" t="s">
        <v>1112</v>
      </c>
      <c r="D24" s="33" t="s">
        <v>1113</v>
      </c>
      <c r="E24" s="32" t="s">
        <v>26</v>
      </c>
      <c r="F24" s="32"/>
      <c r="G24" s="32" t="s">
        <v>24</v>
      </c>
      <c r="H24" s="32"/>
      <c r="I24" s="30" t="s">
        <v>1229</v>
      </c>
      <c r="J24" s="30" t="s">
        <v>1230</v>
      </c>
      <c r="K24" s="30" t="s">
        <v>1233</v>
      </c>
      <c r="L24" s="30" t="s">
        <v>1232</v>
      </c>
      <c r="M24" s="15" t="s">
        <v>26</v>
      </c>
      <c r="N24" s="15">
        <v>0</v>
      </c>
      <c r="O24" s="15">
        <v>0</v>
      </c>
      <c r="P24" s="15">
        <v>0</v>
      </c>
      <c r="Q24" s="15">
        <v>1</v>
      </c>
      <c r="R24" s="31">
        <v>1</v>
      </c>
      <c r="S24" s="31">
        <v>12</v>
      </c>
      <c r="Y24" s="71">
        <v>21</v>
      </c>
      <c r="Z24">
        <v>2</v>
      </c>
      <c r="AC24">
        <f t="shared" si="0"/>
        <v>2</v>
      </c>
    </row>
    <row r="25" spans="1:29" hidden="1" x14ac:dyDescent="0.2">
      <c r="A25" s="10" t="s">
        <v>1115</v>
      </c>
      <c r="B25" s="10" t="s">
        <v>85</v>
      </c>
      <c r="C25" s="29" t="s">
        <v>1116</v>
      </c>
      <c r="D25" s="29" t="s">
        <v>1117</v>
      </c>
      <c r="E25" s="10" t="s">
        <v>26</v>
      </c>
      <c r="F25" s="10"/>
      <c r="G25" s="10" t="s">
        <v>24</v>
      </c>
      <c r="H25" s="10"/>
      <c r="I25" s="30" t="s">
        <v>1229</v>
      </c>
      <c r="J25" s="30" t="s">
        <v>1230</v>
      </c>
      <c r="K25" s="30" t="s">
        <v>1233</v>
      </c>
      <c r="L25" s="30" t="s">
        <v>1232</v>
      </c>
      <c r="M25" s="18" t="s">
        <v>26</v>
      </c>
      <c r="N25" s="18">
        <v>0</v>
      </c>
      <c r="O25" s="18">
        <v>0</v>
      </c>
      <c r="P25" s="18">
        <v>0</v>
      </c>
      <c r="Q25" s="18">
        <v>1</v>
      </c>
      <c r="R25" s="31">
        <v>1</v>
      </c>
      <c r="S25" s="31">
        <v>12</v>
      </c>
      <c r="Y25" s="71">
        <v>22</v>
      </c>
      <c r="Z25">
        <v>2</v>
      </c>
      <c r="AC25">
        <f t="shared" si="0"/>
        <v>2</v>
      </c>
    </row>
    <row r="26" spans="1:29" hidden="1" x14ac:dyDescent="0.2">
      <c r="A26" s="10" t="s">
        <v>1107</v>
      </c>
      <c r="B26" s="10" t="s">
        <v>85</v>
      </c>
      <c r="C26" s="29" t="s">
        <v>1108</v>
      </c>
      <c r="D26" s="29" t="s">
        <v>1109</v>
      </c>
      <c r="E26" s="10" t="s">
        <v>26</v>
      </c>
      <c r="F26" s="10"/>
      <c r="G26" s="10" t="s">
        <v>24</v>
      </c>
      <c r="H26" s="10"/>
      <c r="I26" s="30" t="s">
        <v>1229</v>
      </c>
      <c r="J26" s="30" t="s">
        <v>1230</v>
      </c>
      <c r="K26" s="30" t="s">
        <v>1233</v>
      </c>
      <c r="L26" s="30" t="s">
        <v>1232</v>
      </c>
      <c r="M26" s="18" t="s">
        <v>26</v>
      </c>
      <c r="N26" s="18">
        <v>0</v>
      </c>
      <c r="O26" s="18">
        <v>0</v>
      </c>
      <c r="P26" s="18">
        <v>0</v>
      </c>
      <c r="Q26" s="18">
        <v>1</v>
      </c>
      <c r="R26" s="31">
        <v>1</v>
      </c>
      <c r="S26" s="31">
        <v>13</v>
      </c>
      <c r="Y26" s="71">
        <v>23</v>
      </c>
      <c r="Z26">
        <v>2</v>
      </c>
      <c r="AC26">
        <f t="shared" si="0"/>
        <v>2</v>
      </c>
    </row>
    <row r="27" spans="1:29" hidden="1" x14ac:dyDescent="0.2">
      <c r="A27" s="18" t="s">
        <v>1103</v>
      </c>
      <c r="B27" s="18" t="s">
        <v>85</v>
      </c>
      <c r="C27" s="41" t="s">
        <v>1104</v>
      </c>
      <c r="D27" s="41" t="s">
        <v>1105</v>
      </c>
      <c r="E27" s="18" t="s">
        <v>26</v>
      </c>
      <c r="F27" s="18"/>
      <c r="G27" s="18" t="s">
        <v>24</v>
      </c>
      <c r="H27" s="18"/>
      <c r="I27" s="30" t="s">
        <v>1229</v>
      </c>
      <c r="J27" s="30" t="s">
        <v>1230</v>
      </c>
      <c r="K27" s="30" t="s">
        <v>1233</v>
      </c>
      <c r="L27" s="30" t="s">
        <v>1232</v>
      </c>
      <c r="M27" s="18" t="s">
        <v>26</v>
      </c>
      <c r="N27" s="18">
        <v>0</v>
      </c>
      <c r="O27" s="18">
        <v>0</v>
      </c>
      <c r="P27" s="18">
        <v>0</v>
      </c>
      <c r="Q27" s="18">
        <v>1</v>
      </c>
      <c r="R27" s="31">
        <v>1</v>
      </c>
      <c r="S27" s="31">
        <v>13</v>
      </c>
      <c r="Y27" s="71">
        <v>24</v>
      </c>
      <c r="Z27">
        <v>2</v>
      </c>
      <c r="AC27">
        <f t="shared" si="0"/>
        <v>2</v>
      </c>
    </row>
    <row r="28" spans="1:29" hidden="1" x14ac:dyDescent="0.2">
      <c r="A28" s="32" t="s">
        <v>1095</v>
      </c>
      <c r="B28" s="32" t="s">
        <v>85</v>
      </c>
      <c r="C28" s="33" t="s">
        <v>1096</v>
      </c>
      <c r="D28" s="33" t="s">
        <v>1097</v>
      </c>
      <c r="E28" s="32" t="s">
        <v>26</v>
      </c>
      <c r="F28" s="32"/>
      <c r="G28" s="32" t="s">
        <v>24</v>
      </c>
      <c r="H28" s="32"/>
      <c r="I28" s="30" t="s">
        <v>1229</v>
      </c>
      <c r="J28" s="30" t="s">
        <v>1230</v>
      </c>
      <c r="K28" s="30" t="s">
        <v>1233</v>
      </c>
      <c r="L28" s="30" t="s">
        <v>1232</v>
      </c>
      <c r="M28" s="15" t="s">
        <v>26</v>
      </c>
      <c r="N28" s="15">
        <v>0</v>
      </c>
      <c r="O28" s="15">
        <v>0</v>
      </c>
      <c r="P28" s="15">
        <v>0</v>
      </c>
      <c r="Q28" s="15">
        <v>1</v>
      </c>
      <c r="R28" s="31">
        <v>1</v>
      </c>
      <c r="S28" s="31">
        <v>14</v>
      </c>
      <c r="Y28" s="71">
        <v>25</v>
      </c>
      <c r="Z28">
        <v>2</v>
      </c>
      <c r="AC28">
        <f t="shared" si="0"/>
        <v>2</v>
      </c>
    </row>
    <row r="29" spans="1:29" hidden="1" x14ac:dyDescent="0.2">
      <c r="A29" s="32" t="s">
        <v>1099</v>
      </c>
      <c r="B29" s="32" t="s">
        <v>85</v>
      </c>
      <c r="C29" s="33" t="s">
        <v>1100</v>
      </c>
      <c r="D29" s="33" t="s">
        <v>1101</v>
      </c>
      <c r="E29" s="32" t="s">
        <v>26</v>
      </c>
      <c r="F29" s="32"/>
      <c r="G29" s="32" t="s">
        <v>24</v>
      </c>
      <c r="H29" s="32"/>
      <c r="I29" s="30" t="s">
        <v>1229</v>
      </c>
      <c r="J29" s="30" t="s">
        <v>1230</v>
      </c>
      <c r="K29" s="30" t="s">
        <v>1233</v>
      </c>
      <c r="L29" s="30" t="s">
        <v>1232</v>
      </c>
      <c r="M29" s="15" t="s">
        <v>26</v>
      </c>
      <c r="N29" s="15">
        <v>0</v>
      </c>
      <c r="O29" s="15">
        <v>0</v>
      </c>
      <c r="P29" s="15">
        <v>0</v>
      </c>
      <c r="Q29" s="15">
        <v>1</v>
      </c>
      <c r="R29" s="31">
        <v>1</v>
      </c>
      <c r="S29" s="31">
        <v>14</v>
      </c>
      <c r="Y29" s="71">
        <v>26</v>
      </c>
      <c r="Z29">
        <v>2</v>
      </c>
      <c r="AC29">
        <f t="shared" si="0"/>
        <v>2</v>
      </c>
    </row>
    <row r="30" spans="1:29" hidden="1" x14ac:dyDescent="0.2">
      <c r="A30" s="32" t="s">
        <v>1086</v>
      </c>
      <c r="B30" s="32" t="s">
        <v>85</v>
      </c>
      <c r="C30" s="33" t="s">
        <v>1087</v>
      </c>
      <c r="D30" s="33" t="s">
        <v>1088</v>
      </c>
      <c r="E30" s="32" t="s">
        <v>26</v>
      </c>
      <c r="F30" s="32"/>
      <c r="G30" s="32" t="s">
        <v>24</v>
      </c>
      <c r="H30" s="32"/>
      <c r="I30" s="30" t="s">
        <v>1229</v>
      </c>
      <c r="J30" s="30" t="s">
        <v>1230</v>
      </c>
      <c r="K30" s="30" t="s">
        <v>1233</v>
      </c>
      <c r="L30" s="30" t="s">
        <v>1232</v>
      </c>
      <c r="M30" s="15" t="s">
        <v>26</v>
      </c>
      <c r="N30" s="15">
        <v>0</v>
      </c>
      <c r="O30" s="15">
        <v>0</v>
      </c>
      <c r="P30" s="15">
        <v>0</v>
      </c>
      <c r="Q30" s="15">
        <v>1</v>
      </c>
      <c r="R30" s="31">
        <v>1</v>
      </c>
      <c r="S30" s="31">
        <v>15</v>
      </c>
      <c r="Y30" s="71">
        <v>27</v>
      </c>
      <c r="Z30">
        <v>2</v>
      </c>
      <c r="AC30">
        <f t="shared" si="0"/>
        <v>2</v>
      </c>
    </row>
    <row r="31" spans="1:29" hidden="1" x14ac:dyDescent="0.2">
      <c r="A31" s="10" t="s">
        <v>1090</v>
      </c>
      <c r="B31" s="10" t="s">
        <v>85</v>
      </c>
      <c r="C31" s="29" t="s">
        <v>1091</v>
      </c>
      <c r="D31" s="29" t="s">
        <v>1092</v>
      </c>
      <c r="E31" s="10" t="s">
        <v>26</v>
      </c>
      <c r="F31" s="10"/>
      <c r="G31" s="10" t="s">
        <v>24</v>
      </c>
      <c r="H31" s="10" t="s">
        <v>1093</v>
      </c>
      <c r="I31" s="30" t="s">
        <v>1229</v>
      </c>
      <c r="J31" s="30" t="s">
        <v>1230</v>
      </c>
      <c r="K31" s="30" t="s">
        <v>516</v>
      </c>
      <c r="L31" s="30" t="s">
        <v>1232</v>
      </c>
      <c r="M31" s="18" t="s">
        <v>26</v>
      </c>
      <c r="N31" s="18">
        <v>0</v>
      </c>
      <c r="O31" s="18">
        <v>0</v>
      </c>
      <c r="P31" s="18">
        <v>0</v>
      </c>
      <c r="Q31" s="18">
        <v>1</v>
      </c>
      <c r="R31" s="31">
        <v>1</v>
      </c>
      <c r="S31" s="31">
        <v>15</v>
      </c>
      <c r="Y31" s="71">
        <v>28</v>
      </c>
      <c r="Z31">
        <v>2</v>
      </c>
      <c r="AC31">
        <f t="shared" si="0"/>
        <v>2</v>
      </c>
    </row>
    <row r="32" spans="1:29" hidden="1" x14ac:dyDescent="0.2">
      <c r="A32" s="10" t="s">
        <v>1078</v>
      </c>
      <c r="B32" s="10" t="s">
        <v>85</v>
      </c>
      <c r="C32" s="29" t="s">
        <v>1079</v>
      </c>
      <c r="D32" s="29" t="s">
        <v>1080</v>
      </c>
      <c r="E32" s="10" t="s">
        <v>26</v>
      </c>
      <c r="F32" s="10"/>
      <c r="G32" s="10" t="s">
        <v>24</v>
      </c>
      <c r="H32" s="10"/>
      <c r="I32" s="30" t="s">
        <v>1229</v>
      </c>
      <c r="J32" s="30" t="s">
        <v>1230</v>
      </c>
      <c r="K32" s="30" t="s">
        <v>516</v>
      </c>
      <c r="L32" s="30" t="s">
        <v>1232</v>
      </c>
      <c r="M32" s="18" t="s">
        <v>26</v>
      </c>
      <c r="N32" s="18">
        <v>0</v>
      </c>
      <c r="O32" s="18">
        <v>0</v>
      </c>
      <c r="P32" s="18">
        <v>0</v>
      </c>
      <c r="Q32" s="18">
        <v>1</v>
      </c>
      <c r="R32" s="31">
        <v>1</v>
      </c>
      <c r="S32" s="31">
        <v>16</v>
      </c>
      <c r="Y32" s="71">
        <v>29</v>
      </c>
      <c r="Z32">
        <v>2</v>
      </c>
      <c r="AC32">
        <f t="shared" si="0"/>
        <v>2</v>
      </c>
    </row>
    <row r="33" spans="1:29" hidden="1" x14ac:dyDescent="0.2">
      <c r="A33" s="32" t="s">
        <v>1082</v>
      </c>
      <c r="B33" s="32" t="s">
        <v>85</v>
      </c>
      <c r="C33" s="33" t="s">
        <v>1083</v>
      </c>
      <c r="D33" s="33" t="s">
        <v>1084</v>
      </c>
      <c r="E33" s="32" t="s">
        <v>26</v>
      </c>
      <c r="F33" s="32"/>
      <c r="G33" s="32" t="s">
        <v>24</v>
      </c>
      <c r="H33" s="32"/>
      <c r="I33" s="30" t="s">
        <v>1229</v>
      </c>
      <c r="J33" s="30" t="s">
        <v>1230</v>
      </c>
      <c r="K33" s="30" t="s">
        <v>516</v>
      </c>
      <c r="L33" s="30" t="s">
        <v>1232</v>
      </c>
      <c r="M33" s="15" t="s">
        <v>26</v>
      </c>
      <c r="N33" s="15">
        <v>0</v>
      </c>
      <c r="O33" s="15">
        <v>0</v>
      </c>
      <c r="P33" s="15">
        <v>0</v>
      </c>
      <c r="Q33" s="15">
        <v>1</v>
      </c>
      <c r="R33" s="31">
        <v>1</v>
      </c>
      <c r="S33" s="31">
        <v>16</v>
      </c>
      <c r="Y33" s="71">
        <v>30</v>
      </c>
      <c r="Z33">
        <v>2</v>
      </c>
      <c r="AC33">
        <f t="shared" si="0"/>
        <v>2</v>
      </c>
    </row>
    <row r="34" spans="1:29" ht="20" hidden="1" customHeight="1" x14ac:dyDescent="0.2">
      <c r="A34" s="32" t="s">
        <v>645</v>
      </c>
      <c r="B34" s="32" t="s">
        <v>85</v>
      </c>
      <c r="C34" s="33" t="s">
        <v>646</v>
      </c>
      <c r="D34" s="33" t="s">
        <v>647</v>
      </c>
      <c r="E34" s="32" t="s">
        <v>23</v>
      </c>
      <c r="F34" s="32" t="s">
        <v>648</v>
      </c>
      <c r="G34" s="32" t="s">
        <v>24</v>
      </c>
      <c r="H34" s="32"/>
      <c r="I34" s="30" t="s">
        <v>1229</v>
      </c>
      <c r="J34" s="30" t="s">
        <v>1230</v>
      </c>
      <c r="K34" s="30" t="s">
        <v>1233</v>
      </c>
      <c r="L34" s="30" t="s">
        <v>1232</v>
      </c>
      <c r="M34" s="15" t="s">
        <v>23</v>
      </c>
      <c r="N34" s="15">
        <v>1</v>
      </c>
      <c r="O34" s="15">
        <v>1</v>
      </c>
      <c r="P34" s="15">
        <v>2</v>
      </c>
      <c r="Q34" s="15">
        <v>3</v>
      </c>
      <c r="R34" s="31">
        <v>1</v>
      </c>
      <c r="S34" s="31">
        <v>73</v>
      </c>
      <c r="Y34" s="71">
        <v>31</v>
      </c>
      <c r="Z34">
        <v>2</v>
      </c>
      <c r="AC34">
        <f t="shared" si="0"/>
        <v>2</v>
      </c>
    </row>
    <row r="35" spans="1:29" hidden="1" x14ac:dyDescent="0.2">
      <c r="A35" s="34" t="s">
        <v>557</v>
      </c>
      <c r="B35" s="10" t="s">
        <v>85</v>
      </c>
      <c r="C35" s="29" t="s">
        <v>558</v>
      </c>
      <c r="D35" s="29" t="s">
        <v>559</v>
      </c>
      <c r="E35" s="10" t="s">
        <v>26</v>
      </c>
      <c r="F35" s="10"/>
      <c r="G35" s="10" t="s">
        <v>24</v>
      </c>
      <c r="H35" s="10"/>
      <c r="I35" s="35" t="s">
        <v>1229</v>
      </c>
      <c r="J35" s="35" t="s">
        <v>1247</v>
      </c>
      <c r="K35" s="35" t="s">
        <v>1246</v>
      </c>
      <c r="L35" s="30" t="s">
        <v>1232</v>
      </c>
      <c r="M35" s="18" t="s">
        <v>26</v>
      </c>
      <c r="N35" s="18">
        <v>0</v>
      </c>
      <c r="O35" s="18">
        <v>0</v>
      </c>
      <c r="P35" s="18">
        <v>0</v>
      </c>
      <c r="Q35" s="36">
        <v>1</v>
      </c>
      <c r="R35" s="37">
        <v>1</v>
      </c>
      <c r="S35" s="37">
        <v>85</v>
      </c>
      <c r="Y35" s="71">
        <v>32</v>
      </c>
      <c r="Z35">
        <v>2</v>
      </c>
      <c r="AC35">
        <f t="shared" si="0"/>
        <v>2</v>
      </c>
    </row>
    <row r="36" spans="1:29" hidden="1" x14ac:dyDescent="0.2">
      <c r="A36" s="38" t="s">
        <v>532</v>
      </c>
      <c r="B36" s="32" t="s">
        <v>85</v>
      </c>
      <c r="C36" s="33" t="s">
        <v>533</v>
      </c>
      <c r="D36" s="33" t="s">
        <v>534</v>
      </c>
      <c r="E36" s="32" t="s">
        <v>26</v>
      </c>
      <c r="F36" s="32"/>
      <c r="G36" s="32" t="s">
        <v>24</v>
      </c>
      <c r="H36" s="32"/>
      <c r="I36" s="35" t="s">
        <v>1229</v>
      </c>
      <c r="J36" s="35" t="s">
        <v>1247</v>
      </c>
      <c r="K36" s="35" t="s">
        <v>1246</v>
      </c>
      <c r="L36" s="30" t="s">
        <v>1232</v>
      </c>
      <c r="M36" s="15" t="s">
        <v>26</v>
      </c>
      <c r="N36" s="15">
        <v>0</v>
      </c>
      <c r="O36" s="15">
        <v>0</v>
      </c>
      <c r="P36" s="15">
        <v>0</v>
      </c>
      <c r="Q36" s="40">
        <v>1</v>
      </c>
      <c r="R36" s="37">
        <v>1</v>
      </c>
      <c r="S36" s="37">
        <v>88</v>
      </c>
      <c r="Y36" s="71">
        <v>33</v>
      </c>
      <c r="Z36">
        <v>2</v>
      </c>
      <c r="AC36">
        <f t="shared" si="0"/>
        <v>2</v>
      </c>
    </row>
    <row r="37" spans="1:29" hidden="1" x14ac:dyDescent="0.2">
      <c r="A37" s="34" t="s">
        <v>561</v>
      </c>
      <c r="B37" s="10" t="s">
        <v>85</v>
      </c>
      <c r="C37" s="29" t="s">
        <v>562</v>
      </c>
      <c r="D37" s="29" t="s">
        <v>563</v>
      </c>
      <c r="E37" s="10" t="s">
        <v>26</v>
      </c>
      <c r="F37" s="10"/>
      <c r="G37" s="10" t="s">
        <v>24</v>
      </c>
      <c r="H37" s="10"/>
      <c r="I37" s="35" t="s">
        <v>1229</v>
      </c>
      <c r="J37" s="35" t="s">
        <v>1260</v>
      </c>
      <c r="K37" s="35" t="s">
        <v>1261</v>
      </c>
      <c r="L37" s="30" t="s">
        <v>1232</v>
      </c>
      <c r="M37" s="18" t="s">
        <v>26</v>
      </c>
      <c r="N37" s="18">
        <v>0</v>
      </c>
      <c r="O37" s="18">
        <v>0</v>
      </c>
      <c r="P37" s="18">
        <v>0</v>
      </c>
      <c r="Q37" s="36">
        <v>1</v>
      </c>
      <c r="R37" s="37">
        <v>1</v>
      </c>
      <c r="S37" s="37">
        <v>85</v>
      </c>
      <c r="Y37" s="71">
        <v>34</v>
      </c>
      <c r="Z37">
        <v>2</v>
      </c>
      <c r="AC37">
        <f t="shared" si="0"/>
        <v>2</v>
      </c>
    </row>
    <row r="38" spans="1:29" hidden="1" x14ac:dyDescent="0.2">
      <c r="A38" s="38" t="s">
        <v>516</v>
      </c>
      <c r="B38" s="32" t="s">
        <v>85</v>
      </c>
      <c r="C38" s="33" t="s">
        <v>517</v>
      </c>
      <c r="D38" s="33" t="s">
        <v>518</v>
      </c>
      <c r="E38" s="32" t="s">
        <v>26</v>
      </c>
      <c r="F38" s="32"/>
      <c r="G38" s="32" t="s">
        <v>24</v>
      </c>
      <c r="H38" s="32"/>
      <c r="I38" s="35" t="s">
        <v>1229</v>
      </c>
      <c r="J38" s="35" t="s">
        <v>1247</v>
      </c>
      <c r="K38" s="35" t="s">
        <v>1246</v>
      </c>
      <c r="L38" s="30" t="s">
        <v>1232</v>
      </c>
      <c r="M38" s="15" t="s">
        <v>26</v>
      </c>
      <c r="N38" s="15">
        <v>0</v>
      </c>
      <c r="O38" s="15">
        <v>0</v>
      </c>
      <c r="P38" s="15">
        <v>0</v>
      </c>
      <c r="Q38" s="40">
        <v>1</v>
      </c>
      <c r="R38" s="37">
        <v>1</v>
      </c>
      <c r="S38" s="37">
        <v>90</v>
      </c>
      <c r="Y38" s="71">
        <v>35</v>
      </c>
      <c r="Z38">
        <v>2</v>
      </c>
      <c r="AC38">
        <f t="shared" si="0"/>
        <v>2</v>
      </c>
    </row>
    <row r="39" spans="1:29" hidden="1" x14ac:dyDescent="0.2">
      <c r="A39" s="10" t="s">
        <v>1070</v>
      </c>
      <c r="B39" s="10" t="s">
        <v>85</v>
      </c>
      <c r="C39" s="29" t="s">
        <v>1071</v>
      </c>
      <c r="D39" s="29" t="s">
        <v>1072</v>
      </c>
      <c r="E39" s="10" t="s">
        <v>26</v>
      </c>
      <c r="F39" s="10"/>
      <c r="G39" s="10" t="s">
        <v>24</v>
      </c>
      <c r="H39" s="10"/>
      <c r="I39" s="30" t="s">
        <v>1229</v>
      </c>
      <c r="J39" s="30" t="s">
        <v>1230</v>
      </c>
      <c r="K39" s="30" t="s">
        <v>1236</v>
      </c>
      <c r="L39" s="30" t="s">
        <v>1232</v>
      </c>
      <c r="M39" s="18" t="s">
        <v>26</v>
      </c>
      <c r="N39" s="18">
        <v>0</v>
      </c>
      <c r="O39" s="18">
        <v>0</v>
      </c>
      <c r="P39" s="18">
        <v>0</v>
      </c>
      <c r="Q39" s="18">
        <v>1</v>
      </c>
      <c r="R39" s="17">
        <v>2</v>
      </c>
      <c r="S39" s="17">
        <v>17</v>
      </c>
      <c r="Y39" s="71">
        <v>36</v>
      </c>
      <c r="Z39">
        <v>2</v>
      </c>
      <c r="AC39">
        <f t="shared" si="0"/>
        <v>2</v>
      </c>
    </row>
    <row r="40" spans="1:29" hidden="1" x14ac:dyDescent="0.2">
      <c r="A40" s="15" t="s">
        <v>1045</v>
      </c>
      <c r="B40" s="15" t="s">
        <v>85</v>
      </c>
      <c r="C40" s="44" t="s">
        <v>1046</v>
      </c>
      <c r="D40" s="44" t="s">
        <v>1047</v>
      </c>
      <c r="E40" s="15" t="s">
        <v>26</v>
      </c>
      <c r="F40" s="15"/>
      <c r="G40" s="15" t="s">
        <v>24</v>
      </c>
      <c r="H40" s="15"/>
      <c r="I40" s="30" t="s">
        <v>1229</v>
      </c>
      <c r="J40" s="30" t="s">
        <v>1230</v>
      </c>
      <c r="K40" s="30" t="s">
        <v>1236</v>
      </c>
      <c r="L40" s="30" t="s">
        <v>1232</v>
      </c>
      <c r="M40" s="15" t="s">
        <v>26</v>
      </c>
      <c r="N40" s="15">
        <v>0</v>
      </c>
      <c r="O40" s="15">
        <v>0</v>
      </c>
      <c r="P40" s="15">
        <v>0</v>
      </c>
      <c r="Q40" s="15">
        <v>1</v>
      </c>
      <c r="R40" s="17">
        <v>2</v>
      </c>
      <c r="S40" s="17">
        <v>20</v>
      </c>
      <c r="Y40" s="71">
        <v>37</v>
      </c>
      <c r="Z40">
        <v>2</v>
      </c>
      <c r="AC40">
        <f t="shared" si="0"/>
        <v>2</v>
      </c>
    </row>
    <row r="41" spans="1:29" hidden="1" x14ac:dyDescent="0.2">
      <c r="A41" s="32" t="s">
        <v>1049</v>
      </c>
      <c r="B41" s="32" t="s">
        <v>85</v>
      </c>
      <c r="C41" s="33" t="s">
        <v>1050</v>
      </c>
      <c r="D41" s="33" t="s">
        <v>1051</v>
      </c>
      <c r="E41" s="32" t="s">
        <v>26</v>
      </c>
      <c r="F41" s="32"/>
      <c r="G41" s="32" t="s">
        <v>24</v>
      </c>
      <c r="H41" s="32"/>
      <c r="I41" s="30" t="s">
        <v>1229</v>
      </c>
      <c r="J41" s="30" t="s">
        <v>1230</v>
      </c>
      <c r="K41" s="30" t="s">
        <v>1236</v>
      </c>
      <c r="L41" s="30" t="s">
        <v>1232</v>
      </c>
      <c r="M41" s="15" t="s">
        <v>26</v>
      </c>
      <c r="N41" s="15">
        <v>0</v>
      </c>
      <c r="O41" s="15">
        <v>0</v>
      </c>
      <c r="P41" s="15">
        <v>0</v>
      </c>
      <c r="Q41" s="15">
        <v>1</v>
      </c>
      <c r="R41" s="17">
        <v>2</v>
      </c>
      <c r="S41" s="17">
        <v>20</v>
      </c>
      <c r="Y41" s="71">
        <v>38</v>
      </c>
      <c r="Z41">
        <v>2</v>
      </c>
      <c r="AC41">
        <f t="shared" si="0"/>
        <v>2</v>
      </c>
    </row>
    <row r="42" spans="1:29" x14ac:dyDescent="0.2">
      <c r="A42" s="32" t="s">
        <v>1074</v>
      </c>
      <c r="B42" s="32" t="s">
        <v>85</v>
      </c>
      <c r="C42" s="33" t="s">
        <v>1075</v>
      </c>
      <c r="D42" s="33" t="s">
        <v>1076</v>
      </c>
      <c r="E42" s="32" t="s">
        <v>26</v>
      </c>
      <c r="F42" s="32"/>
      <c r="G42" s="32" t="s">
        <v>24</v>
      </c>
      <c r="H42" s="32"/>
      <c r="I42" s="30" t="s">
        <v>1229</v>
      </c>
      <c r="J42" s="30" t="s">
        <v>1230</v>
      </c>
      <c r="K42" s="30" t="s">
        <v>1238</v>
      </c>
      <c r="L42" s="30" t="s">
        <v>1232</v>
      </c>
      <c r="M42" s="15" t="s">
        <v>26</v>
      </c>
      <c r="N42" s="15">
        <v>0</v>
      </c>
      <c r="O42" s="15">
        <v>0</v>
      </c>
      <c r="P42" s="15">
        <v>0</v>
      </c>
      <c r="Q42" s="15">
        <v>1</v>
      </c>
      <c r="R42" s="17">
        <v>2</v>
      </c>
      <c r="S42" s="17">
        <v>17</v>
      </c>
      <c r="Y42" s="71">
        <v>39</v>
      </c>
      <c r="Z42">
        <v>2</v>
      </c>
      <c r="AC42">
        <f t="shared" si="0"/>
        <v>2</v>
      </c>
    </row>
    <row r="43" spans="1:29" x14ac:dyDescent="0.2">
      <c r="A43" s="32" t="s">
        <v>1062</v>
      </c>
      <c r="B43" s="32" t="s">
        <v>85</v>
      </c>
      <c r="C43" s="33" t="s">
        <v>1063</v>
      </c>
      <c r="D43" s="33" t="s">
        <v>1064</v>
      </c>
      <c r="E43" s="32" t="s">
        <v>26</v>
      </c>
      <c r="F43" s="32"/>
      <c r="G43" s="32" t="s">
        <v>24</v>
      </c>
      <c r="H43" s="32"/>
      <c r="I43" s="30" t="s">
        <v>1229</v>
      </c>
      <c r="J43" s="30" t="s">
        <v>1230</v>
      </c>
      <c r="K43" s="30" t="s">
        <v>1238</v>
      </c>
      <c r="L43" s="30" t="s">
        <v>1232</v>
      </c>
      <c r="M43" s="15" t="s">
        <v>26</v>
      </c>
      <c r="N43" s="15">
        <v>0</v>
      </c>
      <c r="O43" s="15">
        <v>0</v>
      </c>
      <c r="P43" s="15">
        <v>0</v>
      </c>
      <c r="Q43" s="15">
        <v>1</v>
      </c>
      <c r="R43" s="17">
        <v>2</v>
      </c>
      <c r="S43" s="17">
        <v>18</v>
      </c>
      <c r="Y43" s="71">
        <v>40</v>
      </c>
      <c r="Z43">
        <v>2</v>
      </c>
      <c r="AC43">
        <f t="shared" si="0"/>
        <v>2</v>
      </c>
    </row>
    <row r="44" spans="1:29" x14ac:dyDescent="0.2">
      <c r="A44" s="10" t="s">
        <v>1066</v>
      </c>
      <c r="B44" s="10" t="s">
        <v>85</v>
      </c>
      <c r="C44" s="29" t="s">
        <v>1067</v>
      </c>
      <c r="D44" s="29" t="s">
        <v>1068</v>
      </c>
      <c r="E44" s="10" t="s">
        <v>26</v>
      </c>
      <c r="F44" s="10"/>
      <c r="G44" s="10" t="s">
        <v>24</v>
      </c>
      <c r="H44" s="10"/>
      <c r="I44" s="30" t="s">
        <v>1229</v>
      </c>
      <c r="J44" s="30" t="s">
        <v>1230</v>
      </c>
      <c r="K44" s="30" t="s">
        <v>1238</v>
      </c>
      <c r="L44" s="30" t="s">
        <v>1232</v>
      </c>
      <c r="M44" s="18" t="s">
        <v>26</v>
      </c>
      <c r="N44" s="18">
        <v>0</v>
      </c>
      <c r="O44" s="18">
        <v>0</v>
      </c>
      <c r="P44" s="18">
        <v>0</v>
      </c>
      <c r="Q44" s="18">
        <v>1</v>
      </c>
      <c r="R44" s="17">
        <v>2</v>
      </c>
      <c r="S44" s="17">
        <v>18</v>
      </c>
      <c r="Y44" s="71">
        <v>41</v>
      </c>
      <c r="Z44">
        <v>2</v>
      </c>
      <c r="AC44">
        <f t="shared" si="0"/>
        <v>2</v>
      </c>
    </row>
    <row r="45" spans="1:29" x14ac:dyDescent="0.2">
      <c r="A45" s="32" t="s">
        <v>1053</v>
      </c>
      <c r="B45" s="32" t="s">
        <v>85</v>
      </c>
      <c r="C45" s="33" t="s">
        <v>1054</v>
      </c>
      <c r="D45" s="33" t="s">
        <v>1055</v>
      </c>
      <c r="E45" s="32" t="s">
        <v>26</v>
      </c>
      <c r="F45" s="32"/>
      <c r="G45" s="32" t="s">
        <v>24</v>
      </c>
      <c r="H45" s="32"/>
      <c r="I45" s="30" t="s">
        <v>1229</v>
      </c>
      <c r="J45" s="30" t="s">
        <v>1230</v>
      </c>
      <c r="K45" s="30" t="s">
        <v>1238</v>
      </c>
      <c r="L45" s="30" t="s">
        <v>1232</v>
      </c>
      <c r="M45" s="15" t="s">
        <v>26</v>
      </c>
      <c r="N45" s="15">
        <v>0</v>
      </c>
      <c r="O45" s="15">
        <v>0</v>
      </c>
      <c r="P45" s="15">
        <v>0</v>
      </c>
      <c r="Q45" s="15">
        <v>1</v>
      </c>
      <c r="R45" s="17">
        <v>2</v>
      </c>
      <c r="S45" s="17">
        <v>19</v>
      </c>
      <c r="Y45" s="71">
        <v>42</v>
      </c>
      <c r="Z45">
        <v>2</v>
      </c>
      <c r="AC45">
        <f t="shared" si="0"/>
        <v>2</v>
      </c>
    </row>
    <row r="46" spans="1:29" x14ac:dyDescent="0.2">
      <c r="A46" s="10" t="s">
        <v>1057</v>
      </c>
      <c r="B46" s="10" t="s">
        <v>85</v>
      </c>
      <c r="C46" s="29" t="s">
        <v>1058</v>
      </c>
      <c r="D46" s="29" t="s">
        <v>1059</v>
      </c>
      <c r="E46" s="10" t="s">
        <v>26</v>
      </c>
      <c r="F46" s="10"/>
      <c r="G46" s="10" t="s">
        <v>24</v>
      </c>
      <c r="H46" s="10" t="s">
        <v>1060</v>
      </c>
      <c r="I46" s="30" t="s">
        <v>1229</v>
      </c>
      <c r="J46" s="30" t="s">
        <v>1230</v>
      </c>
      <c r="K46" s="30" t="s">
        <v>1238</v>
      </c>
      <c r="L46" s="30" t="s">
        <v>1232</v>
      </c>
      <c r="M46" s="18" t="s">
        <v>26</v>
      </c>
      <c r="N46" s="18">
        <v>0</v>
      </c>
      <c r="O46" s="18">
        <v>0</v>
      </c>
      <c r="P46" s="18">
        <v>0</v>
      </c>
      <c r="Q46" s="18">
        <v>1</v>
      </c>
      <c r="R46" s="17">
        <v>2</v>
      </c>
      <c r="S46" s="17">
        <v>19</v>
      </c>
      <c r="Y46" s="71">
        <v>44</v>
      </c>
      <c r="Z46">
        <v>2</v>
      </c>
      <c r="AC46">
        <f t="shared" si="0"/>
        <v>2</v>
      </c>
    </row>
    <row r="47" spans="1:29" x14ac:dyDescent="0.2">
      <c r="A47" s="18" t="s">
        <v>1037</v>
      </c>
      <c r="B47" s="18" t="s">
        <v>85</v>
      </c>
      <c r="C47" s="41" t="s">
        <v>1038</v>
      </c>
      <c r="D47" s="41" t="s">
        <v>1039</v>
      </c>
      <c r="E47" s="18" t="s">
        <v>26</v>
      </c>
      <c r="F47" s="18"/>
      <c r="G47" s="18" t="s">
        <v>24</v>
      </c>
      <c r="H47" s="18"/>
      <c r="I47" s="30" t="s">
        <v>1229</v>
      </c>
      <c r="J47" s="30" t="s">
        <v>1230</v>
      </c>
      <c r="K47" s="30" t="s">
        <v>1238</v>
      </c>
      <c r="L47" s="30" t="s">
        <v>1232</v>
      </c>
      <c r="M47" s="18" t="s">
        <v>26</v>
      </c>
      <c r="N47" s="18">
        <v>0</v>
      </c>
      <c r="O47" s="18">
        <v>0</v>
      </c>
      <c r="P47" s="18">
        <v>0</v>
      </c>
      <c r="Q47" s="18">
        <v>1</v>
      </c>
      <c r="R47" s="17">
        <v>2</v>
      </c>
      <c r="S47" s="17">
        <v>21</v>
      </c>
      <c r="Y47" s="71">
        <v>45</v>
      </c>
      <c r="Z47">
        <v>2</v>
      </c>
      <c r="AC47">
        <f t="shared" si="0"/>
        <v>2</v>
      </c>
    </row>
    <row r="48" spans="1:29" x14ac:dyDescent="0.2">
      <c r="A48" s="18" t="s">
        <v>1041</v>
      </c>
      <c r="B48" s="18" t="s">
        <v>85</v>
      </c>
      <c r="C48" s="41" t="s">
        <v>1042</v>
      </c>
      <c r="D48" s="41" t="s">
        <v>1043</v>
      </c>
      <c r="E48" s="18" t="s">
        <v>26</v>
      </c>
      <c r="F48" s="18"/>
      <c r="G48" s="18" t="s">
        <v>24</v>
      </c>
      <c r="H48" s="18"/>
      <c r="I48" s="30" t="s">
        <v>1229</v>
      </c>
      <c r="J48" s="30" t="s">
        <v>1230</v>
      </c>
      <c r="K48" s="30" t="s">
        <v>1238</v>
      </c>
      <c r="L48" s="30" t="s">
        <v>1232</v>
      </c>
      <c r="M48" s="18" t="s">
        <v>26</v>
      </c>
      <c r="N48" s="18">
        <v>0</v>
      </c>
      <c r="O48" s="18">
        <v>0</v>
      </c>
      <c r="P48" s="18">
        <v>0</v>
      </c>
      <c r="Q48" s="18">
        <v>1</v>
      </c>
      <c r="R48" s="17">
        <v>2</v>
      </c>
      <c r="S48" s="17">
        <v>21</v>
      </c>
      <c r="Y48" s="71">
        <v>46</v>
      </c>
      <c r="Z48">
        <v>2</v>
      </c>
      <c r="AC48">
        <f t="shared" si="0"/>
        <v>2</v>
      </c>
    </row>
    <row r="49" spans="1:29" x14ac:dyDescent="0.2">
      <c r="A49" s="15" t="s">
        <v>1029</v>
      </c>
      <c r="B49" s="15" t="s">
        <v>85</v>
      </c>
      <c r="C49" s="44" t="s">
        <v>1030</v>
      </c>
      <c r="D49" s="44" t="s">
        <v>1031</v>
      </c>
      <c r="E49" s="15" t="s">
        <v>26</v>
      </c>
      <c r="F49" s="15"/>
      <c r="G49" s="15" t="s">
        <v>24</v>
      </c>
      <c r="H49" s="15"/>
      <c r="I49" s="30" t="s">
        <v>1229</v>
      </c>
      <c r="J49" s="30" t="s">
        <v>1230</v>
      </c>
      <c r="K49" s="30" t="s">
        <v>1238</v>
      </c>
      <c r="L49" s="30" t="s">
        <v>1232</v>
      </c>
      <c r="M49" s="15" t="s">
        <v>26</v>
      </c>
      <c r="N49" s="15">
        <v>0</v>
      </c>
      <c r="O49" s="15">
        <v>0</v>
      </c>
      <c r="P49" s="15">
        <v>0</v>
      </c>
      <c r="Q49" s="15">
        <v>1</v>
      </c>
      <c r="R49" s="17">
        <v>2</v>
      </c>
      <c r="S49" s="17">
        <v>22</v>
      </c>
      <c r="Y49" s="71">
        <v>47</v>
      </c>
      <c r="Z49">
        <v>2</v>
      </c>
      <c r="AC49">
        <f t="shared" si="0"/>
        <v>2</v>
      </c>
    </row>
    <row r="50" spans="1:29" x14ac:dyDescent="0.2">
      <c r="A50" s="18" t="s">
        <v>1033</v>
      </c>
      <c r="B50" s="18" t="s">
        <v>85</v>
      </c>
      <c r="C50" s="41" t="s">
        <v>1034</v>
      </c>
      <c r="D50" s="41" t="s">
        <v>1035</v>
      </c>
      <c r="E50" s="18" t="s">
        <v>26</v>
      </c>
      <c r="F50" s="18"/>
      <c r="G50" s="18" t="s">
        <v>24</v>
      </c>
      <c r="H50" s="18"/>
      <c r="I50" s="30" t="s">
        <v>1229</v>
      </c>
      <c r="J50" s="30" t="s">
        <v>1230</v>
      </c>
      <c r="K50" s="30" t="s">
        <v>1238</v>
      </c>
      <c r="L50" s="30" t="s">
        <v>1232</v>
      </c>
      <c r="M50" s="18" t="s">
        <v>26</v>
      </c>
      <c r="N50" s="18">
        <v>0</v>
      </c>
      <c r="O50" s="18">
        <v>0</v>
      </c>
      <c r="P50" s="18">
        <v>0</v>
      </c>
      <c r="Q50" s="18">
        <v>1</v>
      </c>
      <c r="R50" s="17">
        <v>2</v>
      </c>
      <c r="S50" s="17">
        <v>22</v>
      </c>
      <c r="Y50" s="71">
        <v>48</v>
      </c>
      <c r="Z50">
        <v>2</v>
      </c>
      <c r="AC50">
        <f t="shared" si="0"/>
        <v>2</v>
      </c>
    </row>
    <row r="51" spans="1:29" x14ac:dyDescent="0.2">
      <c r="A51" s="32" t="s">
        <v>1021</v>
      </c>
      <c r="B51" s="32" t="s">
        <v>85</v>
      </c>
      <c r="C51" s="33" t="s">
        <v>1022</v>
      </c>
      <c r="D51" s="33" t="s">
        <v>1023</v>
      </c>
      <c r="E51" s="32" t="s">
        <v>26</v>
      </c>
      <c r="F51" s="32"/>
      <c r="G51" s="32" t="s">
        <v>24</v>
      </c>
      <c r="H51" s="32"/>
      <c r="I51" s="30" t="s">
        <v>1229</v>
      </c>
      <c r="J51" s="30" t="s">
        <v>1230</v>
      </c>
      <c r="K51" s="30" t="s">
        <v>1238</v>
      </c>
      <c r="L51" s="30" t="s">
        <v>1232</v>
      </c>
      <c r="M51" s="15" t="s">
        <v>26</v>
      </c>
      <c r="N51" s="15">
        <v>0</v>
      </c>
      <c r="O51" s="15">
        <v>0</v>
      </c>
      <c r="P51" s="15">
        <v>0</v>
      </c>
      <c r="Q51" s="15">
        <v>1</v>
      </c>
      <c r="R51" s="17">
        <v>2</v>
      </c>
      <c r="S51" s="17">
        <v>23</v>
      </c>
      <c r="Y51" s="71">
        <v>50</v>
      </c>
      <c r="Z51">
        <v>2</v>
      </c>
      <c r="AC51">
        <f t="shared" si="0"/>
        <v>2</v>
      </c>
    </row>
    <row r="52" spans="1:29" x14ac:dyDescent="0.2">
      <c r="A52" s="10" t="s">
        <v>1025</v>
      </c>
      <c r="B52" s="10" t="s">
        <v>85</v>
      </c>
      <c r="C52" s="29" t="s">
        <v>1026</v>
      </c>
      <c r="D52" s="29" t="s">
        <v>1027</v>
      </c>
      <c r="E52" s="10" t="s">
        <v>26</v>
      </c>
      <c r="F52" s="10"/>
      <c r="G52" s="10" t="s">
        <v>24</v>
      </c>
      <c r="H52" s="10"/>
      <c r="I52" s="30" t="s">
        <v>1229</v>
      </c>
      <c r="J52" s="30" t="s">
        <v>1230</v>
      </c>
      <c r="K52" s="30" t="s">
        <v>1238</v>
      </c>
      <c r="L52" s="30" t="s">
        <v>1232</v>
      </c>
      <c r="M52" s="18" t="s">
        <v>26</v>
      </c>
      <c r="N52" s="18">
        <v>0</v>
      </c>
      <c r="O52" s="18">
        <v>0</v>
      </c>
      <c r="P52" s="18">
        <v>0</v>
      </c>
      <c r="Q52" s="18">
        <v>1</v>
      </c>
      <c r="R52" s="17">
        <v>2</v>
      </c>
      <c r="S52" s="17">
        <v>23</v>
      </c>
      <c r="Y52" s="71">
        <v>51</v>
      </c>
      <c r="Z52">
        <v>2</v>
      </c>
      <c r="AC52">
        <f t="shared" si="0"/>
        <v>2</v>
      </c>
    </row>
    <row r="53" spans="1:29" x14ac:dyDescent="0.2">
      <c r="A53" s="32" t="s">
        <v>1013</v>
      </c>
      <c r="B53" s="32" t="s">
        <v>85</v>
      </c>
      <c r="C53" s="33" t="s">
        <v>1014</v>
      </c>
      <c r="D53" s="33" t="s">
        <v>1015</v>
      </c>
      <c r="E53" s="32" t="s">
        <v>26</v>
      </c>
      <c r="F53" s="32"/>
      <c r="G53" s="32" t="s">
        <v>24</v>
      </c>
      <c r="H53" s="32"/>
      <c r="I53" s="30" t="s">
        <v>1229</v>
      </c>
      <c r="J53" s="30" t="s">
        <v>1230</v>
      </c>
      <c r="K53" s="30" t="s">
        <v>1238</v>
      </c>
      <c r="L53" s="30" t="s">
        <v>1232</v>
      </c>
      <c r="M53" s="15" t="s">
        <v>26</v>
      </c>
      <c r="N53" s="15">
        <v>0</v>
      </c>
      <c r="O53" s="15">
        <v>0</v>
      </c>
      <c r="P53" s="15">
        <v>0</v>
      </c>
      <c r="Q53" s="15">
        <v>1</v>
      </c>
      <c r="R53" s="17">
        <v>2</v>
      </c>
      <c r="S53" s="17">
        <v>24</v>
      </c>
      <c r="Y53" s="71">
        <v>52</v>
      </c>
      <c r="Z53">
        <v>2</v>
      </c>
      <c r="AC53">
        <f t="shared" si="0"/>
        <v>2</v>
      </c>
    </row>
    <row r="54" spans="1:29" x14ac:dyDescent="0.2">
      <c r="A54" s="10" t="s">
        <v>1017</v>
      </c>
      <c r="B54" s="10" t="s">
        <v>85</v>
      </c>
      <c r="C54" s="29" t="s">
        <v>1018</v>
      </c>
      <c r="D54" s="29" t="s">
        <v>1019</v>
      </c>
      <c r="E54" s="10" t="s">
        <v>26</v>
      </c>
      <c r="F54" s="10"/>
      <c r="G54" s="10" t="s">
        <v>24</v>
      </c>
      <c r="H54" s="10"/>
      <c r="I54" s="30" t="s">
        <v>1229</v>
      </c>
      <c r="J54" s="30" t="s">
        <v>1230</v>
      </c>
      <c r="K54" s="30" t="s">
        <v>1238</v>
      </c>
      <c r="L54" s="30" t="s">
        <v>1232</v>
      </c>
      <c r="M54" s="18" t="s">
        <v>26</v>
      </c>
      <c r="N54" s="18">
        <v>0</v>
      </c>
      <c r="O54" s="18">
        <v>0</v>
      </c>
      <c r="P54" s="18">
        <v>0</v>
      </c>
      <c r="Q54" s="18">
        <v>1</v>
      </c>
      <c r="R54" s="17">
        <v>2</v>
      </c>
      <c r="S54" s="17">
        <v>24</v>
      </c>
      <c r="Y54" s="71">
        <v>53</v>
      </c>
      <c r="Z54">
        <v>2</v>
      </c>
      <c r="AC54">
        <f t="shared" si="0"/>
        <v>2</v>
      </c>
    </row>
    <row r="55" spans="1:29" x14ac:dyDescent="0.2">
      <c r="A55" s="32" t="s">
        <v>1005</v>
      </c>
      <c r="B55" s="32" t="s">
        <v>85</v>
      </c>
      <c r="C55" s="33" t="s">
        <v>1006</v>
      </c>
      <c r="D55" s="33" t="s">
        <v>1007</v>
      </c>
      <c r="E55" s="32" t="s">
        <v>26</v>
      </c>
      <c r="F55" s="32"/>
      <c r="G55" s="32" t="s">
        <v>24</v>
      </c>
      <c r="H55" s="32"/>
      <c r="I55" s="30" t="s">
        <v>1229</v>
      </c>
      <c r="J55" s="30" t="s">
        <v>1230</v>
      </c>
      <c r="K55" s="30" t="s">
        <v>1238</v>
      </c>
      <c r="L55" s="30" t="s">
        <v>1232</v>
      </c>
      <c r="M55" s="15" t="s">
        <v>26</v>
      </c>
      <c r="N55" s="15">
        <v>0</v>
      </c>
      <c r="O55" s="15">
        <v>0</v>
      </c>
      <c r="P55" s="15">
        <v>0</v>
      </c>
      <c r="Q55" s="15">
        <v>1</v>
      </c>
      <c r="R55" s="17">
        <v>2</v>
      </c>
      <c r="S55" s="17">
        <v>25</v>
      </c>
      <c r="Y55" s="71">
        <v>54</v>
      </c>
      <c r="Z55">
        <v>2</v>
      </c>
      <c r="AC55">
        <f t="shared" si="0"/>
        <v>2</v>
      </c>
    </row>
    <row r="56" spans="1:29" x14ac:dyDescent="0.2">
      <c r="A56" s="10" t="s">
        <v>1009</v>
      </c>
      <c r="B56" s="10" t="s">
        <v>85</v>
      </c>
      <c r="C56" s="29" t="s">
        <v>1010</v>
      </c>
      <c r="D56" s="29" t="s">
        <v>1011</v>
      </c>
      <c r="E56" s="10" t="s">
        <v>26</v>
      </c>
      <c r="F56" s="10"/>
      <c r="G56" s="10" t="s">
        <v>24</v>
      </c>
      <c r="H56" s="10"/>
      <c r="I56" s="30" t="s">
        <v>1229</v>
      </c>
      <c r="J56" s="30" t="s">
        <v>1230</v>
      </c>
      <c r="K56" s="30" t="s">
        <v>1238</v>
      </c>
      <c r="L56" s="30" t="s">
        <v>1232</v>
      </c>
      <c r="M56" s="18" t="s">
        <v>26</v>
      </c>
      <c r="N56" s="18">
        <v>0</v>
      </c>
      <c r="O56" s="18">
        <v>0</v>
      </c>
      <c r="P56" s="18">
        <v>0</v>
      </c>
      <c r="Q56" s="18">
        <v>1</v>
      </c>
      <c r="R56" s="17">
        <v>2</v>
      </c>
      <c r="S56" s="17">
        <v>25</v>
      </c>
      <c r="Y56" s="71">
        <v>55</v>
      </c>
      <c r="Z56">
        <v>2</v>
      </c>
      <c r="AC56">
        <f t="shared" si="0"/>
        <v>2</v>
      </c>
    </row>
    <row r="57" spans="1:29" x14ac:dyDescent="0.2">
      <c r="A57" s="32" t="s">
        <v>997</v>
      </c>
      <c r="B57" s="32" t="s">
        <v>85</v>
      </c>
      <c r="C57" s="33" t="s">
        <v>998</v>
      </c>
      <c r="D57" s="33" t="s">
        <v>999</v>
      </c>
      <c r="E57" s="32" t="s">
        <v>26</v>
      </c>
      <c r="F57" s="32"/>
      <c r="G57" s="32" t="s">
        <v>24</v>
      </c>
      <c r="H57" s="32"/>
      <c r="I57" s="30" t="s">
        <v>1229</v>
      </c>
      <c r="J57" s="30" t="s">
        <v>1230</v>
      </c>
      <c r="K57" s="30" t="s">
        <v>1238</v>
      </c>
      <c r="L57" s="30" t="s">
        <v>1232</v>
      </c>
      <c r="M57" s="15" t="s">
        <v>26</v>
      </c>
      <c r="N57" s="15">
        <v>0</v>
      </c>
      <c r="O57" s="15">
        <v>0</v>
      </c>
      <c r="P57" s="15">
        <v>0</v>
      </c>
      <c r="Q57" s="15">
        <v>1</v>
      </c>
      <c r="R57" s="17">
        <v>2</v>
      </c>
      <c r="S57" s="17">
        <v>26</v>
      </c>
      <c r="Y57" s="71">
        <v>56</v>
      </c>
      <c r="Z57">
        <v>2</v>
      </c>
      <c r="AC57">
        <f t="shared" si="0"/>
        <v>2</v>
      </c>
    </row>
    <row r="58" spans="1:29" x14ac:dyDescent="0.2">
      <c r="A58" s="32" t="s">
        <v>1001</v>
      </c>
      <c r="B58" s="32" t="s">
        <v>85</v>
      </c>
      <c r="C58" s="33" t="s">
        <v>1002</v>
      </c>
      <c r="D58" s="33" t="s">
        <v>1003</v>
      </c>
      <c r="E58" s="32" t="s">
        <v>26</v>
      </c>
      <c r="F58" s="32"/>
      <c r="G58" s="32" t="s">
        <v>24</v>
      </c>
      <c r="H58" s="32"/>
      <c r="I58" s="30" t="s">
        <v>1229</v>
      </c>
      <c r="J58" s="30" t="s">
        <v>1230</v>
      </c>
      <c r="K58" s="30" t="s">
        <v>1238</v>
      </c>
      <c r="L58" s="30" t="s">
        <v>1232</v>
      </c>
      <c r="M58" s="15" t="s">
        <v>26</v>
      </c>
      <c r="N58" s="15">
        <v>0</v>
      </c>
      <c r="O58" s="15">
        <v>0</v>
      </c>
      <c r="P58" s="15">
        <v>0</v>
      </c>
      <c r="Q58" s="15">
        <v>1</v>
      </c>
      <c r="R58" s="17">
        <v>2</v>
      </c>
      <c r="S58" s="17">
        <v>26</v>
      </c>
      <c r="Y58" s="71">
        <v>57</v>
      </c>
      <c r="Z58">
        <v>2</v>
      </c>
      <c r="AC58">
        <f t="shared" si="0"/>
        <v>2</v>
      </c>
    </row>
    <row r="59" spans="1:29" x14ac:dyDescent="0.2">
      <c r="A59" s="10" t="s">
        <v>989</v>
      </c>
      <c r="B59" s="10" t="s">
        <v>85</v>
      </c>
      <c r="C59" s="29" t="s">
        <v>990</v>
      </c>
      <c r="D59" s="29" t="s">
        <v>991</v>
      </c>
      <c r="E59" s="10" t="s">
        <v>26</v>
      </c>
      <c r="F59" s="10"/>
      <c r="G59" s="10" t="s">
        <v>24</v>
      </c>
      <c r="H59" s="10"/>
      <c r="I59" s="30" t="s">
        <v>1229</v>
      </c>
      <c r="J59" s="30" t="s">
        <v>1230</v>
      </c>
      <c r="K59" s="30" t="s">
        <v>1238</v>
      </c>
      <c r="L59" s="30" t="s">
        <v>1232</v>
      </c>
      <c r="M59" s="18" t="s">
        <v>26</v>
      </c>
      <c r="N59" s="18">
        <v>0</v>
      </c>
      <c r="O59" s="18">
        <v>0</v>
      </c>
      <c r="P59" s="18">
        <v>0</v>
      </c>
      <c r="Q59" s="18">
        <v>1</v>
      </c>
      <c r="R59" s="17">
        <v>2</v>
      </c>
      <c r="S59" s="17">
        <v>27</v>
      </c>
      <c r="Y59" s="71">
        <v>58</v>
      </c>
      <c r="Z59">
        <v>2</v>
      </c>
      <c r="AC59">
        <f t="shared" si="0"/>
        <v>2</v>
      </c>
    </row>
    <row r="60" spans="1:29" x14ac:dyDescent="0.2">
      <c r="A60" s="32" t="s">
        <v>993</v>
      </c>
      <c r="B60" s="32" t="s">
        <v>85</v>
      </c>
      <c r="C60" s="33" t="s">
        <v>994</v>
      </c>
      <c r="D60" s="33" t="s">
        <v>995</v>
      </c>
      <c r="E60" s="32" t="s">
        <v>26</v>
      </c>
      <c r="F60" s="32"/>
      <c r="G60" s="32" t="s">
        <v>24</v>
      </c>
      <c r="H60" s="32"/>
      <c r="I60" s="30" t="s">
        <v>1229</v>
      </c>
      <c r="J60" s="30" t="s">
        <v>1230</v>
      </c>
      <c r="K60" s="30" t="s">
        <v>1238</v>
      </c>
      <c r="L60" s="30" t="s">
        <v>1232</v>
      </c>
      <c r="M60" s="15" t="s">
        <v>26</v>
      </c>
      <c r="N60" s="15">
        <v>0</v>
      </c>
      <c r="O60" s="15">
        <v>0</v>
      </c>
      <c r="P60" s="15">
        <v>0</v>
      </c>
      <c r="Q60" s="15">
        <v>1</v>
      </c>
      <c r="R60" s="17">
        <v>2</v>
      </c>
      <c r="S60" s="17">
        <v>27</v>
      </c>
      <c r="Y60" s="71">
        <v>59</v>
      </c>
      <c r="Z60">
        <v>2</v>
      </c>
      <c r="AC60">
        <f t="shared" si="0"/>
        <v>2</v>
      </c>
    </row>
    <row r="61" spans="1:29" hidden="1" x14ac:dyDescent="0.2">
      <c r="A61" s="32" t="s">
        <v>969</v>
      </c>
      <c r="B61" s="32" t="s">
        <v>85</v>
      </c>
      <c r="C61" s="33" t="s">
        <v>970</v>
      </c>
      <c r="D61" s="33" t="s">
        <v>971</v>
      </c>
      <c r="E61" s="32" t="s">
        <v>26</v>
      </c>
      <c r="F61" s="32"/>
      <c r="G61" s="32" t="s">
        <v>24</v>
      </c>
      <c r="H61" s="32" t="s">
        <v>972</v>
      </c>
      <c r="I61" s="30" t="s">
        <v>1229</v>
      </c>
      <c r="J61" s="30" t="s">
        <v>1230</v>
      </c>
      <c r="K61" s="30" t="s">
        <v>1239</v>
      </c>
      <c r="L61" s="30" t="s">
        <v>1232</v>
      </c>
      <c r="M61" s="15" t="s">
        <v>26</v>
      </c>
      <c r="N61" s="15">
        <v>0</v>
      </c>
      <c r="O61" s="15">
        <v>0</v>
      </c>
      <c r="P61" s="15">
        <v>0</v>
      </c>
      <c r="Q61" s="15">
        <v>1</v>
      </c>
      <c r="R61" s="17">
        <v>2</v>
      </c>
      <c r="S61" s="17">
        <v>30</v>
      </c>
      <c r="Y61" s="71">
        <v>60</v>
      </c>
      <c r="Z61">
        <v>2</v>
      </c>
      <c r="AC61">
        <f t="shared" si="0"/>
        <v>2</v>
      </c>
    </row>
    <row r="62" spans="1:29" hidden="1" x14ac:dyDescent="0.2">
      <c r="A62" s="10" t="s">
        <v>87</v>
      </c>
      <c r="B62" s="10" t="s">
        <v>85</v>
      </c>
      <c r="C62" s="29" t="s">
        <v>88</v>
      </c>
      <c r="D62" s="29" t="s">
        <v>89</v>
      </c>
      <c r="E62" s="10" t="s">
        <v>26</v>
      </c>
      <c r="F62" s="10"/>
      <c r="G62" s="10" t="s">
        <v>24</v>
      </c>
      <c r="H62" s="10"/>
      <c r="I62" s="30" t="s">
        <v>1229</v>
      </c>
      <c r="J62" s="30" t="s">
        <v>1230</v>
      </c>
      <c r="K62" s="30" t="s">
        <v>1236</v>
      </c>
      <c r="L62" s="30" t="s">
        <v>1232</v>
      </c>
      <c r="M62" s="18" t="s">
        <v>26</v>
      </c>
      <c r="N62" s="18">
        <v>0</v>
      </c>
      <c r="O62" s="18">
        <v>0</v>
      </c>
      <c r="P62" s="18">
        <v>0</v>
      </c>
      <c r="Q62" s="18">
        <v>1</v>
      </c>
      <c r="R62" s="17">
        <v>2</v>
      </c>
      <c r="S62" s="17">
        <v>31</v>
      </c>
      <c r="Y62" s="71">
        <v>61</v>
      </c>
      <c r="Z62">
        <v>2</v>
      </c>
      <c r="AC62">
        <f t="shared" si="0"/>
        <v>2</v>
      </c>
    </row>
    <row r="63" spans="1:29" x14ac:dyDescent="0.2">
      <c r="A63" s="32" t="s">
        <v>982</v>
      </c>
      <c r="B63" s="32" t="s">
        <v>85</v>
      </c>
      <c r="C63" s="33" t="s">
        <v>983</v>
      </c>
      <c r="D63" s="33" t="s">
        <v>984</v>
      </c>
      <c r="E63" s="32" t="s">
        <v>26</v>
      </c>
      <c r="F63" s="32"/>
      <c r="G63" s="32" t="s">
        <v>24</v>
      </c>
      <c r="H63" s="32"/>
      <c r="I63" s="30" t="s">
        <v>1229</v>
      </c>
      <c r="J63" s="30" t="s">
        <v>1230</v>
      </c>
      <c r="K63" s="30" t="s">
        <v>1238</v>
      </c>
      <c r="L63" s="30" t="s">
        <v>1232</v>
      </c>
      <c r="M63" s="15" t="s">
        <v>26</v>
      </c>
      <c r="N63" s="15">
        <v>0</v>
      </c>
      <c r="O63" s="15">
        <v>0</v>
      </c>
      <c r="P63" s="15">
        <v>0</v>
      </c>
      <c r="Q63" s="15">
        <v>1</v>
      </c>
      <c r="R63" s="17">
        <v>2</v>
      </c>
      <c r="S63" s="17">
        <v>28</v>
      </c>
      <c r="Y63" s="71">
        <v>62</v>
      </c>
      <c r="Z63">
        <v>2</v>
      </c>
      <c r="AC63">
        <f t="shared" si="0"/>
        <v>2</v>
      </c>
    </row>
    <row r="64" spans="1:29" x14ac:dyDescent="0.2">
      <c r="A64" s="10" t="s">
        <v>986</v>
      </c>
      <c r="B64" s="10" t="s">
        <v>85</v>
      </c>
      <c r="C64" s="29" t="s">
        <v>985</v>
      </c>
      <c r="D64" s="29" t="s">
        <v>987</v>
      </c>
      <c r="E64" s="10" t="s">
        <v>26</v>
      </c>
      <c r="F64" s="10"/>
      <c r="G64" s="10" t="s">
        <v>24</v>
      </c>
      <c r="H64" s="10"/>
      <c r="I64" s="30" t="s">
        <v>1229</v>
      </c>
      <c r="J64" s="30" t="s">
        <v>1230</v>
      </c>
      <c r="K64" s="30" t="s">
        <v>1238</v>
      </c>
      <c r="L64" s="30" t="s">
        <v>1232</v>
      </c>
      <c r="M64" s="18" t="s">
        <v>26</v>
      </c>
      <c r="N64" s="18">
        <v>0</v>
      </c>
      <c r="O64" s="18">
        <v>0</v>
      </c>
      <c r="P64" s="18">
        <v>0</v>
      </c>
      <c r="Q64" s="18">
        <v>1</v>
      </c>
      <c r="R64" s="17">
        <v>2</v>
      </c>
      <c r="S64" s="17">
        <v>28</v>
      </c>
      <c r="Y64" s="71">
        <v>63</v>
      </c>
      <c r="Z64">
        <v>2</v>
      </c>
      <c r="AC64">
        <f t="shared" si="0"/>
        <v>2</v>
      </c>
    </row>
    <row r="65" spans="1:29" x14ac:dyDescent="0.2">
      <c r="A65" s="32" t="s">
        <v>974</v>
      </c>
      <c r="B65" s="32" t="s">
        <v>85</v>
      </c>
      <c r="C65" s="33" t="s">
        <v>975</v>
      </c>
      <c r="D65" s="33" t="s">
        <v>976</v>
      </c>
      <c r="E65" s="32" t="s">
        <v>26</v>
      </c>
      <c r="F65" s="32"/>
      <c r="G65" s="32" t="s">
        <v>24</v>
      </c>
      <c r="H65" s="32"/>
      <c r="I65" s="30" t="s">
        <v>1229</v>
      </c>
      <c r="J65" s="30" t="s">
        <v>1230</v>
      </c>
      <c r="K65" s="30" t="s">
        <v>1238</v>
      </c>
      <c r="L65" s="30" t="s">
        <v>1232</v>
      </c>
      <c r="M65" s="15" t="s">
        <v>26</v>
      </c>
      <c r="N65" s="15">
        <v>0</v>
      </c>
      <c r="O65" s="15">
        <v>0</v>
      </c>
      <c r="P65" s="15">
        <v>0</v>
      </c>
      <c r="Q65" s="15">
        <v>1</v>
      </c>
      <c r="R65" s="17">
        <v>2</v>
      </c>
      <c r="S65" s="17">
        <v>29</v>
      </c>
      <c r="Y65" s="71">
        <v>64</v>
      </c>
      <c r="Z65">
        <v>2</v>
      </c>
      <c r="AC65">
        <f t="shared" si="0"/>
        <v>2</v>
      </c>
    </row>
    <row r="66" spans="1:29" x14ac:dyDescent="0.2">
      <c r="A66" s="32" t="s">
        <v>978</v>
      </c>
      <c r="B66" s="32" t="s">
        <v>85</v>
      </c>
      <c r="C66" s="33" t="s">
        <v>979</v>
      </c>
      <c r="D66" s="33" t="s">
        <v>980</v>
      </c>
      <c r="E66" s="32" t="s">
        <v>26</v>
      </c>
      <c r="F66" s="32"/>
      <c r="G66" s="32" t="s">
        <v>24</v>
      </c>
      <c r="H66" s="32"/>
      <c r="I66" s="30" t="s">
        <v>1229</v>
      </c>
      <c r="J66" s="30" t="s">
        <v>1230</v>
      </c>
      <c r="K66" s="30" t="s">
        <v>1238</v>
      </c>
      <c r="L66" s="30" t="s">
        <v>1232</v>
      </c>
      <c r="M66" s="15" t="s">
        <v>26</v>
      </c>
      <c r="N66" s="15">
        <v>0</v>
      </c>
      <c r="O66" s="15">
        <v>0</v>
      </c>
      <c r="P66" s="15">
        <v>0</v>
      </c>
      <c r="Q66" s="15">
        <v>1</v>
      </c>
      <c r="R66" s="17">
        <v>2</v>
      </c>
      <c r="S66" s="17">
        <v>29</v>
      </c>
      <c r="Y66" s="71">
        <v>65</v>
      </c>
      <c r="Z66">
        <v>2</v>
      </c>
      <c r="AC66">
        <f t="shared" si="0"/>
        <v>2</v>
      </c>
    </row>
    <row r="67" spans="1:29" x14ac:dyDescent="0.2">
      <c r="A67" s="43" t="s">
        <v>965</v>
      </c>
      <c r="B67" s="10" t="s">
        <v>85</v>
      </c>
      <c r="C67" s="29" t="s">
        <v>966</v>
      </c>
      <c r="D67" s="10" t="s">
        <v>967</v>
      </c>
      <c r="E67" s="10" t="s">
        <v>26</v>
      </c>
      <c r="F67" s="10"/>
      <c r="G67" s="10" t="s">
        <v>24</v>
      </c>
      <c r="H67" s="10"/>
      <c r="I67" s="30" t="s">
        <v>1229</v>
      </c>
      <c r="J67" s="30" t="s">
        <v>1230</v>
      </c>
      <c r="K67" s="30" t="s">
        <v>1238</v>
      </c>
      <c r="L67" s="30" t="s">
        <v>1232</v>
      </c>
      <c r="M67" s="18" t="s">
        <v>26</v>
      </c>
      <c r="N67" s="18">
        <v>0</v>
      </c>
      <c r="O67" s="18">
        <v>0</v>
      </c>
      <c r="P67" s="18">
        <v>0</v>
      </c>
      <c r="Q67" s="18">
        <v>1</v>
      </c>
      <c r="R67" s="17">
        <v>2</v>
      </c>
      <c r="S67" s="17">
        <v>30</v>
      </c>
      <c r="Y67" s="71">
        <v>66</v>
      </c>
      <c r="Z67">
        <v>2</v>
      </c>
      <c r="AC67">
        <f t="shared" si="0"/>
        <v>2</v>
      </c>
    </row>
    <row r="68" spans="1:29" x14ac:dyDescent="0.2">
      <c r="A68" s="15" t="s">
        <v>959</v>
      </c>
      <c r="B68" s="15" t="s">
        <v>85</v>
      </c>
      <c r="C68" s="44" t="s">
        <v>960</v>
      </c>
      <c r="D68" s="44" t="s">
        <v>961</v>
      </c>
      <c r="E68" s="15" t="s">
        <v>26</v>
      </c>
      <c r="F68" s="15"/>
      <c r="G68" s="15" t="s">
        <v>24</v>
      </c>
      <c r="H68" s="15"/>
      <c r="I68" s="30" t="s">
        <v>1229</v>
      </c>
      <c r="J68" s="30" t="s">
        <v>1230</v>
      </c>
      <c r="K68" s="30" t="s">
        <v>1238</v>
      </c>
      <c r="L68" s="30" t="s">
        <v>1232</v>
      </c>
      <c r="M68" s="15" t="s">
        <v>26</v>
      </c>
      <c r="N68" s="15">
        <v>0</v>
      </c>
      <c r="O68" s="15">
        <v>0</v>
      </c>
      <c r="P68" s="15">
        <v>0</v>
      </c>
      <c r="Q68" s="15">
        <v>1</v>
      </c>
      <c r="R68" s="17">
        <v>2</v>
      </c>
      <c r="S68" s="17">
        <v>31</v>
      </c>
      <c r="Y68" s="71">
        <v>67</v>
      </c>
      <c r="Z68">
        <v>2</v>
      </c>
      <c r="AC68">
        <f t="shared" si="0"/>
        <v>2</v>
      </c>
    </row>
    <row r="69" spans="1:29" x14ac:dyDescent="0.2">
      <c r="A69" s="15" t="s">
        <v>951</v>
      </c>
      <c r="B69" s="15" t="s">
        <v>85</v>
      </c>
      <c r="C69" s="44" t="s">
        <v>952</v>
      </c>
      <c r="D69" s="44" t="s">
        <v>953</v>
      </c>
      <c r="E69" s="15" t="s">
        <v>26</v>
      </c>
      <c r="F69" s="15"/>
      <c r="G69" s="15" t="s">
        <v>24</v>
      </c>
      <c r="H69" s="15"/>
      <c r="I69" s="30" t="s">
        <v>1229</v>
      </c>
      <c r="J69" s="30" t="s">
        <v>1230</v>
      </c>
      <c r="K69" s="30" t="s">
        <v>1238</v>
      </c>
      <c r="L69" s="30" t="s">
        <v>1232</v>
      </c>
      <c r="M69" s="15" t="s">
        <v>26</v>
      </c>
      <c r="N69" s="15">
        <v>0</v>
      </c>
      <c r="O69" s="15">
        <v>0</v>
      </c>
      <c r="P69" s="15">
        <v>0</v>
      </c>
      <c r="Q69" s="15">
        <v>1</v>
      </c>
      <c r="R69" s="17">
        <v>2</v>
      </c>
      <c r="S69" s="17">
        <v>32</v>
      </c>
      <c r="Y69" s="71">
        <v>68</v>
      </c>
      <c r="Z69">
        <v>2</v>
      </c>
      <c r="AC69">
        <f t="shared" ref="AC69:AC131" si="1">Z69</f>
        <v>2</v>
      </c>
    </row>
    <row r="70" spans="1:29" x14ac:dyDescent="0.2">
      <c r="A70" s="18" t="s">
        <v>955</v>
      </c>
      <c r="B70" s="18" t="s">
        <v>85</v>
      </c>
      <c r="C70" s="41" t="s">
        <v>956</v>
      </c>
      <c r="D70" s="41" t="s">
        <v>957</v>
      </c>
      <c r="E70" s="18" t="s">
        <v>26</v>
      </c>
      <c r="F70" s="18"/>
      <c r="G70" s="18" t="s">
        <v>24</v>
      </c>
      <c r="H70" s="18"/>
      <c r="I70" s="30" t="s">
        <v>1229</v>
      </c>
      <c r="J70" s="30" t="s">
        <v>1230</v>
      </c>
      <c r="K70" s="30" t="s">
        <v>1238</v>
      </c>
      <c r="L70" s="30" t="s">
        <v>1232</v>
      </c>
      <c r="M70" s="18" t="s">
        <v>26</v>
      </c>
      <c r="N70" s="18">
        <v>0</v>
      </c>
      <c r="O70" s="18">
        <v>0</v>
      </c>
      <c r="P70" s="18">
        <v>0</v>
      </c>
      <c r="Q70" s="18">
        <v>1</v>
      </c>
      <c r="R70" s="17">
        <v>2</v>
      </c>
      <c r="S70" s="17">
        <v>32</v>
      </c>
      <c r="Y70" s="71">
        <v>69</v>
      </c>
      <c r="Z70">
        <v>2</v>
      </c>
      <c r="AC70">
        <f t="shared" si="1"/>
        <v>2</v>
      </c>
    </row>
    <row r="71" spans="1:29" x14ac:dyDescent="0.2">
      <c r="A71" s="10" t="s">
        <v>943</v>
      </c>
      <c r="B71" s="10" t="s">
        <v>85</v>
      </c>
      <c r="C71" s="29" t="s">
        <v>944</v>
      </c>
      <c r="D71" s="29" t="s">
        <v>945</v>
      </c>
      <c r="E71" s="10" t="s">
        <v>26</v>
      </c>
      <c r="F71" s="10"/>
      <c r="G71" s="10" t="s">
        <v>24</v>
      </c>
      <c r="H71" s="10"/>
      <c r="I71" s="30" t="s">
        <v>1229</v>
      </c>
      <c r="J71" s="30" t="s">
        <v>1230</v>
      </c>
      <c r="K71" s="30" t="s">
        <v>1238</v>
      </c>
      <c r="L71" s="30" t="s">
        <v>1232</v>
      </c>
      <c r="M71" s="18" t="s">
        <v>26</v>
      </c>
      <c r="N71" s="18">
        <v>0</v>
      </c>
      <c r="O71" s="18">
        <v>0</v>
      </c>
      <c r="P71" s="18">
        <v>0</v>
      </c>
      <c r="Q71" s="18">
        <v>1</v>
      </c>
      <c r="R71" s="17">
        <v>2</v>
      </c>
      <c r="S71" s="17">
        <v>33</v>
      </c>
      <c r="Y71" s="71">
        <v>78</v>
      </c>
      <c r="Z71">
        <v>2</v>
      </c>
      <c r="AC71">
        <f t="shared" si="1"/>
        <v>2</v>
      </c>
    </row>
    <row r="72" spans="1:29" x14ac:dyDescent="0.2">
      <c r="A72" s="10" t="s">
        <v>947</v>
      </c>
      <c r="B72" s="10" t="s">
        <v>85</v>
      </c>
      <c r="C72" s="29" t="s">
        <v>948</v>
      </c>
      <c r="D72" s="29" t="s">
        <v>949</v>
      </c>
      <c r="E72" s="10" t="s">
        <v>26</v>
      </c>
      <c r="F72" s="10"/>
      <c r="G72" s="10" t="s">
        <v>24</v>
      </c>
      <c r="H72" s="10"/>
      <c r="I72" s="30" t="s">
        <v>1229</v>
      </c>
      <c r="J72" s="30" t="s">
        <v>1230</v>
      </c>
      <c r="K72" s="30" t="s">
        <v>1238</v>
      </c>
      <c r="L72" s="30" t="s">
        <v>1232</v>
      </c>
      <c r="M72" s="18" t="s">
        <v>26</v>
      </c>
      <c r="N72" s="18">
        <v>0</v>
      </c>
      <c r="O72" s="18">
        <v>0</v>
      </c>
      <c r="P72" s="18">
        <v>0</v>
      </c>
      <c r="Q72" s="18">
        <v>1</v>
      </c>
      <c r="R72" s="17">
        <v>2</v>
      </c>
      <c r="S72" s="17">
        <v>33</v>
      </c>
      <c r="Y72" s="71">
        <v>79</v>
      </c>
      <c r="Z72">
        <v>2</v>
      </c>
      <c r="AC72">
        <f t="shared" si="1"/>
        <v>2</v>
      </c>
    </row>
    <row r="73" spans="1:29" x14ac:dyDescent="0.2">
      <c r="A73" s="10" t="s">
        <v>935</v>
      </c>
      <c r="B73" s="10" t="s">
        <v>85</v>
      </c>
      <c r="C73" s="29" t="s">
        <v>936</v>
      </c>
      <c r="D73" s="29" t="s">
        <v>937</v>
      </c>
      <c r="E73" s="10" t="s">
        <v>26</v>
      </c>
      <c r="F73" s="10"/>
      <c r="G73" s="10" t="s">
        <v>24</v>
      </c>
      <c r="H73" s="10"/>
      <c r="I73" s="30" t="s">
        <v>1229</v>
      </c>
      <c r="J73" s="30" t="s">
        <v>1230</v>
      </c>
      <c r="K73" s="30" t="s">
        <v>1238</v>
      </c>
      <c r="L73" s="30" t="s">
        <v>1232</v>
      </c>
      <c r="M73" s="18" t="s">
        <v>26</v>
      </c>
      <c r="N73" s="18">
        <v>0</v>
      </c>
      <c r="O73" s="18">
        <v>0</v>
      </c>
      <c r="P73" s="18">
        <v>0</v>
      </c>
      <c r="Q73" s="18">
        <v>1</v>
      </c>
      <c r="R73" s="17">
        <v>2</v>
      </c>
      <c r="S73" s="17">
        <v>34</v>
      </c>
      <c r="Y73" s="71">
        <v>80</v>
      </c>
      <c r="Z73">
        <v>2</v>
      </c>
      <c r="AC73">
        <f t="shared" si="1"/>
        <v>2</v>
      </c>
    </row>
    <row r="74" spans="1:29" x14ac:dyDescent="0.2">
      <c r="A74" s="10" t="s">
        <v>939</v>
      </c>
      <c r="B74" s="10" t="s">
        <v>85</v>
      </c>
      <c r="C74" s="29" t="s">
        <v>940</v>
      </c>
      <c r="D74" s="29" t="s">
        <v>941</v>
      </c>
      <c r="E74" s="10" t="s">
        <v>26</v>
      </c>
      <c r="F74" s="10"/>
      <c r="G74" s="10" t="s">
        <v>24</v>
      </c>
      <c r="H74" s="10"/>
      <c r="I74" s="30" t="s">
        <v>1229</v>
      </c>
      <c r="J74" s="30" t="s">
        <v>1230</v>
      </c>
      <c r="K74" s="30" t="s">
        <v>1238</v>
      </c>
      <c r="L74" s="30" t="s">
        <v>1232</v>
      </c>
      <c r="M74" s="18" t="s">
        <v>26</v>
      </c>
      <c r="N74" s="18">
        <v>0</v>
      </c>
      <c r="O74" s="18">
        <v>0</v>
      </c>
      <c r="P74" s="18">
        <v>0</v>
      </c>
      <c r="Q74" s="18">
        <v>1</v>
      </c>
      <c r="R74" s="17">
        <v>2</v>
      </c>
      <c r="S74" s="17">
        <v>34</v>
      </c>
      <c r="Y74" s="71">
        <v>81</v>
      </c>
      <c r="Z74">
        <v>2</v>
      </c>
      <c r="AC74">
        <f t="shared" si="1"/>
        <v>2</v>
      </c>
    </row>
    <row r="75" spans="1:29" hidden="1" x14ac:dyDescent="0.2">
      <c r="A75" s="40" t="s">
        <v>540</v>
      </c>
      <c r="B75" s="15" t="s">
        <v>85</v>
      </c>
      <c r="C75" s="44" t="s">
        <v>541</v>
      </c>
      <c r="D75" s="44" t="s">
        <v>542</v>
      </c>
      <c r="E75" s="15" t="s">
        <v>26</v>
      </c>
      <c r="F75" s="15"/>
      <c r="G75" s="40" t="s">
        <v>24</v>
      </c>
      <c r="H75" s="40"/>
      <c r="I75" s="35" t="s">
        <v>1229</v>
      </c>
      <c r="J75" s="30" t="s">
        <v>1262</v>
      </c>
      <c r="K75" s="35" t="s">
        <v>1248</v>
      </c>
      <c r="L75" s="30" t="s">
        <v>1232</v>
      </c>
      <c r="M75" s="15" t="s">
        <v>26</v>
      </c>
      <c r="N75" s="15">
        <v>0</v>
      </c>
      <c r="O75" s="15">
        <v>0</v>
      </c>
      <c r="P75" s="15">
        <v>0</v>
      </c>
      <c r="Q75" s="40">
        <v>1</v>
      </c>
      <c r="R75" s="63">
        <v>2</v>
      </c>
      <c r="S75" s="63">
        <v>87</v>
      </c>
      <c r="Y75" s="71">
        <v>82</v>
      </c>
      <c r="Z75">
        <v>2</v>
      </c>
      <c r="AC75">
        <f t="shared" si="1"/>
        <v>2</v>
      </c>
    </row>
    <row r="76" spans="1:29" hidden="1" x14ac:dyDescent="0.2">
      <c r="A76" s="34" t="s">
        <v>549</v>
      </c>
      <c r="B76" s="10" t="s">
        <v>85</v>
      </c>
      <c r="C76" s="29" t="s">
        <v>550</v>
      </c>
      <c r="D76" s="29" t="s">
        <v>551</v>
      </c>
      <c r="E76" s="10" t="s">
        <v>26</v>
      </c>
      <c r="F76" s="10"/>
      <c r="G76" s="34" t="s">
        <v>24</v>
      </c>
      <c r="H76" s="34"/>
      <c r="I76" s="35" t="s">
        <v>1229</v>
      </c>
      <c r="J76" s="30" t="s">
        <v>1262</v>
      </c>
      <c r="K76" s="35" t="s">
        <v>1239</v>
      </c>
      <c r="L76" s="30" t="s">
        <v>1232</v>
      </c>
      <c r="M76" s="18" t="s">
        <v>26</v>
      </c>
      <c r="N76" s="18">
        <v>0</v>
      </c>
      <c r="O76" s="18">
        <v>0</v>
      </c>
      <c r="P76" s="18">
        <v>0</v>
      </c>
      <c r="Q76" s="36">
        <v>1</v>
      </c>
      <c r="R76" s="58">
        <v>2</v>
      </c>
      <c r="S76" s="58">
        <v>86</v>
      </c>
      <c r="Y76" s="71">
        <v>83</v>
      </c>
      <c r="Z76">
        <v>2</v>
      </c>
      <c r="AC76">
        <f t="shared" si="1"/>
        <v>2</v>
      </c>
    </row>
    <row r="77" spans="1:29" hidden="1" x14ac:dyDescent="0.2">
      <c r="A77" s="18" t="s">
        <v>927</v>
      </c>
      <c r="B77" s="18" t="s">
        <v>85</v>
      </c>
      <c r="C77" s="41" t="s">
        <v>928</v>
      </c>
      <c r="D77" s="41" t="s">
        <v>929</v>
      </c>
      <c r="E77" s="18" t="s">
        <v>26</v>
      </c>
      <c r="F77" s="18"/>
      <c r="G77" s="18" t="s">
        <v>24</v>
      </c>
      <c r="H77" s="18"/>
      <c r="I77" s="30" t="s">
        <v>1229</v>
      </c>
      <c r="J77" s="30" t="s">
        <v>1230</v>
      </c>
      <c r="K77" s="30" t="s">
        <v>1240</v>
      </c>
      <c r="L77" s="30" t="s">
        <v>1232</v>
      </c>
      <c r="M77" s="18" t="s">
        <v>26</v>
      </c>
      <c r="N77" s="18">
        <v>0</v>
      </c>
      <c r="O77" s="18">
        <v>0</v>
      </c>
      <c r="P77" s="18">
        <v>0</v>
      </c>
      <c r="Q77" s="18">
        <v>1</v>
      </c>
      <c r="R77" s="62">
        <v>3</v>
      </c>
      <c r="S77" s="62">
        <v>35</v>
      </c>
      <c r="Y77" s="71">
        <v>84</v>
      </c>
      <c r="Z77">
        <v>2</v>
      </c>
      <c r="AC77">
        <f t="shared" si="1"/>
        <v>2</v>
      </c>
    </row>
    <row r="78" spans="1:29" hidden="1" x14ac:dyDescent="0.2">
      <c r="A78" s="32" t="s">
        <v>931</v>
      </c>
      <c r="B78" s="32" t="s">
        <v>85</v>
      </c>
      <c r="C78" s="33" t="s">
        <v>932</v>
      </c>
      <c r="D78" s="33" t="s">
        <v>933</v>
      </c>
      <c r="E78" s="32" t="s">
        <v>26</v>
      </c>
      <c r="F78" s="32"/>
      <c r="G78" s="32" t="s">
        <v>24</v>
      </c>
      <c r="H78" s="32"/>
      <c r="I78" s="30" t="s">
        <v>1229</v>
      </c>
      <c r="J78" s="30" t="s">
        <v>1230</v>
      </c>
      <c r="K78" s="30" t="s">
        <v>1239</v>
      </c>
      <c r="L78" s="30" t="s">
        <v>1232</v>
      </c>
      <c r="M78" s="15" t="s">
        <v>26</v>
      </c>
      <c r="N78" s="15">
        <v>0</v>
      </c>
      <c r="O78" s="15">
        <v>0</v>
      </c>
      <c r="P78" s="15">
        <v>0</v>
      </c>
      <c r="Q78" s="15">
        <v>1</v>
      </c>
      <c r="R78" s="62">
        <v>3</v>
      </c>
      <c r="S78" s="62">
        <v>35</v>
      </c>
      <c r="Y78" s="71">
        <v>85</v>
      </c>
      <c r="Z78">
        <v>2</v>
      </c>
      <c r="AC78">
        <f t="shared" si="1"/>
        <v>2</v>
      </c>
    </row>
    <row r="79" spans="1:29" hidden="1" x14ac:dyDescent="0.2">
      <c r="A79" s="32" t="s">
        <v>919</v>
      </c>
      <c r="B79" s="32" t="s">
        <v>85</v>
      </c>
      <c r="C79" s="33" t="s">
        <v>920</v>
      </c>
      <c r="D79" s="33" t="s">
        <v>921</v>
      </c>
      <c r="E79" s="32" t="s">
        <v>26</v>
      </c>
      <c r="F79" s="32"/>
      <c r="G79" s="32" t="s">
        <v>24</v>
      </c>
      <c r="H79" s="32"/>
      <c r="I79" s="30" t="s">
        <v>1229</v>
      </c>
      <c r="J79" s="30" t="s">
        <v>1230</v>
      </c>
      <c r="K79" s="30" t="s">
        <v>1240</v>
      </c>
      <c r="L79" s="30" t="s">
        <v>1232</v>
      </c>
      <c r="M79" s="15" t="s">
        <v>26</v>
      </c>
      <c r="N79" s="15">
        <v>0</v>
      </c>
      <c r="O79" s="15">
        <v>0</v>
      </c>
      <c r="P79" s="15">
        <v>0</v>
      </c>
      <c r="Q79" s="15">
        <v>1</v>
      </c>
      <c r="R79" s="62">
        <v>3</v>
      </c>
      <c r="S79" s="62">
        <v>36</v>
      </c>
      <c r="Y79" s="71">
        <v>86</v>
      </c>
      <c r="Z79">
        <v>2</v>
      </c>
      <c r="AC79">
        <f t="shared" si="1"/>
        <v>2</v>
      </c>
    </row>
    <row r="80" spans="1:29" hidden="1" x14ac:dyDescent="0.2">
      <c r="A80" s="10" t="s">
        <v>923</v>
      </c>
      <c r="B80" s="10" t="s">
        <v>85</v>
      </c>
      <c r="C80" s="29" t="s">
        <v>924</v>
      </c>
      <c r="D80" s="29" t="s">
        <v>925</v>
      </c>
      <c r="E80" s="10" t="s">
        <v>26</v>
      </c>
      <c r="F80" s="10"/>
      <c r="G80" s="10" t="s">
        <v>24</v>
      </c>
      <c r="H80" s="10"/>
      <c r="I80" s="30" t="s">
        <v>1229</v>
      </c>
      <c r="J80" s="30" t="s">
        <v>1230</v>
      </c>
      <c r="K80" s="30" t="s">
        <v>1240</v>
      </c>
      <c r="L80" s="30" t="s">
        <v>1232</v>
      </c>
      <c r="M80" s="18" t="s">
        <v>26</v>
      </c>
      <c r="N80" s="18">
        <v>0</v>
      </c>
      <c r="O80" s="18">
        <v>0</v>
      </c>
      <c r="P80" s="18">
        <v>0</v>
      </c>
      <c r="Q80" s="18">
        <v>1</v>
      </c>
      <c r="R80" s="62">
        <v>3</v>
      </c>
      <c r="S80" s="62">
        <v>36</v>
      </c>
      <c r="Y80" s="71">
        <v>87</v>
      </c>
      <c r="Z80">
        <v>2</v>
      </c>
      <c r="AC80">
        <f t="shared" si="1"/>
        <v>2</v>
      </c>
    </row>
    <row r="81" spans="1:29" hidden="1" x14ac:dyDescent="0.2">
      <c r="A81" s="15" t="s">
        <v>754</v>
      </c>
      <c r="B81" s="15" t="s">
        <v>85</v>
      </c>
      <c r="C81" s="44" t="s">
        <v>755</v>
      </c>
      <c r="D81" s="44" t="s">
        <v>756</v>
      </c>
      <c r="E81" s="15" t="s">
        <v>26</v>
      </c>
      <c r="F81" s="15"/>
      <c r="G81" s="15" t="s">
        <v>24</v>
      </c>
      <c r="H81" s="15"/>
      <c r="I81" s="30" t="s">
        <v>1229</v>
      </c>
      <c r="J81" s="30" t="s">
        <v>1230</v>
      </c>
      <c r="K81" s="30" t="s">
        <v>1241</v>
      </c>
      <c r="L81" s="30" t="s">
        <v>1232</v>
      </c>
      <c r="M81" s="15" t="s">
        <v>26</v>
      </c>
      <c r="N81" s="15">
        <v>0</v>
      </c>
      <c r="O81" s="15">
        <v>0</v>
      </c>
      <c r="P81" s="15">
        <v>0</v>
      </c>
      <c r="Q81" s="15">
        <v>1</v>
      </c>
      <c r="R81" s="62">
        <v>3</v>
      </c>
      <c r="S81" s="62">
        <v>58</v>
      </c>
      <c r="Y81" s="71">
        <v>88</v>
      </c>
      <c r="Z81">
        <v>2</v>
      </c>
      <c r="AC81">
        <f t="shared" si="1"/>
        <v>2</v>
      </c>
    </row>
    <row r="82" spans="1:29" hidden="1" x14ac:dyDescent="0.2">
      <c r="A82" s="32" t="s">
        <v>911</v>
      </c>
      <c r="B82" s="15" t="s">
        <v>85</v>
      </c>
      <c r="C82" s="33" t="s">
        <v>912</v>
      </c>
      <c r="D82" s="33" t="s">
        <v>913</v>
      </c>
      <c r="E82" s="32" t="s">
        <v>26</v>
      </c>
      <c r="F82" s="32"/>
      <c r="G82" s="32" t="s">
        <v>24</v>
      </c>
      <c r="H82" s="32"/>
      <c r="I82" s="30" t="s">
        <v>1229</v>
      </c>
      <c r="J82" s="30" t="s">
        <v>1230</v>
      </c>
      <c r="K82" s="30" t="s">
        <v>1241</v>
      </c>
      <c r="L82" s="30" t="s">
        <v>1232</v>
      </c>
      <c r="M82" s="15" t="s">
        <v>26</v>
      </c>
      <c r="N82" s="15">
        <v>0</v>
      </c>
      <c r="O82" s="15">
        <v>0</v>
      </c>
      <c r="P82" s="15">
        <v>0</v>
      </c>
      <c r="Q82" s="15">
        <v>1</v>
      </c>
      <c r="R82" s="62">
        <v>3</v>
      </c>
      <c r="S82" s="62">
        <v>37</v>
      </c>
      <c r="Y82" s="71">
        <v>89</v>
      </c>
      <c r="Z82">
        <v>2</v>
      </c>
      <c r="AC82">
        <f t="shared" si="1"/>
        <v>2</v>
      </c>
    </row>
    <row r="83" spans="1:29" hidden="1" x14ac:dyDescent="0.2">
      <c r="A83" s="10" t="s">
        <v>903</v>
      </c>
      <c r="B83" s="18" t="s">
        <v>85</v>
      </c>
      <c r="C83" s="29" t="s">
        <v>904</v>
      </c>
      <c r="D83" s="29" t="s">
        <v>905</v>
      </c>
      <c r="E83" s="10" t="s">
        <v>26</v>
      </c>
      <c r="F83" s="10"/>
      <c r="G83" s="10" t="s">
        <v>24</v>
      </c>
      <c r="H83" s="10"/>
      <c r="I83" s="30" t="s">
        <v>1229</v>
      </c>
      <c r="J83" s="30" t="s">
        <v>1230</v>
      </c>
      <c r="K83" s="30" t="s">
        <v>1241</v>
      </c>
      <c r="L83" s="30" t="s">
        <v>1232</v>
      </c>
      <c r="M83" s="18" t="s">
        <v>26</v>
      </c>
      <c r="N83" s="18">
        <v>0</v>
      </c>
      <c r="O83" s="18">
        <v>0</v>
      </c>
      <c r="P83" s="18">
        <v>0</v>
      </c>
      <c r="Q83" s="18">
        <v>1</v>
      </c>
      <c r="R83" s="62">
        <v>3</v>
      </c>
      <c r="S83" s="62">
        <v>38</v>
      </c>
      <c r="Y83" s="71">
        <v>90</v>
      </c>
      <c r="Z83">
        <v>2</v>
      </c>
      <c r="AC83">
        <f t="shared" si="1"/>
        <v>2</v>
      </c>
    </row>
    <row r="84" spans="1:29" hidden="1" x14ac:dyDescent="0.2">
      <c r="A84" s="10" t="s">
        <v>907</v>
      </c>
      <c r="B84" s="18" t="s">
        <v>85</v>
      </c>
      <c r="C84" s="29" t="s">
        <v>908</v>
      </c>
      <c r="D84" s="29" t="s">
        <v>909</v>
      </c>
      <c r="E84" s="10" t="s">
        <v>26</v>
      </c>
      <c r="F84" s="10"/>
      <c r="G84" s="10" t="s">
        <v>24</v>
      </c>
      <c r="H84" s="10"/>
      <c r="I84" s="30" t="s">
        <v>1229</v>
      </c>
      <c r="J84" s="30" t="s">
        <v>1230</v>
      </c>
      <c r="K84" s="30" t="s">
        <v>1241</v>
      </c>
      <c r="L84" s="30" t="s">
        <v>1232</v>
      </c>
      <c r="M84" s="18" t="s">
        <v>26</v>
      </c>
      <c r="N84" s="18">
        <v>0</v>
      </c>
      <c r="O84" s="18">
        <v>0</v>
      </c>
      <c r="P84" s="18">
        <v>0</v>
      </c>
      <c r="Q84" s="18">
        <v>1</v>
      </c>
      <c r="R84" s="62">
        <v>3</v>
      </c>
      <c r="S84" s="62">
        <v>38</v>
      </c>
      <c r="Y84" s="71">
        <v>92</v>
      </c>
      <c r="Z84">
        <v>2</v>
      </c>
      <c r="AC84">
        <f t="shared" si="1"/>
        <v>2</v>
      </c>
    </row>
    <row r="85" spans="1:29" hidden="1" x14ac:dyDescent="0.2">
      <c r="A85" s="10" t="s">
        <v>895</v>
      </c>
      <c r="B85" s="18" t="s">
        <v>85</v>
      </c>
      <c r="C85" s="29" t="s">
        <v>896</v>
      </c>
      <c r="D85" s="29" t="s">
        <v>897</v>
      </c>
      <c r="E85" s="10" t="s">
        <v>26</v>
      </c>
      <c r="F85" s="10"/>
      <c r="G85" s="10" t="s">
        <v>24</v>
      </c>
      <c r="H85" s="10"/>
      <c r="I85" s="30" t="s">
        <v>1229</v>
      </c>
      <c r="J85" s="30" t="s">
        <v>1230</v>
      </c>
      <c r="K85" s="30" t="s">
        <v>1241</v>
      </c>
      <c r="L85" s="30" t="s">
        <v>1232</v>
      </c>
      <c r="M85" s="18" t="s">
        <v>26</v>
      </c>
      <c r="N85" s="18">
        <v>0</v>
      </c>
      <c r="O85" s="18">
        <v>0</v>
      </c>
      <c r="P85" s="18">
        <v>0</v>
      </c>
      <c r="Q85" s="18">
        <v>1</v>
      </c>
      <c r="R85" s="62">
        <v>3</v>
      </c>
      <c r="S85" s="62">
        <v>39</v>
      </c>
      <c r="Y85" s="71">
        <v>94</v>
      </c>
      <c r="Z85">
        <v>2</v>
      </c>
      <c r="AC85">
        <f t="shared" si="1"/>
        <v>2</v>
      </c>
    </row>
    <row r="86" spans="1:29" hidden="1" x14ac:dyDescent="0.2">
      <c r="A86" s="32" t="s">
        <v>899</v>
      </c>
      <c r="B86" s="15" t="s">
        <v>85</v>
      </c>
      <c r="C86" s="33" t="s">
        <v>900</v>
      </c>
      <c r="D86" s="33" t="s">
        <v>901</v>
      </c>
      <c r="E86" s="32" t="s">
        <v>26</v>
      </c>
      <c r="F86" s="32"/>
      <c r="G86" s="32" t="s">
        <v>24</v>
      </c>
      <c r="H86" s="32"/>
      <c r="I86" s="30" t="s">
        <v>1229</v>
      </c>
      <c r="J86" s="30" t="s">
        <v>1230</v>
      </c>
      <c r="K86" s="30" t="s">
        <v>1241</v>
      </c>
      <c r="L86" s="30" t="s">
        <v>1232</v>
      </c>
      <c r="M86" s="15" t="s">
        <v>26</v>
      </c>
      <c r="N86" s="15">
        <v>0</v>
      </c>
      <c r="O86" s="15">
        <v>0</v>
      </c>
      <c r="P86" s="15">
        <v>0</v>
      </c>
      <c r="Q86" s="15">
        <v>1</v>
      </c>
      <c r="R86" s="62">
        <v>3</v>
      </c>
      <c r="S86" s="62">
        <v>39</v>
      </c>
      <c r="Y86" s="71">
        <v>95</v>
      </c>
      <c r="Z86">
        <v>2</v>
      </c>
      <c r="AC86">
        <f t="shared" si="1"/>
        <v>2</v>
      </c>
    </row>
    <row r="87" spans="1:29" hidden="1" x14ac:dyDescent="0.2">
      <c r="A87" s="32" t="s">
        <v>887</v>
      </c>
      <c r="B87" s="15" t="s">
        <v>85</v>
      </c>
      <c r="C87" s="33" t="s">
        <v>888</v>
      </c>
      <c r="D87" s="33" t="s">
        <v>889</v>
      </c>
      <c r="E87" s="32" t="s">
        <v>26</v>
      </c>
      <c r="F87" s="32"/>
      <c r="G87" s="32" t="s">
        <v>24</v>
      </c>
      <c r="H87" s="32"/>
      <c r="I87" s="30" t="s">
        <v>1229</v>
      </c>
      <c r="J87" s="30" t="s">
        <v>1230</v>
      </c>
      <c r="K87" s="30" t="s">
        <v>1241</v>
      </c>
      <c r="L87" s="30" t="s">
        <v>1232</v>
      </c>
      <c r="M87" s="15" t="s">
        <v>26</v>
      </c>
      <c r="N87" s="15">
        <v>0</v>
      </c>
      <c r="O87" s="15">
        <v>0</v>
      </c>
      <c r="P87" s="15">
        <v>0</v>
      </c>
      <c r="Q87" s="15">
        <v>1</v>
      </c>
      <c r="R87" s="62">
        <v>3</v>
      </c>
      <c r="S87" s="62">
        <v>40</v>
      </c>
      <c r="Y87" s="71">
        <v>96</v>
      </c>
      <c r="Z87">
        <v>2</v>
      </c>
      <c r="AC87">
        <f t="shared" si="1"/>
        <v>2</v>
      </c>
    </row>
    <row r="88" spans="1:29" hidden="1" x14ac:dyDescent="0.2">
      <c r="A88" s="10" t="s">
        <v>762</v>
      </c>
      <c r="B88" s="18" t="s">
        <v>85</v>
      </c>
      <c r="C88" s="29" t="s">
        <v>636</v>
      </c>
      <c r="D88" s="29" t="s">
        <v>763</v>
      </c>
      <c r="E88" s="10" t="s">
        <v>26</v>
      </c>
      <c r="F88" s="10"/>
      <c r="G88" s="10" t="s">
        <v>24</v>
      </c>
      <c r="H88" s="10"/>
      <c r="I88" s="30" t="s">
        <v>1229</v>
      </c>
      <c r="J88" s="30" t="s">
        <v>1230</v>
      </c>
      <c r="K88" s="30" t="s">
        <v>1241</v>
      </c>
      <c r="L88" s="30" t="s">
        <v>1232</v>
      </c>
      <c r="M88" s="18" t="s">
        <v>26</v>
      </c>
      <c r="N88" s="18">
        <v>0</v>
      </c>
      <c r="O88" s="18">
        <v>0</v>
      </c>
      <c r="P88" s="18">
        <v>0</v>
      </c>
      <c r="Q88" s="18">
        <v>1</v>
      </c>
      <c r="R88" s="62">
        <v>3</v>
      </c>
      <c r="S88" s="62">
        <v>57</v>
      </c>
      <c r="Y88" s="71">
        <v>97</v>
      </c>
      <c r="Z88">
        <v>2</v>
      </c>
      <c r="AC88">
        <f t="shared" si="1"/>
        <v>2</v>
      </c>
    </row>
    <row r="89" spans="1:29" hidden="1" x14ac:dyDescent="0.2">
      <c r="A89" s="10" t="s">
        <v>879</v>
      </c>
      <c r="B89" s="18" t="s">
        <v>85</v>
      </c>
      <c r="C89" s="29" t="s">
        <v>880</v>
      </c>
      <c r="D89" s="29" t="s">
        <v>881</v>
      </c>
      <c r="E89" s="10" t="s">
        <v>26</v>
      </c>
      <c r="F89" s="10"/>
      <c r="G89" s="10" t="s">
        <v>24</v>
      </c>
      <c r="H89" s="10"/>
      <c r="I89" s="30" t="s">
        <v>1229</v>
      </c>
      <c r="J89" s="30" t="s">
        <v>1230</v>
      </c>
      <c r="K89" s="30" t="s">
        <v>1241</v>
      </c>
      <c r="L89" s="30" t="s">
        <v>1232</v>
      </c>
      <c r="M89" s="18" t="s">
        <v>26</v>
      </c>
      <c r="N89" s="18">
        <v>0</v>
      </c>
      <c r="O89" s="18">
        <v>0</v>
      </c>
      <c r="P89" s="18">
        <v>0</v>
      </c>
      <c r="Q89" s="18">
        <v>1</v>
      </c>
      <c r="R89" s="62">
        <v>3</v>
      </c>
      <c r="S89" s="62">
        <v>41</v>
      </c>
      <c r="Y89" s="71">
        <v>98</v>
      </c>
      <c r="Z89">
        <v>2</v>
      </c>
      <c r="AC89">
        <f t="shared" si="1"/>
        <v>2</v>
      </c>
    </row>
    <row r="90" spans="1:29" hidden="1" x14ac:dyDescent="0.2">
      <c r="A90" s="32" t="s">
        <v>883</v>
      </c>
      <c r="B90" s="15" t="s">
        <v>85</v>
      </c>
      <c r="C90" s="33" t="s">
        <v>884</v>
      </c>
      <c r="D90" s="33" t="s">
        <v>885</v>
      </c>
      <c r="E90" s="32" t="s">
        <v>26</v>
      </c>
      <c r="F90" s="32"/>
      <c r="G90" s="32" t="s">
        <v>24</v>
      </c>
      <c r="H90" s="32"/>
      <c r="I90" s="30" t="s">
        <v>1229</v>
      </c>
      <c r="J90" s="30" t="s">
        <v>1230</v>
      </c>
      <c r="K90" s="30" t="s">
        <v>1241</v>
      </c>
      <c r="L90" s="30" t="s">
        <v>1232</v>
      </c>
      <c r="M90" s="15" t="s">
        <v>26</v>
      </c>
      <c r="N90" s="15">
        <v>0</v>
      </c>
      <c r="O90" s="15">
        <v>0</v>
      </c>
      <c r="P90" s="15">
        <v>0</v>
      </c>
      <c r="Q90" s="15">
        <v>1</v>
      </c>
      <c r="R90" s="62">
        <v>3</v>
      </c>
      <c r="S90" s="62">
        <v>41</v>
      </c>
      <c r="Y90" s="71">
        <v>99</v>
      </c>
      <c r="Z90">
        <v>2</v>
      </c>
      <c r="AC90">
        <f t="shared" si="1"/>
        <v>2</v>
      </c>
    </row>
    <row r="91" spans="1:29" hidden="1" x14ac:dyDescent="0.2">
      <c r="A91" s="32" t="s">
        <v>871</v>
      </c>
      <c r="B91" s="15" t="s">
        <v>85</v>
      </c>
      <c r="C91" s="33" t="s">
        <v>872</v>
      </c>
      <c r="D91" s="33" t="s">
        <v>873</v>
      </c>
      <c r="E91" s="32" t="s">
        <v>26</v>
      </c>
      <c r="F91" s="32"/>
      <c r="G91" s="32" t="s">
        <v>24</v>
      </c>
      <c r="H91" s="32"/>
      <c r="I91" s="30" t="s">
        <v>1229</v>
      </c>
      <c r="J91" s="30" t="s">
        <v>1230</v>
      </c>
      <c r="K91" s="30" t="s">
        <v>1241</v>
      </c>
      <c r="L91" s="30" t="s">
        <v>1232</v>
      </c>
      <c r="M91" s="15" t="s">
        <v>26</v>
      </c>
      <c r="N91" s="15">
        <v>0</v>
      </c>
      <c r="O91" s="15">
        <v>0</v>
      </c>
      <c r="P91" s="15">
        <v>0</v>
      </c>
      <c r="Q91" s="15">
        <v>1</v>
      </c>
      <c r="R91" s="62">
        <v>3</v>
      </c>
      <c r="S91" s="62">
        <v>42</v>
      </c>
      <c r="Y91" s="71">
        <v>100</v>
      </c>
      <c r="Z91">
        <v>2</v>
      </c>
      <c r="AC91">
        <f t="shared" si="1"/>
        <v>2</v>
      </c>
    </row>
    <row r="92" spans="1:29" hidden="1" x14ac:dyDescent="0.2">
      <c r="A92" s="32" t="s">
        <v>875</v>
      </c>
      <c r="B92" s="15" t="s">
        <v>85</v>
      </c>
      <c r="C92" s="33" t="s">
        <v>876</v>
      </c>
      <c r="D92" s="33" t="s">
        <v>877</v>
      </c>
      <c r="E92" s="32" t="s">
        <v>26</v>
      </c>
      <c r="F92" s="32"/>
      <c r="G92" s="32" t="s">
        <v>24</v>
      </c>
      <c r="H92" s="32"/>
      <c r="I92" s="30" t="s">
        <v>1229</v>
      </c>
      <c r="J92" s="30" t="s">
        <v>1230</v>
      </c>
      <c r="K92" s="30" t="s">
        <v>1241</v>
      </c>
      <c r="L92" s="30" t="s">
        <v>1232</v>
      </c>
      <c r="M92" s="15" t="s">
        <v>26</v>
      </c>
      <c r="N92" s="15">
        <v>0</v>
      </c>
      <c r="O92" s="15">
        <v>0</v>
      </c>
      <c r="P92" s="15">
        <v>0</v>
      </c>
      <c r="Q92" s="15">
        <v>1</v>
      </c>
      <c r="R92" s="62">
        <v>3</v>
      </c>
      <c r="S92" s="62">
        <v>42</v>
      </c>
      <c r="Y92" s="71">
        <v>101</v>
      </c>
      <c r="Z92">
        <v>2</v>
      </c>
      <c r="AC92">
        <f t="shared" si="1"/>
        <v>2</v>
      </c>
    </row>
    <row r="93" spans="1:29" hidden="1" x14ac:dyDescent="0.2">
      <c r="A93" s="10" t="s">
        <v>866</v>
      </c>
      <c r="B93" s="10" t="s">
        <v>85</v>
      </c>
      <c r="C93" s="29" t="s">
        <v>867</v>
      </c>
      <c r="D93" s="29" t="s">
        <v>868</v>
      </c>
      <c r="E93" s="10" t="s">
        <v>23</v>
      </c>
      <c r="F93" s="10" t="s">
        <v>869</v>
      </c>
      <c r="G93" s="10" t="s">
        <v>24</v>
      </c>
      <c r="H93" s="10"/>
      <c r="I93" s="30" t="s">
        <v>1229</v>
      </c>
      <c r="J93" s="30" t="s">
        <v>1230</v>
      </c>
      <c r="K93" s="30" t="s">
        <v>1241</v>
      </c>
      <c r="L93" s="30" t="s">
        <v>1232</v>
      </c>
      <c r="M93" s="18" t="s">
        <v>23</v>
      </c>
      <c r="N93" s="18">
        <v>0</v>
      </c>
      <c r="O93" s="18">
        <v>1</v>
      </c>
      <c r="P93" s="18">
        <v>1</v>
      </c>
      <c r="Q93" s="18">
        <v>2</v>
      </c>
      <c r="R93" s="62">
        <v>3</v>
      </c>
      <c r="S93" s="62">
        <v>43</v>
      </c>
      <c r="Y93" s="71">
        <v>102</v>
      </c>
      <c r="Z93">
        <v>2</v>
      </c>
      <c r="AC93">
        <f t="shared" si="1"/>
        <v>2</v>
      </c>
    </row>
    <row r="94" spans="1:29" hidden="1" x14ac:dyDescent="0.2">
      <c r="A94" s="15" t="s">
        <v>854</v>
      </c>
      <c r="B94" s="15" t="s">
        <v>85</v>
      </c>
      <c r="C94" s="44" t="s">
        <v>855</v>
      </c>
      <c r="D94" s="44" t="s">
        <v>856</v>
      </c>
      <c r="E94" s="15" t="s">
        <v>26</v>
      </c>
      <c r="F94" s="15"/>
      <c r="G94" s="15" t="s">
        <v>24</v>
      </c>
      <c r="H94" s="15"/>
      <c r="I94" s="30" t="s">
        <v>1229</v>
      </c>
      <c r="J94" s="30" t="s">
        <v>1230</v>
      </c>
      <c r="K94" s="30" t="s">
        <v>1240</v>
      </c>
      <c r="L94" s="30" t="s">
        <v>1232</v>
      </c>
      <c r="M94" s="15" t="s">
        <v>26</v>
      </c>
      <c r="N94" s="15">
        <v>0</v>
      </c>
      <c r="O94" s="15">
        <v>0</v>
      </c>
      <c r="P94" s="15">
        <v>0</v>
      </c>
      <c r="Q94" s="15">
        <v>1</v>
      </c>
      <c r="R94" s="62">
        <v>1</v>
      </c>
      <c r="S94" s="62">
        <v>45</v>
      </c>
      <c r="Y94" s="71">
        <v>103</v>
      </c>
      <c r="Z94">
        <v>2</v>
      </c>
      <c r="AC94">
        <f t="shared" si="1"/>
        <v>2</v>
      </c>
    </row>
    <row r="95" spans="1:29" hidden="1" x14ac:dyDescent="0.2">
      <c r="A95" s="10" t="s">
        <v>858</v>
      </c>
      <c r="B95" s="18" t="s">
        <v>85</v>
      </c>
      <c r="C95" s="29" t="s">
        <v>859</v>
      </c>
      <c r="D95" s="29" t="s">
        <v>860</v>
      </c>
      <c r="E95" s="10" t="s">
        <v>26</v>
      </c>
      <c r="F95" s="10"/>
      <c r="G95" s="10" t="s">
        <v>24</v>
      </c>
      <c r="H95" s="10"/>
      <c r="I95" s="30" t="s">
        <v>1229</v>
      </c>
      <c r="J95" s="30" t="s">
        <v>1230</v>
      </c>
      <c r="K95" s="30" t="s">
        <v>1241</v>
      </c>
      <c r="L95" s="30" t="s">
        <v>1232</v>
      </c>
      <c r="M95" s="18" t="s">
        <v>26</v>
      </c>
      <c r="N95" s="18">
        <v>0</v>
      </c>
      <c r="O95" s="18">
        <v>0</v>
      </c>
      <c r="P95" s="18">
        <v>0</v>
      </c>
      <c r="Q95" s="18">
        <v>1</v>
      </c>
      <c r="R95" s="62">
        <v>3</v>
      </c>
      <c r="S95" s="62">
        <v>44</v>
      </c>
      <c r="Y95" s="71">
        <v>104</v>
      </c>
      <c r="Z95">
        <v>2</v>
      </c>
      <c r="AC95">
        <f t="shared" si="1"/>
        <v>2</v>
      </c>
    </row>
    <row r="96" spans="1:29" hidden="1" x14ac:dyDescent="0.2">
      <c r="A96" s="32" t="s">
        <v>1205</v>
      </c>
      <c r="B96" s="15" t="s">
        <v>85</v>
      </c>
      <c r="C96" s="33" t="s">
        <v>1206</v>
      </c>
      <c r="D96" s="33" t="s">
        <v>1207</v>
      </c>
      <c r="E96" s="32" t="s">
        <v>26</v>
      </c>
      <c r="F96" s="32"/>
      <c r="G96" s="32" t="s">
        <v>24</v>
      </c>
      <c r="H96" s="32"/>
      <c r="I96" s="30" t="s">
        <v>1229</v>
      </c>
      <c r="J96" s="30" t="s">
        <v>1230</v>
      </c>
      <c r="K96" s="30" t="s">
        <v>1241</v>
      </c>
      <c r="L96" s="30" t="s">
        <v>1232</v>
      </c>
      <c r="M96" s="15" t="s">
        <v>26</v>
      </c>
      <c r="N96" s="15">
        <v>0</v>
      </c>
      <c r="O96" s="15">
        <v>0</v>
      </c>
      <c r="P96" s="15">
        <v>0</v>
      </c>
      <c r="Q96" s="15">
        <v>1</v>
      </c>
      <c r="R96" s="62">
        <v>3</v>
      </c>
      <c r="S96" s="62">
        <v>1</v>
      </c>
      <c r="Y96" s="71">
        <v>106</v>
      </c>
      <c r="Z96">
        <v>2</v>
      </c>
      <c r="AC96">
        <f t="shared" si="1"/>
        <v>2</v>
      </c>
    </row>
    <row r="97" spans="1:29" hidden="1" x14ac:dyDescent="0.2">
      <c r="A97" s="10" t="s">
        <v>733</v>
      </c>
      <c r="B97" s="18" t="s">
        <v>85</v>
      </c>
      <c r="C97" s="29" t="s">
        <v>734</v>
      </c>
      <c r="D97" s="29" t="s">
        <v>735</v>
      </c>
      <c r="E97" s="10" t="s">
        <v>26</v>
      </c>
      <c r="F97" s="10"/>
      <c r="G97" s="10" t="s">
        <v>24</v>
      </c>
      <c r="H97" s="10"/>
      <c r="I97" s="30" t="s">
        <v>1229</v>
      </c>
      <c r="J97" s="30" t="s">
        <v>1230</v>
      </c>
      <c r="K97" s="30" t="s">
        <v>1241</v>
      </c>
      <c r="L97" s="30" t="s">
        <v>1232</v>
      </c>
      <c r="M97" s="18" t="s">
        <v>26</v>
      </c>
      <c r="N97" s="18">
        <v>0</v>
      </c>
      <c r="O97" s="18">
        <v>0</v>
      </c>
      <c r="P97" s="18">
        <v>0</v>
      </c>
      <c r="Q97" s="18">
        <v>1</v>
      </c>
      <c r="R97" s="62">
        <v>3</v>
      </c>
      <c r="S97" s="63">
        <v>61</v>
      </c>
      <c r="Y97" s="71">
        <v>107</v>
      </c>
      <c r="Z97">
        <v>2</v>
      </c>
      <c r="AC97">
        <f t="shared" si="1"/>
        <v>2</v>
      </c>
    </row>
    <row r="98" spans="1:29" hidden="1" x14ac:dyDescent="0.2">
      <c r="A98" s="10" t="s">
        <v>655</v>
      </c>
      <c r="B98" s="10" t="s">
        <v>85</v>
      </c>
      <c r="C98" s="29" t="s">
        <v>656</v>
      </c>
      <c r="D98" s="29" t="s">
        <v>657</v>
      </c>
      <c r="E98" s="10" t="s">
        <v>23</v>
      </c>
      <c r="F98" s="10" t="s">
        <v>658</v>
      </c>
      <c r="G98" s="10" t="s">
        <v>24</v>
      </c>
      <c r="H98" s="10"/>
      <c r="I98" s="30" t="s">
        <v>1229</v>
      </c>
      <c r="J98" s="30" t="s">
        <v>1230</v>
      </c>
      <c r="K98" s="30" t="s">
        <v>1241</v>
      </c>
      <c r="L98" s="30" t="s">
        <v>1232</v>
      </c>
      <c r="M98" s="18" t="s">
        <v>23</v>
      </c>
      <c r="N98" s="18">
        <v>0</v>
      </c>
      <c r="O98" s="18">
        <v>1</v>
      </c>
      <c r="P98" s="18">
        <v>1</v>
      </c>
      <c r="Q98" s="18">
        <v>2</v>
      </c>
      <c r="R98" s="62">
        <v>3</v>
      </c>
      <c r="S98" s="62">
        <v>71</v>
      </c>
      <c r="Y98" s="71">
        <v>108</v>
      </c>
      <c r="Z98">
        <v>2</v>
      </c>
      <c r="AC98">
        <f t="shared" si="1"/>
        <v>2</v>
      </c>
    </row>
    <row r="99" spans="1:29" hidden="1" x14ac:dyDescent="0.2">
      <c r="A99" s="32" t="s">
        <v>650</v>
      </c>
      <c r="B99" s="32" t="s">
        <v>85</v>
      </c>
      <c r="C99" s="33" t="s">
        <v>651</v>
      </c>
      <c r="D99" s="33" t="s">
        <v>652</v>
      </c>
      <c r="E99" s="32" t="s">
        <v>23</v>
      </c>
      <c r="F99" s="32" t="s">
        <v>653</v>
      </c>
      <c r="G99" s="32" t="s">
        <v>24</v>
      </c>
      <c r="H99" s="32"/>
      <c r="I99" s="30" t="s">
        <v>1229</v>
      </c>
      <c r="J99" s="30" t="s">
        <v>1230</v>
      </c>
      <c r="K99" s="30" t="s">
        <v>1241</v>
      </c>
      <c r="L99" s="30" t="s">
        <v>1232</v>
      </c>
      <c r="M99" s="15" t="s">
        <v>23</v>
      </c>
      <c r="N99" s="15">
        <v>0</v>
      </c>
      <c r="O99" s="15">
        <v>1</v>
      </c>
      <c r="P99" s="15">
        <v>1</v>
      </c>
      <c r="Q99" s="15">
        <v>2</v>
      </c>
      <c r="R99" s="62">
        <v>3</v>
      </c>
      <c r="S99" s="62">
        <v>72</v>
      </c>
      <c r="Y99" s="71">
        <v>109</v>
      </c>
      <c r="Z99">
        <v>2</v>
      </c>
      <c r="AC99">
        <f t="shared" si="1"/>
        <v>2</v>
      </c>
    </row>
    <row r="100" spans="1:29" hidden="1" x14ac:dyDescent="0.2">
      <c r="A100" s="10" t="s">
        <v>640</v>
      </c>
      <c r="B100" s="10" t="s">
        <v>85</v>
      </c>
      <c r="C100" s="29" t="s">
        <v>641</v>
      </c>
      <c r="D100" s="29" t="s">
        <v>642</v>
      </c>
      <c r="E100" s="10" t="s">
        <v>23</v>
      </c>
      <c r="F100" s="10" t="s">
        <v>643</v>
      </c>
      <c r="G100" s="10" t="s">
        <v>24</v>
      </c>
      <c r="H100" s="10"/>
      <c r="I100" s="30" t="s">
        <v>1229</v>
      </c>
      <c r="J100" s="30" t="s">
        <v>1230</v>
      </c>
      <c r="K100" s="30" t="s">
        <v>1241</v>
      </c>
      <c r="L100" s="30" t="s">
        <v>1232</v>
      </c>
      <c r="M100" s="18" t="s">
        <v>23</v>
      </c>
      <c r="N100" s="18">
        <v>2</v>
      </c>
      <c r="O100" s="18">
        <v>1</v>
      </c>
      <c r="P100" s="18">
        <v>3</v>
      </c>
      <c r="Q100" s="18">
        <v>4</v>
      </c>
      <c r="R100" s="62">
        <v>3</v>
      </c>
      <c r="S100" s="62">
        <v>74</v>
      </c>
      <c r="Y100" s="71">
        <v>110</v>
      </c>
      <c r="Z100">
        <v>2</v>
      </c>
      <c r="AC100">
        <f t="shared" si="1"/>
        <v>2</v>
      </c>
    </row>
    <row r="101" spans="1:29" hidden="1" x14ac:dyDescent="0.2">
      <c r="A101" s="32" t="s">
        <v>635</v>
      </c>
      <c r="B101" s="32" t="s">
        <v>85</v>
      </c>
      <c r="C101" s="33" t="s">
        <v>636</v>
      </c>
      <c r="D101" s="33" t="s">
        <v>637</v>
      </c>
      <c r="E101" s="32" t="s">
        <v>23</v>
      </c>
      <c r="F101" s="32" t="s">
        <v>638</v>
      </c>
      <c r="G101" s="32" t="s">
        <v>24</v>
      </c>
      <c r="H101" s="32"/>
      <c r="I101" s="30" t="s">
        <v>1229</v>
      </c>
      <c r="J101" s="30" t="s">
        <v>1230</v>
      </c>
      <c r="K101" s="30" t="s">
        <v>1241</v>
      </c>
      <c r="L101" s="30" t="s">
        <v>1232</v>
      </c>
      <c r="M101" s="15" t="s">
        <v>23</v>
      </c>
      <c r="N101" s="15">
        <v>2</v>
      </c>
      <c r="O101" s="15">
        <v>1</v>
      </c>
      <c r="P101" s="15">
        <v>3</v>
      </c>
      <c r="Q101" s="15">
        <v>4</v>
      </c>
      <c r="R101" s="62">
        <v>3</v>
      </c>
      <c r="S101" s="62">
        <v>75</v>
      </c>
      <c r="Y101" s="71">
        <v>111</v>
      </c>
      <c r="Z101">
        <v>2</v>
      </c>
      <c r="AC101">
        <f t="shared" si="1"/>
        <v>2</v>
      </c>
    </row>
    <row r="102" spans="1:29" hidden="1" x14ac:dyDescent="0.2">
      <c r="A102" s="10" t="s">
        <v>630</v>
      </c>
      <c r="B102" s="10" t="s">
        <v>85</v>
      </c>
      <c r="C102" s="29" t="s">
        <v>631</v>
      </c>
      <c r="D102" s="29" t="s">
        <v>632</v>
      </c>
      <c r="E102" s="10" t="s">
        <v>23</v>
      </c>
      <c r="F102" s="10" t="s">
        <v>633</v>
      </c>
      <c r="G102" s="10" t="s">
        <v>24</v>
      </c>
      <c r="H102" s="10"/>
      <c r="I102" s="30" t="s">
        <v>1229</v>
      </c>
      <c r="J102" s="30" t="s">
        <v>1230</v>
      </c>
      <c r="K102" s="30" t="s">
        <v>1241</v>
      </c>
      <c r="L102" s="30" t="s">
        <v>1232</v>
      </c>
      <c r="M102" s="18" t="s">
        <v>23</v>
      </c>
      <c r="N102" s="18">
        <v>1</v>
      </c>
      <c r="O102" s="18">
        <v>1</v>
      </c>
      <c r="P102" s="18">
        <v>2</v>
      </c>
      <c r="Q102" s="18">
        <v>3</v>
      </c>
      <c r="R102" s="62">
        <v>3</v>
      </c>
      <c r="S102" s="62">
        <v>76</v>
      </c>
      <c r="Y102" s="71">
        <v>112</v>
      </c>
      <c r="Z102">
        <v>2</v>
      </c>
      <c r="AC102">
        <f t="shared" si="1"/>
        <v>2</v>
      </c>
    </row>
    <row r="103" spans="1:29" hidden="1" x14ac:dyDescent="0.2">
      <c r="A103" s="34" t="s">
        <v>729</v>
      </c>
      <c r="B103" s="10" t="s">
        <v>85</v>
      </c>
      <c r="C103" s="29" t="s">
        <v>730</v>
      </c>
      <c r="D103" s="29" t="s">
        <v>731</v>
      </c>
      <c r="E103" s="10" t="s">
        <v>26</v>
      </c>
      <c r="F103" s="34"/>
      <c r="G103" s="34" t="s">
        <v>24</v>
      </c>
      <c r="H103" s="34"/>
      <c r="I103" s="35" t="s">
        <v>1229</v>
      </c>
      <c r="J103" s="30" t="s">
        <v>1262</v>
      </c>
      <c r="K103" s="35" t="s">
        <v>1239</v>
      </c>
      <c r="L103" s="30" t="s">
        <v>1232</v>
      </c>
      <c r="M103" s="18" t="s">
        <v>26</v>
      </c>
      <c r="N103" s="18">
        <v>0</v>
      </c>
      <c r="O103" s="18">
        <v>0</v>
      </c>
      <c r="P103" s="18">
        <v>0</v>
      </c>
      <c r="Q103" s="36">
        <v>1</v>
      </c>
      <c r="R103" s="63">
        <v>3</v>
      </c>
      <c r="S103" s="63">
        <v>61</v>
      </c>
      <c r="Y103" s="71">
        <v>113</v>
      </c>
      <c r="Z103">
        <v>2</v>
      </c>
      <c r="AC103">
        <f t="shared" si="1"/>
        <v>2</v>
      </c>
    </row>
    <row r="104" spans="1:29" hidden="1" x14ac:dyDescent="0.2">
      <c r="A104" s="10" t="s">
        <v>842</v>
      </c>
      <c r="B104" s="10" t="s">
        <v>85</v>
      </c>
      <c r="C104" s="29" t="s">
        <v>843</v>
      </c>
      <c r="D104" s="29" t="s">
        <v>844</v>
      </c>
      <c r="E104" s="10" t="s">
        <v>26</v>
      </c>
      <c r="F104" s="10"/>
      <c r="G104" s="10" t="s">
        <v>24</v>
      </c>
      <c r="H104" s="10"/>
      <c r="I104" s="30" t="s">
        <v>1229</v>
      </c>
      <c r="J104" s="30" t="s">
        <v>1230</v>
      </c>
      <c r="K104" s="30" t="s">
        <v>1242</v>
      </c>
      <c r="L104" s="30" t="s">
        <v>1232</v>
      </c>
      <c r="M104" s="18" t="s">
        <v>26</v>
      </c>
      <c r="N104" s="18">
        <v>0</v>
      </c>
      <c r="O104" s="18">
        <v>0</v>
      </c>
      <c r="P104" s="18">
        <v>0</v>
      </c>
      <c r="Q104" s="18">
        <v>1</v>
      </c>
      <c r="R104" s="57">
        <v>4</v>
      </c>
      <c r="S104" s="57">
        <v>46</v>
      </c>
      <c r="Y104" s="71">
        <v>114</v>
      </c>
      <c r="Z104">
        <v>2</v>
      </c>
      <c r="AC104">
        <f t="shared" si="1"/>
        <v>2</v>
      </c>
    </row>
    <row r="105" spans="1:29" hidden="1" x14ac:dyDescent="0.2">
      <c r="A105" s="32" t="s">
        <v>846</v>
      </c>
      <c r="B105" s="32" t="s">
        <v>85</v>
      </c>
      <c r="C105" s="33" t="s">
        <v>847</v>
      </c>
      <c r="D105" s="33" t="s">
        <v>848</v>
      </c>
      <c r="E105" s="32" t="s">
        <v>26</v>
      </c>
      <c r="F105" s="32"/>
      <c r="G105" s="32" t="s">
        <v>24</v>
      </c>
      <c r="H105" s="32"/>
      <c r="I105" s="30" t="s">
        <v>1229</v>
      </c>
      <c r="J105" s="30" t="s">
        <v>1230</v>
      </c>
      <c r="K105" s="30" t="s">
        <v>1242</v>
      </c>
      <c r="L105" s="30" t="s">
        <v>1232</v>
      </c>
      <c r="M105" s="15" t="s">
        <v>26</v>
      </c>
      <c r="N105" s="15">
        <v>0</v>
      </c>
      <c r="O105" s="15">
        <v>0</v>
      </c>
      <c r="P105" s="15">
        <v>0</v>
      </c>
      <c r="Q105" s="15">
        <v>1</v>
      </c>
      <c r="R105" s="57">
        <v>4</v>
      </c>
      <c r="S105" s="57">
        <v>46</v>
      </c>
      <c r="Y105" s="71">
        <v>115</v>
      </c>
      <c r="Z105">
        <v>2</v>
      </c>
      <c r="AC105">
        <f t="shared" si="1"/>
        <v>2</v>
      </c>
    </row>
    <row r="106" spans="1:29" hidden="1" x14ac:dyDescent="0.2">
      <c r="A106" s="10" t="s">
        <v>834</v>
      </c>
      <c r="B106" s="10" t="s">
        <v>85</v>
      </c>
      <c r="C106" s="29" t="s">
        <v>835</v>
      </c>
      <c r="D106" s="29" t="s">
        <v>836</v>
      </c>
      <c r="E106" s="10" t="s">
        <v>26</v>
      </c>
      <c r="F106" s="10"/>
      <c r="G106" s="10" t="s">
        <v>24</v>
      </c>
      <c r="H106" s="10"/>
      <c r="I106" s="30" t="s">
        <v>1229</v>
      </c>
      <c r="J106" s="30" t="s">
        <v>1230</v>
      </c>
      <c r="K106" s="30" t="s">
        <v>1242</v>
      </c>
      <c r="L106" s="30" t="s">
        <v>1232</v>
      </c>
      <c r="M106" s="18" t="s">
        <v>26</v>
      </c>
      <c r="N106" s="18">
        <v>0</v>
      </c>
      <c r="O106" s="18">
        <v>0</v>
      </c>
      <c r="P106" s="18">
        <v>0</v>
      </c>
      <c r="Q106" s="18">
        <v>1</v>
      </c>
      <c r="R106" s="57">
        <v>4</v>
      </c>
      <c r="S106" s="57">
        <v>47</v>
      </c>
      <c r="Y106" s="71">
        <v>116</v>
      </c>
      <c r="Z106">
        <v>2</v>
      </c>
      <c r="AC106">
        <f t="shared" si="1"/>
        <v>2</v>
      </c>
    </row>
    <row r="107" spans="1:29" hidden="1" x14ac:dyDescent="0.2">
      <c r="A107" s="32" t="s">
        <v>838</v>
      </c>
      <c r="B107" s="32" t="s">
        <v>85</v>
      </c>
      <c r="C107" s="33" t="s">
        <v>839</v>
      </c>
      <c r="D107" s="33" t="s">
        <v>840</v>
      </c>
      <c r="E107" s="32" t="s">
        <v>26</v>
      </c>
      <c r="F107" s="32"/>
      <c r="G107" s="32" t="s">
        <v>24</v>
      </c>
      <c r="H107" s="32"/>
      <c r="I107" s="30" t="s">
        <v>1229</v>
      </c>
      <c r="J107" s="30" t="s">
        <v>1230</v>
      </c>
      <c r="K107" s="30" t="s">
        <v>1242</v>
      </c>
      <c r="L107" s="30" t="s">
        <v>1232</v>
      </c>
      <c r="M107" s="15" t="s">
        <v>26</v>
      </c>
      <c r="N107" s="15">
        <v>0</v>
      </c>
      <c r="O107" s="15">
        <v>0</v>
      </c>
      <c r="P107" s="15">
        <v>0</v>
      </c>
      <c r="Q107" s="15">
        <v>1</v>
      </c>
      <c r="R107" s="57">
        <v>4</v>
      </c>
      <c r="S107" s="57">
        <v>47</v>
      </c>
      <c r="Y107" s="71">
        <v>117</v>
      </c>
      <c r="Z107">
        <v>2</v>
      </c>
      <c r="AC107">
        <f t="shared" si="1"/>
        <v>2</v>
      </c>
    </row>
    <row r="108" spans="1:29" hidden="1" x14ac:dyDescent="0.2">
      <c r="A108" s="10" t="s">
        <v>826</v>
      </c>
      <c r="B108" s="10" t="s">
        <v>85</v>
      </c>
      <c r="C108" s="29" t="s">
        <v>827</v>
      </c>
      <c r="D108" s="29" t="s">
        <v>828</v>
      </c>
      <c r="E108" s="10" t="s">
        <v>26</v>
      </c>
      <c r="F108" s="10"/>
      <c r="G108" s="10" t="s">
        <v>24</v>
      </c>
      <c r="H108" s="10"/>
      <c r="I108" s="30" t="s">
        <v>1229</v>
      </c>
      <c r="J108" s="30" t="s">
        <v>1230</v>
      </c>
      <c r="K108" s="30" t="s">
        <v>1242</v>
      </c>
      <c r="L108" s="30" t="s">
        <v>1232</v>
      </c>
      <c r="M108" s="18" t="s">
        <v>26</v>
      </c>
      <c r="N108" s="18">
        <v>0</v>
      </c>
      <c r="O108" s="18">
        <v>0</v>
      </c>
      <c r="P108" s="18">
        <v>0</v>
      </c>
      <c r="Q108" s="18">
        <v>1</v>
      </c>
      <c r="R108" s="57">
        <v>4</v>
      </c>
      <c r="S108" s="57">
        <v>48</v>
      </c>
      <c r="Y108" s="71">
        <v>118</v>
      </c>
      <c r="Z108">
        <v>2</v>
      </c>
      <c r="AC108">
        <f t="shared" si="1"/>
        <v>2</v>
      </c>
    </row>
    <row r="109" spans="1:29" hidden="1" x14ac:dyDescent="0.2">
      <c r="A109" s="32" t="s">
        <v>830</v>
      </c>
      <c r="B109" s="32" t="s">
        <v>85</v>
      </c>
      <c r="C109" s="33" t="s">
        <v>831</v>
      </c>
      <c r="D109" s="33" t="s">
        <v>832</v>
      </c>
      <c r="E109" s="32" t="s">
        <v>26</v>
      </c>
      <c r="F109" s="32"/>
      <c r="G109" s="32" t="s">
        <v>24</v>
      </c>
      <c r="H109" s="32"/>
      <c r="I109" s="30" t="s">
        <v>1229</v>
      </c>
      <c r="J109" s="30" t="s">
        <v>1230</v>
      </c>
      <c r="K109" s="30" t="s">
        <v>1242</v>
      </c>
      <c r="L109" s="30" t="s">
        <v>1232</v>
      </c>
      <c r="M109" s="15" t="s">
        <v>26</v>
      </c>
      <c r="N109" s="15">
        <v>0</v>
      </c>
      <c r="O109" s="15">
        <v>0</v>
      </c>
      <c r="P109" s="15">
        <v>0</v>
      </c>
      <c r="Q109" s="15">
        <v>1</v>
      </c>
      <c r="R109" s="57">
        <v>4</v>
      </c>
      <c r="S109" s="57">
        <v>48</v>
      </c>
      <c r="Y109" s="71">
        <v>119</v>
      </c>
      <c r="Z109">
        <v>2</v>
      </c>
      <c r="AC109">
        <f t="shared" si="1"/>
        <v>2</v>
      </c>
    </row>
    <row r="110" spans="1:29" hidden="1" x14ac:dyDescent="0.2">
      <c r="A110" s="18" t="s">
        <v>821</v>
      </c>
      <c r="B110" s="18" t="s">
        <v>85</v>
      </c>
      <c r="C110" s="41" t="s">
        <v>822</v>
      </c>
      <c r="D110" s="41" t="s">
        <v>823</v>
      </c>
      <c r="E110" s="18" t="s">
        <v>23</v>
      </c>
      <c r="F110" s="46" t="s">
        <v>824</v>
      </c>
      <c r="G110" s="18" t="s">
        <v>24</v>
      </c>
      <c r="H110" s="18"/>
      <c r="I110" s="30" t="s">
        <v>1229</v>
      </c>
      <c r="J110" s="30" t="s">
        <v>1230</v>
      </c>
      <c r="K110" s="30" t="s">
        <v>1243</v>
      </c>
      <c r="L110" s="30" t="s">
        <v>1232</v>
      </c>
      <c r="M110" s="18" t="s">
        <v>23</v>
      </c>
      <c r="N110" s="18">
        <v>0</v>
      </c>
      <c r="O110" s="18">
        <v>1</v>
      </c>
      <c r="P110" s="18">
        <v>1</v>
      </c>
      <c r="Q110" s="18">
        <v>2</v>
      </c>
      <c r="R110" s="57">
        <v>4</v>
      </c>
      <c r="S110" s="57">
        <v>49</v>
      </c>
      <c r="Y110" s="71">
        <v>122</v>
      </c>
      <c r="Z110">
        <v>2</v>
      </c>
      <c r="AC110">
        <f t="shared" si="1"/>
        <v>2</v>
      </c>
    </row>
    <row r="111" spans="1:29" hidden="1" x14ac:dyDescent="0.2">
      <c r="A111" s="10" t="s">
        <v>813</v>
      </c>
      <c r="B111" s="10" t="s">
        <v>85</v>
      </c>
      <c r="C111" s="29" t="s">
        <v>814</v>
      </c>
      <c r="D111" s="29" t="s">
        <v>815</v>
      </c>
      <c r="E111" s="10" t="s">
        <v>26</v>
      </c>
      <c r="F111" s="10"/>
      <c r="G111" s="10" t="s">
        <v>24</v>
      </c>
      <c r="H111" s="10"/>
      <c r="I111" s="30" t="s">
        <v>1229</v>
      </c>
      <c r="J111" s="30" t="s">
        <v>1230</v>
      </c>
      <c r="K111" s="30" t="s">
        <v>1244</v>
      </c>
      <c r="L111" s="30" t="s">
        <v>1232</v>
      </c>
      <c r="M111" s="18" t="s">
        <v>26</v>
      </c>
      <c r="N111" s="18">
        <v>0</v>
      </c>
      <c r="O111" s="18">
        <v>0</v>
      </c>
      <c r="P111" s="18">
        <v>0</v>
      </c>
      <c r="Q111" s="18">
        <v>1</v>
      </c>
      <c r="R111" s="57">
        <v>4</v>
      </c>
      <c r="S111" s="57">
        <v>50</v>
      </c>
      <c r="Y111" s="71">
        <v>123</v>
      </c>
      <c r="Z111">
        <v>3</v>
      </c>
      <c r="AC111">
        <f t="shared" si="1"/>
        <v>3</v>
      </c>
    </row>
    <row r="112" spans="1:29" hidden="1" x14ac:dyDescent="0.2">
      <c r="A112" s="32" t="s">
        <v>817</v>
      </c>
      <c r="B112" s="32" t="s">
        <v>85</v>
      </c>
      <c r="C112" s="33" t="s">
        <v>818</v>
      </c>
      <c r="D112" s="33" t="s">
        <v>819</v>
      </c>
      <c r="E112" s="32" t="s">
        <v>26</v>
      </c>
      <c r="F112" s="32"/>
      <c r="G112" s="32" t="s">
        <v>24</v>
      </c>
      <c r="H112" s="32"/>
      <c r="I112" s="30" t="s">
        <v>1229</v>
      </c>
      <c r="J112" s="30" t="s">
        <v>1230</v>
      </c>
      <c r="K112" s="30" t="s">
        <v>1244</v>
      </c>
      <c r="L112" s="30" t="s">
        <v>1232</v>
      </c>
      <c r="M112" s="15" t="s">
        <v>26</v>
      </c>
      <c r="N112" s="15">
        <v>0</v>
      </c>
      <c r="O112" s="15">
        <v>0</v>
      </c>
      <c r="P112" s="15">
        <v>0</v>
      </c>
      <c r="Q112" s="15">
        <v>1</v>
      </c>
      <c r="R112" s="57">
        <v>4</v>
      </c>
      <c r="S112" s="57">
        <v>50</v>
      </c>
      <c r="Y112" s="71">
        <v>124</v>
      </c>
      <c r="Z112">
        <v>2</v>
      </c>
      <c r="AC112">
        <f t="shared" si="1"/>
        <v>2</v>
      </c>
    </row>
    <row r="113" spans="1:29" hidden="1" x14ac:dyDescent="0.2">
      <c r="A113" s="10" t="s">
        <v>805</v>
      </c>
      <c r="B113" s="10" t="s">
        <v>85</v>
      </c>
      <c r="C113" s="29" t="s">
        <v>806</v>
      </c>
      <c r="D113" s="29" t="s">
        <v>807</v>
      </c>
      <c r="E113" s="10" t="s">
        <v>26</v>
      </c>
      <c r="F113" s="10"/>
      <c r="G113" s="10" t="s">
        <v>24</v>
      </c>
      <c r="H113" s="10"/>
      <c r="I113" s="30" t="s">
        <v>1229</v>
      </c>
      <c r="J113" s="30" t="s">
        <v>1230</v>
      </c>
      <c r="K113" s="30" t="s">
        <v>1244</v>
      </c>
      <c r="L113" s="30" t="s">
        <v>1232</v>
      </c>
      <c r="M113" s="18" t="s">
        <v>26</v>
      </c>
      <c r="N113" s="18">
        <v>0</v>
      </c>
      <c r="O113" s="18">
        <v>0</v>
      </c>
      <c r="P113" s="18">
        <v>0</v>
      </c>
      <c r="Q113" s="18">
        <v>1</v>
      </c>
      <c r="R113" s="57">
        <v>4</v>
      </c>
      <c r="S113" s="57">
        <v>51</v>
      </c>
      <c r="Y113" s="71">
        <v>125</v>
      </c>
      <c r="Z113">
        <v>2</v>
      </c>
      <c r="AC113">
        <f t="shared" si="1"/>
        <v>2</v>
      </c>
    </row>
    <row r="114" spans="1:29" hidden="1" x14ac:dyDescent="0.2">
      <c r="A114" s="32" t="s">
        <v>809</v>
      </c>
      <c r="B114" s="32" t="s">
        <v>85</v>
      </c>
      <c r="C114" s="33" t="s">
        <v>810</v>
      </c>
      <c r="D114" s="33" t="s">
        <v>811</v>
      </c>
      <c r="E114" s="32" t="s">
        <v>26</v>
      </c>
      <c r="F114" s="32"/>
      <c r="G114" s="32" t="s">
        <v>24</v>
      </c>
      <c r="H114" s="32"/>
      <c r="I114" s="30" t="s">
        <v>1229</v>
      </c>
      <c r="J114" s="30" t="s">
        <v>1230</v>
      </c>
      <c r="K114" s="30" t="s">
        <v>1244</v>
      </c>
      <c r="L114" s="30" t="s">
        <v>1232</v>
      </c>
      <c r="M114" s="15" t="s">
        <v>26</v>
      </c>
      <c r="N114" s="15">
        <v>0</v>
      </c>
      <c r="O114" s="15">
        <v>0</v>
      </c>
      <c r="P114" s="15">
        <v>0</v>
      </c>
      <c r="Q114" s="15">
        <v>1</v>
      </c>
      <c r="R114" s="57">
        <v>4</v>
      </c>
      <c r="S114" s="57">
        <v>51</v>
      </c>
      <c r="Y114" s="71">
        <v>126</v>
      </c>
      <c r="Z114">
        <v>2</v>
      </c>
      <c r="AC114">
        <f t="shared" si="1"/>
        <v>2</v>
      </c>
    </row>
    <row r="115" spans="1:29" hidden="1" x14ac:dyDescent="0.2">
      <c r="A115" s="32" t="s">
        <v>797</v>
      </c>
      <c r="B115" s="32" t="s">
        <v>85</v>
      </c>
      <c r="C115" s="33" t="s">
        <v>798</v>
      </c>
      <c r="D115" s="33" t="s">
        <v>799</v>
      </c>
      <c r="E115" s="32" t="s">
        <v>26</v>
      </c>
      <c r="F115" s="32"/>
      <c r="G115" s="32" t="s">
        <v>24</v>
      </c>
      <c r="H115" s="32"/>
      <c r="I115" s="30" t="s">
        <v>1229</v>
      </c>
      <c r="J115" s="30" t="s">
        <v>1230</v>
      </c>
      <c r="K115" s="30" t="s">
        <v>1244</v>
      </c>
      <c r="L115" s="30" t="s">
        <v>1232</v>
      </c>
      <c r="M115" s="15" t="s">
        <v>26</v>
      </c>
      <c r="N115" s="15">
        <v>0</v>
      </c>
      <c r="O115" s="15">
        <v>0</v>
      </c>
      <c r="P115" s="15">
        <v>0</v>
      </c>
      <c r="Q115" s="15">
        <v>1</v>
      </c>
      <c r="R115" s="57">
        <v>4</v>
      </c>
      <c r="S115" s="57">
        <v>52</v>
      </c>
      <c r="Y115" s="71">
        <v>127</v>
      </c>
      <c r="Z115">
        <v>2</v>
      </c>
      <c r="AC115">
        <f t="shared" si="1"/>
        <v>2</v>
      </c>
    </row>
    <row r="116" spans="1:29" hidden="1" x14ac:dyDescent="0.2">
      <c r="A116" s="10" t="s">
        <v>801</v>
      </c>
      <c r="B116" s="10" t="s">
        <v>85</v>
      </c>
      <c r="C116" s="29" t="s">
        <v>802</v>
      </c>
      <c r="D116" s="29" t="s">
        <v>803</v>
      </c>
      <c r="E116" s="10" t="s">
        <v>26</v>
      </c>
      <c r="F116" s="10"/>
      <c r="G116" s="10" t="s">
        <v>24</v>
      </c>
      <c r="H116" s="10"/>
      <c r="I116" s="30" t="s">
        <v>1229</v>
      </c>
      <c r="J116" s="30" t="s">
        <v>1230</v>
      </c>
      <c r="K116" s="30" t="s">
        <v>1244</v>
      </c>
      <c r="L116" s="30" t="s">
        <v>1232</v>
      </c>
      <c r="M116" s="18" t="s">
        <v>26</v>
      </c>
      <c r="N116" s="18">
        <v>0</v>
      </c>
      <c r="O116" s="18">
        <v>0</v>
      </c>
      <c r="P116" s="18">
        <v>0</v>
      </c>
      <c r="Q116" s="18">
        <v>1</v>
      </c>
      <c r="R116" s="57">
        <v>4</v>
      </c>
      <c r="S116" s="57">
        <v>52</v>
      </c>
      <c r="Y116" s="71">
        <v>128</v>
      </c>
      <c r="Z116">
        <v>2</v>
      </c>
      <c r="AC116">
        <f t="shared" si="1"/>
        <v>2</v>
      </c>
    </row>
    <row r="117" spans="1:29" hidden="1" x14ac:dyDescent="0.2">
      <c r="A117" s="32" t="s">
        <v>789</v>
      </c>
      <c r="B117" s="32" t="s">
        <v>85</v>
      </c>
      <c r="C117" s="33" t="s">
        <v>790</v>
      </c>
      <c r="D117" s="33" t="s">
        <v>791</v>
      </c>
      <c r="E117" s="32" t="s">
        <v>26</v>
      </c>
      <c r="F117" s="32"/>
      <c r="G117" s="32" t="s">
        <v>24</v>
      </c>
      <c r="H117" s="32"/>
      <c r="I117" s="30" t="s">
        <v>1229</v>
      </c>
      <c r="J117" s="30" t="s">
        <v>1230</v>
      </c>
      <c r="K117" s="30" t="s">
        <v>1244</v>
      </c>
      <c r="L117" s="30" t="s">
        <v>1232</v>
      </c>
      <c r="M117" s="15" t="s">
        <v>26</v>
      </c>
      <c r="N117" s="15">
        <v>0</v>
      </c>
      <c r="O117" s="15">
        <v>0</v>
      </c>
      <c r="P117" s="15">
        <v>0</v>
      </c>
      <c r="Q117" s="15">
        <v>1</v>
      </c>
      <c r="R117" s="57">
        <v>4</v>
      </c>
      <c r="S117" s="57">
        <v>53</v>
      </c>
      <c r="Y117" s="71">
        <v>129</v>
      </c>
      <c r="Z117">
        <v>2</v>
      </c>
      <c r="AC117">
        <f t="shared" si="1"/>
        <v>2</v>
      </c>
    </row>
    <row r="118" spans="1:29" hidden="1" x14ac:dyDescent="0.2">
      <c r="A118" s="10" t="s">
        <v>793</v>
      </c>
      <c r="B118" s="10" t="s">
        <v>85</v>
      </c>
      <c r="C118" s="29" t="s">
        <v>794</v>
      </c>
      <c r="D118" s="29" t="s">
        <v>795</v>
      </c>
      <c r="E118" s="10" t="s">
        <v>26</v>
      </c>
      <c r="F118" s="10"/>
      <c r="G118" s="10" t="s">
        <v>24</v>
      </c>
      <c r="H118" s="10"/>
      <c r="I118" s="30" t="s">
        <v>1229</v>
      </c>
      <c r="J118" s="30" t="s">
        <v>1230</v>
      </c>
      <c r="K118" s="30" t="s">
        <v>1244</v>
      </c>
      <c r="L118" s="30" t="s">
        <v>1232</v>
      </c>
      <c r="M118" s="18" t="s">
        <v>26</v>
      </c>
      <c r="N118" s="18">
        <v>0</v>
      </c>
      <c r="O118" s="18">
        <v>0</v>
      </c>
      <c r="P118" s="18">
        <v>0</v>
      </c>
      <c r="Q118" s="18">
        <v>1</v>
      </c>
      <c r="R118" s="57">
        <v>4</v>
      </c>
      <c r="S118" s="57">
        <v>53</v>
      </c>
      <c r="Y118" s="71">
        <v>130</v>
      </c>
      <c r="Z118">
        <v>2</v>
      </c>
      <c r="AC118">
        <f t="shared" si="1"/>
        <v>2</v>
      </c>
    </row>
    <row r="119" spans="1:29" hidden="1" x14ac:dyDescent="0.2">
      <c r="A119" s="15" t="s">
        <v>1209</v>
      </c>
      <c r="B119" s="15" t="s">
        <v>85</v>
      </c>
      <c r="C119" s="44" t="s">
        <v>1210</v>
      </c>
      <c r="D119" s="44" t="s">
        <v>1211</v>
      </c>
      <c r="E119" s="15" t="s">
        <v>26</v>
      </c>
      <c r="F119" s="15"/>
      <c r="G119" s="15" t="s">
        <v>24</v>
      </c>
      <c r="H119" s="15"/>
      <c r="I119" s="30" t="s">
        <v>1229</v>
      </c>
      <c r="J119" s="30" t="s">
        <v>1230</v>
      </c>
      <c r="K119" s="30" t="s">
        <v>1243</v>
      </c>
      <c r="L119" s="30" t="s">
        <v>1232</v>
      </c>
      <c r="M119" s="15" t="s">
        <v>26</v>
      </c>
      <c r="N119" s="15">
        <v>0</v>
      </c>
      <c r="O119" s="15">
        <v>0</v>
      </c>
      <c r="P119" s="15">
        <v>0</v>
      </c>
      <c r="Q119" s="15">
        <v>1</v>
      </c>
      <c r="R119" s="57">
        <v>4</v>
      </c>
      <c r="S119" s="57">
        <v>54</v>
      </c>
      <c r="Y119" s="71">
        <v>131</v>
      </c>
      <c r="Z119">
        <v>2</v>
      </c>
      <c r="AC119">
        <f t="shared" si="1"/>
        <v>2</v>
      </c>
    </row>
    <row r="120" spans="1:29" hidden="1" x14ac:dyDescent="0.2">
      <c r="A120" s="10" t="s">
        <v>785</v>
      </c>
      <c r="B120" s="10" t="s">
        <v>85</v>
      </c>
      <c r="C120" s="29" t="s">
        <v>786</v>
      </c>
      <c r="D120" s="29" t="s">
        <v>787</v>
      </c>
      <c r="E120" s="10" t="s">
        <v>26</v>
      </c>
      <c r="F120" s="10"/>
      <c r="G120" s="10" t="s">
        <v>24</v>
      </c>
      <c r="H120" s="10"/>
      <c r="I120" s="30" t="s">
        <v>1229</v>
      </c>
      <c r="J120" s="30" t="s">
        <v>1230</v>
      </c>
      <c r="K120" s="30" t="s">
        <v>1243</v>
      </c>
      <c r="L120" s="30" t="s">
        <v>1232</v>
      </c>
      <c r="M120" s="18" t="s">
        <v>26</v>
      </c>
      <c r="N120" s="18">
        <v>0</v>
      </c>
      <c r="O120" s="18">
        <v>0</v>
      </c>
      <c r="P120" s="18">
        <v>0</v>
      </c>
      <c r="Q120" s="18">
        <v>1</v>
      </c>
      <c r="R120" s="57">
        <v>4</v>
      </c>
      <c r="S120" s="57">
        <v>54</v>
      </c>
      <c r="Y120" s="71">
        <v>132</v>
      </c>
      <c r="Z120">
        <v>2</v>
      </c>
      <c r="AC120">
        <f t="shared" si="1"/>
        <v>2</v>
      </c>
    </row>
    <row r="121" spans="1:29" hidden="1" x14ac:dyDescent="0.2">
      <c r="A121" s="32" t="s">
        <v>773</v>
      </c>
      <c r="B121" s="32" t="s">
        <v>85</v>
      </c>
      <c r="C121" s="33" t="s">
        <v>774</v>
      </c>
      <c r="D121" s="33" t="s">
        <v>775</v>
      </c>
      <c r="E121" s="32" t="s">
        <v>26</v>
      </c>
      <c r="F121" s="32"/>
      <c r="G121" s="32" t="s">
        <v>24</v>
      </c>
      <c r="H121" s="32"/>
      <c r="I121" s="30" t="s">
        <v>1229</v>
      </c>
      <c r="J121" s="30" t="s">
        <v>1230</v>
      </c>
      <c r="K121" s="30" t="s">
        <v>1243</v>
      </c>
      <c r="L121" s="30" t="s">
        <v>1232</v>
      </c>
      <c r="M121" s="15" t="s">
        <v>26</v>
      </c>
      <c r="N121" s="15">
        <v>0</v>
      </c>
      <c r="O121" s="15">
        <v>0</v>
      </c>
      <c r="P121" s="15">
        <v>0</v>
      </c>
      <c r="Q121" s="15">
        <v>1</v>
      </c>
      <c r="R121" s="57">
        <v>4</v>
      </c>
      <c r="S121" s="57">
        <v>56</v>
      </c>
      <c r="Y121" s="71">
        <v>133</v>
      </c>
      <c r="Z121">
        <v>2</v>
      </c>
      <c r="AC121">
        <f t="shared" si="1"/>
        <v>2</v>
      </c>
    </row>
    <row r="122" spans="1:29" hidden="1" x14ac:dyDescent="0.2">
      <c r="A122" s="32" t="s">
        <v>769</v>
      </c>
      <c r="B122" s="32" t="s">
        <v>85</v>
      </c>
      <c r="C122" s="33" t="s">
        <v>770</v>
      </c>
      <c r="D122" s="33" t="s">
        <v>771</v>
      </c>
      <c r="E122" s="32" t="s">
        <v>26</v>
      </c>
      <c r="F122" s="32"/>
      <c r="G122" s="32" t="s">
        <v>24</v>
      </c>
      <c r="H122" s="32"/>
      <c r="I122" s="30" t="s">
        <v>1229</v>
      </c>
      <c r="J122" s="30" t="s">
        <v>1230</v>
      </c>
      <c r="K122" s="30" t="s">
        <v>1244</v>
      </c>
      <c r="L122" s="30" t="s">
        <v>1232</v>
      </c>
      <c r="M122" s="15" t="s">
        <v>26</v>
      </c>
      <c r="N122" s="15">
        <v>0</v>
      </c>
      <c r="O122" s="15">
        <v>0</v>
      </c>
      <c r="P122" s="15">
        <v>0</v>
      </c>
      <c r="Q122" s="15">
        <v>1</v>
      </c>
      <c r="R122" s="57">
        <v>4</v>
      </c>
      <c r="S122" s="57">
        <v>56</v>
      </c>
      <c r="Y122" s="71">
        <v>134</v>
      </c>
      <c r="Z122">
        <v>2</v>
      </c>
      <c r="AC122">
        <f t="shared" si="1"/>
        <v>2</v>
      </c>
    </row>
    <row r="123" spans="1:29" hidden="1" x14ac:dyDescent="0.2">
      <c r="A123" s="32" t="s">
        <v>777</v>
      </c>
      <c r="B123" s="15" t="s">
        <v>85</v>
      </c>
      <c r="C123" s="33" t="s">
        <v>778</v>
      </c>
      <c r="D123" s="33" t="s">
        <v>779</v>
      </c>
      <c r="E123" s="32" t="s">
        <v>26</v>
      </c>
      <c r="F123" s="32"/>
      <c r="G123" s="32" t="s">
        <v>24</v>
      </c>
      <c r="H123" s="32"/>
      <c r="I123" s="30" t="s">
        <v>1229</v>
      </c>
      <c r="J123" s="30" t="s">
        <v>1230</v>
      </c>
      <c r="K123" s="30" t="s">
        <v>1241</v>
      </c>
      <c r="L123" s="30" t="s">
        <v>1232</v>
      </c>
      <c r="M123" s="15" t="s">
        <v>26</v>
      </c>
      <c r="N123" s="15">
        <v>0</v>
      </c>
      <c r="O123" s="15">
        <v>0</v>
      </c>
      <c r="P123" s="15">
        <v>0</v>
      </c>
      <c r="Q123" s="15">
        <v>1</v>
      </c>
      <c r="R123" s="57">
        <v>4</v>
      </c>
      <c r="S123" s="57">
        <v>55</v>
      </c>
      <c r="Y123" s="71">
        <v>135</v>
      </c>
      <c r="Z123">
        <v>2</v>
      </c>
      <c r="AC123">
        <f t="shared" si="1"/>
        <v>2</v>
      </c>
    </row>
    <row r="124" spans="1:29" hidden="1" x14ac:dyDescent="0.2">
      <c r="A124" s="10" t="s">
        <v>891</v>
      </c>
      <c r="B124" s="18" t="s">
        <v>85</v>
      </c>
      <c r="C124" s="29" t="s">
        <v>892</v>
      </c>
      <c r="D124" s="29" t="s">
        <v>893</v>
      </c>
      <c r="E124" s="10" t="s">
        <v>26</v>
      </c>
      <c r="F124" s="10"/>
      <c r="G124" s="10" t="s">
        <v>24</v>
      </c>
      <c r="H124" s="10"/>
      <c r="I124" s="30" t="s">
        <v>1229</v>
      </c>
      <c r="J124" s="30" t="s">
        <v>1230</v>
      </c>
      <c r="K124" s="30" t="s">
        <v>1241</v>
      </c>
      <c r="L124" s="30" t="s">
        <v>1232</v>
      </c>
      <c r="M124" s="18" t="s">
        <v>26</v>
      </c>
      <c r="N124" s="18">
        <v>0</v>
      </c>
      <c r="O124" s="18">
        <v>0</v>
      </c>
      <c r="P124" s="18">
        <v>0</v>
      </c>
      <c r="Q124" s="18">
        <v>1</v>
      </c>
      <c r="R124" s="57">
        <v>4</v>
      </c>
      <c r="S124" s="57">
        <v>40</v>
      </c>
      <c r="Y124" s="71">
        <v>136</v>
      </c>
      <c r="Z124">
        <v>2</v>
      </c>
      <c r="AC124">
        <f t="shared" si="1"/>
        <v>2</v>
      </c>
    </row>
    <row r="125" spans="1:29" hidden="1" x14ac:dyDescent="0.2">
      <c r="A125" s="32" t="s">
        <v>765</v>
      </c>
      <c r="B125" s="15" t="s">
        <v>85</v>
      </c>
      <c r="C125" s="33" t="s">
        <v>766</v>
      </c>
      <c r="D125" s="33" t="s">
        <v>767</v>
      </c>
      <c r="E125" s="32" t="s">
        <v>26</v>
      </c>
      <c r="F125" s="32"/>
      <c r="G125" s="32" t="s">
        <v>24</v>
      </c>
      <c r="H125" s="32"/>
      <c r="I125" s="30" t="s">
        <v>1229</v>
      </c>
      <c r="J125" s="30" t="s">
        <v>1230</v>
      </c>
      <c r="K125" s="30" t="s">
        <v>1241</v>
      </c>
      <c r="L125" s="30" t="s">
        <v>1232</v>
      </c>
      <c r="M125" s="15" t="s">
        <v>26</v>
      </c>
      <c r="N125" s="15">
        <v>0</v>
      </c>
      <c r="O125" s="15">
        <v>0</v>
      </c>
      <c r="P125" s="15">
        <v>0</v>
      </c>
      <c r="Q125" s="15">
        <v>1</v>
      </c>
      <c r="R125" s="57">
        <v>4</v>
      </c>
      <c r="S125" s="57">
        <v>57</v>
      </c>
      <c r="Y125" s="71">
        <v>137</v>
      </c>
      <c r="Z125">
        <v>2</v>
      </c>
      <c r="AC125">
        <f t="shared" si="1"/>
        <v>2</v>
      </c>
    </row>
    <row r="126" spans="1:29" hidden="1" x14ac:dyDescent="0.2">
      <c r="A126" s="10" t="s">
        <v>758</v>
      </c>
      <c r="B126" s="18" t="s">
        <v>85</v>
      </c>
      <c r="C126" s="29" t="s">
        <v>759</v>
      </c>
      <c r="D126" s="29" t="s">
        <v>760</v>
      </c>
      <c r="E126" s="10" t="s">
        <v>26</v>
      </c>
      <c r="F126" s="10"/>
      <c r="G126" s="10" t="s">
        <v>24</v>
      </c>
      <c r="H126" s="10"/>
      <c r="I126" s="30" t="s">
        <v>1229</v>
      </c>
      <c r="J126" s="30" t="s">
        <v>1230</v>
      </c>
      <c r="K126" s="30" t="s">
        <v>1241</v>
      </c>
      <c r="L126" s="30" t="s">
        <v>1232</v>
      </c>
      <c r="M126" s="18" t="s">
        <v>26</v>
      </c>
      <c r="N126" s="18">
        <v>0</v>
      </c>
      <c r="O126" s="18">
        <v>0</v>
      </c>
      <c r="P126" s="18">
        <v>0</v>
      </c>
      <c r="Q126" s="18">
        <v>1</v>
      </c>
      <c r="R126" s="57">
        <v>4</v>
      </c>
      <c r="S126" s="57">
        <v>58</v>
      </c>
      <c r="Y126" s="71">
        <v>138</v>
      </c>
      <c r="Z126">
        <v>2</v>
      </c>
      <c r="AC126">
        <f t="shared" si="1"/>
        <v>2</v>
      </c>
    </row>
    <row r="127" spans="1:29" hidden="1" x14ac:dyDescent="0.2">
      <c r="A127" s="32" t="s">
        <v>746</v>
      </c>
      <c r="B127" s="15" t="s">
        <v>85</v>
      </c>
      <c r="C127" s="33" t="s">
        <v>747</v>
      </c>
      <c r="D127" s="33" t="s">
        <v>748</v>
      </c>
      <c r="E127" s="32" t="s">
        <v>26</v>
      </c>
      <c r="F127" s="32"/>
      <c r="G127" s="32" t="s">
        <v>24</v>
      </c>
      <c r="H127" s="32"/>
      <c r="I127" s="30" t="s">
        <v>1229</v>
      </c>
      <c r="J127" s="30" t="s">
        <v>1230</v>
      </c>
      <c r="K127" s="30" t="s">
        <v>1241</v>
      </c>
      <c r="L127" s="30" t="s">
        <v>1232</v>
      </c>
      <c r="M127" s="15" t="s">
        <v>26</v>
      </c>
      <c r="N127" s="15">
        <v>0</v>
      </c>
      <c r="O127" s="15">
        <v>0</v>
      </c>
      <c r="P127" s="15">
        <v>0</v>
      </c>
      <c r="Q127" s="15">
        <v>1</v>
      </c>
      <c r="R127" s="57">
        <v>4</v>
      </c>
      <c r="S127" s="57">
        <v>59</v>
      </c>
      <c r="Y127" s="71">
        <v>139</v>
      </c>
      <c r="Z127">
        <v>2</v>
      </c>
      <c r="AC127">
        <f t="shared" si="1"/>
        <v>2</v>
      </c>
    </row>
    <row r="128" spans="1:29" hidden="1" x14ac:dyDescent="0.2">
      <c r="A128" s="10" t="s">
        <v>915</v>
      </c>
      <c r="B128" s="18" t="s">
        <v>85</v>
      </c>
      <c r="C128" s="29" t="s">
        <v>916</v>
      </c>
      <c r="D128" s="29" t="s">
        <v>917</v>
      </c>
      <c r="E128" s="10" t="s">
        <v>26</v>
      </c>
      <c r="F128" s="10"/>
      <c r="G128" s="10" t="s">
        <v>24</v>
      </c>
      <c r="H128" s="10"/>
      <c r="I128" s="30" t="s">
        <v>1229</v>
      </c>
      <c r="J128" s="30" t="s">
        <v>1230</v>
      </c>
      <c r="K128" s="30" t="s">
        <v>1241</v>
      </c>
      <c r="L128" s="30" t="s">
        <v>1232</v>
      </c>
      <c r="M128" s="18" t="s">
        <v>26</v>
      </c>
      <c r="N128" s="18">
        <v>0</v>
      </c>
      <c r="O128" s="18">
        <v>0</v>
      </c>
      <c r="P128" s="18">
        <v>0</v>
      </c>
      <c r="Q128" s="18">
        <v>1</v>
      </c>
      <c r="R128" s="57">
        <v>4</v>
      </c>
      <c r="S128" s="57">
        <v>37</v>
      </c>
      <c r="Y128" s="71">
        <v>140</v>
      </c>
      <c r="Z128">
        <v>2</v>
      </c>
      <c r="AC128">
        <f t="shared" si="1"/>
        <v>2</v>
      </c>
    </row>
    <row r="129" spans="1:29" hidden="1" x14ac:dyDescent="0.2">
      <c r="A129" s="17" t="s">
        <v>750</v>
      </c>
      <c r="B129" s="18" t="s">
        <v>85</v>
      </c>
      <c r="C129" s="41" t="s">
        <v>751</v>
      </c>
      <c r="D129" s="10" t="s">
        <v>752</v>
      </c>
      <c r="E129" s="10" t="s">
        <v>26</v>
      </c>
      <c r="F129" s="10"/>
      <c r="G129" s="10" t="s">
        <v>24</v>
      </c>
      <c r="H129" s="10"/>
      <c r="I129" s="30" t="s">
        <v>1229</v>
      </c>
      <c r="J129" s="30" t="s">
        <v>1230</v>
      </c>
      <c r="K129" s="30" t="s">
        <v>1241</v>
      </c>
      <c r="L129" s="30" t="s">
        <v>1232</v>
      </c>
      <c r="M129" s="18" t="s">
        <v>26</v>
      </c>
      <c r="N129" s="18">
        <v>0</v>
      </c>
      <c r="O129" s="18">
        <v>0</v>
      </c>
      <c r="P129" s="18">
        <v>0</v>
      </c>
      <c r="Q129" s="18">
        <v>1</v>
      </c>
      <c r="R129" s="57">
        <v>4</v>
      </c>
      <c r="S129" s="57">
        <v>59</v>
      </c>
      <c r="Y129" s="71">
        <v>141</v>
      </c>
      <c r="Z129">
        <v>2</v>
      </c>
      <c r="AC129">
        <f t="shared" si="1"/>
        <v>2</v>
      </c>
    </row>
    <row r="130" spans="1:29" hidden="1" x14ac:dyDescent="0.2">
      <c r="A130" s="10" t="s">
        <v>737</v>
      </c>
      <c r="B130" s="10" t="s">
        <v>85</v>
      </c>
      <c r="C130" s="29" t="s">
        <v>738</v>
      </c>
      <c r="D130" s="29" t="s">
        <v>739</v>
      </c>
      <c r="E130" s="10" t="s">
        <v>26</v>
      </c>
      <c r="F130" s="10"/>
      <c r="G130" s="10" t="s">
        <v>24</v>
      </c>
      <c r="H130" s="10"/>
      <c r="I130" s="30" t="s">
        <v>1229</v>
      </c>
      <c r="J130" s="30" t="s">
        <v>1230</v>
      </c>
      <c r="K130" s="30" t="s">
        <v>1244</v>
      </c>
      <c r="L130" s="30" t="s">
        <v>1232</v>
      </c>
      <c r="M130" s="18" t="s">
        <v>26</v>
      </c>
      <c r="N130" s="18">
        <v>0</v>
      </c>
      <c r="O130" s="18">
        <v>0</v>
      </c>
      <c r="P130" s="18">
        <v>0</v>
      </c>
      <c r="Q130" s="18">
        <v>1</v>
      </c>
      <c r="R130" s="57">
        <v>4</v>
      </c>
      <c r="S130" s="57">
        <v>60</v>
      </c>
      <c r="Y130" s="71">
        <v>142</v>
      </c>
      <c r="Z130">
        <v>2</v>
      </c>
      <c r="AC130">
        <f t="shared" si="1"/>
        <v>2</v>
      </c>
    </row>
    <row r="131" spans="1:29" hidden="1" x14ac:dyDescent="0.2">
      <c r="A131" s="32" t="s">
        <v>721</v>
      </c>
      <c r="B131" s="15" t="s">
        <v>85</v>
      </c>
      <c r="C131" s="33" t="s">
        <v>722</v>
      </c>
      <c r="D131" s="33" t="s">
        <v>723</v>
      </c>
      <c r="E131" s="32" t="s">
        <v>26</v>
      </c>
      <c r="F131" s="32"/>
      <c r="G131" s="32" t="s">
        <v>24</v>
      </c>
      <c r="H131" s="32"/>
      <c r="I131" s="30" t="s">
        <v>1229</v>
      </c>
      <c r="J131" s="30" t="s">
        <v>1230</v>
      </c>
      <c r="K131" s="30" t="s">
        <v>1241</v>
      </c>
      <c r="L131" s="30" t="s">
        <v>1232</v>
      </c>
      <c r="M131" s="15" t="s">
        <v>26</v>
      </c>
      <c r="N131" s="15">
        <v>0</v>
      </c>
      <c r="O131" s="15">
        <v>0</v>
      </c>
      <c r="P131" s="15">
        <v>0</v>
      </c>
      <c r="Q131" s="15">
        <v>1</v>
      </c>
      <c r="R131" s="57">
        <v>4</v>
      </c>
      <c r="S131" s="57">
        <v>62</v>
      </c>
      <c r="Y131" s="71">
        <v>144</v>
      </c>
      <c r="Z131">
        <v>1</v>
      </c>
      <c r="AC131">
        <f t="shared" si="1"/>
        <v>1</v>
      </c>
    </row>
    <row r="132" spans="1:29" hidden="1" x14ac:dyDescent="0.2">
      <c r="A132" s="43" t="s">
        <v>544</v>
      </c>
      <c r="B132" s="15" t="s">
        <v>85</v>
      </c>
      <c r="C132" s="32" t="s">
        <v>545</v>
      </c>
      <c r="D132" s="32" t="s">
        <v>546</v>
      </c>
      <c r="E132" s="32" t="s">
        <v>26</v>
      </c>
      <c r="F132" s="32"/>
      <c r="G132" s="32" t="s">
        <v>24</v>
      </c>
      <c r="H132" s="32" t="s">
        <v>547</v>
      </c>
      <c r="I132" s="30" t="s">
        <v>1229</v>
      </c>
      <c r="J132" s="30" t="s">
        <v>1230</v>
      </c>
      <c r="K132" s="30" t="s">
        <v>1241</v>
      </c>
      <c r="L132" s="30" t="s">
        <v>1232</v>
      </c>
      <c r="M132" s="15" t="s">
        <v>26</v>
      </c>
      <c r="N132" s="15">
        <v>0</v>
      </c>
      <c r="O132" s="15">
        <v>0</v>
      </c>
      <c r="P132" s="15">
        <v>0</v>
      </c>
      <c r="Q132" s="15">
        <v>1</v>
      </c>
      <c r="R132" s="57">
        <v>4</v>
      </c>
      <c r="S132" s="57">
        <v>87</v>
      </c>
      <c r="Y132" s="71" t="s">
        <v>1225</v>
      </c>
      <c r="Z132">
        <v>256</v>
      </c>
    </row>
    <row r="133" spans="1:29" hidden="1" x14ac:dyDescent="0.2">
      <c r="A133" s="17" t="s">
        <v>665</v>
      </c>
      <c r="B133" s="15" t="s">
        <v>85</v>
      </c>
      <c r="C133" s="33" t="s">
        <v>666</v>
      </c>
      <c r="D133" s="32" t="s">
        <v>667</v>
      </c>
      <c r="E133" s="32" t="s">
        <v>26</v>
      </c>
      <c r="F133" s="32"/>
      <c r="G133" s="32" t="s">
        <v>24</v>
      </c>
      <c r="H133" s="32"/>
      <c r="I133" s="30" t="s">
        <v>1229</v>
      </c>
      <c r="J133" s="30" t="s">
        <v>1230</v>
      </c>
      <c r="K133" s="30" t="s">
        <v>1241</v>
      </c>
      <c r="L133" s="30" t="s">
        <v>1232</v>
      </c>
      <c r="M133" s="15" t="s">
        <v>26</v>
      </c>
      <c r="N133" s="15">
        <v>0</v>
      </c>
      <c r="O133" s="15">
        <v>0</v>
      </c>
      <c r="P133" s="15">
        <v>0</v>
      </c>
      <c r="Q133" s="15">
        <v>1</v>
      </c>
      <c r="R133" s="57">
        <v>4</v>
      </c>
      <c r="S133" s="57">
        <v>69</v>
      </c>
    </row>
    <row r="134" spans="1:29" hidden="1" x14ac:dyDescent="0.2">
      <c r="A134" s="38" t="s">
        <v>673</v>
      </c>
      <c r="B134" s="32" t="s">
        <v>85</v>
      </c>
      <c r="C134" s="33" t="s">
        <v>674</v>
      </c>
      <c r="D134" s="33" t="s">
        <v>675</v>
      </c>
      <c r="E134" s="32" t="s">
        <v>26</v>
      </c>
      <c r="F134" s="38"/>
      <c r="G134" s="38" t="s">
        <v>24</v>
      </c>
      <c r="H134" s="38"/>
      <c r="I134" s="35" t="s">
        <v>1229</v>
      </c>
      <c r="J134" s="30" t="s">
        <v>1247</v>
      </c>
      <c r="K134" s="35" t="s">
        <v>1248</v>
      </c>
      <c r="L134" s="30" t="s">
        <v>1232</v>
      </c>
      <c r="M134" s="15" t="s">
        <v>26</v>
      </c>
      <c r="N134" s="15">
        <v>0</v>
      </c>
      <c r="O134" s="15">
        <v>0</v>
      </c>
      <c r="P134" s="15">
        <v>0</v>
      </c>
      <c r="Q134" s="40">
        <v>1</v>
      </c>
      <c r="R134" s="59">
        <v>4</v>
      </c>
      <c r="S134" s="59">
        <v>68</v>
      </c>
    </row>
    <row r="135" spans="1:29" hidden="1" x14ac:dyDescent="0.2">
      <c r="A135" s="10" t="s">
        <v>660</v>
      </c>
      <c r="B135" s="10" t="s">
        <v>85</v>
      </c>
      <c r="C135" s="29" t="s">
        <v>661</v>
      </c>
      <c r="D135" s="29" t="s">
        <v>662</v>
      </c>
      <c r="E135" s="10" t="s">
        <v>23</v>
      </c>
      <c r="F135" s="10" t="s">
        <v>663</v>
      </c>
      <c r="G135" s="10" t="s">
        <v>24</v>
      </c>
      <c r="H135" s="10"/>
      <c r="I135" s="30" t="s">
        <v>1229</v>
      </c>
      <c r="J135" s="30" t="s">
        <v>1230</v>
      </c>
      <c r="K135" s="30" t="s">
        <v>1241</v>
      </c>
      <c r="L135" s="30" t="s">
        <v>1232</v>
      </c>
      <c r="M135" s="18" t="s">
        <v>23</v>
      </c>
      <c r="N135" s="18">
        <v>0</v>
      </c>
      <c r="O135" s="18">
        <v>1</v>
      </c>
      <c r="P135" s="18">
        <v>1</v>
      </c>
      <c r="Q135" s="18">
        <v>2</v>
      </c>
      <c r="R135" s="57">
        <v>4</v>
      </c>
      <c r="S135" s="57">
        <v>70</v>
      </c>
    </row>
    <row r="136" spans="1:29" hidden="1" x14ac:dyDescent="0.2">
      <c r="A136" s="38" t="s">
        <v>553</v>
      </c>
      <c r="B136" s="32" t="s">
        <v>85</v>
      </c>
      <c r="C136" s="33" t="s">
        <v>554</v>
      </c>
      <c r="D136" s="33" t="s">
        <v>555</v>
      </c>
      <c r="E136" s="32" t="s">
        <v>26</v>
      </c>
      <c r="F136" s="38"/>
      <c r="G136" s="38" t="s">
        <v>24</v>
      </c>
      <c r="H136" s="38"/>
      <c r="I136" s="35">
        <v>76777</v>
      </c>
      <c r="J136" s="30" t="s">
        <v>1247</v>
      </c>
      <c r="K136" s="35" t="s">
        <v>1243</v>
      </c>
      <c r="L136" s="30" t="s">
        <v>1232</v>
      </c>
      <c r="M136" s="15" t="s">
        <v>26</v>
      </c>
      <c r="N136" s="15">
        <v>0</v>
      </c>
      <c r="O136" s="15">
        <v>0</v>
      </c>
      <c r="P136" s="15">
        <v>0</v>
      </c>
      <c r="Q136" s="40">
        <v>1</v>
      </c>
      <c r="R136" s="59">
        <v>4</v>
      </c>
      <c r="S136" s="59">
        <v>86</v>
      </c>
    </row>
    <row r="137" spans="1:29" hidden="1" x14ac:dyDescent="0.2">
      <c r="A137" s="10" t="s">
        <v>524</v>
      </c>
      <c r="B137" s="10" t="s">
        <v>85</v>
      </c>
      <c r="C137" s="29" t="s">
        <v>525</v>
      </c>
      <c r="D137" s="29" t="s">
        <v>526</v>
      </c>
      <c r="E137" s="10" t="s">
        <v>26</v>
      </c>
      <c r="F137" s="10"/>
      <c r="G137" s="10" t="s">
        <v>24</v>
      </c>
      <c r="H137" s="10"/>
      <c r="I137" s="30" t="s">
        <v>1229</v>
      </c>
      <c r="J137" s="30" t="s">
        <v>1230</v>
      </c>
      <c r="K137" s="30" t="s">
        <v>1242</v>
      </c>
      <c r="L137" s="30" t="s">
        <v>1232</v>
      </c>
      <c r="M137" s="18" t="s">
        <v>26</v>
      </c>
      <c r="N137" s="18">
        <v>0</v>
      </c>
      <c r="O137" s="18">
        <v>0</v>
      </c>
      <c r="P137" s="18">
        <v>0</v>
      </c>
      <c r="Q137" s="18">
        <v>1</v>
      </c>
      <c r="R137" s="57">
        <v>4</v>
      </c>
      <c r="S137" s="57">
        <v>89</v>
      </c>
    </row>
    <row r="138" spans="1:29" hidden="1" x14ac:dyDescent="0.2">
      <c r="A138" s="32" t="s">
        <v>495</v>
      </c>
      <c r="B138" s="32" t="s">
        <v>85</v>
      </c>
      <c r="C138" s="33" t="s">
        <v>496</v>
      </c>
      <c r="D138" s="33" t="s">
        <v>497</v>
      </c>
      <c r="E138" s="32" t="s">
        <v>26</v>
      </c>
      <c r="F138" s="32"/>
      <c r="G138" s="32" t="s">
        <v>24</v>
      </c>
      <c r="H138" s="32"/>
      <c r="I138" s="30" t="s">
        <v>1273</v>
      </c>
      <c r="J138" s="30" t="s">
        <v>1274</v>
      </c>
      <c r="K138" s="30" t="s">
        <v>1275</v>
      </c>
      <c r="L138" s="30" t="s">
        <v>1232</v>
      </c>
      <c r="M138" s="15" t="s">
        <v>26</v>
      </c>
      <c r="N138" s="15">
        <v>0</v>
      </c>
      <c r="O138" s="15">
        <v>0</v>
      </c>
      <c r="P138" s="15">
        <v>0</v>
      </c>
      <c r="Q138" s="15">
        <v>1</v>
      </c>
      <c r="R138" s="61">
        <v>5</v>
      </c>
      <c r="S138" s="61">
        <v>94</v>
      </c>
    </row>
    <row r="139" spans="1:29" hidden="1" x14ac:dyDescent="0.2">
      <c r="A139" s="10" t="s">
        <v>499</v>
      </c>
      <c r="B139" s="10" t="s">
        <v>85</v>
      </c>
      <c r="C139" s="29" t="s">
        <v>500</v>
      </c>
      <c r="D139" s="29" t="s">
        <v>501</v>
      </c>
      <c r="E139" s="10" t="s">
        <v>26</v>
      </c>
      <c r="F139" s="10"/>
      <c r="G139" s="10" t="s">
        <v>24</v>
      </c>
      <c r="H139" s="10"/>
      <c r="I139" s="30" t="s">
        <v>1273</v>
      </c>
      <c r="J139" s="30" t="s">
        <v>1274</v>
      </c>
      <c r="K139" s="30" t="s">
        <v>1276</v>
      </c>
      <c r="L139" s="30" t="s">
        <v>1232</v>
      </c>
      <c r="M139" s="18" t="s">
        <v>26</v>
      </c>
      <c r="N139" s="18">
        <v>0</v>
      </c>
      <c r="O139" s="18">
        <v>0</v>
      </c>
      <c r="P139" s="18">
        <v>0</v>
      </c>
      <c r="Q139" s="18">
        <v>1</v>
      </c>
      <c r="R139" s="61">
        <v>5</v>
      </c>
      <c r="S139" s="61">
        <v>94</v>
      </c>
    </row>
    <row r="140" spans="1:29" hidden="1" x14ac:dyDescent="0.2">
      <c r="A140" s="15" t="s">
        <v>487</v>
      </c>
      <c r="B140" s="15" t="s">
        <v>85</v>
      </c>
      <c r="C140" s="44" t="s">
        <v>488</v>
      </c>
      <c r="D140" s="44" t="s">
        <v>489</v>
      </c>
      <c r="E140" s="15" t="s">
        <v>26</v>
      </c>
      <c r="F140" s="15"/>
      <c r="G140" s="15" t="s">
        <v>24</v>
      </c>
      <c r="H140" s="15"/>
      <c r="I140" s="30" t="s">
        <v>1277</v>
      </c>
      <c r="J140" s="30" t="s">
        <v>1278</v>
      </c>
      <c r="K140" s="30" t="s">
        <v>1239</v>
      </c>
      <c r="L140" s="30" t="s">
        <v>1232</v>
      </c>
      <c r="M140" s="15" t="s">
        <v>26</v>
      </c>
      <c r="N140" s="15">
        <v>0</v>
      </c>
      <c r="O140" s="15">
        <v>0</v>
      </c>
      <c r="P140" s="15">
        <v>0</v>
      </c>
      <c r="Q140" s="15">
        <v>1</v>
      </c>
      <c r="R140" s="61">
        <v>5</v>
      </c>
      <c r="S140" s="61">
        <v>95</v>
      </c>
    </row>
    <row r="141" spans="1:29" hidden="1" x14ac:dyDescent="0.2">
      <c r="A141" s="10" t="s">
        <v>491</v>
      </c>
      <c r="B141" s="10" t="s">
        <v>85</v>
      </c>
      <c r="C141" s="29" t="s">
        <v>492</v>
      </c>
      <c r="D141" s="29" t="s">
        <v>493</v>
      </c>
      <c r="E141" s="10" t="s">
        <v>26</v>
      </c>
      <c r="F141" s="10"/>
      <c r="G141" s="10" t="s">
        <v>24</v>
      </c>
      <c r="H141" s="10"/>
      <c r="I141" s="30" t="s">
        <v>1273</v>
      </c>
      <c r="J141" s="30" t="s">
        <v>1279</v>
      </c>
      <c r="K141" s="30" t="s">
        <v>447</v>
      </c>
      <c r="L141" s="30" t="s">
        <v>1232</v>
      </c>
      <c r="M141" s="18" t="s">
        <v>26</v>
      </c>
      <c r="N141" s="18">
        <v>0</v>
      </c>
      <c r="O141" s="18">
        <v>0</v>
      </c>
      <c r="P141" s="18">
        <v>0</v>
      </c>
      <c r="Q141" s="18">
        <v>1</v>
      </c>
      <c r="R141" s="61">
        <v>5</v>
      </c>
      <c r="S141" s="61">
        <v>95</v>
      </c>
    </row>
    <row r="142" spans="1:29" hidden="1" x14ac:dyDescent="0.2">
      <c r="A142" s="10" t="s">
        <v>478</v>
      </c>
      <c r="B142" s="10" t="s">
        <v>85</v>
      </c>
      <c r="C142" s="29" t="s">
        <v>479</v>
      </c>
      <c r="D142" s="29" t="s">
        <v>480</v>
      </c>
      <c r="E142" s="10" t="s">
        <v>26</v>
      </c>
      <c r="F142" s="10"/>
      <c r="G142" s="10" t="s">
        <v>24</v>
      </c>
      <c r="H142" s="10" t="s">
        <v>481</v>
      </c>
      <c r="I142" s="30" t="s">
        <v>1273</v>
      </c>
      <c r="J142" s="30" t="s">
        <v>1274</v>
      </c>
      <c r="K142" s="30" t="s">
        <v>1280</v>
      </c>
      <c r="L142" s="30" t="s">
        <v>1232</v>
      </c>
      <c r="M142" s="18" t="s">
        <v>26</v>
      </c>
      <c r="N142" s="18">
        <v>0</v>
      </c>
      <c r="O142" s="18">
        <v>0</v>
      </c>
      <c r="P142" s="18">
        <v>0</v>
      </c>
      <c r="Q142" s="18">
        <v>1</v>
      </c>
      <c r="R142" s="61">
        <v>5</v>
      </c>
      <c r="S142" s="61">
        <v>96</v>
      </c>
    </row>
    <row r="143" spans="1:29" hidden="1" x14ac:dyDescent="0.2">
      <c r="A143" s="32" t="s">
        <v>483</v>
      </c>
      <c r="B143" s="32" t="s">
        <v>85</v>
      </c>
      <c r="C143" s="33" t="s">
        <v>484</v>
      </c>
      <c r="D143" s="33" t="s">
        <v>485</v>
      </c>
      <c r="E143" s="32" t="s">
        <v>26</v>
      </c>
      <c r="F143" s="32"/>
      <c r="G143" s="32" t="s">
        <v>24</v>
      </c>
      <c r="H143" s="32"/>
      <c r="I143" s="30" t="s">
        <v>1273</v>
      </c>
      <c r="J143" s="30" t="s">
        <v>1281</v>
      </c>
      <c r="K143" s="30" t="s">
        <v>1282</v>
      </c>
      <c r="L143" s="30" t="s">
        <v>1232</v>
      </c>
      <c r="M143" s="15" t="s">
        <v>26</v>
      </c>
      <c r="N143" s="15">
        <v>0</v>
      </c>
      <c r="O143" s="15">
        <v>0</v>
      </c>
      <c r="P143" s="15">
        <v>0</v>
      </c>
      <c r="Q143" s="15">
        <v>1</v>
      </c>
      <c r="R143" s="61">
        <v>5</v>
      </c>
      <c r="S143" s="61">
        <v>96</v>
      </c>
    </row>
    <row r="144" spans="1:29" hidden="1" x14ac:dyDescent="0.2">
      <c r="A144" s="10" t="s">
        <v>470</v>
      </c>
      <c r="B144" s="10" t="s">
        <v>85</v>
      </c>
      <c r="C144" s="29" t="s">
        <v>471</v>
      </c>
      <c r="D144" s="29" t="s">
        <v>472</v>
      </c>
      <c r="E144" s="10" t="s">
        <v>26</v>
      </c>
      <c r="F144" s="10"/>
      <c r="G144" s="10" t="s">
        <v>24</v>
      </c>
      <c r="H144" s="10"/>
      <c r="I144" s="30" t="s">
        <v>1273</v>
      </c>
      <c r="J144" s="30" t="s">
        <v>1274</v>
      </c>
      <c r="K144" s="30" t="s">
        <v>1280</v>
      </c>
      <c r="L144" s="30" t="s">
        <v>1232</v>
      </c>
      <c r="M144" s="18" t="s">
        <v>26</v>
      </c>
      <c r="N144" s="18">
        <v>0</v>
      </c>
      <c r="O144" s="18">
        <v>0</v>
      </c>
      <c r="P144" s="18">
        <v>0</v>
      </c>
      <c r="Q144" s="18">
        <v>1</v>
      </c>
      <c r="R144" s="61">
        <v>5</v>
      </c>
      <c r="S144" s="61">
        <v>97</v>
      </c>
    </row>
    <row r="145" spans="1:19" hidden="1" x14ac:dyDescent="0.2">
      <c r="A145" s="32" t="s">
        <v>474</v>
      </c>
      <c r="B145" s="32" t="s">
        <v>85</v>
      </c>
      <c r="C145" s="33" t="s">
        <v>475</v>
      </c>
      <c r="D145" s="33" t="s">
        <v>476</v>
      </c>
      <c r="E145" s="32" t="s">
        <v>26</v>
      </c>
      <c r="F145" s="32"/>
      <c r="G145" s="32" t="s">
        <v>24</v>
      </c>
      <c r="H145" s="32"/>
      <c r="I145" s="30" t="s">
        <v>1273</v>
      </c>
      <c r="J145" s="30" t="s">
        <v>1274</v>
      </c>
      <c r="K145" s="30" t="s">
        <v>1280</v>
      </c>
      <c r="L145" s="30" t="s">
        <v>1232</v>
      </c>
      <c r="M145" s="15" t="s">
        <v>26</v>
      </c>
      <c r="N145" s="15">
        <v>0</v>
      </c>
      <c r="O145" s="15">
        <v>0</v>
      </c>
      <c r="P145" s="15">
        <v>0</v>
      </c>
      <c r="Q145" s="15">
        <v>1</v>
      </c>
      <c r="R145" s="61">
        <v>5</v>
      </c>
      <c r="S145" s="61">
        <v>97</v>
      </c>
    </row>
    <row r="146" spans="1:19" hidden="1" x14ac:dyDescent="0.2">
      <c r="A146" s="32" t="s">
        <v>462</v>
      </c>
      <c r="B146" s="32" t="s">
        <v>85</v>
      </c>
      <c r="C146" s="33" t="s">
        <v>463</v>
      </c>
      <c r="D146" s="33" t="s">
        <v>464</v>
      </c>
      <c r="E146" s="32" t="s">
        <v>26</v>
      </c>
      <c r="F146" s="32"/>
      <c r="G146" s="32" t="s">
        <v>24</v>
      </c>
      <c r="H146" s="32"/>
      <c r="I146" s="30" t="s">
        <v>1273</v>
      </c>
      <c r="J146" s="30" t="s">
        <v>1274</v>
      </c>
      <c r="K146" s="30" t="s">
        <v>1280</v>
      </c>
      <c r="L146" s="30" t="s">
        <v>1232</v>
      </c>
      <c r="M146" s="15" t="s">
        <v>26</v>
      </c>
      <c r="N146" s="15">
        <v>0</v>
      </c>
      <c r="O146" s="15">
        <v>0</v>
      </c>
      <c r="P146" s="15">
        <v>0</v>
      </c>
      <c r="Q146" s="15">
        <v>1</v>
      </c>
      <c r="R146" s="61">
        <v>5</v>
      </c>
      <c r="S146" s="61">
        <v>98</v>
      </c>
    </row>
    <row r="147" spans="1:19" hidden="1" x14ac:dyDescent="0.2">
      <c r="A147" s="32" t="s">
        <v>466</v>
      </c>
      <c r="B147" s="32" t="s">
        <v>85</v>
      </c>
      <c r="C147" s="33" t="s">
        <v>467</v>
      </c>
      <c r="D147" s="33" t="s">
        <v>468</v>
      </c>
      <c r="E147" s="32" t="s">
        <v>26</v>
      </c>
      <c r="F147" s="32"/>
      <c r="G147" s="32" t="s">
        <v>24</v>
      </c>
      <c r="H147" s="32"/>
      <c r="I147" s="30" t="s">
        <v>1273</v>
      </c>
      <c r="J147" s="30" t="s">
        <v>1274</v>
      </c>
      <c r="K147" s="30" t="s">
        <v>1280</v>
      </c>
      <c r="L147" s="30" t="s">
        <v>1232</v>
      </c>
      <c r="M147" s="15" t="s">
        <v>26</v>
      </c>
      <c r="N147" s="15">
        <v>0</v>
      </c>
      <c r="O147" s="15">
        <v>0</v>
      </c>
      <c r="P147" s="15">
        <v>0</v>
      </c>
      <c r="Q147" s="15">
        <v>1</v>
      </c>
      <c r="R147" s="61">
        <v>5</v>
      </c>
      <c r="S147" s="61">
        <v>98</v>
      </c>
    </row>
    <row r="148" spans="1:19" hidden="1" x14ac:dyDescent="0.2">
      <c r="A148" s="10" t="s">
        <v>454</v>
      </c>
      <c r="B148" s="10" t="s">
        <v>85</v>
      </c>
      <c r="C148" s="29" t="s">
        <v>455</v>
      </c>
      <c r="D148" s="29" t="s">
        <v>456</v>
      </c>
      <c r="E148" s="10" t="s">
        <v>26</v>
      </c>
      <c r="F148" s="10"/>
      <c r="G148" s="10" t="s">
        <v>24</v>
      </c>
      <c r="H148" s="10"/>
      <c r="I148" s="30" t="s">
        <v>1273</v>
      </c>
      <c r="J148" s="30" t="s">
        <v>1283</v>
      </c>
      <c r="K148" s="30" t="s">
        <v>451</v>
      </c>
      <c r="L148" s="30" t="s">
        <v>1232</v>
      </c>
      <c r="M148" s="18" t="s">
        <v>26</v>
      </c>
      <c r="N148" s="18">
        <v>0</v>
      </c>
      <c r="O148" s="18">
        <v>0</v>
      </c>
      <c r="P148" s="18">
        <v>0</v>
      </c>
      <c r="Q148" s="18">
        <v>1</v>
      </c>
      <c r="R148" s="61">
        <v>5</v>
      </c>
      <c r="S148" s="61">
        <v>99</v>
      </c>
    </row>
    <row r="149" spans="1:19" hidden="1" x14ac:dyDescent="0.2">
      <c r="A149" s="32" t="s">
        <v>458</v>
      </c>
      <c r="B149" s="32" t="s">
        <v>85</v>
      </c>
      <c r="C149" s="33" t="s">
        <v>459</v>
      </c>
      <c r="D149" s="33" t="s">
        <v>460</v>
      </c>
      <c r="E149" s="32" t="s">
        <v>26</v>
      </c>
      <c r="F149" s="32"/>
      <c r="G149" s="32" t="s">
        <v>24</v>
      </c>
      <c r="H149" s="32"/>
      <c r="I149" s="30" t="s">
        <v>1273</v>
      </c>
      <c r="J149" s="30" t="s">
        <v>1283</v>
      </c>
      <c r="K149" s="30" t="s">
        <v>451</v>
      </c>
      <c r="L149" s="30" t="s">
        <v>1232</v>
      </c>
      <c r="M149" s="15" t="s">
        <v>26</v>
      </c>
      <c r="N149" s="15">
        <v>0</v>
      </c>
      <c r="O149" s="15">
        <v>0</v>
      </c>
      <c r="P149" s="15">
        <v>0</v>
      </c>
      <c r="Q149" s="15">
        <v>1</v>
      </c>
      <c r="R149" s="61">
        <v>5</v>
      </c>
      <c r="S149" s="61">
        <v>99</v>
      </c>
    </row>
    <row r="150" spans="1:19" hidden="1" x14ac:dyDescent="0.2">
      <c r="A150" s="18" t="s">
        <v>91</v>
      </c>
      <c r="B150" s="18" t="s">
        <v>85</v>
      </c>
      <c r="C150" s="41" t="s">
        <v>92</v>
      </c>
      <c r="D150" s="41" t="s">
        <v>93</v>
      </c>
      <c r="E150" s="18" t="s">
        <v>26</v>
      </c>
      <c r="F150" s="18"/>
      <c r="G150" s="18" t="s">
        <v>24</v>
      </c>
      <c r="H150" s="18"/>
      <c r="I150" s="30" t="s">
        <v>1273</v>
      </c>
      <c r="J150" s="30" t="s">
        <v>1274</v>
      </c>
      <c r="K150" s="30" t="s">
        <v>1284</v>
      </c>
      <c r="L150" s="30" t="s">
        <v>1232</v>
      </c>
      <c r="M150" s="18" t="s">
        <v>26</v>
      </c>
      <c r="N150" s="18">
        <v>0</v>
      </c>
      <c r="O150" s="18">
        <v>0</v>
      </c>
      <c r="P150" s="18">
        <v>0</v>
      </c>
      <c r="Q150" s="18">
        <v>1</v>
      </c>
      <c r="R150" s="61">
        <v>5</v>
      </c>
      <c r="S150" s="61">
        <v>100</v>
      </c>
    </row>
    <row r="151" spans="1:19" hidden="1" x14ac:dyDescent="0.2">
      <c r="A151" s="32" t="s">
        <v>447</v>
      </c>
      <c r="B151" s="32" t="s">
        <v>85</v>
      </c>
      <c r="C151" s="32" t="s">
        <v>448</v>
      </c>
      <c r="D151" s="32" t="s">
        <v>449</v>
      </c>
      <c r="E151" s="32" t="s">
        <v>26</v>
      </c>
      <c r="F151" s="32"/>
      <c r="G151" s="32" t="s">
        <v>24</v>
      </c>
      <c r="H151" s="32"/>
      <c r="I151" s="30" t="s">
        <v>1273</v>
      </c>
      <c r="J151" s="30" t="s">
        <v>1279</v>
      </c>
      <c r="K151" s="30" t="s">
        <v>1285</v>
      </c>
      <c r="L151" s="30" t="s">
        <v>1232</v>
      </c>
      <c r="M151" s="15" t="s">
        <v>26</v>
      </c>
      <c r="N151" s="15">
        <v>0</v>
      </c>
      <c r="O151" s="15">
        <v>0</v>
      </c>
      <c r="P151" s="15">
        <v>0</v>
      </c>
      <c r="Q151" s="15">
        <v>1</v>
      </c>
      <c r="R151" s="61">
        <v>5</v>
      </c>
      <c r="S151" s="61">
        <v>100</v>
      </c>
    </row>
    <row r="152" spans="1:19" hidden="1" x14ac:dyDescent="0.2">
      <c r="A152" s="10" t="s">
        <v>439</v>
      </c>
      <c r="B152" s="10" t="s">
        <v>85</v>
      </c>
      <c r="C152" s="29" t="s">
        <v>440</v>
      </c>
      <c r="D152" s="29" t="s">
        <v>441</v>
      </c>
      <c r="E152" s="10" t="s">
        <v>26</v>
      </c>
      <c r="F152" s="10"/>
      <c r="G152" s="10" t="s">
        <v>24</v>
      </c>
      <c r="H152" s="10"/>
      <c r="I152" s="30" t="s">
        <v>1273</v>
      </c>
      <c r="J152" s="30" t="s">
        <v>1274</v>
      </c>
      <c r="K152" s="30" t="s">
        <v>1286</v>
      </c>
      <c r="L152" s="30" t="s">
        <v>1232</v>
      </c>
      <c r="M152" s="18" t="s">
        <v>26</v>
      </c>
      <c r="N152" s="18">
        <v>0</v>
      </c>
      <c r="O152" s="18">
        <v>0</v>
      </c>
      <c r="P152" s="18">
        <v>0</v>
      </c>
      <c r="Q152" s="18">
        <v>1</v>
      </c>
      <c r="R152" s="61">
        <v>5</v>
      </c>
      <c r="S152" s="61">
        <v>101</v>
      </c>
    </row>
    <row r="153" spans="1:19" hidden="1" x14ac:dyDescent="0.2">
      <c r="A153" s="32" t="s">
        <v>443</v>
      </c>
      <c r="B153" s="32" t="s">
        <v>85</v>
      </c>
      <c r="C153" s="33" t="s">
        <v>444</v>
      </c>
      <c r="D153" s="33" t="s">
        <v>445</v>
      </c>
      <c r="E153" s="32" t="s">
        <v>26</v>
      </c>
      <c r="F153" s="32"/>
      <c r="G153" s="32" t="s">
        <v>24</v>
      </c>
      <c r="H153" s="32"/>
      <c r="I153" s="30" t="s">
        <v>1273</v>
      </c>
      <c r="J153" s="30" t="s">
        <v>1274</v>
      </c>
      <c r="K153" s="30" t="s">
        <v>1276</v>
      </c>
      <c r="L153" s="30" t="s">
        <v>1232</v>
      </c>
      <c r="M153" s="15" t="s">
        <v>26</v>
      </c>
      <c r="N153" s="15">
        <v>0</v>
      </c>
      <c r="O153" s="15">
        <v>0</v>
      </c>
      <c r="P153" s="15">
        <v>0</v>
      </c>
      <c r="Q153" s="15">
        <v>1</v>
      </c>
      <c r="R153" s="61">
        <v>5</v>
      </c>
      <c r="S153" s="61">
        <v>101</v>
      </c>
    </row>
    <row r="154" spans="1:19" hidden="1" x14ac:dyDescent="0.2">
      <c r="A154" s="10" t="s">
        <v>431</v>
      </c>
      <c r="B154" s="10" t="s">
        <v>85</v>
      </c>
      <c r="C154" s="29" t="s">
        <v>432</v>
      </c>
      <c r="D154" s="29" t="s">
        <v>433</v>
      </c>
      <c r="E154" s="10" t="s">
        <v>26</v>
      </c>
      <c r="F154" s="10"/>
      <c r="G154" s="10" t="s">
        <v>24</v>
      </c>
      <c r="H154" s="10"/>
      <c r="I154" s="30" t="s">
        <v>1273</v>
      </c>
      <c r="J154" s="30" t="s">
        <v>1274</v>
      </c>
      <c r="K154" s="30" t="s">
        <v>1276</v>
      </c>
      <c r="L154" s="30" t="s">
        <v>1232</v>
      </c>
      <c r="M154" s="18" t="s">
        <v>26</v>
      </c>
      <c r="N154" s="18">
        <v>0</v>
      </c>
      <c r="O154" s="18">
        <v>0</v>
      </c>
      <c r="P154" s="18">
        <v>0</v>
      </c>
      <c r="Q154" s="18">
        <v>1</v>
      </c>
      <c r="R154" s="61">
        <v>5</v>
      </c>
      <c r="S154" s="61">
        <v>102</v>
      </c>
    </row>
    <row r="155" spans="1:19" hidden="1" x14ac:dyDescent="0.2">
      <c r="A155" s="10" t="s">
        <v>435</v>
      </c>
      <c r="B155" s="10" t="s">
        <v>85</v>
      </c>
      <c r="C155" s="29" t="s">
        <v>436</v>
      </c>
      <c r="D155" s="29" t="s">
        <v>437</v>
      </c>
      <c r="E155" s="10" t="s">
        <v>26</v>
      </c>
      <c r="F155" s="10"/>
      <c r="G155" s="10" t="s">
        <v>24</v>
      </c>
      <c r="H155" s="10"/>
      <c r="I155" s="30" t="s">
        <v>1273</v>
      </c>
      <c r="J155" s="30" t="s">
        <v>1274</v>
      </c>
      <c r="K155" s="30" t="s">
        <v>1287</v>
      </c>
      <c r="L155" s="30" t="s">
        <v>1232</v>
      </c>
      <c r="M155" s="18" t="s">
        <v>26</v>
      </c>
      <c r="N155" s="18">
        <v>0</v>
      </c>
      <c r="O155" s="18">
        <v>0</v>
      </c>
      <c r="P155" s="18">
        <v>0</v>
      </c>
      <c r="Q155" s="18">
        <v>1</v>
      </c>
      <c r="R155" s="61">
        <v>5</v>
      </c>
      <c r="S155" s="61">
        <v>102</v>
      </c>
    </row>
    <row r="156" spans="1:19" hidden="1" x14ac:dyDescent="0.2">
      <c r="A156" s="32" t="s">
        <v>423</v>
      </c>
      <c r="B156" s="32" t="s">
        <v>85</v>
      </c>
      <c r="C156" s="33" t="s">
        <v>424</v>
      </c>
      <c r="D156" s="33" t="s">
        <v>425</v>
      </c>
      <c r="E156" s="32" t="s">
        <v>26</v>
      </c>
      <c r="F156" s="32"/>
      <c r="G156" s="32" t="s">
        <v>24</v>
      </c>
      <c r="H156" s="32"/>
      <c r="I156" s="30" t="s">
        <v>1273</v>
      </c>
      <c r="J156" s="30" t="s">
        <v>1274</v>
      </c>
      <c r="K156" s="30" t="s">
        <v>1286</v>
      </c>
      <c r="L156" s="30" t="s">
        <v>1232</v>
      </c>
      <c r="M156" s="15" t="s">
        <v>26</v>
      </c>
      <c r="N156" s="15">
        <v>0</v>
      </c>
      <c r="O156" s="15">
        <v>0</v>
      </c>
      <c r="P156" s="15">
        <v>0</v>
      </c>
      <c r="Q156" s="15">
        <v>1</v>
      </c>
      <c r="R156" s="61">
        <v>5</v>
      </c>
      <c r="S156" s="61">
        <v>103</v>
      </c>
    </row>
    <row r="157" spans="1:19" hidden="1" x14ac:dyDescent="0.2">
      <c r="A157" s="10" t="s">
        <v>427</v>
      </c>
      <c r="B157" s="10" t="s">
        <v>85</v>
      </c>
      <c r="C157" s="29" t="s">
        <v>428</v>
      </c>
      <c r="D157" s="29" t="s">
        <v>429</v>
      </c>
      <c r="E157" s="10" t="s">
        <v>26</v>
      </c>
      <c r="F157" s="10"/>
      <c r="G157" s="10" t="s">
        <v>24</v>
      </c>
      <c r="H157" s="10"/>
      <c r="I157" s="30" t="s">
        <v>1273</v>
      </c>
      <c r="J157" s="30" t="s">
        <v>1274</v>
      </c>
      <c r="K157" s="30" t="s">
        <v>1275</v>
      </c>
      <c r="L157" s="30" t="s">
        <v>1232</v>
      </c>
      <c r="M157" s="18" t="s">
        <v>26</v>
      </c>
      <c r="N157" s="18">
        <v>0</v>
      </c>
      <c r="O157" s="18">
        <v>0</v>
      </c>
      <c r="P157" s="18">
        <v>0</v>
      </c>
      <c r="Q157" s="18">
        <v>1</v>
      </c>
      <c r="R157" s="61">
        <v>5</v>
      </c>
      <c r="S157" s="61">
        <v>103</v>
      </c>
    </row>
    <row r="158" spans="1:19" hidden="1" x14ac:dyDescent="0.2">
      <c r="A158" s="10" t="s">
        <v>410</v>
      </c>
      <c r="B158" s="10" t="s">
        <v>85</v>
      </c>
      <c r="C158" s="29" t="s">
        <v>411</v>
      </c>
      <c r="D158" s="29" t="s">
        <v>412</v>
      </c>
      <c r="E158" s="10" t="s">
        <v>26</v>
      </c>
      <c r="F158" s="10"/>
      <c r="G158" s="10" t="s">
        <v>24</v>
      </c>
      <c r="H158" s="10"/>
      <c r="I158" s="30" t="s">
        <v>1273</v>
      </c>
      <c r="J158" s="30" t="s">
        <v>1274</v>
      </c>
      <c r="K158" s="30" t="s">
        <v>1288</v>
      </c>
      <c r="L158" s="30" t="s">
        <v>1232</v>
      </c>
      <c r="M158" s="18" t="s">
        <v>26</v>
      </c>
      <c r="N158" s="18">
        <v>0</v>
      </c>
      <c r="O158" s="18">
        <v>0</v>
      </c>
      <c r="P158" s="18">
        <v>0</v>
      </c>
      <c r="Q158" s="18">
        <v>1</v>
      </c>
      <c r="R158" s="61">
        <v>5</v>
      </c>
      <c r="S158" s="61">
        <v>104</v>
      </c>
    </row>
    <row r="159" spans="1:19" hidden="1" x14ac:dyDescent="0.2">
      <c r="A159" s="10" t="s">
        <v>414</v>
      </c>
      <c r="B159" s="10" t="s">
        <v>85</v>
      </c>
      <c r="C159" s="29" t="s">
        <v>415</v>
      </c>
      <c r="D159" s="29" t="s">
        <v>416</v>
      </c>
      <c r="E159" s="10" t="s">
        <v>26</v>
      </c>
      <c r="F159" s="10"/>
      <c r="G159" s="10" t="s">
        <v>24</v>
      </c>
      <c r="H159" s="10" t="s">
        <v>417</v>
      </c>
      <c r="I159" s="30" t="s">
        <v>1273</v>
      </c>
      <c r="J159" s="30" t="s">
        <v>1274</v>
      </c>
      <c r="K159" s="30" t="s">
        <v>1289</v>
      </c>
      <c r="L159" s="30" t="s">
        <v>1232</v>
      </c>
      <c r="M159" s="18" t="s">
        <v>26</v>
      </c>
      <c r="N159" s="18">
        <v>0</v>
      </c>
      <c r="O159" s="18">
        <v>0</v>
      </c>
      <c r="P159" s="18">
        <v>0</v>
      </c>
      <c r="Q159" s="18">
        <v>1</v>
      </c>
      <c r="R159" s="61">
        <v>5</v>
      </c>
      <c r="S159" s="61">
        <v>104</v>
      </c>
    </row>
    <row r="160" spans="1:19" hidden="1" x14ac:dyDescent="0.2">
      <c r="A160" s="10" t="s">
        <v>405</v>
      </c>
      <c r="B160" s="10" t="s">
        <v>85</v>
      </c>
      <c r="C160" s="29" t="s">
        <v>406</v>
      </c>
      <c r="D160" s="29" t="s">
        <v>407</v>
      </c>
      <c r="E160" s="10" t="s">
        <v>23</v>
      </c>
      <c r="F160" s="10" t="s">
        <v>408</v>
      </c>
      <c r="G160" s="10" t="s">
        <v>24</v>
      </c>
      <c r="H160" s="10"/>
      <c r="I160" s="30" t="s">
        <v>1273</v>
      </c>
      <c r="J160" s="30" t="s">
        <v>1274</v>
      </c>
      <c r="K160" s="30" t="s">
        <v>1290</v>
      </c>
      <c r="L160" s="30" t="s">
        <v>1232</v>
      </c>
      <c r="M160" s="18" t="s">
        <v>23</v>
      </c>
      <c r="N160" s="18">
        <v>0</v>
      </c>
      <c r="O160" s="18">
        <v>1</v>
      </c>
      <c r="P160" s="18">
        <v>1</v>
      </c>
      <c r="Q160" s="18">
        <v>2</v>
      </c>
      <c r="R160" s="61">
        <v>5</v>
      </c>
      <c r="S160" s="61">
        <v>105</v>
      </c>
    </row>
    <row r="161" spans="1:19" hidden="1" x14ac:dyDescent="0.2">
      <c r="A161" s="15" t="s">
        <v>397</v>
      </c>
      <c r="B161" s="15" t="s">
        <v>85</v>
      </c>
      <c r="C161" s="44" t="s">
        <v>398</v>
      </c>
      <c r="D161" s="44" t="s">
        <v>399</v>
      </c>
      <c r="E161" s="15" t="s">
        <v>26</v>
      </c>
      <c r="F161" s="15"/>
      <c r="G161" s="15" t="s">
        <v>24</v>
      </c>
      <c r="H161" s="15"/>
      <c r="I161" s="30" t="s">
        <v>1273</v>
      </c>
      <c r="J161" s="30" t="s">
        <v>1283</v>
      </c>
      <c r="K161" s="30" t="s">
        <v>451</v>
      </c>
      <c r="L161" s="30" t="s">
        <v>1232</v>
      </c>
      <c r="M161" s="15" t="s">
        <v>26</v>
      </c>
      <c r="N161" s="15">
        <v>0</v>
      </c>
      <c r="O161" s="15">
        <v>0</v>
      </c>
      <c r="P161" s="15">
        <v>0</v>
      </c>
      <c r="Q161" s="15">
        <v>1</v>
      </c>
      <c r="R161" s="61">
        <v>5</v>
      </c>
      <c r="S161" s="61">
        <v>106</v>
      </c>
    </row>
    <row r="162" spans="1:19" hidden="1" x14ac:dyDescent="0.2">
      <c r="A162" s="15" t="s">
        <v>401</v>
      </c>
      <c r="B162" s="15" t="s">
        <v>85</v>
      </c>
      <c r="C162" s="44" t="s">
        <v>402</v>
      </c>
      <c r="D162" s="44" t="s">
        <v>403</v>
      </c>
      <c r="E162" s="15" t="s">
        <v>26</v>
      </c>
      <c r="F162" s="15"/>
      <c r="G162" s="15" t="s">
        <v>24</v>
      </c>
      <c r="H162" s="15"/>
      <c r="I162" s="30" t="s">
        <v>1273</v>
      </c>
      <c r="J162" s="30" t="s">
        <v>1291</v>
      </c>
      <c r="K162" s="30" t="s">
        <v>1292</v>
      </c>
      <c r="L162" s="30" t="s">
        <v>1232</v>
      </c>
      <c r="M162" s="15" t="s">
        <v>26</v>
      </c>
      <c r="N162" s="15">
        <v>0</v>
      </c>
      <c r="O162" s="15">
        <v>0</v>
      </c>
      <c r="P162" s="15">
        <v>0</v>
      </c>
      <c r="Q162" s="15">
        <v>1</v>
      </c>
      <c r="R162" s="61">
        <v>5</v>
      </c>
      <c r="S162" s="61">
        <v>106</v>
      </c>
    </row>
    <row r="163" spans="1:19" hidden="1" x14ac:dyDescent="0.2">
      <c r="A163" s="32" t="s">
        <v>389</v>
      </c>
      <c r="B163" s="32" t="s">
        <v>85</v>
      </c>
      <c r="C163" s="33" t="s">
        <v>390</v>
      </c>
      <c r="D163" s="33" t="s">
        <v>391</v>
      </c>
      <c r="E163" s="32" t="s">
        <v>26</v>
      </c>
      <c r="F163" s="32"/>
      <c r="G163" s="32" t="s">
        <v>24</v>
      </c>
      <c r="H163" s="32"/>
      <c r="I163" s="30" t="s">
        <v>1273</v>
      </c>
      <c r="J163" s="30" t="s">
        <v>1283</v>
      </c>
      <c r="K163" s="30" t="s">
        <v>1293</v>
      </c>
      <c r="L163" s="30" t="s">
        <v>1232</v>
      </c>
      <c r="M163" s="15" t="s">
        <v>26</v>
      </c>
      <c r="N163" s="15">
        <v>0</v>
      </c>
      <c r="O163" s="15">
        <v>0</v>
      </c>
      <c r="P163" s="15">
        <v>0</v>
      </c>
      <c r="Q163" s="15">
        <v>1</v>
      </c>
      <c r="R163" s="61">
        <v>5</v>
      </c>
      <c r="S163" s="61">
        <v>107</v>
      </c>
    </row>
    <row r="164" spans="1:19" hidden="1" x14ac:dyDescent="0.2">
      <c r="A164" s="32" t="s">
        <v>393</v>
      </c>
      <c r="B164" s="32" t="s">
        <v>85</v>
      </c>
      <c r="C164" s="33" t="s">
        <v>394</v>
      </c>
      <c r="D164" s="33" t="s">
        <v>395</v>
      </c>
      <c r="E164" s="32" t="s">
        <v>26</v>
      </c>
      <c r="F164" s="32"/>
      <c r="G164" s="32" t="s">
        <v>24</v>
      </c>
      <c r="H164" s="32"/>
      <c r="I164" s="30" t="s">
        <v>1273</v>
      </c>
      <c r="J164" s="30" t="s">
        <v>1279</v>
      </c>
      <c r="K164" s="30" t="s">
        <v>447</v>
      </c>
      <c r="L164" s="30" t="s">
        <v>1232</v>
      </c>
      <c r="M164" s="15" t="s">
        <v>26</v>
      </c>
      <c r="N164" s="15">
        <v>0</v>
      </c>
      <c r="O164" s="15">
        <v>0</v>
      </c>
      <c r="P164" s="15">
        <v>0</v>
      </c>
      <c r="Q164" s="15">
        <v>1</v>
      </c>
      <c r="R164" s="61">
        <v>5</v>
      </c>
      <c r="S164" s="61">
        <v>107</v>
      </c>
    </row>
    <row r="165" spans="1:19" hidden="1" x14ac:dyDescent="0.2">
      <c r="A165" s="10" t="s">
        <v>381</v>
      </c>
      <c r="B165" s="10" t="s">
        <v>85</v>
      </c>
      <c r="C165" s="29" t="s">
        <v>382</v>
      </c>
      <c r="D165" s="29" t="s">
        <v>383</v>
      </c>
      <c r="E165" s="10" t="s">
        <v>26</v>
      </c>
      <c r="F165" s="10"/>
      <c r="G165" s="10" t="s">
        <v>24</v>
      </c>
      <c r="H165" s="10"/>
      <c r="I165" s="30" t="s">
        <v>1273</v>
      </c>
      <c r="J165" s="30" t="s">
        <v>1291</v>
      </c>
      <c r="K165" s="30" t="s">
        <v>1294</v>
      </c>
      <c r="L165" s="30" t="s">
        <v>1232</v>
      </c>
      <c r="M165" s="18" t="s">
        <v>26</v>
      </c>
      <c r="N165" s="18">
        <v>0</v>
      </c>
      <c r="O165" s="18">
        <v>0</v>
      </c>
      <c r="P165" s="18">
        <v>0</v>
      </c>
      <c r="Q165" s="18">
        <v>1</v>
      </c>
      <c r="R165" s="61">
        <v>5</v>
      </c>
      <c r="S165" s="61">
        <v>108</v>
      </c>
    </row>
    <row r="166" spans="1:19" hidden="1" x14ac:dyDescent="0.2">
      <c r="A166" s="32" t="s">
        <v>385</v>
      </c>
      <c r="B166" s="32" t="s">
        <v>85</v>
      </c>
      <c r="C166" s="33" t="s">
        <v>386</v>
      </c>
      <c r="D166" s="33" t="s">
        <v>387</v>
      </c>
      <c r="E166" s="32" t="s">
        <v>26</v>
      </c>
      <c r="F166" s="32"/>
      <c r="G166" s="32" t="s">
        <v>24</v>
      </c>
      <c r="H166" s="32"/>
      <c r="I166" s="30" t="s">
        <v>1273</v>
      </c>
      <c r="J166" s="30" t="s">
        <v>1291</v>
      </c>
      <c r="K166" s="30" t="s">
        <v>1295</v>
      </c>
      <c r="L166" s="30" t="s">
        <v>1232</v>
      </c>
      <c r="M166" s="15" t="s">
        <v>26</v>
      </c>
      <c r="N166" s="15">
        <v>0</v>
      </c>
      <c r="O166" s="15">
        <v>0</v>
      </c>
      <c r="P166" s="15">
        <v>0</v>
      </c>
      <c r="Q166" s="15">
        <v>1</v>
      </c>
      <c r="R166" s="61">
        <v>5</v>
      </c>
      <c r="S166" s="61">
        <v>108</v>
      </c>
    </row>
    <row r="167" spans="1:19" hidden="1" x14ac:dyDescent="0.2">
      <c r="A167" s="10" t="s">
        <v>372</v>
      </c>
      <c r="B167" s="10" t="s">
        <v>85</v>
      </c>
      <c r="C167" s="29" t="s">
        <v>373</v>
      </c>
      <c r="D167" s="29" t="s">
        <v>374</v>
      </c>
      <c r="E167" s="10" t="s">
        <v>26</v>
      </c>
      <c r="F167" s="10"/>
      <c r="G167" s="10" t="s">
        <v>24</v>
      </c>
      <c r="H167" s="10" t="s">
        <v>375</v>
      </c>
      <c r="I167" s="30" t="s">
        <v>1273</v>
      </c>
      <c r="J167" s="30" t="s">
        <v>1274</v>
      </c>
      <c r="K167" s="30" t="s">
        <v>1280</v>
      </c>
      <c r="L167" s="30" t="s">
        <v>1232</v>
      </c>
      <c r="M167" s="18" t="s">
        <v>26</v>
      </c>
      <c r="N167" s="18">
        <v>0</v>
      </c>
      <c r="O167" s="18">
        <v>0</v>
      </c>
      <c r="P167" s="18">
        <v>0</v>
      </c>
      <c r="Q167" s="18">
        <v>1</v>
      </c>
      <c r="R167" s="61">
        <v>5</v>
      </c>
      <c r="S167" s="61">
        <v>109</v>
      </c>
    </row>
    <row r="168" spans="1:19" hidden="1" x14ac:dyDescent="0.2">
      <c r="A168" s="10" t="s">
        <v>377</v>
      </c>
      <c r="B168" s="10" t="s">
        <v>85</v>
      </c>
      <c r="C168" s="29" t="s">
        <v>378</v>
      </c>
      <c r="D168" s="29" t="s">
        <v>379</v>
      </c>
      <c r="E168" s="10" t="s">
        <v>26</v>
      </c>
      <c r="F168" s="10"/>
      <c r="G168" s="10" t="s">
        <v>24</v>
      </c>
      <c r="H168" s="10"/>
      <c r="I168" s="30" t="s">
        <v>1273</v>
      </c>
      <c r="J168" s="30" t="s">
        <v>1274</v>
      </c>
      <c r="K168" s="30" t="s">
        <v>451</v>
      </c>
      <c r="L168" s="30" t="s">
        <v>1232</v>
      </c>
      <c r="M168" s="18" t="s">
        <v>26</v>
      </c>
      <c r="N168" s="18">
        <v>0</v>
      </c>
      <c r="O168" s="18">
        <v>0</v>
      </c>
      <c r="P168" s="18">
        <v>0</v>
      </c>
      <c r="Q168" s="18">
        <v>1</v>
      </c>
      <c r="R168" s="61">
        <v>5</v>
      </c>
      <c r="S168" s="61">
        <v>109</v>
      </c>
    </row>
    <row r="169" spans="1:19" hidden="1" x14ac:dyDescent="0.2">
      <c r="A169" s="32" t="s">
        <v>364</v>
      </c>
      <c r="B169" s="32" t="s">
        <v>85</v>
      </c>
      <c r="C169" s="33" t="s">
        <v>365</v>
      </c>
      <c r="D169" s="33" t="s">
        <v>366</v>
      </c>
      <c r="E169" s="32" t="s">
        <v>26</v>
      </c>
      <c r="F169" s="32"/>
      <c r="G169" s="32" t="s">
        <v>24</v>
      </c>
      <c r="H169" s="32"/>
      <c r="I169" s="30" t="s">
        <v>1273</v>
      </c>
      <c r="J169" s="30" t="s">
        <v>1281</v>
      </c>
      <c r="K169" s="30" t="s">
        <v>1294</v>
      </c>
      <c r="L169" s="30" t="s">
        <v>1232</v>
      </c>
      <c r="M169" s="15" t="s">
        <v>26</v>
      </c>
      <c r="N169" s="15">
        <v>0</v>
      </c>
      <c r="O169" s="15">
        <v>0</v>
      </c>
      <c r="P169" s="15">
        <v>0</v>
      </c>
      <c r="Q169" s="15">
        <v>1</v>
      </c>
      <c r="R169" s="61">
        <v>5</v>
      </c>
      <c r="S169" s="61">
        <v>110</v>
      </c>
    </row>
    <row r="170" spans="1:19" hidden="1" x14ac:dyDescent="0.2">
      <c r="A170" s="32" t="s">
        <v>231</v>
      </c>
      <c r="B170" s="32" t="s">
        <v>85</v>
      </c>
      <c r="C170" s="33" t="s">
        <v>232</v>
      </c>
      <c r="D170" s="33" t="s">
        <v>233</v>
      </c>
      <c r="E170" s="32" t="s">
        <v>26</v>
      </c>
      <c r="F170" s="32"/>
      <c r="G170" s="32" t="s">
        <v>24</v>
      </c>
      <c r="H170" s="32" t="s">
        <v>234</v>
      </c>
      <c r="I170" s="30" t="s">
        <v>1266</v>
      </c>
      <c r="J170" s="30" t="s">
        <v>1324</v>
      </c>
      <c r="K170" s="30" t="s">
        <v>1325</v>
      </c>
      <c r="L170" s="30" t="s">
        <v>1232</v>
      </c>
      <c r="M170" s="15" t="s">
        <v>26</v>
      </c>
      <c r="N170" s="15">
        <v>0</v>
      </c>
      <c r="O170" s="15">
        <v>0</v>
      </c>
      <c r="P170" s="15">
        <v>0</v>
      </c>
      <c r="Q170" s="15">
        <v>1</v>
      </c>
      <c r="R170" s="64">
        <v>6</v>
      </c>
      <c r="S170" s="64">
        <v>127</v>
      </c>
    </row>
    <row r="171" spans="1:19" hidden="1" x14ac:dyDescent="0.2">
      <c r="A171" s="10" t="s">
        <v>222</v>
      </c>
      <c r="B171" s="10" t="s">
        <v>85</v>
      </c>
      <c r="C171" s="29" t="s">
        <v>223</v>
      </c>
      <c r="D171" s="29" t="s">
        <v>224</v>
      </c>
      <c r="E171" s="10" t="s">
        <v>26</v>
      </c>
      <c r="F171" s="10"/>
      <c r="G171" s="10" t="s">
        <v>24</v>
      </c>
      <c r="H171" s="10"/>
      <c r="I171" s="30" t="s">
        <v>1266</v>
      </c>
      <c r="J171" s="30" t="s">
        <v>1298</v>
      </c>
      <c r="K171" s="30" t="s">
        <v>1326</v>
      </c>
      <c r="L171" s="30" t="s">
        <v>1232</v>
      </c>
      <c r="M171" s="18" t="s">
        <v>26</v>
      </c>
      <c r="N171" s="18">
        <v>0</v>
      </c>
      <c r="O171" s="18">
        <v>0</v>
      </c>
      <c r="P171" s="18">
        <v>0</v>
      </c>
      <c r="Q171" s="18">
        <v>1</v>
      </c>
      <c r="R171" s="64">
        <v>6</v>
      </c>
      <c r="S171" s="64">
        <v>128</v>
      </c>
    </row>
    <row r="172" spans="1:19" hidden="1" x14ac:dyDescent="0.2">
      <c r="A172" s="43" t="s">
        <v>226</v>
      </c>
      <c r="B172" s="10" t="s">
        <v>85</v>
      </c>
      <c r="C172" s="29" t="s">
        <v>227</v>
      </c>
      <c r="D172" s="29" t="s">
        <v>228</v>
      </c>
      <c r="E172" s="10" t="s">
        <v>26</v>
      </c>
      <c r="F172" s="10"/>
      <c r="G172" s="10" t="s">
        <v>24</v>
      </c>
      <c r="H172" s="43" t="s">
        <v>229</v>
      </c>
      <c r="I172" s="30" t="s">
        <v>1229</v>
      </c>
      <c r="J172" s="30" t="s">
        <v>1296</v>
      </c>
      <c r="K172" s="30" t="s">
        <v>1327</v>
      </c>
      <c r="L172" s="30" t="s">
        <v>1232</v>
      </c>
      <c r="M172" s="18" t="s">
        <v>26</v>
      </c>
      <c r="N172" s="18">
        <v>0</v>
      </c>
      <c r="O172" s="18">
        <v>0</v>
      </c>
      <c r="P172" s="18">
        <v>0</v>
      </c>
      <c r="Q172" s="18">
        <v>1</v>
      </c>
      <c r="R172" s="64">
        <v>6</v>
      </c>
      <c r="S172" s="64">
        <v>128</v>
      </c>
    </row>
    <row r="173" spans="1:19" hidden="1" x14ac:dyDescent="0.2">
      <c r="A173" s="10" t="s">
        <v>213</v>
      </c>
      <c r="B173" s="10" t="s">
        <v>85</v>
      </c>
      <c r="C173" s="29" t="s">
        <v>214</v>
      </c>
      <c r="D173" s="29" t="s">
        <v>215</v>
      </c>
      <c r="E173" s="10" t="s">
        <v>26</v>
      </c>
      <c r="F173" s="10"/>
      <c r="G173" s="10" t="s">
        <v>24</v>
      </c>
      <c r="H173" s="10"/>
      <c r="I173" s="30" t="s">
        <v>1266</v>
      </c>
      <c r="J173" s="30" t="s">
        <v>1324</v>
      </c>
      <c r="K173" s="30" t="s">
        <v>1326</v>
      </c>
      <c r="L173" s="30" t="s">
        <v>1232</v>
      </c>
      <c r="M173" s="18" t="s">
        <v>26</v>
      </c>
      <c r="N173" s="18">
        <v>0</v>
      </c>
      <c r="O173" s="18">
        <v>0</v>
      </c>
      <c r="P173" s="18">
        <v>0</v>
      </c>
      <c r="Q173" s="18">
        <v>1</v>
      </c>
      <c r="R173" s="64">
        <v>6</v>
      </c>
      <c r="S173" s="64">
        <v>129</v>
      </c>
    </row>
    <row r="174" spans="1:19" hidden="1" x14ac:dyDescent="0.2">
      <c r="A174" s="32" t="s">
        <v>217</v>
      </c>
      <c r="B174" s="32" t="s">
        <v>85</v>
      </c>
      <c r="C174" s="33" t="s">
        <v>218</v>
      </c>
      <c r="D174" s="33" t="s">
        <v>219</v>
      </c>
      <c r="E174" s="32" t="s">
        <v>26</v>
      </c>
      <c r="F174" s="32"/>
      <c r="G174" s="32" t="s">
        <v>24</v>
      </c>
      <c r="H174" s="32" t="s">
        <v>220</v>
      </c>
      <c r="I174" s="30" t="s">
        <v>1266</v>
      </c>
      <c r="J174" s="30" t="s">
        <v>1271</v>
      </c>
      <c r="K174" s="30" t="s">
        <v>1328</v>
      </c>
      <c r="L174" s="30" t="s">
        <v>1232</v>
      </c>
      <c r="M174" s="15" t="s">
        <v>26</v>
      </c>
      <c r="N174" s="15">
        <v>0</v>
      </c>
      <c r="O174" s="15">
        <v>0</v>
      </c>
      <c r="P174" s="15">
        <v>0</v>
      </c>
      <c r="Q174" s="15">
        <v>1</v>
      </c>
      <c r="R174" s="64">
        <v>6</v>
      </c>
      <c r="S174" s="64">
        <v>129</v>
      </c>
    </row>
    <row r="175" spans="1:19" hidden="1" x14ac:dyDescent="0.2">
      <c r="A175" s="32" t="s">
        <v>205</v>
      </c>
      <c r="B175" s="32" t="s">
        <v>85</v>
      </c>
      <c r="C175" s="33" t="s">
        <v>206</v>
      </c>
      <c r="D175" s="33" t="s">
        <v>207</v>
      </c>
      <c r="E175" s="32" t="s">
        <v>26</v>
      </c>
      <c r="F175" s="32"/>
      <c r="G175" s="32" t="s">
        <v>24</v>
      </c>
      <c r="H175" s="32"/>
      <c r="I175" s="30" t="s">
        <v>1266</v>
      </c>
      <c r="J175" s="30" t="s">
        <v>1324</v>
      </c>
      <c r="K175" s="30" t="s">
        <v>1323</v>
      </c>
      <c r="L175" s="30" t="s">
        <v>1232</v>
      </c>
      <c r="M175" s="15" t="s">
        <v>26</v>
      </c>
      <c r="N175" s="15">
        <v>0</v>
      </c>
      <c r="O175" s="15">
        <v>0</v>
      </c>
      <c r="P175" s="15">
        <v>0</v>
      </c>
      <c r="Q175" s="15">
        <v>1</v>
      </c>
      <c r="R175" s="64">
        <v>6</v>
      </c>
      <c r="S175" s="64">
        <v>130</v>
      </c>
    </row>
    <row r="176" spans="1:19" hidden="1" x14ac:dyDescent="0.2">
      <c r="A176" s="10" t="s">
        <v>209</v>
      </c>
      <c r="B176" s="10" t="s">
        <v>85</v>
      </c>
      <c r="C176" s="29" t="s">
        <v>210</v>
      </c>
      <c r="D176" s="29" t="s">
        <v>211</v>
      </c>
      <c r="E176" s="10" t="s">
        <v>26</v>
      </c>
      <c r="F176" s="10"/>
      <c r="G176" s="10" t="s">
        <v>24</v>
      </c>
      <c r="H176" s="10"/>
      <c r="I176" s="30" t="s">
        <v>1266</v>
      </c>
      <c r="J176" s="30" t="s">
        <v>1271</v>
      </c>
      <c r="K176" s="30" t="s">
        <v>1329</v>
      </c>
      <c r="L176" s="30" t="s">
        <v>1232</v>
      </c>
      <c r="M176" s="18" t="s">
        <v>26</v>
      </c>
      <c r="N176" s="18">
        <v>0</v>
      </c>
      <c r="O176" s="18">
        <v>0</v>
      </c>
      <c r="P176" s="18">
        <v>0</v>
      </c>
      <c r="Q176" s="18">
        <v>1</v>
      </c>
      <c r="R176" s="64">
        <v>6</v>
      </c>
      <c r="S176" s="64">
        <v>130</v>
      </c>
    </row>
    <row r="177" spans="1:19" hidden="1" x14ac:dyDescent="0.2">
      <c r="A177" s="32" t="s">
        <v>196</v>
      </c>
      <c r="B177" s="32" t="s">
        <v>85</v>
      </c>
      <c r="C177" s="33" t="s">
        <v>197</v>
      </c>
      <c r="D177" s="33" t="s">
        <v>198</v>
      </c>
      <c r="E177" s="32" t="s">
        <v>26</v>
      </c>
      <c r="F177" s="32"/>
      <c r="G177" s="32" t="s">
        <v>24</v>
      </c>
      <c r="H177" s="32"/>
      <c r="I177" s="30" t="s">
        <v>1266</v>
      </c>
      <c r="J177" s="30" t="s">
        <v>1324</v>
      </c>
      <c r="K177" s="30" t="s">
        <v>1272</v>
      </c>
      <c r="L177" s="30" t="s">
        <v>1232</v>
      </c>
      <c r="M177" s="15" t="s">
        <v>26</v>
      </c>
      <c r="N177" s="15">
        <v>0</v>
      </c>
      <c r="O177" s="15">
        <v>0</v>
      </c>
      <c r="P177" s="15">
        <v>0</v>
      </c>
      <c r="Q177" s="15">
        <v>1</v>
      </c>
      <c r="R177" s="64">
        <v>6</v>
      </c>
      <c r="S177" s="64">
        <v>131</v>
      </c>
    </row>
    <row r="178" spans="1:19" hidden="1" x14ac:dyDescent="0.2">
      <c r="A178" s="18" t="s">
        <v>200</v>
      </c>
      <c r="B178" s="18" t="s">
        <v>85</v>
      </c>
      <c r="C178" s="41" t="s">
        <v>201</v>
      </c>
      <c r="D178" s="41" t="s">
        <v>202</v>
      </c>
      <c r="E178" s="18" t="s">
        <v>26</v>
      </c>
      <c r="F178" s="18"/>
      <c r="G178" s="18" t="s">
        <v>24</v>
      </c>
      <c r="H178" s="18" t="s">
        <v>203</v>
      </c>
      <c r="I178" s="30" t="s">
        <v>1266</v>
      </c>
      <c r="J178" s="30" t="s">
        <v>1330</v>
      </c>
      <c r="K178" s="30" t="s">
        <v>1323</v>
      </c>
      <c r="L178" s="30" t="s">
        <v>1232</v>
      </c>
      <c r="M178" s="18" t="s">
        <v>26</v>
      </c>
      <c r="N178" s="18">
        <v>0</v>
      </c>
      <c r="O178" s="18">
        <v>0</v>
      </c>
      <c r="P178" s="18">
        <v>0</v>
      </c>
      <c r="Q178" s="18">
        <v>1</v>
      </c>
      <c r="R178" s="64">
        <v>6</v>
      </c>
      <c r="S178" s="64">
        <v>131</v>
      </c>
    </row>
    <row r="179" spans="1:19" hidden="1" x14ac:dyDescent="0.2">
      <c r="A179" s="15" t="s">
        <v>188</v>
      </c>
      <c r="B179" s="15" t="s">
        <v>85</v>
      </c>
      <c r="C179" s="44" t="s">
        <v>189</v>
      </c>
      <c r="D179" s="44" t="s">
        <v>190</v>
      </c>
      <c r="E179" s="15" t="s">
        <v>26</v>
      </c>
      <c r="F179" s="15"/>
      <c r="G179" s="15" t="s">
        <v>24</v>
      </c>
      <c r="H179" s="15"/>
      <c r="I179" s="30" t="s">
        <v>1266</v>
      </c>
      <c r="J179" s="30" t="s">
        <v>1271</v>
      </c>
      <c r="K179" s="30" t="s">
        <v>1331</v>
      </c>
      <c r="L179" s="30" t="s">
        <v>1232</v>
      </c>
      <c r="M179" s="15" t="s">
        <v>26</v>
      </c>
      <c r="N179" s="15">
        <v>0</v>
      </c>
      <c r="O179" s="15">
        <v>0</v>
      </c>
      <c r="P179" s="15">
        <v>0</v>
      </c>
      <c r="Q179" s="15">
        <v>1</v>
      </c>
      <c r="R179" s="64">
        <v>6</v>
      </c>
      <c r="S179" s="64">
        <v>132</v>
      </c>
    </row>
    <row r="180" spans="1:19" hidden="1" x14ac:dyDescent="0.2">
      <c r="A180" s="10" t="s">
        <v>192</v>
      </c>
      <c r="B180" s="10" t="s">
        <v>85</v>
      </c>
      <c r="C180" s="29" t="s">
        <v>193</v>
      </c>
      <c r="D180" s="29" t="s">
        <v>194</v>
      </c>
      <c r="E180" s="10" t="s">
        <v>26</v>
      </c>
      <c r="F180" s="10"/>
      <c r="G180" s="10" t="s">
        <v>24</v>
      </c>
      <c r="H180" s="10"/>
      <c r="I180" s="30" t="s">
        <v>1266</v>
      </c>
      <c r="J180" s="30" t="s">
        <v>1271</v>
      </c>
      <c r="K180" s="30" t="s">
        <v>1331</v>
      </c>
      <c r="L180" s="30" t="s">
        <v>1232</v>
      </c>
      <c r="M180" s="18" t="s">
        <v>26</v>
      </c>
      <c r="N180" s="18">
        <v>0</v>
      </c>
      <c r="O180" s="18">
        <v>0</v>
      </c>
      <c r="P180" s="18">
        <v>0</v>
      </c>
      <c r="Q180" s="18">
        <v>1</v>
      </c>
      <c r="R180" s="64">
        <v>6</v>
      </c>
      <c r="S180" s="64">
        <v>132</v>
      </c>
    </row>
    <row r="181" spans="1:19" hidden="1" x14ac:dyDescent="0.2">
      <c r="A181" s="10" t="s">
        <v>180</v>
      </c>
      <c r="B181" s="10" t="s">
        <v>85</v>
      </c>
      <c r="C181" s="29" t="s">
        <v>181</v>
      </c>
      <c r="D181" s="29" t="s">
        <v>182</v>
      </c>
      <c r="E181" s="10" t="s">
        <v>26</v>
      </c>
      <c r="F181" s="10"/>
      <c r="G181" s="10" t="s">
        <v>24</v>
      </c>
      <c r="H181" s="10"/>
      <c r="I181" s="30" t="s">
        <v>1266</v>
      </c>
      <c r="J181" s="30" t="s">
        <v>1271</v>
      </c>
      <c r="K181" s="30" t="s">
        <v>1328</v>
      </c>
      <c r="L181" s="30" t="s">
        <v>1232</v>
      </c>
      <c r="M181" s="18" t="s">
        <v>26</v>
      </c>
      <c r="N181" s="18">
        <v>0</v>
      </c>
      <c r="O181" s="18">
        <v>0</v>
      </c>
      <c r="P181" s="18">
        <v>0</v>
      </c>
      <c r="Q181" s="18">
        <v>1</v>
      </c>
      <c r="R181" s="64">
        <v>6</v>
      </c>
      <c r="S181" s="64">
        <v>133</v>
      </c>
    </row>
    <row r="182" spans="1:19" hidden="1" x14ac:dyDescent="0.2">
      <c r="A182" s="10" t="s">
        <v>184</v>
      </c>
      <c r="B182" s="10" t="s">
        <v>85</v>
      </c>
      <c r="C182" s="29" t="s">
        <v>185</v>
      </c>
      <c r="D182" s="29" t="s">
        <v>186</v>
      </c>
      <c r="E182" s="10" t="s">
        <v>26</v>
      </c>
      <c r="F182" s="10"/>
      <c r="G182" s="10" t="s">
        <v>24</v>
      </c>
      <c r="H182" s="10"/>
      <c r="I182" s="30" t="s">
        <v>1266</v>
      </c>
      <c r="J182" s="30" t="s">
        <v>1271</v>
      </c>
      <c r="K182" s="30" t="s">
        <v>1328</v>
      </c>
      <c r="L182" s="30" t="s">
        <v>1232</v>
      </c>
      <c r="M182" s="18" t="s">
        <v>26</v>
      </c>
      <c r="N182" s="18">
        <v>0</v>
      </c>
      <c r="O182" s="18">
        <v>0</v>
      </c>
      <c r="P182" s="18">
        <v>0</v>
      </c>
      <c r="Q182" s="18">
        <v>1</v>
      </c>
      <c r="R182" s="64">
        <v>6</v>
      </c>
      <c r="S182" s="64">
        <v>133</v>
      </c>
    </row>
    <row r="183" spans="1:19" hidden="1" x14ac:dyDescent="0.2">
      <c r="A183" s="18" t="s">
        <v>172</v>
      </c>
      <c r="B183" s="18" t="s">
        <v>85</v>
      </c>
      <c r="C183" s="41" t="s">
        <v>173</v>
      </c>
      <c r="D183" s="41" t="s">
        <v>174</v>
      </c>
      <c r="E183" s="18" t="s">
        <v>26</v>
      </c>
      <c r="F183" s="18"/>
      <c r="G183" s="18" t="s">
        <v>24</v>
      </c>
      <c r="H183" s="18"/>
      <c r="I183" s="30" t="s">
        <v>1266</v>
      </c>
      <c r="J183" s="30" t="s">
        <v>1271</v>
      </c>
      <c r="K183" s="30" t="s">
        <v>1328</v>
      </c>
      <c r="L183" s="30" t="s">
        <v>1232</v>
      </c>
      <c r="M183" s="18" t="s">
        <v>26</v>
      </c>
      <c r="N183" s="18">
        <v>0</v>
      </c>
      <c r="O183" s="18">
        <v>0</v>
      </c>
      <c r="P183" s="18">
        <v>0</v>
      </c>
      <c r="Q183" s="18">
        <v>1</v>
      </c>
      <c r="R183" s="64">
        <v>6</v>
      </c>
      <c r="S183" s="64">
        <v>134</v>
      </c>
    </row>
    <row r="184" spans="1:19" hidden="1" x14ac:dyDescent="0.2">
      <c r="A184" s="32" t="s">
        <v>176</v>
      </c>
      <c r="B184" s="32" t="s">
        <v>85</v>
      </c>
      <c r="C184" s="33" t="s">
        <v>177</v>
      </c>
      <c r="D184" s="33" t="s">
        <v>178</v>
      </c>
      <c r="E184" s="32" t="s">
        <v>26</v>
      </c>
      <c r="F184" s="32"/>
      <c r="G184" s="32" t="s">
        <v>24</v>
      </c>
      <c r="H184" s="32"/>
      <c r="I184" s="30" t="s">
        <v>1266</v>
      </c>
      <c r="J184" s="30" t="s">
        <v>1271</v>
      </c>
      <c r="K184" s="30" t="s">
        <v>1328</v>
      </c>
      <c r="L184" s="30" t="s">
        <v>1232</v>
      </c>
      <c r="M184" s="15" t="s">
        <v>26</v>
      </c>
      <c r="N184" s="15">
        <v>0</v>
      </c>
      <c r="O184" s="15">
        <v>0</v>
      </c>
      <c r="P184" s="15">
        <v>0</v>
      </c>
      <c r="Q184" s="15">
        <v>1</v>
      </c>
      <c r="R184" s="64">
        <v>6</v>
      </c>
      <c r="S184" s="64">
        <v>134</v>
      </c>
    </row>
    <row r="185" spans="1:19" hidden="1" x14ac:dyDescent="0.2">
      <c r="A185" s="10" t="s">
        <v>162</v>
      </c>
      <c r="B185" s="10" t="s">
        <v>85</v>
      </c>
      <c r="C185" s="29" t="s">
        <v>163</v>
      </c>
      <c r="D185" s="29" t="s">
        <v>164</v>
      </c>
      <c r="E185" s="10" t="s">
        <v>26</v>
      </c>
      <c r="F185" s="10"/>
      <c r="G185" s="10" t="s">
        <v>24</v>
      </c>
      <c r="H185" s="10" t="s">
        <v>165</v>
      </c>
      <c r="I185" s="30" t="s">
        <v>1266</v>
      </c>
      <c r="J185" s="30" t="s">
        <v>1330</v>
      </c>
      <c r="K185" s="30" t="s">
        <v>1299</v>
      </c>
      <c r="L185" s="30" t="s">
        <v>1232</v>
      </c>
      <c r="M185" s="18" t="s">
        <v>26</v>
      </c>
      <c r="N185" s="18">
        <v>0</v>
      </c>
      <c r="O185" s="18">
        <v>0</v>
      </c>
      <c r="P185" s="18">
        <v>0</v>
      </c>
      <c r="Q185" s="18">
        <v>1</v>
      </c>
      <c r="R185" s="64">
        <v>6</v>
      </c>
      <c r="S185" s="64">
        <v>135</v>
      </c>
    </row>
    <row r="186" spans="1:19" hidden="1" x14ac:dyDescent="0.2">
      <c r="A186" s="10" t="s">
        <v>154</v>
      </c>
      <c r="B186" s="10" t="s">
        <v>85</v>
      </c>
      <c r="C186" s="29" t="s">
        <v>155</v>
      </c>
      <c r="D186" s="29" t="s">
        <v>156</v>
      </c>
      <c r="E186" s="10" t="s">
        <v>26</v>
      </c>
      <c r="F186" s="10"/>
      <c r="G186" s="10" t="s">
        <v>24</v>
      </c>
      <c r="H186" s="10"/>
      <c r="I186" s="30" t="s">
        <v>1266</v>
      </c>
      <c r="J186" s="30" t="s">
        <v>1271</v>
      </c>
      <c r="K186" s="30" t="s">
        <v>1334</v>
      </c>
      <c r="L186" s="30" t="s">
        <v>1232</v>
      </c>
      <c r="M186" s="18" t="s">
        <v>26</v>
      </c>
      <c r="N186" s="18">
        <v>0</v>
      </c>
      <c r="O186" s="18">
        <v>0</v>
      </c>
      <c r="P186" s="18">
        <v>0</v>
      </c>
      <c r="Q186" s="18">
        <v>1</v>
      </c>
      <c r="R186" s="64">
        <v>6</v>
      </c>
      <c r="S186" s="64">
        <v>136</v>
      </c>
    </row>
    <row r="187" spans="1:19" hidden="1" x14ac:dyDescent="0.2">
      <c r="A187" s="32" t="s">
        <v>158</v>
      </c>
      <c r="B187" s="32" t="s">
        <v>85</v>
      </c>
      <c r="C187" s="33" t="s">
        <v>159</v>
      </c>
      <c r="D187" s="33" t="s">
        <v>160</v>
      </c>
      <c r="E187" s="32" t="s">
        <v>26</v>
      </c>
      <c r="F187" s="32"/>
      <c r="G187" s="32" t="s">
        <v>24</v>
      </c>
      <c r="H187" s="32"/>
      <c r="I187" s="30" t="s">
        <v>1266</v>
      </c>
      <c r="J187" s="30" t="s">
        <v>1271</v>
      </c>
      <c r="K187" s="30" t="s">
        <v>1334</v>
      </c>
      <c r="L187" s="30" t="s">
        <v>1232</v>
      </c>
      <c r="M187" s="15" t="s">
        <v>26</v>
      </c>
      <c r="N187" s="15">
        <v>0</v>
      </c>
      <c r="O187" s="15">
        <v>0</v>
      </c>
      <c r="P187" s="15">
        <v>0</v>
      </c>
      <c r="Q187" s="15">
        <v>1</v>
      </c>
      <c r="R187" s="64">
        <v>6</v>
      </c>
      <c r="S187" s="64">
        <v>136</v>
      </c>
    </row>
    <row r="188" spans="1:19" hidden="1" x14ac:dyDescent="0.2">
      <c r="A188" s="10" t="s">
        <v>146</v>
      </c>
      <c r="B188" s="10" t="s">
        <v>85</v>
      </c>
      <c r="C188" s="29" t="s">
        <v>147</v>
      </c>
      <c r="D188" s="29" t="s">
        <v>148</v>
      </c>
      <c r="E188" s="10" t="s">
        <v>26</v>
      </c>
      <c r="F188" s="10"/>
      <c r="G188" s="10" t="s">
        <v>24</v>
      </c>
      <c r="H188" s="10"/>
      <c r="I188" s="30" t="s">
        <v>1266</v>
      </c>
      <c r="J188" s="30" t="s">
        <v>1271</v>
      </c>
      <c r="K188" s="30" t="s">
        <v>1329</v>
      </c>
      <c r="L188" s="30" t="s">
        <v>1232</v>
      </c>
      <c r="M188" s="18" t="s">
        <v>26</v>
      </c>
      <c r="N188" s="18">
        <v>0</v>
      </c>
      <c r="O188" s="18">
        <v>0</v>
      </c>
      <c r="P188" s="18">
        <v>0</v>
      </c>
      <c r="Q188" s="18">
        <v>1</v>
      </c>
      <c r="R188" s="64">
        <v>6</v>
      </c>
      <c r="S188" s="64">
        <v>137</v>
      </c>
    </row>
    <row r="189" spans="1:19" hidden="1" x14ac:dyDescent="0.2">
      <c r="A189" s="15" t="s">
        <v>150</v>
      </c>
      <c r="B189" s="15" t="s">
        <v>85</v>
      </c>
      <c r="C189" s="44" t="s">
        <v>151</v>
      </c>
      <c r="D189" s="44" t="s">
        <v>152</v>
      </c>
      <c r="E189" s="15" t="s">
        <v>26</v>
      </c>
      <c r="F189" s="15"/>
      <c r="G189" s="15" t="s">
        <v>24</v>
      </c>
      <c r="H189" s="15"/>
      <c r="I189" s="30" t="s">
        <v>1266</v>
      </c>
      <c r="J189" s="30" t="s">
        <v>1271</v>
      </c>
      <c r="K189" s="30" t="s">
        <v>1334</v>
      </c>
      <c r="L189" s="30" t="s">
        <v>1232</v>
      </c>
      <c r="M189" s="15" t="s">
        <v>26</v>
      </c>
      <c r="N189" s="15">
        <v>0</v>
      </c>
      <c r="O189" s="15">
        <v>0</v>
      </c>
      <c r="P189" s="15">
        <v>0</v>
      </c>
      <c r="Q189" s="15">
        <v>1</v>
      </c>
      <c r="R189" s="64">
        <v>6</v>
      </c>
      <c r="S189" s="64">
        <v>137</v>
      </c>
    </row>
    <row r="190" spans="1:19" hidden="1" x14ac:dyDescent="0.2">
      <c r="A190" s="10" t="s">
        <v>137</v>
      </c>
      <c r="B190" s="10" t="s">
        <v>85</v>
      </c>
      <c r="C190" s="29" t="s">
        <v>138</v>
      </c>
      <c r="D190" s="29" t="s">
        <v>139</v>
      </c>
      <c r="E190" s="10" t="s">
        <v>26</v>
      </c>
      <c r="F190" s="10"/>
      <c r="G190" s="10" t="s">
        <v>24</v>
      </c>
      <c r="H190" s="10" t="s">
        <v>140</v>
      </c>
      <c r="I190" s="30" t="s">
        <v>1266</v>
      </c>
      <c r="J190" s="30" t="s">
        <v>1335</v>
      </c>
      <c r="K190" s="30" t="s">
        <v>1336</v>
      </c>
      <c r="L190" s="30" t="s">
        <v>1232</v>
      </c>
      <c r="M190" s="18" t="s">
        <v>26</v>
      </c>
      <c r="N190" s="18">
        <v>0</v>
      </c>
      <c r="O190" s="18">
        <v>0</v>
      </c>
      <c r="P190" s="18">
        <v>0</v>
      </c>
      <c r="Q190" s="18">
        <v>1</v>
      </c>
      <c r="R190" s="64">
        <v>6</v>
      </c>
      <c r="S190" s="64">
        <v>138</v>
      </c>
    </row>
    <row r="191" spans="1:19" hidden="1" x14ac:dyDescent="0.2">
      <c r="A191" s="10" t="s">
        <v>142</v>
      </c>
      <c r="B191" s="10" t="s">
        <v>85</v>
      </c>
      <c r="C191" s="29" t="s">
        <v>143</v>
      </c>
      <c r="D191" s="29" t="s">
        <v>144</v>
      </c>
      <c r="E191" s="10" t="s">
        <v>26</v>
      </c>
      <c r="F191" s="10"/>
      <c r="G191" s="10" t="s">
        <v>24</v>
      </c>
      <c r="H191" s="10"/>
      <c r="I191" s="30" t="s">
        <v>1266</v>
      </c>
      <c r="J191" s="30" t="s">
        <v>1271</v>
      </c>
      <c r="K191" s="30" t="s">
        <v>1272</v>
      </c>
      <c r="L191" s="30" t="s">
        <v>1232</v>
      </c>
      <c r="M191" s="18" t="s">
        <v>26</v>
      </c>
      <c r="N191" s="18">
        <v>0</v>
      </c>
      <c r="O191" s="18">
        <v>0</v>
      </c>
      <c r="P191" s="18">
        <v>0</v>
      </c>
      <c r="Q191" s="18">
        <v>1</v>
      </c>
      <c r="R191" s="64">
        <v>6</v>
      </c>
      <c r="S191" s="64">
        <v>138</v>
      </c>
    </row>
    <row r="192" spans="1:19" hidden="1" x14ac:dyDescent="0.2">
      <c r="A192" s="32" t="s">
        <v>129</v>
      </c>
      <c r="B192" s="32" t="s">
        <v>85</v>
      </c>
      <c r="C192" s="33" t="s">
        <v>130</v>
      </c>
      <c r="D192" s="33" t="s">
        <v>131</v>
      </c>
      <c r="E192" s="32" t="s">
        <v>26</v>
      </c>
      <c r="F192" s="32"/>
      <c r="G192" s="32" t="s">
        <v>24</v>
      </c>
      <c r="H192" s="32"/>
      <c r="I192" s="30" t="s">
        <v>1266</v>
      </c>
      <c r="J192" s="30" t="s">
        <v>1271</v>
      </c>
      <c r="K192" s="30" t="s">
        <v>1272</v>
      </c>
      <c r="L192" s="30" t="s">
        <v>1232</v>
      </c>
      <c r="M192" s="15" t="s">
        <v>26</v>
      </c>
      <c r="N192" s="15">
        <v>0</v>
      </c>
      <c r="O192" s="15">
        <v>0</v>
      </c>
      <c r="P192" s="15">
        <v>0</v>
      </c>
      <c r="Q192" s="15">
        <v>1</v>
      </c>
      <c r="R192" s="64">
        <v>6</v>
      </c>
      <c r="S192" s="64">
        <v>139</v>
      </c>
    </row>
    <row r="193" spans="1:19" hidden="1" x14ac:dyDescent="0.2">
      <c r="A193" s="10" t="s">
        <v>133</v>
      </c>
      <c r="B193" s="10" t="s">
        <v>85</v>
      </c>
      <c r="C193" s="29" t="s">
        <v>134</v>
      </c>
      <c r="D193" s="29" t="s">
        <v>135</v>
      </c>
      <c r="E193" s="10" t="s">
        <v>26</v>
      </c>
      <c r="F193" s="10"/>
      <c r="G193" s="10" t="s">
        <v>24</v>
      </c>
      <c r="H193" s="10"/>
      <c r="I193" s="30" t="s">
        <v>1266</v>
      </c>
      <c r="J193" s="30" t="s">
        <v>1324</v>
      </c>
      <c r="K193" s="30" t="s">
        <v>1323</v>
      </c>
      <c r="L193" s="30" t="s">
        <v>1232</v>
      </c>
      <c r="M193" s="18" t="s">
        <v>26</v>
      </c>
      <c r="N193" s="18">
        <v>0</v>
      </c>
      <c r="O193" s="18">
        <v>0</v>
      </c>
      <c r="P193" s="18">
        <v>0</v>
      </c>
      <c r="Q193" s="18">
        <v>1</v>
      </c>
      <c r="R193" s="64">
        <v>6</v>
      </c>
      <c r="S193" s="64">
        <v>139</v>
      </c>
    </row>
    <row r="194" spans="1:19" hidden="1" x14ac:dyDescent="0.2">
      <c r="A194" s="32" t="s">
        <v>121</v>
      </c>
      <c r="B194" s="32" t="s">
        <v>85</v>
      </c>
      <c r="C194" s="33" t="s">
        <v>122</v>
      </c>
      <c r="D194" s="33" t="s">
        <v>123</v>
      </c>
      <c r="E194" s="32" t="s">
        <v>26</v>
      </c>
      <c r="F194" s="32"/>
      <c r="G194" s="32" t="s">
        <v>24</v>
      </c>
      <c r="H194" s="32"/>
      <c r="I194" s="30" t="s">
        <v>1266</v>
      </c>
      <c r="J194" s="30" t="s">
        <v>1271</v>
      </c>
      <c r="K194" s="30" t="s">
        <v>1329</v>
      </c>
      <c r="L194" s="30" t="s">
        <v>1232</v>
      </c>
      <c r="M194" s="15" t="s">
        <v>26</v>
      </c>
      <c r="N194" s="15">
        <v>0</v>
      </c>
      <c r="O194" s="15">
        <v>0</v>
      </c>
      <c r="P194" s="15">
        <v>0</v>
      </c>
      <c r="Q194" s="15">
        <v>1</v>
      </c>
      <c r="R194" s="64">
        <v>6</v>
      </c>
      <c r="S194" s="64">
        <v>140</v>
      </c>
    </row>
    <row r="195" spans="1:19" hidden="1" x14ac:dyDescent="0.2">
      <c r="A195" s="10" t="s">
        <v>125</v>
      </c>
      <c r="B195" s="10" t="s">
        <v>85</v>
      </c>
      <c r="C195" s="29" t="s">
        <v>126</v>
      </c>
      <c r="D195" s="29" t="s">
        <v>127</v>
      </c>
      <c r="E195" s="10" t="s">
        <v>26</v>
      </c>
      <c r="F195" s="10"/>
      <c r="G195" s="10" t="s">
        <v>24</v>
      </c>
      <c r="H195" s="10"/>
      <c r="I195" s="30" t="s">
        <v>1266</v>
      </c>
      <c r="J195" s="30" t="s">
        <v>1271</v>
      </c>
      <c r="K195" s="30" t="s">
        <v>1329</v>
      </c>
      <c r="L195" s="30" t="s">
        <v>1232</v>
      </c>
      <c r="M195" s="18" t="s">
        <v>26</v>
      </c>
      <c r="N195" s="18">
        <v>0</v>
      </c>
      <c r="O195" s="18">
        <v>0</v>
      </c>
      <c r="P195" s="18">
        <v>0</v>
      </c>
      <c r="Q195" s="18">
        <v>1</v>
      </c>
      <c r="R195" s="64">
        <v>6</v>
      </c>
      <c r="S195" s="64">
        <v>140</v>
      </c>
    </row>
    <row r="196" spans="1:19" hidden="1" x14ac:dyDescent="0.2">
      <c r="A196" s="32" t="s">
        <v>113</v>
      </c>
      <c r="B196" s="32" t="s">
        <v>85</v>
      </c>
      <c r="C196" s="33" t="s">
        <v>114</v>
      </c>
      <c r="D196" s="33" t="s">
        <v>115</v>
      </c>
      <c r="E196" s="32" t="s">
        <v>26</v>
      </c>
      <c r="F196" s="32"/>
      <c r="G196" s="32" t="s">
        <v>24</v>
      </c>
      <c r="H196" s="32"/>
      <c r="I196" s="30" t="s">
        <v>1266</v>
      </c>
      <c r="J196" s="30" t="s">
        <v>1271</v>
      </c>
      <c r="K196" s="30" t="s">
        <v>1329</v>
      </c>
      <c r="L196" s="30" t="s">
        <v>1232</v>
      </c>
      <c r="M196" s="15" t="s">
        <v>26</v>
      </c>
      <c r="N196" s="15">
        <v>0</v>
      </c>
      <c r="O196" s="15">
        <v>0</v>
      </c>
      <c r="P196" s="15">
        <v>0</v>
      </c>
      <c r="Q196" s="15">
        <v>1</v>
      </c>
      <c r="R196" s="64">
        <v>6</v>
      </c>
      <c r="S196" s="64">
        <v>141</v>
      </c>
    </row>
    <row r="197" spans="1:19" hidden="1" x14ac:dyDescent="0.2">
      <c r="A197" s="32" t="s">
        <v>117</v>
      </c>
      <c r="B197" s="32" t="s">
        <v>85</v>
      </c>
      <c r="C197" s="33" t="s">
        <v>118</v>
      </c>
      <c r="D197" s="33" t="s">
        <v>119</v>
      </c>
      <c r="E197" s="32" t="s">
        <v>26</v>
      </c>
      <c r="F197" s="32"/>
      <c r="G197" s="32" t="s">
        <v>24</v>
      </c>
      <c r="H197" s="32"/>
      <c r="I197" s="30" t="s">
        <v>1266</v>
      </c>
      <c r="J197" s="30" t="s">
        <v>1271</v>
      </c>
      <c r="K197" s="30" t="s">
        <v>1329</v>
      </c>
      <c r="L197" s="30" t="s">
        <v>1232</v>
      </c>
      <c r="M197" s="15" t="s">
        <v>26</v>
      </c>
      <c r="N197" s="15">
        <v>0</v>
      </c>
      <c r="O197" s="15">
        <v>0</v>
      </c>
      <c r="P197" s="15">
        <v>0</v>
      </c>
      <c r="Q197" s="15">
        <v>1</v>
      </c>
      <c r="R197" s="64">
        <v>6</v>
      </c>
      <c r="S197" s="64">
        <v>141</v>
      </c>
    </row>
    <row r="198" spans="1:19" hidden="1" x14ac:dyDescent="0.2">
      <c r="A198" s="10" t="s">
        <v>105</v>
      </c>
      <c r="B198" s="10" t="s">
        <v>85</v>
      </c>
      <c r="C198" s="29" t="s">
        <v>106</v>
      </c>
      <c r="D198" s="29" t="s">
        <v>107</v>
      </c>
      <c r="E198" s="10" t="s">
        <v>26</v>
      </c>
      <c r="F198" s="10"/>
      <c r="G198" s="10" t="s">
        <v>24</v>
      </c>
      <c r="H198" s="10"/>
      <c r="I198" s="30" t="s">
        <v>1266</v>
      </c>
      <c r="J198" s="30" t="s">
        <v>1271</v>
      </c>
      <c r="K198" s="30" t="s">
        <v>1329</v>
      </c>
      <c r="L198" s="30" t="s">
        <v>1232</v>
      </c>
      <c r="M198" s="18" t="s">
        <v>26</v>
      </c>
      <c r="N198" s="18">
        <v>0</v>
      </c>
      <c r="O198" s="18">
        <v>0</v>
      </c>
      <c r="P198" s="18">
        <v>0</v>
      </c>
      <c r="Q198" s="18">
        <v>1</v>
      </c>
      <c r="R198" s="64">
        <v>6</v>
      </c>
      <c r="S198" s="64">
        <v>142</v>
      </c>
    </row>
    <row r="199" spans="1:19" hidden="1" x14ac:dyDescent="0.2">
      <c r="A199" s="32" t="s">
        <v>109</v>
      </c>
      <c r="B199" s="32" t="s">
        <v>85</v>
      </c>
      <c r="C199" s="33" t="s">
        <v>110</v>
      </c>
      <c r="D199" s="33" t="s">
        <v>111</v>
      </c>
      <c r="E199" s="32" t="s">
        <v>26</v>
      </c>
      <c r="F199" s="32"/>
      <c r="G199" s="32" t="s">
        <v>24</v>
      </c>
      <c r="H199" s="32"/>
      <c r="I199" s="30" t="s">
        <v>1266</v>
      </c>
      <c r="J199" s="30" t="s">
        <v>1271</v>
      </c>
      <c r="K199" s="30" t="s">
        <v>1329</v>
      </c>
      <c r="L199" s="30" t="s">
        <v>1232</v>
      </c>
      <c r="M199" s="15" t="s">
        <v>26</v>
      </c>
      <c r="N199" s="15">
        <v>0</v>
      </c>
      <c r="O199" s="15">
        <v>0</v>
      </c>
      <c r="P199" s="15">
        <v>0</v>
      </c>
      <c r="Q199" s="15">
        <v>1</v>
      </c>
      <c r="R199" s="64">
        <v>6</v>
      </c>
      <c r="S199" s="64">
        <v>142</v>
      </c>
    </row>
    <row r="200" spans="1:19" hidden="1" x14ac:dyDescent="0.2">
      <c r="A200" s="32" t="s">
        <v>100</v>
      </c>
      <c r="B200" s="32" t="s">
        <v>85</v>
      </c>
      <c r="C200" s="33" t="s">
        <v>101</v>
      </c>
      <c r="D200" s="33" t="s">
        <v>102</v>
      </c>
      <c r="E200" s="32" t="s">
        <v>23</v>
      </c>
      <c r="F200" s="32" t="s">
        <v>103</v>
      </c>
      <c r="G200" s="32" t="s">
        <v>24</v>
      </c>
      <c r="H200" s="32"/>
      <c r="I200" s="30" t="s">
        <v>1266</v>
      </c>
      <c r="J200" s="30" t="s">
        <v>1332</v>
      </c>
      <c r="K200" s="30" t="s">
        <v>1333</v>
      </c>
      <c r="L200" s="30" t="s">
        <v>1232</v>
      </c>
      <c r="M200" s="15" t="s">
        <v>23</v>
      </c>
      <c r="N200" s="15">
        <v>1</v>
      </c>
      <c r="O200" s="15">
        <v>1</v>
      </c>
      <c r="P200" s="15">
        <v>2</v>
      </c>
      <c r="Q200" s="15">
        <v>3</v>
      </c>
      <c r="R200" s="64">
        <v>6</v>
      </c>
      <c r="S200" s="64">
        <v>143</v>
      </c>
    </row>
    <row r="201" spans="1:19" hidden="1" x14ac:dyDescent="0.2">
      <c r="A201" s="32" t="s">
        <v>95</v>
      </c>
      <c r="B201" s="32" t="s">
        <v>85</v>
      </c>
      <c r="C201" s="33" t="s">
        <v>96</v>
      </c>
      <c r="D201" s="33" t="s">
        <v>97</v>
      </c>
      <c r="E201" s="32" t="s">
        <v>26</v>
      </c>
      <c r="F201" s="32"/>
      <c r="G201" s="32" t="s">
        <v>24</v>
      </c>
      <c r="H201" s="32" t="s">
        <v>98</v>
      </c>
      <c r="I201" s="30" t="s">
        <v>1266</v>
      </c>
      <c r="J201" s="30" t="s">
        <v>1330</v>
      </c>
      <c r="K201" s="30" t="s">
        <v>1326</v>
      </c>
      <c r="L201" s="30" t="s">
        <v>1232</v>
      </c>
      <c r="M201" s="15" t="s">
        <v>26</v>
      </c>
      <c r="N201" s="15">
        <v>0</v>
      </c>
      <c r="O201" s="15">
        <v>0</v>
      </c>
      <c r="P201" s="15">
        <v>0</v>
      </c>
      <c r="Q201" s="15">
        <v>1</v>
      </c>
      <c r="R201" s="64">
        <v>6</v>
      </c>
      <c r="S201" s="69">
        <v>144</v>
      </c>
    </row>
    <row r="202" spans="1:19" hidden="1" x14ac:dyDescent="0.2">
      <c r="A202" s="10" t="s">
        <v>697</v>
      </c>
      <c r="B202" s="10" t="s">
        <v>85</v>
      </c>
      <c r="C202" s="29" t="s">
        <v>698</v>
      </c>
      <c r="D202" s="29" t="s">
        <v>699</v>
      </c>
      <c r="E202" s="10" t="s">
        <v>26</v>
      </c>
      <c r="F202" s="10"/>
      <c r="G202" s="10" t="s">
        <v>24</v>
      </c>
      <c r="H202" s="10"/>
      <c r="I202" s="30" t="s">
        <v>1229</v>
      </c>
      <c r="J202" s="30" t="s">
        <v>1230</v>
      </c>
      <c r="K202" s="30" t="s">
        <v>1235</v>
      </c>
      <c r="L202" s="30" t="s">
        <v>1232</v>
      </c>
      <c r="M202" s="18" t="s">
        <v>26</v>
      </c>
      <c r="N202" s="18">
        <v>0</v>
      </c>
      <c r="O202" s="18">
        <v>0</v>
      </c>
      <c r="P202" s="18">
        <v>0</v>
      </c>
      <c r="Q202" s="18">
        <v>1</v>
      </c>
      <c r="R202" s="17">
        <v>7</v>
      </c>
      <c r="S202" s="17">
        <v>65</v>
      </c>
    </row>
    <row r="203" spans="1:19" hidden="1" x14ac:dyDescent="0.2">
      <c r="A203" s="32" t="s">
        <v>689</v>
      </c>
      <c r="B203" s="32" t="s">
        <v>85</v>
      </c>
      <c r="C203" s="33" t="s">
        <v>690</v>
      </c>
      <c r="D203" s="33" t="s">
        <v>691</v>
      </c>
      <c r="E203" s="32" t="s">
        <v>26</v>
      </c>
      <c r="F203" s="32"/>
      <c r="G203" s="32" t="s">
        <v>24</v>
      </c>
      <c r="H203" s="32"/>
      <c r="I203" s="30" t="s">
        <v>1229</v>
      </c>
      <c r="J203" s="30" t="s">
        <v>1230</v>
      </c>
      <c r="K203" s="30" t="s">
        <v>1235</v>
      </c>
      <c r="L203" s="30" t="s">
        <v>1232</v>
      </c>
      <c r="M203" s="15" t="s">
        <v>26</v>
      </c>
      <c r="N203" s="15">
        <v>0</v>
      </c>
      <c r="O203" s="15">
        <v>0</v>
      </c>
      <c r="P203" s="15">
        <v>0</v>
      </c>
      <c r="Q203" s="15">
        <v>1</v>
      </c>
      <c r="R203" s="17">
        <v>7</v>
      </c>
      <c r="S203" s="17">
        <v>66</v>
      </c>
    </row>
    <row r="204" spans="1:19" hidden="1" x14ac:dyDescent="0.2">
      <c r="A204" s="10" t="s">
        <v>693</v>
      </c>
      <c r="B204" s="10" t="s">
        <v>85</v>
      </c>
      <c r="C204" s="29" t="s">
        <v>694</v>
      </c>
      <c r="D204" s="29" t="s">
        <v>695</v>
      </c>
      <c r="E204" s="10" t="s">
        <v>26</v>
      </c>
      <c r="F204" s="10"/>
      <c r="G204" s="10" t="s">
        <v>24</v>
      </c>
      <c r="H204" s="10"/>
      <c r="I204" s="30" t="s">
        <v>1229</v>
      </c>
      <c r="J204" s="30" t="s">
        <v>1230</v>
      </c>
      <c r="K204" s="30" t="s">
        <v>1235</v>
      </c>
      <c r="L204" s="30" t="s">
        <v>1232</v>
      </c>
      <c r="M204" s="18" t="s">
        <v>26</v>
      </c>
      <c r="N204" s="18">
        <v>0</v>
      </c>
      <c r="O204" s="18">
        <v>0</v>
      </c>
      <c r="P204" s="18">
        <v>0</v>
      </c>
      <c r="Q204" s="18">
        <v>1</v>
      </c>
      <c r="R204" s="17">
        <v>7</v>
      </c>
      <c r="S204" s="17">
        <v>66</v>
      </c>
    </row>
    <row r="205" spans="1:19" hidden="1" x14ac:dyDescent="0.2">
      <c r="A205" s="32" t="s">
        <v>681</v>
      </c>
      <c r="B205" s="32" t="s">
        <v>85</v>
      </c>
      <c r="C205" s="33" t="s">
        <v>682</v>
      </c>
      <c r="D205" s="33" t="s">
        <v>683</v>
      </c>
      <c r="E205" s="32" t="s">
        <v>26</v>
      </c>
      <c r="F205" s="32"/>
      <c r="G205" s="32" t="s">
        <v>24</v>
      </c>
      <c r="H205" s="32"/>
      <c r="I205" s="30" t="s">
        <v>1229</v>
      </c>
      <c r="J205" s="30" t="s">
        <v>1230</v>
      </c>
      <c r="K205" s="30" t="s">
        <v>1235</v>
      </c>
      <c r="L205" s="30" t="s">
        <v>1232</v>
      </c>
      <c r="M205" s="15" t="s">
        <v>26</v>
      </c>
      <c r="N205" s="15">
        <v>0</v>
      </c>
      <c r="O205" s="15">
        <v>0</v>
      </c>
      <c r="P205" s="15">
        <v>0</v>
      </c>
      <c r="Q205" s="15">
        <v>1</v>
      </c>
      <c r="R205" s="17">
        <v>7</v>
      </c>
      <c r="S205" s="17">
        <v>67</v>
      </c>
    </row>
    <row r="206" spans="1:19" hidden="1" x14ac:dyDescent="0.2">
      <c r="A206" s="43" t="s">
        <v>685</v>
      </c>
      <c r="B206" s="10" t="s">
        <v>85</v>
      </c>
      <c r="C206" s="10" t="s">
        <v>686</v>
      </c>
      <c r="D206" s="29" t="s">
        <v>687</v>
      </c>
      <c r="E206" s="10" t="s">
        <v>26</v>
      </c>
      <c r="F206" s="10"/>
      <c r="G206" s="10" t="s">
        <v>24</v>
      </c>
      <c r="H206" s="10"/>
      <c r="I206" s="30" t="s">
        <v>1229</v>
      </c>
      <c r="J206" s="30" t="s">
        <v>1230</v>
      </c>
      <c r="K206" s="30" t="s">
        <v>1235</v>
      </c>
      <c r="L206" s="30" t="s">
        <v>1237</v>
      </c>
      <c r="M206" s="18" t="s">
        <v>26</v>
      </c>
      <c r="N206" s="18"/>
      <c r="O206" s="18"/>
      <c r="P206" s="18">
        <v>0</v>
      </c>
      <c r="Q206" s="18">
        <v>1</v>
      </c>
      <c r="R206" s="17">
        <v>7</v>
      </c>
      <c r="S206" s="17">
        <v>67</v>
      </c>
    </row>
    <row r="207" spans="1:19" hidden="1" x14ac:dyDescent="0.2">
      <c r="A207" s="32" t="s">
        <v>862</v>
      </c>
      <c r="B207" s="15" t="s">
        <v>85</v>
      </c>
      <c r="C207" s="33" t="s">
        <v>863</v>
      </c>
      <c r="D207" s="33" t="s">
        <v>864</v>
      </c>
      <c r="E207" s="32" t="s">
        <v>26</v>
      </c>
      <c r="F207" s="32"/>
      <c r="G207" s="32" t="s">
        <v>24</v>
      </c>
      <c r="H207" s="32"/>
      <c r="I207" s="30" t="s">
        <v>1229</v>
      </c>
      <c r="J207" s="30" t="s">
        <v>1230</v>
      </c>
      <c r="K207" s="30" t="s">
        <v>1241</v>
      </c>
      <c r="L207" s="30" t="s">
        <v>1232</v>
      </c>
      <c r="M207" s="15" t="s">
        <v>26</v>
      </c>
      <c r="N207" s="15">
        <v>0</v>
      </c>
      <c r="O207" s="15">
        <v>0</v>
      </c>
      <c r="P207" s="15">
        <v>0</v>
      </c>
      <c r="Q207" s="15">
        <v>1</v>
      </c>
      <c r="R207" s="65">
        <v>7</v>
      </c>
      <c r="S207" s="65">
        <v>44</v>
      </c>
    </row>
    <row r="208" spans="1:19" hidden="1" x14ac:dyDescent="0.2">
      <c r="A208" s="32" t="s">
        <v>741</v>
      </c>
      <c r="B208" s="32" t="s">
        <v>85</v>
      </c>
      <c r="C208" s="33" t="s">
        <v>742</v>
      </c>
      <c r="D208" s="33" t="s">
        <v>743</v>
      </c>
      <c r="E208" s="32" t="s">
        <v>26</v>
      </c>
      <c r="F208" s="32"/>
      <c r="G208" s="32" t="s">
        <v>24</v>
      </c>
      <c r="H208" s="32" t="s">
        <v>744</v>
      </c>
      <c r="I208" s="30" t="s">
        <v>1229</v>
      </c>
      <c r="J208" s="30" t="s">
        <v>1230</v>
      </c>
      <c r="K208" s="30" t="s">
        <v>1246</v>
      </c>
      <c r="L208" s="30" t="s">
        <v>1232</v>
      </c>
      <c r="M208" s="15" t="s">
        <v>26</v>
      </c>
      <c r="N208" s="15">
        <v>0</v>
      </c>
      <c r="O208" s="15">
        <v>0</v>
      </c>
      <c r="P208" s="15">
        <v>0</v>
      </c>
      <c r="Q208" s="15">
        <v>1</v>
      </c>
      <c r="R208" s="65">
        <v>7</v>
      </c>
      <c r="S208" s="65">
        <v>60</v>
      </c>
    </row>
    <row r="209" spans="1:19" hidden="1" x14ac:dyDescent="0.2">
      <c r="A209" s="10" t="s">
        <v>713</v>
      </c>
      <c r="B209" s="10" t="s">
        <v>85</v>
      </c>
      <c r="C209" s="29" t="s">
        <v>714</v>
      </c>
      <c r="D209" s="29" t="s">
        <v>715</v>
      </c>
      <c r="E209" s="10" t="s">
        <v>26</v>
      </c>
      <c r="F209" s="10"/>
      <c r="G209" s="10" t="s">
        <v>24</v>
      </c>
      <c r="H209" s="10"/>
      <c r="I209" s="30" t="s">
        <v>1229</v>
      </c>
      <c r="J209" s="30" t="s">
        <v>1230</v>
      </c>
      <c r="K209" s="30" t="s">
        <v>1246</v>
      </c>
      <c r="L209" s="30" t="s">
        <v>1232</v>
      </c>
      <c r="M209" s="18" t="s">
        <v>26</v>
      </c>
      <c r="N209" s="18">
        <v>0</v>
      </c>
      <c r="O209" s="18">
        <v>0</v>
      </c>
      <c r="P209" s="18">
        <v>0</v>
      </c>
      <c r="Q209" s="18">
        <v>1</v>
      </c>
      <c r="R209" s="65">
        <v>7</v>
      </c>
      <c r="S209" s="65">
        <v>63</v>
      </c>
    </row>
    <row r="210" spans="1:19" hidden="1" x14ac:dyDescent="0.2">
      <c r="A210" s="10" t="s">
        <v>717</v>
      </c>
      <c r="B210" s="10" t="s">
        <v>85</v>
      </c>
      <c r="C210" s="29" t="s">
        <v>718</v>
      </c>
      <c r="D210" s="29" t="s">
        <v>719</v>
      </c>
      <c r="E210" s="10" t="s">
        <v>26</v>
      </c>
      <c r="F210" s="10"/>
      <c r="G210" s="10" t="s">
        <v>24</v>
      </c>
      <c r="H210" s="10"/>
      <c r="I210" s="30" t="s">
        <v>1229</v>
      </c>
      <c r="J210" s="30" t="s">
        <v>1230</v>
      </c>
      <c r="K210" s="30" t="s">
        <v>1246</v>
      </c>
      <c r="L210" s="30" t="s">
        <v>1232</v>
      </c>
      <c r="M210" s="18" t="s">
        <v>26</v>
      </c>
      <c r="N210" s="18">
        <v>0</v>
      </c>
      <c r="O210" s="18">
        <v>0</v>
      </c>
      <c r="P210" s="18">
        <v>0</v>
      </c>
      <c r="Q210" s="18">
        <v>1</v>
      </c>
      <c r="R210" s="65">
        <v>7</v>
      </c>
      <c r="S210" s="65">
        <v>63</v>
      </c>
    </row>
    <row r="211" spans="1:19" hidden="1" x14ac:dyDescent="0.2">
      <c r="A211" s="32" t="s">
        <v>705</v>
      </c>
      <c r="B211" s="32" t="s">
        <v>85</v>
      </c>
      <c r="C211" s="33" t="s">
        <v>706</v>
      </c>
      <c r="D211" s="33" t="s">
        <v>707</v>
      </c>
      <c r="E211" s="32" t="s">
        <v>26</v>
      </c>
      <c r="F211" s="32"/>
      <c r="G211" s="32" t="s">
        <v>24</v>
      </c>
      <c r="H211" s="32"/>
      <c r="I211" s="30" t="s">
        <v>1229</v>
      </c>
      <c r="J211" s="30" t="s">
        <v>1230</v>
      </c>
      <c r="K211" s="30" t="s">
        <v>1246</v>
      </c>
      <c r="L211" s="30" t="s">
        <v>1232</v>
      </c>
      <c r="M211" s="15" t="s">
        <v>26</v>
      </c>
      <c r="N211" s="15">
        <v>0</v>
      </c>
      <c r="O211" s="15">
        <v>0</v>
      </c>
      <c r="P211" s="15">
        <v>0</v>
      </c>
      <c r="Q211" s="15">
        <v>1</v>
      </c>
      <c r="R211" s="65">
        <v>7</v>
      </c>
      <c r="S211" s="65">
        <v>64</v>
      </c>
    </row>
    <row r="212" spans="1:19" hidden="1" x14ac:dyDescent="0.2">
      <c r="A212" s="32" t="s">
        <v>709</v>
      </c>
      <c r="B212" s="32" t="s">
        <v>85</v>
      </c>
      <c r="C212" s="33" t="s">
        <v>710</v>
      </c>
      <c r="D212" s="33" t="s">
        <v>711</v>
      </c>
      <c r="E212" s="32" t="s">
        <v>26</v>
      </c>
      <c r="F212" s="32"/>
      <c r="G212" s="32" t="s">
        <v>24</v>
      </c>
      <c r="H212" s="32"/>
      <c r="I212" s="30" t="s">
        <v>1229</v>
      </c>
      <c r="J212" s="30" t="s">
        <v>1230</v>
      </c>
      <c r="K212" s="30" t="s">
        <v>1246</v>
      </c>
      <c r="L212" s="30" t="s">
        <v>1232</v>
      </c>
      <c r="M212" s="15" t="s">
        <v>26</v>
      </c>
      <c r="N212" s="15">
        <v>0</v>
      </c>
      <c r="O212" s="15">
        <v>0</v>
      </c>
      <c r="P212" s="15">
        <v>0</v>
      </c>
      <c r="Q212" s="15">
        <v>1</v>
      </c>
      <c r="R212" s="65">
        <v>7</v>
      </c>
      <c r="S212" s="65">
        <v>64</v>
      </c>
    </row>
    <row r="213" spans="1:19" hidden="1" x14ac:dyDescent="0.2">
      <c r="A213" s="10" t="s">
        <v>701</v>
      </c>
      <c r="B213" s="10" t="s">
        <v>85</v>
      </c>
      <c r="C213" s="29" t="s">
        <v>702</v>
      </c>
      <c r="D213" s="29" t="s">
        <v>703</v>
      </c>
      <c r="E213" s="10" t="s">
        <v>26</v>
      </c>
      <c r="F213" s="10"/>
      <c r="G213" s="10" t="s">
        <v>24</v>
      </c>
      <c r="H213" s="10"/>
      <c r="I213" s="30" t="s">
        <v>1229</v>
      </c>
      <c r="J213" s="30" t="s">
        <v>1230</v>
      </c>
      <c r="K213" s="30" t="s">
        <v>1246</v>
      </c>
      <c r="L213" s="30" t="s">
        <v>1232</v>
      </c>
      <c r="M213" s="18" t="s">
        <v>26</v>
      </c>
      <c r="N213" s="18">
        <v>0</v>
      </c>
      <c r="O213" s="18">
        <v>0</v>
      </c>
      <c r="P213" s="18">
        <v>0</v>
      </c>
      <c r="Q213" s="18">
        <v>1</v>
      </c>
      <c r="R213" s="65">
        <v>7</v>
      </c>
      <c r="S213" s="65">
        <v>65</v>
      </c>
    </row>
    <row r="214" spans="1:19" hidden="1" x14ac:dyDescent="0.2">
      <c r="A214" s="38" t="s">
        <v>677</v>
      </c>
      <c r="B214" s="32" t="s">
        <v>85</v>
      </c>
      <c r="C214" s="33" t="s">
        <v>678</v>
      </c>
      <c r="D214" s="33" t="s">
        <v>679</v>
      </c>
      <c r="E214" s="32" t="s">
        <v>26</v>
      </c>
      <c r="F214" s="38"/>
      <c r="G214" s="38" t="s">
        <v>24</v>
      </c>
      <c r="H214" s="38"/>
      <c r="I214" s="35" t="s">
        <v>1229</v>
      </c>
      <c r="J214" s="35" t="s">
        <v>1247</v>
      </c>
      <c r="K214" s="35" t="s">
        <v>1248</v>
      </c>
      <c r="L214" s="30" t="s">
        <v>1232</v>
      </c>
      <c r="M214" s="15" t="s">
        <v>26</v>
      </c>
      <c r="N214" s="15">
        <v>0</v>
      </c>
      <c r="O214" s="15">
        <v>0</v>
      </c>
      <c r="P214" s="15">
        <v>0</v>
      </c>
      <c r="Q214" s="40">
        <v>1</v>
      </c>
      <c r="R214" s="66">
        <v>7</v>
      </c>
      <c r="S214" s="66">
        <v>68</v>
      </c>
    </row>
    <row r="215" spans="1:19" hidden="1" x14ac:dyDescent="0.2">
      <c r="A215" s="32" t="s">
        <v>669</v>
      </c>
      <c r="B215" s="15" t="s">
        <v>85</v>
      </c>
      <c r="C215" s="33" t="s">
        <v>670</v>
      </c>
      <c r="D215" s="33" t="s">
        <v>671</v>
      </c>
      <c r="E215" s="32" t="s">
        <v>26</v>
      </c>
      <c r="F215" s="32"/>
      <c r="G215" s="32" t="s">
        <v>24</v>
      </c>
      <c r="H215" s="32"/>
      <c r="I215" s="30" t="s">
        <v>1229</v>
      </c>
      <c r="J215" s="30" t="s">
        <v>1230</v>
      </c>
      <c r="K215" s="30" t="s">
        <v>1241</v>
      </c>
      <c r="L215" s="30" t="s">
        <v>1232</v>
      </c>
      <c r="M215" s="15" t="s">
        <v>26</v>
      </c>
      <c r="N215" s="15">
        <v>0</v>
      </c>
      <c r="O215" s="15">
        <v>0</v>
      </c>
      <c r="P215" s="15">
        <v>0</v>
      </c>
      <c r="Q215" s="15">
        <v>1</v>
      </c>
      <c r="R215" s="65">
        <v>7</v>
      </c>
      <c r="S215" s="65">
        <v>69</v>
      </c>
    </row>
    <row r="216" spans="1:19" hidden="1" x14ac:dyDescent="0.2">
      <c r="A216" s="32" t="s">
        <v>725</v>
      </c>
      <c r="B216" s="15" t="s">
        <v>85</v>
      </c>
      <c r="C216" s="33" t="s">
        <v>726</v>
      </c>
      <c r="D216" s="33" t="s">
        <v>727</v>
      </c>
      <c r="E216" s="32" t="s">
        <v>26</v>
      </c>
      <c r="F216" s="32"/>
      <c r="G216" s="32" t="s">
        <v>24</v>
      </c>
      <c r="H216" s="32"/>
      <c r="I216" s="30" t="s">
        <v>1229</v>
      </c>
      <c r="J216" s="30" t="s">
        <v>1230</v>
      </c>
      <c r="K216" s="30" t="s">
        <v>1241</v>
      </c>
      <c r="L216" s="30" t="s">
        <v>1232</v>
      </c>
      <c r="M216" s="15" t="s">
        <v>26</v>
      </c>
      <c r="N216" s="15">
        <v>0</v>
      </c>
      <c r="O216" s="15">
        <v>0</v>
      </c>
      <c r="P216" s="15">
        <v>0</v>
      </c>
      <c r="Q216" s="15">
        <v>1</v>
      </c>
      <c r="R216" s="65">
        <v>7</v>
      </c>
      <c r="S216" s="65">
        <v>62</v>
      </c>
    </row>
    <row r="217" spans="1:19" hidden="1" x14ac:dyDescent="0.2">
      <c r="A217" s="10" t="s">
        <v>609</v>
      </c>
      <c r="B217" s="18" t="s">
        <v>85</v>
      </c>
      <c r="C217" s="29" t="s">
        <v>610</v>
      </c>
      <c r="D217" s="29" t="s">
        <v>611</v>
      </c>
      <c r="E217" s="10" t="s">
        <v>26</v>
      </c>
      <c r="F217" s="10"/>
      <c r="G217" s="10" t="s">
        <v>24</v>
      </c>
      <c r="H217" s="10"/>
      <c r="I217" s="30" t="s">
        <v>1229</v>
      </c>
      <c r="J217" s="30" t="s">
        <v>1230</v>
      </c>
      <c r="K217" s="30" t="s">
        <v>1241</v>
      </c>
      <c r="L217" s="30" t="s">
        <v>1232</v>
      </c>
      <c r="M217" s="18" t="s">
        <v>26</v>
      </c>
      <c r="N217" s="18">
        <v>0</v>
      </c>
      <c r="O217" s="18">
        <v>0</v>
      </c>
      <c r="P217" s="18">
        <v>0</v>
      </c>
      <c r="Q217" s="18">
        <v>1</v>
      </c>
      <c r="R217" s="65">
        <v>7</v>
      </c>
      <c r="S217" s="65">
        <v>79</v>
      </c>
    </row>
    <row r="218" spans="1:19" hidden="1" x14ac:dyDescent="0.2">
      <c r="A218" s="10" t="s">
        <v>613</v>
      </c>
      <c r="B218" s="18" t="s">
        <v>85</v>
      </c>
      <c r="C218" s="29" t="s">
        <v>614</v>
      </c>
      <c r="D218" s="29" t="s">
        <v>615</v>
      </c>
      <c r="E218" s="10" t="s">
        <v>26</v>
      </c>
      <c r="F218" s="10"/>
      <c r="G218" s="10" t="s">
        <v>24</v>
      </c>
      <c r="H218" s="10"/>
      <c r="I218" s="30" t="s">
        <v>1229</v>
      </c>
      <c r="J218" s="30" t="s">
        <v>1230</v>
      </c>
      <c r="K218" s="30" t="s">
        <v>1241</v>
      </c>
      <c r="L218" s="30" t="s">
        <v>1232</v>
      </c>
      <c r="M218" s="18" t="s">
        <v>26</v>
      </c>
      <c r="N218" s="18">
        <v>0</v>
      </c>
      <c r="O218" s="18">
        <v>0</v>
      </c>
      <c r="P218" s="18">
        <v>0</v>
      </c>
      <c r="Q218" s="18">
        <v>1</v>
      </c>
      <c r="R218" s="65">
        <v>7</v>
      </c>
      <c r="S218" s="65">
        <v>79</v>
      </c>
    </row>
    <row r="219" spans="1:19" hidden="1" x14ac:dyDescent="0.2">
      <c r="A219" s="15" t="s">
        <v>601</v>
      </c>
      <c r="B219" s="15" t="s">
        <v>85</v>
      </c>
      <c r="C219" s="44" t="s">
        <v>602</v>
      </c>
      <c r="D219" s="44" t="s">
        <v>603</v>
      </c>
      <c r="E219" s="15" t="s">
        <v>26</v>
      </c>
      <c r="F219" s="15"/>
      <c r="G219" s="15" t="s">
        <v>24</v>
      </c>
      <c r="H219" s="15"/>
      <c r="I219" s="30" t="s">
        <v>1249</v>
      </c>
      <c r="J219" s="30" t="s">
        <v>1250</v>
      </c>
      <c r="K219" s="30" t="s">
        <v>1251</v>
      </c>
      <c r="L219" s="30" t="s">
        <v>1232</v>
      </c>
      <c r="M219" s="15" t="s">
        <v>26</v>
      </c>
      <c r="N219" s="15">
        <v>0</v>
      </c>
      <c r="O219" s="15">
        <v>0</v>
      </c>
      <c r="P219" s="15">
        <v>0</v>
      </c>
      <c r="Q219" s="15">
        <v>1</v>
      </c>
      <c r="R219" s="65">
        <v>7</v>
      </c>
      <c r="S219" s="65">
        <v>80</v>
      </c>
    </row>
    <row r="220" spans="1:19" hidden="1" x14ac:dyDescent="0.2">
      <c r="A220" s="32" t="s">
        <v>605</v>
      </c>
      <c r="B220" s="32" t="s">
        <v>85</v>
      </c>
      <c r="C220" s="33" t="s">
        <v>606</v>
      </c>
      <c r="D220" s="33" t="s">
        <v>607</v>
      </c>
      <c r="E220" s="32" t="s">
        <v>26</v>
      </c>
      <c r="F220" s="32"/>
      <c r="G220" s="32" t="s">
        <v>24</v>
      </c>
      <c r="H220" s="32"/>
      <c r="I220" s="30" t="s">
        <v>1249</v>
      </c>
      <c r="J220" s="30" t="s">
        <v>1250</v>
      </c>
      <c r="K220" s="30" t="s">
        <v>1251</v>
      </c>
      <c r="L220" s="30" t="s">
        <v>1232</v>
      </c>
      <c r="M220" s="15" t="s">
        <v>26</v>
      </c>
      <c r="N220" s="15">
        <v>0</v>
      </c>
      <c r="O220" s="15">
        <v>0</v>
      </c>
      <c r="P220" s="15">
        <v>0</v>
      </c>
      <c r="Q220" s="15">
        <v>1</v>
      </c>
      <c r="R220" s="65">
        <v>7</v>
      </c>
      <c r="S220" s="65">
        <v>80</v>
      </c>
    </row>
    <row r="221" spans="1:19" hidden="1" x14ac:dyDescent="0.2">
      <c r="A221" s="10" t="s">
        <v>592</v>
      </c>
      <c r="B221" s="10" t="s">
        <v>85</v>
      </c>
      <c r="C221" s="29" t="s">
        <v>593</v>
      </c>
      <c r="D221" s="29" t="s">
        <v>594</v>
      </c>
      <c r="E221" s="10" t="s">
        <v>26</v>
      </c>
      <c r="F221" s="10"/>
      <c r="G221" s="10" t="s">
        <v>24</v>
      </c>
      <c r="H221" s="10"/>
      <c r="I221" s="30" t="s">
        <v>1249</v>
      </c>
      <c r="J221" s="30" t="s">
        <v>1250</v>
      </c>
      <c r="K221" s="30" t="s">
        <v>1251</v>
      </c>
      <c r="L221" s="30" t="s">
        <v>1232</v>
      </c>
      <c r="M221" s="18" t="s">
        <v>26</v>
      </c>
      <c r="N221" s="18">
        <v>0</v>
      </c>
      <c r="O221" s="18">
        <v>0</v>
      </c>
      <c r="P221" s="18">
        <v>0</v>
      </c>
      <c r="Q221" s="18">
        <v>1</v>
      </c>
      <c r="R221" s="65">
        <v>7</v>
      </c>
      <c r="S221" s="65">
        <v>81</v>
      </c>
    </row>
    <row r="222" spans="1:19" hidden="1" x14ac:dyDescent="0.2">
      <c r="A222" s="32" t="s">
        <v>596</v>
      </c>
      <c r="B222" s="32" t="s">
        <v>85</v>
      </c>
      <c r="C222" s="33" t="s">
        <v>597</v>
      </c>
      <c r="D222" s="33" t="s">
        <v>598</v>
      </c>
      <c r="E222" s="32" t="s">
        <v>26</v>
      </c>
      <c r="F222" s="32"/>
      <c r="G222" s="32" t="s">
        <v>24</v>
      </c>
      <c r="H222" s="32" t="s">
        <v>599</v>
      </c>
      <c r="I222" s="30" t="s">
        <v>1249</v>
      </c>
      <c r="J222" s="30" t="s">
        <v>1252</v>
      </c>
      <c r="K222" s="30" t="s">
        <v>1253</v>
      </c>
      <c r="L222" s="30" t="s">
        <v>1232</v>
      </c>
      <c r="M222" s="15" t="s">
        <v>26</v>
      </c>
      <c r="N222" s="15">
        <v>0</v>
      </c>
      <c r="O222" s="15">
        <v>0</v>
      </c>
      <c r="P222" s="15">
        <v>0</v>
      </c>
      <c r="Q222" s="15">
        <v>1</v>
      </c>
      <c r="R222" s="65">
        <v>7</v>
      </c>
      <c r="S222" s="65">
        <v>81</v>
      </c>
    </row>
    <row r="223" spans="1:19" hidden="1" x14ac:dyDescent="0.2">
      <c r="A223" s="10" t="s">
        <v>583</v>
      </c>
      <c r="B223" s="10" t="s">
        <v>85</v>
      </c>
      <c r="C223" s="29" t="s">
        <v>584</v>
      </c>
      <c r="D223" s="29" t="s">
        <v>585</v>
      </c>
      <c r="E223" s="10" t="s">
        <v>26</v>
      </c>
      <c r="F223" s="10"/>
      <c r="G223" s="10" t="s">
        <v>24</v>
      </c>
      <c r="H223" s="10" t="s">
        <v>586</v>
      </c>
      <c r="I223" s="30" t="s">
        <v>1249</v>
      </c>
      <c r="J223" s="30" t="s">
        <v>1254</v>
      </c>
      <c r="K223" s="30" t="s">
        <v>1255</v>
      </c>
      <c r="L223" s="30" t="s">
        <v>1232</v>
      </c>
      <c r="M223" s="18" t="s">
        <v>26</v>
      </c>
      <c r="N223" s="18">
        <v>0</v>
      </c>
      <c r="O223" s="18">
        <v>0</v>
      </c>
      <c r="P223" s="18">
        <v>0</v>
      </c>
      <c r="Q223" s="18">
        <v>1</v>
      </c>
      <c r="R223" s="65">
        <v>7</v>
      </c>
      <c r="S223" s="65">
        <v>82</v>
      </c>
    </row>
    <row r="224" spans="1:19" hidden="1" x14ac:dyDescent="0.2">
      <c r="A224" s="15" t="s">
        <v>588</v>
      </c>
      <c r="B224" s="15" t="s">
        <v>85</v>
      </c>
      <c r="C224" s="44" t="s">
        <v>589</v>
      </c>
      <c r="D224" s="44" t="s">
        <v>590</v>
      </c>
      <c r="E224" s="15" t="s">
        <v>26</v>
      </c>
      <c r="F224" s="15"/>
      <c r="G224" s="15" t="s">
        <v>24</v>
      </c>
      <c r="H224" s="15"/>
      <c r="I224" s="30" t="s">
        <v>1249</v>
      </c>
      <c r="J224" s="30" t="s">
        <v>1252</v>
      </c>
      <c r="K224" s="30" t="s">
        <v>1256</v>
      </c>
      <c r="L224" s="30" t="s">
        <v>1232</v>
      </c>
      <c r="M224" s="15" t="s">
        <v>26</v>
      </c>
      <c r="N224" s="15">
        <v>0</v>
      </c>
      <c r="O224" s="15">
        <v>0</v>
      </c>
      <c r="P224" s="15">
        <v>0</v>
      </c>
      <c r="Q224" s="15">
        <v>1</v>
      </c>
      <c r="R224" s="65">
        <v>7</v>
      </c>
      <c r="S224" s="65">
        <v>82</v>
      </c>
    </row>
    <row r="225" spans="1:19" hidden="1" x14ac:dyDescent="0.2">
      <c r="A225" s="18" t="s">
        <v>574</v>
      </c>
      <c r="B225" s="18" t="s">
        <v>85</v>
      </c>
      <c r="C225" s="41" t="s">
        <v>575</v>
      </c>
      <c r="D225" s="41" t="s">
        <v>576</v>
      </c>
      <c r="E225" s="18" t="s">
        <v>26</v>
      </c>
      <c r="F225" s="18"/>
      <c r="G225" s="18" t="s">
        <v>24</v>
      </c>
      <c r="H225" s="18"/>
      <c r="I225" s="30" t="s">
        <v>1249</v>
      </c>
      <c r="J225" s="30" t="s">
        <v>1250</v>
      </c>
      <c r="K225" s="30" t="s">
        <v>1251</v>
      </c>
      <c r="L225" s="30" t="s">
        <v>1232</v>
      </c>
      <c r="M225" s="18" t="s">
        <v>26</v>
      </c>
      <c r="N225" s="18">
        <v>0</v>
      </c>
      <c r="O225" s="18">
        <v>0</v>
      </c>
      <c r="P225" s="18">
        <v>0</v>
      </c>
      <c r="Q225" s="18">
        <v>1</v>
      </c>
      <c r="R225" s="65">
        <v>7</v>
      </c>
      <c r="S225" s="65">
        <v>83</v>
      </c>
    </row>
    <row r="226" spans="1:19" hidden="1" x14ac:dyDescent="0.2">
      <c r="A226" s="10" t="s">
        <v>578</v>
      </c>
      <c r="B226" s="10" t="s">
        <v>85</v>
      </c>
      <c r="C226" s="29" t="s">
        <v>579</v>
      </c>
      <c r="D226" s="29" t="s">
        <v>580</v>
      </c>
      <c r="E226" s="10" t="s">
        <v>26</v>
      </c>
      <c r="F226" s="10"/>
      <c r="G226" s="10" t="s">
        <v>24</v>
      </c>
      <c r="H226" s="10" t="s">
        <v>581</v>
      </c>
      <c r="I226" s="30" t="s">
        <v>1249</v>
      </c>
      <c r="J226" s="30" t="s">
        <v>1252</v>
      </c>
      <c r="K226" s="30" t="s">
        <v>1256</v>
      </c>
      <c r="L226" s="30" t="s">
        <v>1232</v>
      </c>
      <c r="M226" s="18" t="s">
        <v>26</v>
      </c>
      <c r="N226" s="18">
        <v>0</v>
      </c>
      <c r="O226" s="18">
        <v>0</v>
      </c>
      <c r="P226" s="18">
        <v>0</v>
      </c>
      <c r="Q226" s="18">
        <v>1</v>
      </c>
      <c r="R226" s="65">
        <v>7</v>
      </c>
      <c r="S226" s="65">
        <v>83</v>
      </c>
    </row>
    <row r="227" spans="1:19" hidden="1" x14ac:dyDescent="0.2">
      <c r="A227" s="10" t="s">
        <v>565</v>
      </c>
      <c r="B227" s="10" t="s">
        <v>85</v>
      </c>
      <c r="C227" s="29" t="s">
        <v>566</v>
      </c>
      <c r="D227" s="29" t="s">
        <v>567</v>
      </c>
      <c r="E227" s="10" t="s">
        <v>26</v>
      </c>
      <c r="F227" s="10"/>
      <c r="G227" s="10" t="s">
        <v>24</v>
      </c>
      <c r="H227" s="10"/>
      <c r="I227" s="30" t="s">
        <v>1249</v>
      </c>
      <c r="J227" s="30" t="s">
        <v>1257</v>
      </c>
      <c r="K227" s="30" t="s">
        <v>1258</v>
      </c>
      <c r="L227" s="30" t="s">
        <v>1232</v>
      </c>
      <c r="M227" s="18" t="s">
        <v>26</v>
      </c>
      <c r="N227" s="18">
        <v>0</v>
      </c>
      <c r="O227" s="18">
        <v>0</v>
      </c>
      <c r="P227" s="18">
        <v>0</v>
      </c>
      <c r="Q227" s="18">
        <v>1</v>
      </c>
      <c r="R227" s="65">
        <v>7</v>
      </c>
      <c r="S227" s="65">
        <v>84</v>
      </c>
    </row>
    <row r="228" spans="1:19" hidden="1" x14ac:dyDescent="0.2">
      <c r="A228" s="32" t="s">
        <v>569</v>
      </c>
      <c r="B228" s="32" t="s">
        <v>85</v>
      </c>
      <c r="C228" s="33" t="s">
        <v>570</v>
      </c>
      <c r="D228" s="33" t="s">
        <v>571</v>
      </c>
      <c r="E228" s="32" t="s">
        <v>26</v>
      </c>
      <c r="F228" s="32"/>
      <c r="G228" s="32" t="s">
        <v>24</v>
      </c>
      <c r="H228" s="32" t="s">
        <v>572</v>
      </c>
      <c r="I228" s="30" t="s">
        <v>1249</v>
      </c>
      <c r="J228" s="30" t="s">
        <v>1252</v>
      </c>
      <c r="K228" s="30" t="s">
        <v>1259</v>
      </c>
      <c r="L228" s="30" t="s">
        <v>1232</v>
      </c>
      <c r="M228" s="15" t="s">
        <v>26</v>
      </c>
      <c r="N228" s="15">
        <v>0</v>
      </c>
      <c r="O228" s="15">
        <v>0</v>
      </c>
      <c r="P228" s="15">
        <v>0</v>
      </c>
      <c r="Q228" s="15">
        <v>1</v>
      </c>
      <c r="R228" s="65">
        <v>7</v>
      </c>
      <c r="S228" s="65">
        <v>84</v>
      </c>
    </row>
    <row r="229" spans="1:19" hidden="1" x14ac:dyDescent="0.2">
      <c r="A229" s="38" t="s">
        <v>536</v>
      </c>
      <c r="B229" s="32" t="s">
        <v>85</v>
      </c>
      <c r="C229" s="33" t="s">
        <v>537</v>
      </c>
      <c r="D229" s="33" t="s">
        <v>538</v>
      </c>
      <c r="E229" s="32" t="s">
        <v>26</v>
      </c>
      <c r="F229" s="38"/>
      <c r="G229" s="38" t="s">
        <v>24</v>
      </c>
      <c r="H229" s="38"/>
      <c r="I229" s="35" t="s">
        <v>1229</v>
      </c>
      <c r="J229" s="35" t="s">
        <v>1247</v>
      </c>
      <c r="K229" s="35" t="s">
        <v>1243</v>
      </c>
      <c r="L229" s="30" t="s">
        <v>1232</v>
      </c>
      <c r="M229" s="15" t="s">
        <v>26</v>
      </c>
      <c r="N229" s="15">
        <v>0</v>
      </c>
      <c r="O229" s="15">
        <v>0</v>
      </c>
      <c r="P229" s="15">
        <v>0</v>
      </c>
      <c r="Q229" s="40">
        <v>1</v>
      </c>
      <c r="R229" s="66">
        <v>7</v>
      </c>
      <c r="S229" s="66">
        <v>88</v>
      </c>
    </row>
    <row r="230" spans="1:19" hidden="1" x14ac:dyDescent="0.2">
      <c r="A230" s="32" t="s">
        <v>528</v>
      </c>
      <c r="B230" s="32" t="s">
        <v>85</v>
      </c>
      <c r="C230" s="33" t="s">
        <v>529</v>
      </c>
      <c r="D230" s="33" t="s">
        <v>530</v>
      </c>
      <c r="E230" s="32" t="s">
        <v>26</v>
      </c>
      <c r="F230" s="32"/>
      <c r="G230" s="32" t="s">
        <v>24</v>
      </c>
      <c r="H230" s="32"/>
      <c r="I230" s="30" t="s">
        <v>1229</v>
      </c>
      <c r="J230" s="30" t="s">
        <v>1263</v>
      </c>
      <c r="K230" s="30" t="s">
        <v>1264</v>
      </c>
      <c r="L230" s="30" t="s">
        <v>1232</v>
      </c>
      <c r="M230" s="15" t="s">
        <v>26</v>
      </c>
      <c r="N230" s="15">
        <v>0</v>
      </c>
      <c r="O230" s="15">
        <v>0</v>
      </c>
      <c r="P230" s="15">
        <v>0</v>
      </c>
      <c r="Q230" s="15">
        <v>1</v>
      </c>
      <c r="R230" s="67">
        <v>8</v>
      </c>
      <c r="S230" s="67">
        <v>89</v>
      </c>
    </row>
    <row r="231" spans="1:19" hidden="1" x14ac:dyDescent="0.2">
      <c r="A231" s="34" t="s">
        <v>520</v>
      </c>
      <c r="B231" s="10" t="s">
        <v>85</v>
      </c>
      <c r="C231" s="29" t="s">
        <v>521</v>
      </c>
      <c r="D231" s="29" t="s">
        <v>522</v>
      </c>
      <c r="E231" s="10" t="s">
        <v>26</v>
      </c>
      <c r="F231" s="34"/>
      <c r="G231" s="34" t="s">
        <v>24</v>
      </c>
      <c r="H231" s="34"/>
      <c r="I231" s="35" t="s">
        <v>1229</v>
      </c>
      <c r="J231" s="35" t="s">
        <v>1262</v>
      </c>
      <c r="K231" s="35" t="s">
        <v>1265</v>
      </c>
      <c r="L231" s="30" t="s">
        <v>1232</v>
      </c>
      <c r="M231" s="18" t="s">
        <v>26</v>
      </c>
      <c r="N231" s="18">
        <v>0</v>
      </c>
      <c r="O231" s="18">
        <v>0</v>
      </c>
      <c r="P231" s="18">
        <v>0</v>
      </c>
      <c r="Q231" s="36">
        <v>1</v>
      </c>
      <c r="R231" s="68">
        <v>8</v>
      </c>
      <c r="S231" s="68">
        <v>90</v>
      </c>
    </row>
    <row r="232" spans="1:19" hidden="1" x14ac:dyDescent="0.2">
      <c r="A232" s="38" t="s">
        <v>368</v>
      </c>
      <c r="B232" s="32" t="s">
        <v>85</v>
      </c>
      <c r="C232" s="32" t="s">
        <v>369</v>
      </c>
      <c r="D232" s="33" t="s">
        <v>370</v>
      </c>
      <c r="E232" s="32" t="s">
        <v>26</v>
      </c>
      <c r="F232" s="38"/>
      <c r="G232" s="38" t="s">
        <v>24</v>
      </c>
      <c r="H232" s="38"/>
      <c r="I232" s="35" t="s">
        <v>1229</v>
      </c>
      <c r="J232" s="35" t="s">
        <v>1296</v>
      </c>
      <c r="K232" s="35" t="s">
        <v>1297</v>
      </c>
      <c r="L232" s="30" t="s">
        <v>1232</v>
      </c>
      <c r="M232" s="15" t="s">
        <v>26</v>
      </c>
      <c r="N232" s="15">
        <v>0</v>
      </c>
      <c r="O232" s="15">
        <v>0</v>
      </c>
      <c r="P232" s="15">
        <v>0</v>
      </c>
      <c r="Q232" s="40">
        <v>1</v>
      </c>
      <c r="R232" s="68">
        <v>8</v>
      </c>
      <c r="S232" s="68">
        <v>110</v>
      </c>
    </row>
    <row r="233" spans="1:19" hidden="1" x14ac:dyDescent="0.2">
      <c r="A233" s="10" t="s">
        <v>355</v>
      </c>
      <c r="B233" s="10" t="s">
        <v>85</v>
      </c>
      <c r="C233" s="29" t="s">
        <v>356</v>
      </c>
      <c r="D233" s="29" t="s">
        <v>357</v>
      </c>
      <c r="E233" s="10" t="s">
        <v>26</v>
      </c>
      <c r="F233" s="10"/>
      <c r="G233" s="10" t="s">
        <v>24</v>
      </c>
      <c r="H233" s="10"/>
      <c r="I233" s="30" t="s">
        <v>1266</v>
      </c>
      <c r="J233" s="30" t="s">
        <v>1298</v>
      </c>
      <c r="K233" s="30" t="s">
        <v>1299</v>
      </c>
      <c r="L233" s="30" t="s">
        <v>1232</v>
      </c>
      <c r="M233" s="18" t="s">
        <v>26</v>
      </c>
      <c r="N233" s="18">
        <v>0</v>
      </c>
      <c r="O233" s="18">
        <v>0</v>
      </c>
      <c r="P233" s="18">
        <v>0</v>
      </c>
      <c r="Q233" s="18">
        <v>1</v>
      </c>
      <c r="R233" s="67">
        <v>8</v>
      </c>
      <c r="S233" s="67">
        <v>111</v>
      </c>
    </row>
    <row r="234" spans="1:19" hidden="1" x14ac:dyDescent="0.2">
      <c r="A234" s="32" t="s">
        <v>359</v>
      </c>
      <c r="B234" s="32" t="s">
        <v>85</v>
      </c>
      <c r="C234" s="33" t="s">
        <v>360</v>
      </c>
      <c r="D234" s="33" t="s">
        <v>361</v>
      </c>
      <c r="E234" s="32" t="s">
        <v>26</v>
      </c>
      <c r="F234" s="32"/>
      <c r="G234" s="32" t="s">
        <v>24</v>
      </c>
      <c r="H234" s="32" t="s">
        <v>362</v>
      </c>
      <c r="I234" s="30" t="s">
        <v>1229</v>
      </c>
      <c r="J234" s="30" t="s">
        <v>1263</v>
      </c>
      <c r="K234" s="30" t="s">
        <v>1300</v>
      </c>
      <c r="L234" s="30" t="s">
        <v>1232</v>
      </c>
      <c r="M234" s="15" t="s">
        <v>26</v>
      </c>
      <c r="N234" s="15">
        <v>0</v>
      </c>
      <c r="O234" s="15">
        <v>0</v>
      </c>
      <c r="P234" s="15">
        <v>0</v>
      </c>
      <c r="Q234" s="15">
        <v>1</v>
      </c>
      <c r="R234" s="67">
        <v>8</v>
      </c>
      <c r="S234" s="67">
        <v>111</v>
      </c>
    </row>
    <row r="235" spans="1:19" hidden="1" x14ac:dyDescent="0.2">
      <c r="A235" s="15" t="s">
        <v>347</v>
      </c>
      <c r="B235" s="15" t="s">
        <v>85</v>
      </c>
      <c r="C235" s="44" t="s">
        <v>348</v>
      </c>
      <c r="D235" s="44" t="s">
        <v>349</v>
      </c>
      <c r="E235" s="15" t="s">
        <v>26</v>
      </c>
      <c r="F235" s="15"/>
      <c r="G235" s="15" t="s">
        <v>24</v>
      </c>
      <c r="H235" s="15"/>
      <c r="I235" s="30" t="s">
        <v>1266</v>
      </c>
      <c r="J235" s="30" t="s">
        <v>1298</v>
      </c>
      <c r="K235" s="30" t="s">
        <v>1272</v>
      </c>
      <c r="L235" s="30" t="s">
        <v>1232</v>
      </c>
      <c r="M235" s="15" t="s">
        <v>26</v>
      </c>
      <c r="N235" s="15">
        <v>0</v>
      </c>
      <c r="O235" s="15">
        <v>0</v>
      </c>
      <c r="P235" s="15">
        <v>0</v>
      </c>
      <c r="Q235" s="15">
        <v>1</v>
      </c>
      <c r="R235" s="67">
        <v>8</v>
      </c>
      <c r="S235" s="67">
        <v>112</v>
      </c>
    </row>
    <row r="236" spans="1:19" hidden="1" x14ac:dyDescent="0.2">
      <c r="A236" s="32" t="s">
        <v>351</v>
      </c>
      <c r="B236" s="32" t="s">
        <v>85</v>
      </c>
      <c r="C236" s="33" t="s">
        <v>352</v>
      </c>
      <c r="D236" s="33" t="s">
        <v>353</v>
      </c>
      <c r="E236" s="32" t="s">
        <v>26</v>
      </c>
      <c r="F236" s="32"/>
      <c r="G236" s="32" t="s">
        <v>24</v>
      </c>
      <c r="H236" s="32"/>
      <c r="I236" s="30" t="s">
        <v>1266</v>
      </c>
      <c r="J236" s="30" t="s">
        <v>1298</v>
      </c>
      <c r="K236" s="30" t="s">
        <v>1299</v>
      </c>
      <c r="L236" s="30" t="s">
        <v>1232</v>
      </c>
      <c r="M236" s="15" t="s">
        <v>26</v>
      </c>
      <c r="N236" s="15">
        <v>0</v>
      </c>
      <c r="O236" s="15">
        <v>0</v>
      </c>
      <c r="P236" s="15">
        <v>0</v>
      </c>
      <c r="Q236" s="15">
        <v>1</v>
      </c>
      <c r="R236" s="67">
        <v>8</v>
      </c>
      <c r="S236" s="67">
        <v>112</v>
      </c>
    </row>
    <row r="237" spans="1:19" hidden="1" x14ac:dyDescent="0.2">
      <c r="A237" s="32" t="s">
        <v>339</v>
      </c>
      <c r="B237" s="32" t="s">
        <v>85</v>
      </c>
      <c r="C237" s="33" t="s">
        <v>340</v>
      </c>
      <c r="D237" s="33" t="s">
        <v>341</v>
      </c>
      <c r="E237" s="32" t="s">
        <v>26</v>
      </c>
      <c r="F237" s="32"/>
      <c r="G237" s="32" t="s">
        <v>24</v>
      </c>
      <c r="H237" s="32"/>
      <c r="I237" s="30" t="s">
        <v>1266</v>
      </c>
      <c r="J237" s="30" t="s">
        <v>1301</v>
      </c>
      <c r="K237" s="30" t="s">
        <v>1302</v>
      </c>
      <c r="L237" s="30" t="s">
        <v>1232</v>
      </c>
      <c r="M237" s="15" t="s">
        <v>26</v>
      </c>
      <c r="N237" s="15">
        <v>0</v>
      </c>
      <c r="O237" s="15">
        <v>0</v>
      </c>
      <c r="P237" s="15">
        <v>0</v>
      </c>
      <c r="Q237" s="15">
        <v>1</v>
      </c>
      <c r="R237" s="67">
        <v>8</v>
      </c>
      <c r="S237" s="67">
        <v>113</v>
      </c>
    </row>
    <row r="238" spans="1:19" hidden="1" x14ac:dyDescent="0.2">
      <c r="A238" s="10" t="s">
        <v>343</v>
      </c>
      <c r="B238" s="10" t="s">
        <v>85</v>
      </c>
      <c r="C238" s="29" t="s">
        <v>344</v>
      </c>
      <c r="D238" s="29" t="s">
        <v>345</v>
      </c>
      <c r="E238" s="10" t="s">
        <v>26</v>
      </c>
      <c r="F238" s="10"/>
      <c r="G238" s="10" t="s">
        <v>24</v>
      </c>
      <c r="H238" s="10"/>
      <c r="I238" s="30" t="s">
        <v>1266</v>
      </c>
      <c r="J238" s="30" t="s">
        <v>1267</v>
      </c>
      <c r="K238" s="30" t="s">
        <v>1268</v>
      </c>
      <c r="L238" s="30" t="s">
        <v>1232</v>
      </c>
      <c r="M238" s="18" t="s">
        <v>26</v>
      </c>
      <c r="N238" s="18">
        <v>0</v>
      </c>
      <c r="O238" s="18">
        <v>0</v>
      </c>
      <c r="P238" s="18">
        <v>0</v>
      </c>
      <c r="Q238" s="18">
        <v>1</v>
      </c>
      <c r="R238" s="67">
        <v>8</v>
      </c>
      <c r="S238" s="67">
        <v>113</v>
      </c>
    </row>
    <row r="239" spans="1:19" hidden="1" x14ac:dyDescent="0.2">
      <c r="A239" s="10" t="s">
        <v>331</v>
      </c>
      <c r="B239" s="10" t="s">
        <v>85</v>
      </c>
      <c r="C239" s="29" t="s">
        <v>332</v>
      </c>
      <c r="D239" s="29" t="s">
        <v>333</v>
      </c>
      <c r="E239" s="10" t="s">
        <v>26</v>
      </c>
      <c r="F239" s="10"/>
      <c r="G239" s="10" t="s">
        <v>24</v>
      </c>
      <c r="H239" s="10"/>
      <c r="I239" s="30" t="s">
        <v>1266</v>
      </c>
      <c r="J239" s="30" t="s">
        <v>1269</v>
      </c>
      <c r="K239" s="30" t="s">
        <v>1303</v>
      </c>
      <c r="L239" s="30" t="s">
        <v>1232</v>
      </c>
      <c r="M239" s="18" t="s">
        <v>26</v>
      </c>
      <c r="N239" s="18">
        <v>0</v>
      </c>
      <c r="O239" s="18">
        <v>0</v>
      </c>
      <c r="P239" s="18">
        <v>0</v>
      </c>
      <c r="Q239" s="18">
        <v>1</v>
      </c>
      <c r="R239" s="67">
        <v>8</v>
      </c>
      <c r="S239" s="67">
        <v>114</v>
      </c>
    </row>
    <row r="240" spans="1:19" hidden="1" x14ac:dyDescent="0.2">
      <c r="A240" s="32" t="s">
        <v>335</v>
      </c>
      <c r="B240" s="32" t="s">
        <v>85</v>
      </c>
      <c r="C240" s="33" t="s">
        <v>336</v>
      </c>
      <c r="D240" s="33" t="s">
        <v>337</v>
      </c>
      <c r="E240" s="32" t="s">
        <v>26</v>
      </c>
      <c r="F240" s="32"/>
      <c r="G240" s="32" t="s">
        <v>24</v>
      </c>
      <c r="H240" s="32"/>
      <c r="I240" s="30" t="s">
        <v>1266</v>
      </c>
      <c r="J240" s="30" t="s">
        <v>1269</v>
      </c>
      <c r="K240" s="30" t="s">
        <v>1303</v>
      </c>
      <c r="L240" s="30" t="s">
        <v>1232</v>
      </c>
      <c r="M240" s="15" t="s">
        <v>26</v>
      </c>
      <c r="N240" s="15">
        <v>0</v>
      </c>
      <c r="O240" s="15">
        <v>0</v>
      </c>
      <c r="P240" s="15">
        <v>0</v>
      </c>
      <c r="Q240" s="15">
        <v>1</v>
      </c>
      <c r="R240" s="67">
        <v>8</v>
      </c>
      <c r="S240" s="67">
        <v>114</v>
      </c>
    </row>
    <row r="241" spans="1:19" hidden="1" x14ac:dyDescent="0.2">
      <c r="A241" s="18" t="s">
        <v>323</v>
      </c>
      <c r="B241" s="18" t="s">
        <v>85</v>
      </c>
      <c r="C241" s="41" t="s">
        <v>324</v>
      </c>
      <c r="D241" s="41" t="s">
        <v>325</v>
      </c>
      <c r="E241" s="18" t="s">
        <v>26</v>
      </c>
      <c r="F241" s="18"/>
      <c r="G241" s="18" t="s">
        <v>24</v>
      </c>
      <c r="H241" s="18"/>
      <c r="I241" s="30" t="s">
        <v>1229</v>
      </c>
      <c r="J241" s="30" t="s">
        <v>1262</v>
      </c>
      <c r="K241" s="30" t="s">
        <v>1304</v>
      </c>
      <c r="L241" s="30" t="s">
        <v>1232</v>
      </c>
      <c r="M241" s="18" t="s">
        <v>26</v>
      </c>
      <c r="N241" s="18">
        <v>0</v>
      </c>
      <c r="O241" s="18">
        <v>0</v>
      </c>
      <c r="P241" s="18">
        <v>0</v>
      </c>
      <c r="Q241" s="18">
        <v>1</v>
      </c>
      <c r="R241" s="67">
        <v>8</v>
      </c>
      <c r="S241" s="67">
        <v>115</v>
      </c>
    </row>
    <row r="242" spans="1:19" hidden="1" x14ac:dyDescent="0.2">
      <c r="A242" s="32" t="s">
        <v>327</v>
      </c>
      <c r="B242" s="32" t="s">
        <v>85</v>
      </c>
      <c r="C242" s="33" t="s">
        <v>328</v>
      </c>
      <c r="D242" s="33" t="s">
        <v>329</v>
      </c>
      <c r="E242" s="32" t="s">
        <v>26</v>
      </c>
      <c r="F242" s="32"/>
      <c r="G242" s="32" t="s">
        <v>24</v>
      </c>
      <c r="H242" s="32"/>
      <c r="I242" s="30" t="s">
        <v>1305</v>
      </c>
      <c r="J242" s="30" t="s">
        <v>1306</v>
      </c>
      <c r="K242" s="30" t="s">
        <v>1307</v>
      </c>
      <c r="L242" s="30" t="s">
        <v>1232</v>
      </c>
      <c r="M242" s="15" t="s">
        <v>26</v>
      </c>
      <c r="N242" s="15">
        <v>0</v>
      </c>
      <c r="O242" s="15">
        <v>0</v>
      </c>
      <c r="P242" s="15">
        <v>0</v>
      </c>
      <c r="Q242" s="15">
        <v>1</v>
      </c>
      <c r="R242" s="67">
        <v>8</v>
      </c>
      <c r="S242" s="67">
        <v>115</v>
      </c>
    </row>
    <row r="243" spans="1:19" hidden="1" x14ac:dyDescent="0.2">
      <c r="A243" s="15" t="s">
        <v>315</v>
      </c>
      <c r="B243" s="15" t="s">
        <v>85</v>
      </c>
      <c r="C243" s="44" t="s">
        <v>316</v>
      </c>
      <c r="D243" s="44" t="s">
        <v>317</v>
      </c>
      <c r="E243" s="15" t="s">
        <v>26</v>
      </c>
      <c r="F243" s="15"/>
      <c r="G243" s="15" t="s">
        <v>24</v>
      </c>
      <c r="H243" s="15"/>
      <c r="I243" s="30" t="s">
        <v>1308</v>
      </c>
      <c r="J243" s="30" t="s">
        <v>1309</v>
      </c>
      <c r="K243" s="30" t="s">
        <v>1310</v>
      </c>
      <c r="L243" s="30" t="s">
        <v>1232</v>
      </c>
      <c r="M243" s="15" t="s">
        <v>26</v>
      </c>
      <c r="N243" s="15">
        <v>0</v>
      </c>
      <c r="O243" s="15">
        <v>0</v>
      </c>
      <c r="P243" s="15">
        <v>0</v>
      </c>
      <c r="Q243" s="15">
        <v>1</v>
      </c>
      <c r="R243" s="67">
        <v>8</v>
      </c>
      <c r="S243" s="67">
        <v>116</v>
      </c>
    </row>
    <row r="244" spans="1:19" hidden="1" x14ac:dyDescent="0.2">
      <c r="A244" s="10" t="s">
        <v>319</v>
      </c>
      <c r="B244" s="10" t="s">
        <v>85</v>
      </c>
      <c r="C244" s="29" t="s">
        <v>320</v>
      </c>
      <c r="D244" s="29" t="s">
        <v>321</v>
      </c>
      <c r="E244" s="10" t="s">
        <v>26</v>
      </c>
      <c r="F244" s="10"/>
      <c r="G244" s="10" t="s">
        <v>24</v>
      </c>
      <c r="H244" s="10"/>
      <c r="I244" s="30" t="s">
        <v>1308</v>
      </c>
      <c r="J244" s="30" t="s">
        <v>1309</v>
      </c>
      <c r="K244" s="30" t="s">
        <v>1310</v>
      </c>
      <c r="L244" s="30" t="s">
        <v>1232</v>
      </c>
      <c r="M244" s="18" t="s">
        <v>26</v>
      </c>
      <c r="N244" s="18">
        <v>0</v>
      </c>
      <c r="O244" s="18">
        <v>0</v>
      </c>
      <c r="P244" s="18">
        <v>0</v>
      </c>
      <c r="Q244" s="18">
        <v>1</v>
      </c>
      <c r="R244" s="67">
        <v>8</v>
      </c>
      <c r="S244" s="67">
        <v>116</v>
      </c>
    </row>
    <row r="245" spans="1:19" hidden="1" x14ac:dyDescent="0.2">
      <c r="A245" s="18" t="s">
        <v>307</v>
      </c>
      <c r="B245" s="18" t="s">
        <v>85</v>
      </c>
      <c r="C245" s="18" t="s">
        <v>308</v>
      </c>
      <c r="D245" s="18" t="s">
        <v>309</v>
      </c>
      <c r="E245" s="18" t="s">
        <v>26</v>
      </c>
      <c r="F245" s="18"/>
      <c r="G245" s="18" t="s">
        <v>24</v>
      </c>
      <c r="H245" s="18"/>
      <c r="I245" s="30" t="s">
        <v>1229</v>
      </c>
      <c r="J245" s="30" t="s">
        <v>1263</v>
      </c>
      <c r="K245" s="30" t="s">
        <v>1300</v>
      </c>
      <c r="L245" s="30" t="s">
        <v>1232</v>
      </c>
      <c r="M245" s="18" t="s">
        <v>26</v>
      </c>
      <c r="N245" s="18">
        <v>0</v>
      </c>
      <c r="O245" s="18">
        <v>0</v>
      </c>
      <c r="P245" s="18">
        <v>0</v>
      </c>
      <c r="Q245" s="18">
        <v>1</v>
      </c>
      <c r="R245" s="67">
        <v>8</v>
      </c>
      <c r="S245" s="67">
        <v>117</v>
      </c>
    </row>
    <row r="246" spans="1:19" hidden="1" x14ac:dyDescent="0.2">
      <c r="A246" s="10" t="s">
        <v>311</v>
      </c>
      <c r="B246" s="10" t="s">
        <v>85</v>
      </c>
      <c r="C246" s="29" t="s">
        <v>312</v>
      </c>
      <c r="D246" s="29" t="s">
        <v>313</v>
      </c>
      <c r="E246" s="10" t="s">
        <v>26</v>
      </c>
      <c r="F246" s="10"/>
      <c r="G246" s="10" t="s">
        <v>24</v>
      </c>
      <c r="H246" s="10"/>
      <c r="I246" s="30" t="s">
        <v>1229</v>
      </c>
      <c r="J246" s="30" t="s">
        <v>1263</v>
      </c>
      <c r="K246" s="30" t="s">
        <v>1300</v>
      </c>
      <c r="L246" s="30" t="s">
        <v>1232</v>
      </c>
      <c r="M246" s="18" t="s">
        <v>26</v>
      </c>
      <c r="N246" s="18">
        <v>0</v>
      </c>
      <c r="O246" s="18">
        <v>0</v>
      </c>
      <c r="P246" s="18">
        <v>0</v>
      </c>
      <c r="Q246" s="18">
        <v>1</v>
      </c>
      <c r="R246" s="67">
        <v>8</v>
      </c>
      <c r="S246" s="67">
        <v>117</v>
      </c>
    </row>
    <row r="247" spans="1:19" hidden="1" x14ac:dyDescent="0.2">
      <c r="A247" s="32" t="s">
        <v>299</v>
      </c>
      <c r="B247" s="32" t="s">
        <v>85</v>
      </c>
      <c r="C247" s="33" t="s">
        <v>300</v>
      </c>
      <c r="D247" s="33" t="s">
        <v>301</v>
      </c>
      <c r="E247" s="32" t="s">
        <v>26</v>
      </c>
      <c r="F247" s="32"/>
      <c r="G247" s="32" t="s">
        <v>24</v>
      </c>
      <c r="H247" s="32"/>
      <c r="I247" s="30" t="s">
        <v>1229</v>
      </c>
      <c r="J247" s="30" t="s">
        <v>1263</v>
      </c>
      <c r="K247" s="30" t="s">
        <v>1311</v>
      </c>
      <c r="L247" s="30" t="s">
        <v>1232</v>
      </c>
      <c r="M247" s="15" t="s">
        <v>26</v>
      </c>
      <c r="N247" s="15">
        <v>0</v>
      </c>
      <c r="O247" s="15">
        <v>0</v>
      </c>
      <c r="P247" s="15">
        <v>0</v>
      </c>
      <c r="Q247" s="15">
        <v>1</v>
      </c>
      <c r="R247" s="67">
        <v>8</v>
      </c>
      <c r="S247" s="67">
        <v>118</v>
      </c>
    </row>
    <row r="248" spans="1:19" hidden="1" x14ac:dyDescent="0.2">
      <c r="A248" s="15" t="s">
        <v>303</v>
      </c>
      <c r="B248" s="15" t="s">
        <v>85</v>
      </c>
      <c r="C248" s="44" t="s">
        <v>304</v>
      </c>
      <c r="D248" s="44" t="s">
        <v>305</v>
      </c>
      <c r="E248" s="15" t="s">
        <v>26</v>
      </c>
      <c r="F248" s="15"/>
      <c r="G248" s="15" t="s">
        <v>24</v>
      </c>
      <c r="H248" s="15"/>
      <c r="I248" s="30" t="s">
        <v>1229</v>
      </c>
      <c r="J248" s="30" t="s">
        <v>1263</v>
      </c>
      <c r="K248" s="30" t="s">
        <v>1312</v>
      </c>
      <c r="L248" s="30" t="s">
        <v>1232</v>
      </c>
      <c r="M248" s="15" t="s">
        <v>26</v>
      </c>
      <c r="N248" s="15">
        <v>0</v>
      </c>
      <c r="O248" s="15">
        <v>0</v>
      </c>
      <c r="P248" s="15">
        <v>0</v>
      </c>
      <c r="Q248" s="15">
        <v>1</v>
      </c>
      <c r="R248" s="67">
        <v>8</v>
      </c>
      <c r="S248" s="67">
        <v>118</v>
      </c>
    </row>
    <row r="249" spans="1:19" hidden="1" x14ac:dyDescent="0.2">
      <c r="A249" s="10" t="s">
        <v>291</v>
      </c>
      <c r="B249" s="10" t="s">
        <v>85</v>
      </c>
      <c r="C249" s="29" t="s">
        <v>292</v>
      </c>
      <c r="D249" s="29" t="s">
        <v>293</v>
      </c>
      <c r="E249" s="10" t="s">
        <v>26</v>
      </c>
      <c r="F249" s="10"/>
      <c r="G249" s="10" t="s">
        <v>24</v>
      </c>
      <c r="H249" s="10"/>
      <c r="I249" s="30" t="s">
        <v>1229</v>
      </c>
      <c r="J249" s="30" t="s">
        <v>1263</v>
      </c>
      <c r="K249" s="30" t="s">
        <v>1313</v>
      </c>
      <c r="L249" s="30" t="s">
        <v>1232</v>
      </c>
      <c r="M249" s="18" t="s">
        <v>26</v>
      </c>
      <c r="N249" s="18">
        <v>0</v>
      </c>
      <c r="O249" s="18">
        <v>0</v>
      </c>
      <c r="P249" s="18">
        <v>0</v>
      </c>
      <c r="Q249" s="18">
        <v>1</v>
      </c>
      <c r="R249" s="67">
        <v>8</v>
      </c>
      <c r="S249" s="67">
        <v>119</v>
      </c>
    </row>
    <row r="250" spans="1:19" hidden="1" x14ac:dyDescent="0.2">
      <c r="A250" s="18" t="s">
        <v>295</v>
      </c>
      <c r="B250" s="18" t="s">
        <v>85</v>
      </c>
      <c r="C250" s="41" t="s">
        <v>296</v>
      </c>
      <c r="D250" s="41" t="s">
        <v>297</v>
      </c>
      <c r="E250" s="18" t="s">
        <v>26</v>
      </c>
      <c r="F250" s="18"/>
      <c r="G250" s="18" t="s">
        <v>24</v>
      </c>
      <c r="H250" s="18"/>
      <c r="I250" s="30" t="s">
        <v>1229</v>
      </c>
      <c r="J250" s="30" t="s">
        <v>1263</v>
      </c>
      <c r="K250" s="30" t="s">
        <v>1312</v>
      </c>
      <c r="L250" s="30" t="s">
        <v>1232</v>
      </c>
      <c r="M250" s="18" t="s">
        <v>26</v>
      </c>
      <c r="N250" s="18">
        <v>0</v>
      </c>
      <c r="O250" s="18">
        <v>0</v>
      </c>
      <c r="P250" s="18">
        <v>0</v>
      </c>
      <c r="Q250" s="18">
        <v>1</v>
      </c>
      <c r="R250" s="67">
        <v>8</v>
      </c>
      <c r="S250" s="67">
        <v>119</v>
      </c>
    </row>
    <row r="251" spans="1:19" hidden="1" x14ac:dyDescent="0.2">
      <c r="A251" s="32" t="s">
        <v>286</v>
      </c>
      <c r="B251" s="32" t="s">
        <v>85</v>
      </c>
      <c r="C251" s="33" t="s">
        <v>287</v>
      </c>
      <c r="D251" s="33" t="s">
        <v>288</v>
      </c>
      <c r="E251" s="32" t="s">
        <v>23</v>
      </c>
      <c r="F251" s="32" t="s">
        <v>289</v>
      </c>
      <c r="G251" s="32" t="s">
        <v>24</v>
      </c>
      <c r="H251" s="32"/>
      <c r="I251" s="30" t="s">
        <v>1229</v>
      </c>
      <c r="J251" s="30" t="s">
        <v>1263</v>
      </c>
      <c r="K251" s="30" t="s">
        <v>1312</v>
      </c>
      <c r="L251" s="30" t="s">
        <v>1232</v>
      </c>
      <c r="M251" s="15" t="s">
        <v>23</v>
      </c>
      <c r="N251" s="15">
        <v>0</v>
      </c>
      <c r="O251" s="15">
        <v>1</v>
      </c>
      <c r="P251" s="15">
        <v>1</v>
      </c>
      <c r="Q251" s="15">
        <v>2</v>
      </c>
      <c r="R251" s="67">
        <v>8</v>
      </c>
      <c r="S251" s="67">
        <v>120</v>
      </c>
    </row>
    <row r="252" spans="1:19" hidden="1" x14ac:dyDescent="0.2">
      <c r="A252" s="18" t="s">
        <v>281</v>
      </c>
      <c r="B252" s="18" t="s">
        <v>85</v>
      </c>
      <c r="C252" s="41" t="s">
        <v>282</v>
      </c>
      <c r="D252" s="41" t="s">
        <v>283</v>
      </c>
      <c r="E252" s="18" t="s">
        <v>23</v>
      </c>
      <c r="F252" s="18" t="s">
        <v>284</v>
      </c>
      <c r="G252" s="18" t="s">
        <v>24</v>
      </c>
      <c r="H252" s="18"/>
      <c r="I252" s="30" t="s">
        <v>1229</v>
      </c>
      <c r="J252" s="30" t="s">
        <v>1263</v>
      </c>
      <c r="K252" s="30" t="s">
        <v>1312</v>
      </c>
      <c r="L252" s="30" t="s">
        <v>1232</v>
      </c>
      <c r="M252" s="18" t="s">
        <v>23</v>
      </c>
      <c r="N252" s="18">
        <v>0</v>
      </c>
      <c r="O252" s="18">
        <v>1</v>
      </c>
      <c r="P252" s="18">
        <v>1</v>
      </c>
      <c r="Q252" s="18">
        <v>2</v>
      </c>
      <c r="R252" s="67">
        <v>8</v>
      </c>
      <c r="S252" s="67">
        <v>121</v>
      </c>
    </row>
    <row r="253" spans="1:19" hidden="1" x14ac:dyDescent="0.2">
      <c r="A253" s="32" t="s">
        <v>273</v>
      </c>
      <c r="B253" s="32" t="s">
        <v>85</v>
      </c>
      <c r="C253" s="33" t="s">
        <v>274</v>
      </c>
      <c r="D253" s="33" t="s">
        <v>275</v>
      </c>
      <c r="E253" s="32" t="s">
        <v>26</v>
      </c>
      <c r="F253" s="32"/>
      <c r="G253" s="32" t="s">
        <v>24</v>
      </c>
      <c r="H253" s="32"/>
      <c r="I253" s="30" t="s">
        <v>1314</v>
      </c>
      <c r="J253" s="30" t="s">
        <v>1315</v>
      </c>
      <c r="K253" s="30" t="s">
        <v>1316</v>
      </c>
      <c r="L253" s="30" t="s">
        <v>1232</v>
      </c>
      <c r="M253" s="15" t="s">
        <v>26</v>
      </c>
      <c r="N253" s="15">
        <v>0</v>
      </c>
      <c r="O253" s="15">
        <v>0</v>
      </c>
      <c r="P253" s="15">
        <v>0</v>
      </c>
      <c r="Q253" s="15">
        <v>1</v>
      </c>
      <c r="R253" s="67">
        <v>8</v>
      </c>
      <c r="S253" s="67">
        <v>122</v>
      </c>
    </row>
    <row r="254" spans="1:19" hidden="1" x14ac:dyDescent="0.2">
      <c r="A254" s="18" t="s">
        <v>277</v>
      </c>
      <c r="B254" s="18" t="s">
        <v>85</v>
      </c>
      <c r="C254" s="41" t="s">
        <v>278</v>
      </c>
      <c r="D254" s="41" t="s">
        <v>279</v>
      </c>
      <c r="E254" s="18" t="s">
        <v>26</v>
      </c>
      <c r="F254" s="18"/>
      <c r="G254" s="18" t="s">
        <v>24</v>
      </c>
      <c r="H254" s="18"/>
      <c r="I254" s="30" t="s">
        <v>1314</v>
      </c>
      <c r="J254" s="30" t="s">
        <v>1315</v>
      </c>
      <c r="K254" s="30" t="s">
        <v>1317</v>
      </c>
      <c r="L254" s="30" t="s">
        <v>1232</v>
      </c>
      <c r="M254" s="18" t="s">
        <v>26</v>
      </c>
      <c r="N254" s="18">
        <v>0</v>
      </c>
      <c r="O254" s="18">
        <v>0</v>
      </c>
      <c r="P254" s="18">
        <v>0</v>
      </c>
      <c r="Q254" s="18">
        <v>1</v>
      </c>
      <c r="R254" s="67">
        <v>8</v>
      </c>
      <c r="S254" s="67">
        <v>122</v>
      </c>
    </row>
    <row r="255" spans="1:19" hidden="1" x14ac:dyDescent="0.2">
      <c r="A255" s="15" t="s">
        <v>419</v>
      </c>
      <c r="B255" s="15" t="s">
        <v>85</v>
      </c>
      <c r="C255" s="44" t="s">
        <v>420</v>
      </c>
      <c r="D255" s="44" t="s">
        <v>421</v>
      </c>
      <c r="E255" s="15" t="s">
        <v>26</v>
      </c>
      <c r="F255" s="15"/>
      <c r="G255" s="15" t="s">
        <v>24</v>
      </c>
      <c r="H255" s="15"/>
      <c r="I255" s="30" t="s">
        <v>1318</v>
      </c>
      <c r="J255" s="30" t="s">
        <v>1319</v>
      </c>
      <c r="K255" s="30" t="s">
        <v>1320</v>
      </c>
      <c r="L255" s="30" t="s">
        <v>1232</v>
      </c>
      <c r="M255" s="15" t="s">
        <v>26</v>
      </c>
      <c r="N255" s="15">
        <v>0</v>
      </c>
      <c r="O255" s="15">
        <v>0</v>
      </c>
      <c r="P255" s="15">
        <v>0</v>
      </c>
      <c r="Q255" s="15">
        <v>1</v>
      </c>
      <c r="R255" s="67">
        <v>8</v>
      </c>
      <c r="S255" s="67">
        <v>123</v>
      </c>
    </row>
    <row r="256" spans="1:19" hidden="1" x14ac:dyDescent="0.2">
      <c r="A256" s="10" t="s">
        <v>264</v>
      </c>
      <c r="B256" s="10" t="s">
        <v>85</v>
      </c>
      <c r="C256" s="29" t="s">
        <v>265</v>
      </c>
      <c r="D256" s="29" t="s">
        <v>266</v>
      </c>
      <c r="E256" s="10" t="s">
        <v>26</v>
      </c>
      <c r="F256" s="10"/>
      <c r="G256" s="10" t="s">
        <v>24</v>
      </c>
      <c r="H256" s="10"/>
      <c r="I256" s="30" t="s">
        <v>1318</v>
      </c>
      <c r="J256" s="30" t="s">
        <v>1319</v>
      </c>
      <c r="K256" s="30" t="s">
        <v>1320</v>
      </c>
      <c r="L256" s="30" t="s">
        <v>1232</v>
      </c>
      <c r="M256" s="18" t="s">
        <v>26</v>
      </c>
      <c r="N256" s="18">
        <v>0</v>
      </c>
      <c r="O256" s="18">
        <v>0</v>
      </c>
      <c r="P256" s="18">
        <v>0</v>
      </c>
      <c r="Q256" s="18">
        <v>1</v>
      </c>
      <c r="R256" s="67">
        <v>8</v>
      </c>
      <c r="S256" s="67">
        <v>123</v>
      </c>
    </row>
    <row r="257" spans="1:19" hidden="1" x14ac:dyDescent="0.2">
      <c r="A257" s="32" t="s">
        <v>268</v>
      </c>
      <c r="B257" s="32" t="s">
        <v>85</v>
      </c>
      <c r="C257" s="33" t="s">
        <v>269</v>
      </c>
      <c r="D257" s="33" t="s">
        <v>270</v>
      </c>
      <c r="E257" s="32" t="s">
        <v>26</v>
      </c>
      <c r="F257" s="32"/>
      <c r="G257" s="32" t="s">
        <v>24</v>
      </c>
      <c r="H257" s="32" t="s">
        <v>271</v>
      </c>
      <c r="I257" s="30" t="s">
        <v>1318</v>
      </c>
      <c r="J257" s="30" t="s">
        <v>1319</v>
      </c>
      <c r="K257" s="30" t="s">
        <v>1320</v>
      </c>
      <c r="L257" s="30" t="s">
        <v>1232</v>
      </c>
      <c r="M257" s="15" t="s">
        <v>26</v>
      </c>
      <c r="N257" s="15">
        <v>0</v>
      </c>
      <c r="O257" s="15">
        <v>0</v>
      </c>
      <c r="P257" s="15">
        <v>0</v>
      </c>
      <c r="Q257" s="15">
        <v>1</v>
      </c>
      <c r="R257" s="67">
        <v>8</v>
      </c>
      <c r="S257" s="67">
        <v>123</v>
      </c>
    </row>
    <row r="258" spans="1:19" hidden="1" x14ac:dyDescent="0.2">
      <c r="A258" s="18" t="s">
        <v>256</v>
      </c>
      <c r="B258" s="18" t="s">
        <v>85</v>
      </c>
      <c r="C258" s="41" t="s">
        <v>257</v>
      </c>
      <c r="D258" s="41" t="s">
        <v>258</v>
      </c>
      <c r="E258" s="18" t="s">
        <v>26</v>
      </c>
      <c r="F258" s="18"/>
      <c r="G258" s="18" t="s">
        <v>24</v>
      </c>
      <c r="H258" s="18"/>
      <c r="I258" s="30" t="s">
        <v>1266</v>
      </c>
      <c r="J258" s="30" t="s">
        <v>1301</v>
      </c>
      <c r="K258" s="30" t="s">
        <v>1302</v>
      </c>
      <c r="L258" s="30" t="s">
        <v>1232</v>
      </c>
      <c r="M258" s="18" t="s">
        <v>26</v>
      </c>
      <c r="N258" s="18">
        <v>0</v>
      </c>
      <c r="O258" s="18">
        <v>0</v>
      </c>
      <c r="P258" s="18">
        <v>0</v>
      </c>
      <c r="Q258" s="18">
        <v>1</v>
      </c>
      <c r="R258" s="67">
        <v>8</v>
      </c>
      <c r="S258" s="67">
        <v>124</v>
      </c>
    </row>
    <row r="259" spans="1:19" hidden="1" x14ac:dyDescent="0.2">
      <c r="A259" s="10" t="s">
        <v>260</v>
      </c>
      <c r="B259" s="10" t="s">
        <v>85</v>
      </c>
      <c r="C259" s="29" t="s">
        <v>261</v>
      </c>
      <c r="D259" s="29" t="s">
        <v>262</v>
      </c>
      <c r="E259" s="10" t="s">
        <v>26</v>
      </c>
      <c r="F259" s="10"/>
      <c r="G259" s="10" t="s">
        <v>24</v>
      </c>
      <c r="H259" s="10"/>
      <c r="I259" s="30" t="s">
        <v>1305</v>
      </c>
      <c r="J259" s="30" t="s">
        <v>1306</v>
      </c>
      <c r="K259" s="30" t="s">
        <v>1307</v>
      </c>
      <c r="L259" s="30" t="s">
        <v>1232</v>
      </c>
      <c r="M259" s="18" t="s">
        <v>26</v>
      </c>
      <c r="N259" s="18">
        <v>0</v>
      </c>
      <c r="O259" s="18">
        <v>0</v>
      </c>
      <c r="P259" s="18">
        <v>0</v>
      </c>
      <c r="Q259" s="18">
        <v>1</v>
      </c>
      <c r="R259" s="67">
        <v>8</v>
      </c>
      <c r="S259" s="67">
        <v>124</v>
      </c>
    </row>
    <row r="260" spans="1:19" hidden="1" x14ac:dyDescent="0.2">
      <c r="A260" s="10" t="s">
        <v>248</v>
      </c>
      <c r="B260" s="10" t="s">
        <v>85</v>
      </c>
      <c r="C260" s="29" t="s">
        <v>249</v>
      </c>
      <c r="D260" s="29" t="s">
        <v>250</v>
      </c>
      <c r="E260" s="10" t="s">
        <v>26</v>
      </c>
      <c r="F260" s="10"/>
      <c r="G260" s="10" t="s">
        <v>24</v>
      </c>
      <c r="H260" s="10"/>
      <c r="I260" s="30" t="s">
        <v>1229</v>
      </c>
      <c r="J260" s="30" t="s">
        <v>1230</v>
      </c>
      <c r="K260" s="30" t="s">
        <v>1321</v>
      </c>
      <c r="L260" s="30" t="s">
        <v>1232</v>
      </c>
      <c r="M260" s="18" t="s">
        <v>26</v>
      </c>
      <c r="N260" s="18">
        <v>0</v>
      </c>
      <c r="O260" s="18">
        <v>0</v>
      </c>
      <c r="P260" s="18">
        <v>0</v>
      </c>
      <c r="Q260" s="18">
        <v>1</v>
      </c>
      <c r="R260" s="67">
        <v>8</v>
      </c>
      <c r="S260" s="67">
        <v>125</v>
      </c>
    </row>
    <row r="261" spans="1:19" hidden="1" x14ac:dyDescent="0.2">
      <c r="A261" s="32" t="s">
        <v>252</v>
      </c>
      <c r="B261" s="32" t="s">
        <v>85</v>
      </c>
      <c r="C261" s="33" t="s">
        <v>253</v>
      </c>
      <c r="D261" s="33" t="s">
        <v>254</v>
      </c>
      <c r="E261" s="32" t="s">
        <v>26</v>
      </c>
      <c r="F261" s="32"/>
      <c r="G261" s="32" t="s">
        <v>24</v>
      </c>
      <c r="H261" s="32"/>
      <c r="I261" s="30" t="s">
        <v>1266</v>
      </c>
      <c r="J261" s="30" t="s">
        <v>1322</v>
      </c>
      <c r="K261" s="30" t="s">
        <v>1299</v>
      </c>
      <c r="L261" s="30" t="s">
        <v>1232</v>
      </c>
      <c r="M261" s="15" t="s">
        <v>26</v>
      </c>
      <c r="N261" s="15">
        <v>0</v>
      </c>
      <c r="O261" s="15">
        <v>0</v>
      </c>
      <c r="P261" s="15">
        <v>0</v>
      </c>
      <c r="Q261" s="15">
        <v>1</v>
      </c>
      <c r="R261" s="67">
        <v>8</v>
      </c>
      <c r="S261" s="67">
        <v>125</v>
      </c>
    </row>
    <row r="262" spans="1:19" hidden="1" x14ac:dyDescent="0.2">
      <c r="A262" s="10" t="s">
        <v>240</v>
      </c>
      <c r="B262" s="10" t="s">
        <v>85</v>
      </c>
      <c r="C262" s="29" t="s">
        <v>241</v>
      </c>
      <c r="D262" s="29" t="s">
        <v>242</v>
      </c>
      <c r="E262" s="10" t="s">
        <v>26</v>
      </c>
      <c r="F262" s="10"/>
      <c r="G262" s="10" t="s">
        <v>24</v>
      </c>
      <c r="H262" s="10"/>
      <c r="I262" s="30" t="s">
        <v>1266</v>
      </c>
      <c r="J262" s="30" t="s">
        <v>1298</v>
      </c>
      <c r="K262" s="30" t="s">
        <v>1272</v>
      </c>
      <c r="L262" s="30" t="s">
        <v>1232</v>
      </c>
      <c r="M262" s="18" t="s">
        <v>26</v>
      </c>
      <c r="N262" s="18">
        <v>0</v>
      </c>
      <c r="O262" s="18">
        <v>0</v>
      </c>
      <c r="P262" s="18">
        <v>0</v>
      </c>
      <c r="Q262" s="18">
        <v>1</v>
      </c>
      <c r="R262" s="67">
        <v>8</v>
      </c>
      <c r="S262" s="67">
        <v>126</v>
      </c>
    </row>
    <row r="263" spans="1:19" hidden="1" x14ac:dyDescent="0.2">
      <c r="A263" s="10" t="s">
        <v>244</v>
      </c>
      <c r="B263" s="10" t="s">
        <v>85</v>
      </c>
      <c r="C263" s="29" t="s">
        <v>245</v>
      </c>
      <c r="D263" s="29" t="s">
        <v>246</v>
      </c>
      <c r="E263" s="10" t="s">
        <v>26</v>
      </c>
      <c r="F263" s="10"/>
      <c r="G263" s="10" t="s">
        <v>24</v>
      </c>
      <c r="H263" s="10"/>
      <c r="I263" s="30" t="s">
        <v>1266</v>
      </c>
      <c r="J263" s="30" t="s">
        <v>1298</v>
      </c>
      <c r="K263" s="30" t="s">
        <v>1323</v>
      </c>
      <c r="L263" s="30" t="s">
        <v>1232</v>
      </c>
      <c r="M263" s="18" t="s">
        <v>26</v>
      </c>
      <c r="N263" s="18">
        <v>0</v>
      </c>
      <c r="O263" s="18">
        <v>0</v>
      </c>
      <c r="P263" s="18">
        <v>0</v>
      </c>
      <c r="Q263" s="18">
        <v>1</v>
      </c>
      <c r="R263" s="67">
        <v>8</v>
      </c>
      <c r="S263" s="67">
        <v>126</v>
      </c>
    </row>
    <row r="264" spans="1:19" hidden="1" x14ac:dyDescent="0.2">
      <c r="A264" s="32" t="s">
        <v>236</v>
      </c>
      <c r="B264" s="32" t="s">
        <v>85</v>
      </c>
      <c r="C264" s="33" t="s">
        <v>237</v>
      </c>
      <c r="D264" s="33" t="s">
        <v>238</v>
      </c>
      <c r="E264" s="32" t="s">
        <v>26</v>
      </c>
      <c r="F264" s="32"/>
      <c r="G264" s="32" t="s">
        <v>24</v>
      </c>
      <c r="H264" s="32"/>
      <c r="I264" s="30" t="s">
        <v>1266</v>
      </c>
      <c r="J264" s="30" t="s">
        <v>1298</v>
      </c>
      <c r="K264" s="30" t="s">
        <v>1323</v>
      </c>
      <c r="L264" s="30" t="s">
        <v>1232</v>
      </c>
      <c r="M264" s="15" t="s">
        <v>26</v>
      </c>
      <c r="N264" s="15">
        <v>0</v>
      </c>
      <c r="O264" s="15">
        <v>0</v>
      </c>
      <c r="P264" s="15">
        <v>0</v>
      </c>
      <c r="Q264" s="15">
        <v>1</v>
      </c>
      <c r="R264" s="67">
        <v>8</v>
      </c>
      <c r="S264" s="67">
        <v>127</v>
      </c>
    </row>
    <row r="265" spans="1:19" hidden="1" x14ac:dyDescent="0.2">
      <c r="A265" s="53" t="s">
        <v>781</v>
      </c>
      <c r="B265" s="47" t="s">
        <v>85</v>
      </c>
      <c r="C265" s="54" t="s">
        <v>782</v>
      </c>
      <c r="D265" s="54" t="s">
        <v>783</v>
      </c>
      <c r="E265" s="53" t="s">
        <v>26</v>
      </c>
      <c r="F265" s="53"/>
      <c r="G265" s="53" t="s">
        <v>170</v>
      </c>
      <c r="H265" s="53"/>
      <c r="I265" s="45" t="s">
        <v>1229</v>
      </c>
      <c r="J265" s="45" t="s">
        <v>1230</v>
      </c>
      <c r="K265" s="45" t="s">
        <v>1241</v>
      </c>
      <c r="L265" s="45" t="s">
        <v>1232</v>
      </c>
      <c r="M265" s="47" t="s">
        <v>26</v>
      </c>
      <c r="N265" s="47">
        <v>0</v>
      </c>
      <c r="O265" s="47">
        <v>0</v>
      </c>
      <c r="P265" s="47">
        <v>0</v>
      </c>
      <c r="Q265" s="47">
        <v>1</v>
      </c>
      <c r="R265" s="45" t="s">
        <v>1245</v>
      </c>
      <c r="S265" s="70">
        <v>55</v>
      </c>
    </row>
    <row r="266" spans="1:19" hidden="1" x14ac:dyDescent="0.2">
      <c r="A266" s="51" t="s">
        <v>625</v>
      </c>
      <c r="B266" s="51" t="s">
        <v>85</v>
      </c>
      <c r="C266" s="52" t="s">
        <v>626</v>
      </c>
      <c r="D266" s="52" t="s">
        <v>627</v>
      </c>
      <c r="E266" s="51" t="s">
        <v>23</v>
      </c>
      <c r="F266" s="51" t="s">
        <v>628</v>
      </c>
      <c r="G266" s="51" t="s">
        <v>170</v>
      </c>
      <c r="H266" s="51"/>
      <c r="I266" s="45" t="s">
        <v>1229</v>
      </c>
      <c r="J266" s="45" t="s">
        <v>1230</v>
      </c>
      <c r="K266" s="45" t="s">
        <v>1241</v>
      </c>
      <c r="L266" s="45" t="s">
        <v>1232</v>
      </c>
      <c r="M266" s="45" t="s">
        <v>23</v>
      </c>
      <c r="N266" s="45">
        <v>0</v>
      </c>
      <c r="O266" s="45">
        <v>1</v>
      </c>
      <c r="P266" s="45">
        <v>1</v>
      </c>
      <c r="Q266" s="45">
        <v>2</v>
      </c>
      <c r="R266" s="45" t="s">
        <v>1245</v>
      </c>
      <c r="S266" s="45">
        <v>77</v>
      </c>
    </row>
    <row r="267" spans="1:19" hidden="1" x14ac:dyDescent="0.2">
      <c r="A267" s="51" t="s">
        <v>617</v>
      </c>
      <c r="B267" s="51" t="s">
        <v>85</v>
      </c>
      <c r="C267" s="52" t="s">
        <v>618</v>
      </c>
      <c r="D267" s="52" t="s">
        <v>619</v>
      </c>
      <c r="E267" s="51" t="s">
        <v>26</v>
      </c>
      <c r="F267" s="51"/>
      <c r="G267" s="51" t="s">
        <v>170</v>
      </c>
      <c r="H267" s="51"/>
      <c r="I267" s="45" t="s">
        <v>1229</v>
      </c>
      <c r="J267" s="45" t="s">
        <v>1230</v>
      </c>
      <c r="K267" s="45" t="s">
        <v>1235</v>
      </c>
      <c r="L267" s="45" t="s">
        <v>1232</v>
      </c>
      <c r="M267" s="45" t="s">
        <v>26</v>
      </c>
      <c r="N267" s="45">
        <v>0</v>
      </c>
      <c r="O267" s="45">
        <v>0</v>
      </c>
      <c r="P267" s="45">
        <v>0</v>
      </c>
      <c r="Q267" s="45">
        <v>1</v>
      </c>
      <c r="R267" s="45" t="s">
        <v>1245</v>
      </c>
      <c r="S267" s="45">
        <v>78</v>
      </c>
    </row>
    <row r="268" spans="1:19" x14ac:dyDescent="0.2">
      <c r="A268" s="53" t="s">
        <v>621</v>
      </c>
      <c r="B268" s="53" t="s">
        <v>85</v>
      </c>
      <c r="C268" s="54" t="s">
        <v>622</v>
      </c>
      <c r="D268" s="54" t="s">
        <v>623</v>
      </c>
      <c r="E268" s="53" t="s">
        <v>26</v>
      </c>
      <c r="F268" s="53"/>
      <c r="G268" s="53" t="s">
        <v>170</v>
      </c>
      <c r="H268" s="53"/>
      <c r="I268" s="45" t="s">
        <v>1229</v>
      </c>
      <c r="J268" s="45" t="s">
        <v>1230</v>
      </c>
      <c r="K268" s="45" t="s">
        <v>1238</v>
      </c>
      <c r="L268" s="45" t="s">
        <v>1232</v>
      </c>
      <c r="M268" s="47" t="s">
        <v>26</v>
      </c>
      <c r="N268" s="47">
        <v>0</v>
      </c>
      <c r="O268" s="47">
        <v>0</v>
      </c>
      <c r="P268" s="47">
        <v>0</v>
      </c>
      <c r="Q268" s="47">
        <v>1</v>
      </c>
      <c r="R268" s="45" t="s">
        <v>1245</v>
      </c>
      <c r="S268" s="47">
        <v>78</v>
      </c>
    </row>
    <row r="269" spans="1:19" hidden="1" x14ac:dyDescent="0.2">
      <c r="A269" s="47" t="s">
        <v>508</v>
      </c>
      <c r="B269" s="47" t="s">
        <v>85</v>
      </c>
      <c r="C269" s="48" t="s">
        <v>509</v>
      </c>
      <c r="D269" s="48" t="s">
        <v>510</v>
      </c>
      <c r="E269" s="47" t="s">
        <v>26</v>
      </c>
      <c r="F269" s="47"/>
      <c r="G269" s="47" t="s">
        <v>170</v>
      </c>
      <c r="H269" s="47"/>
      <c r="I269" s="45" t="s">
        <v>1266</v>
      </c>
      <c r="J269" s="45" t="s">
        <v>1267</v>
      </c>
      <c r="K269" s="45" t="s">
        <v>1268</v>
      </c>
      <c r="L269" s="45" t="s">
        <v>1232</v>
      </c>
      <c r="M269" s="47" t="s">
        <v>26</v>
      </c>
      <c r="N269" s="47">
        <v>0</v>
      </c>
      <c r="O269" s="47">
        <v>0</v>
      </c>
      <c r="P269" s="47">
        <v>0</v>
      </c>
      <c r="Q269" s="47">
        <v>1</v>
      </c>
      <c r="R269" s="45" t="s">
        <v>1245</v>
      </c>
      <c r="S269" s="47">
        <v>92</v>
      </c>
    </row>
    <row r="270" spans="1:19" hidden="1" x14ac:dyDescent="0.2">
      <c r="A270" s="45" t="s">
        <v>512</v>
      </c>
      <c r="B270" s="45" t="s">
        <v>85</v>
      </c>
      <c r="C270" s="49" t="s">
        <v>513</v>
      </c>
      <c r="D270" s="49" t="s">
        <v>514</v>
      </c>
      <c r="E270" s="45" t="s">
        <v>26</v>
      </c>
      <c r="F270" s="45"/>
      <c r="G270" s="45" t="s">
        <v>170</v>
      </c>
      <c r="H270" s="45"/>
      <c r="I270" s="45" t="s">
        <v>1266</v>
      </c>
      <c r="J270" s="45" t="s">
        <v>1269</v>
      </c>
      <c r="K270" s="45" t="s">
        <v>1270</v>
      </c>
      <c r="L270" s="45" t="s">
        <v>1232</v>
      </c>
      <c r="M270" s="45" t="s">
        <v>26</v>
      </c>
      <c r="N270" s="45">
        <v>0</v>
      </c>
      <c r="O270" s="45">
        <v>0</v>
      </c>
      <c r="P270" s="45">
        <v>0</v>
      </c>
      <c r="Q270" s="45">
        <v>1</v>
      </c>
      <c r="R270" s="45" t="s">
        <v>1245</v>
      </c>
      <c r="S270" s="45">
        <v>92</v>
      </c>
    </row>
    <row r="271" spans="1:19" hidden="1" x14ac:dyDescent="0.2">
      <c r="A271" s="45" t="s">
        <v>503</v>
      </c>
      <c r="B271" s="45" t="s">
        <v>85</v>
      </c>
      <c r="C271" s="49" t="s">
        <v>504</v>
      </c>
      <c r="D271" s="49" t="s">
        <v>505</v>
      </c>
      <c r="E271" s="45" t="s">
        <v>23</v>
      </c>
      <c r="F271" s="45" t="s">
        <v>506</v>
      </c>
      <c r="G271" s="45" t="s">
        <v>170</v>
      </c>
      <c r="H271" s="45"/>
      <c r="I271" s="45" t="s">
        <v>1266</v>
      </c>
      <c r="J271" s="45" t="s">
        <v>1271</v>
      </c>
      <c r="K271" s="45" t="s">
        <v>1272</v>
      </c>
      <c r="L271" s="45" t="s">
        <v>1232</v>
      </c>
      <c r="M271" s="45" t="s">
        <v>23</v>
      </c>
      <c r="N271" s="45">
        <v>1</v>
      </c>
      <c r="O271" s="45">
        <v>1</v>
      </c>
      <c r="P271" s="45">
        <v>2</v>
      </c>
      <c r="Q271" s="45">
        <v>3</v>
      </c>
      <c r="R271" s="45" t="s">
        <v>1245</v>
      </c>
      <c r="S271" s="45">
        <v>93</v>
      </c>
    </row>
    <row r="272" spans="1:19" hidden="1" x14ac:dyDescent="0.2">
      <c r="A272" s="53" t="s">
        <v>167</v>
      </c>
      <c r="B272" s="53" t="s">
        <v>85</v>
      </c>
      <c r="C272" s="54" t="s">
        <v>168</v>
      </c>
      <c r="D272" s="54" t="s">
        <v>169</v>
      </c>
      <c r="E272" s="53" t="s">
        <v>26</v>
      </c>
      <c r="F272" s="53"/>
      <c r="G272" s="53" t="s">
        <v>170</v>
      </c>
      <c r="H272" s="53"/>
      <c r="I272" s="45" t="s">
        <v>1266</v>
      </c>
      <c r="J272" s="45" t="s">
        <v>1332</v>
      </c>
      <c r="K272" s="45" t="s">
        <v>1333</v>
      </c>
      <c r="L272" s="45" t="s">
        <v>1232</v>
      </c>
      <c r="M272" s="47" t="s">
        <v>26</v>
      </c>
      <c r="N272" s="47">
        <v>0</v>
      </c>
      <c r="O272" s="47">
        <v>0</v>
      </c>
      <c r="P272" s="47">
        <v>0</v>
      </c>
      <c r="Q272" s="47">
        <v>1</v>
      </c>
      <c r="R272" s="45" t="s">
        <v>1245</v>
      </c>
      <c r="S272" s="47">
        <v>135</v>
      </c>
    </row>
  </sheetData>
  <autoFilter ref="A1:S272" xr:uid="{805FF7C5-848B-4248-9AD5-1EDD00DD5A07}">
    <filterColumn colId="10">
      <filters>
        <filter val="LA Thuy My Hao"/>
      </filters>
    </filterColumn>
    <sortState xmlns:xlrd2="http://schemas.microsoft.com/office/spreadsheetml/2017/richdata2" ref="A42:S268">
      <sortCondition ref="S1:S272"/>
    </sortState>
  </autoFilter>
  <conditionalFormatting sqref="A1:A272">
    <cfRule type="duplicateValues" dxfId="9" priority="3"/>
    <cfRule type="duplicateValues" dxfId="8" priority="4"/>
  </conditionalFormatting>
  <conditionalFormatting sqref="Z1:Z3 Z133:Z1048576">
    <cfRule type="cellIs" dxfId="7" priority="2" operator="equal">
      <formula>3</formula>
    </cfRule>
  </conditionalFormatting>
  <conditionalFormatting sqref="AC1:AC1048576">
    <cfRule type="cellIs" dxfId="6" priority="1" operator="greaterThan"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99F5-42A9-45F3-9650-4E1D4202D044}">
  <dimension ref="A1:AP288"/>
  <sheetViews>
    <sheetView topLeftCell="B1" zoomScale="85" zoomScaleNormal="100" workbookViewId="0">
      <selection activeCell="P10" sqref="P10"/>
    </sheetView>
  </sheetViews>
  <sheetFormatPr baseColWidth="10" defaultColWidth="8.83203125" defaultRowHeight="15" x14ac:dyDescent="0.2"/>
  <cols>
    <col min="1" max="1" width="47.1640625" bestFit="1" customWidth="1"/>
    <col min="2" max="2" width="19.5" bestFit="1" customWidth="1"/>
    <col min="3" max="3" width="29.5" bestFit="1" customWidth="1"/>
    <col min="4" max="4" width="34.5" bestFit="1" customWidth="1"/>
    <col min="5" max="6" width="33.33203125" bestFit="1" customWidth="1"/>
    <col min="7" max="8" width="13.5" bestFit="1" customWidth="1"/>
    <col min="9" max="9" width="15.5" bestFit="1" customWidth="1"/>
    <col min="10" max="11" width="9.5" customWidth="1"/>
    <col min="12" max="13" width="11.5" customWidth="1"/>
    <col min="16" max="16" width="10" bestFit="1" customWidth="1"/>
    <col min="17" max="17" width="12.6640625" bestFit="1" customWidth="1"/>
    <col min="18" max="18" width="73.6640625" bestFit="1" customWidth="1"/>
    <col min="19" max="19" width="25.6640625" bestFit="1" customWidth="1"/>
    <col min="20" max="20" width="22.5" customWidth="1"/>
    <col min="31" max="31" width="41" bestFit="1" customWidth="1"/>
    <col min="32" max="32" width="29.83203125" bestFit="1" customWidth="1"/>
    <col min="33" max="33" width="12.1640625" bestFit="1" customWidth="1"/>
    <col min="34" max="34" width="32.1640625" bestFit="1" customWidth="1"/>
    <col min="35" max="35" width="30.33203125" bestFit="1" customWidth="1"/>
    <col min="36" max="36" width="29.83203125" bestFit="1" customWidth="1"/>
    <col min="37" max="37" width="38.33203125" bestFit="1" customWidth="1"/>
    <col min="38" max="38" width="33.33203125" bestFit="1" customWidth="1"/>
    <col min="39" max="39" width="12.83203125" bestFit="1" customWidth="1"/>
    <col min="40" max="40" width="13.1640625" bestFit="1" customWidth="1"/>
    <col min="41" max="41" width="13.33203125" bestFit="1" customWidth="1"/>
    <col min="42" max="42" width="14.6640625" bestFit="1" customWidth="1"/>
  </cols>
  <sheetData>
    <row r="1" spans="1:42" x14ac:dyDescent="0.2">
      <c r="A1" s="9" t="s">
        <v>2</v>
      </c>
      <c r="B1" t="s">
        <v>85</v>
      </c>
      <c r="O1" t="s">
        <v>1339</v>
      </c>
      <c r="Q1" t="s">
        <v>1340</v>
      </c>
      <c r="AE1" s="9" t="s">
        <v>2</v>
      </c>
      <c r="AF1" t="s">
        <v>85</v>
      </c>
    </row>
    <row r="2" spans="1:42" x14ac:dyDescent="0.2">
      <c r="O2" t="s">
        <v>1341</v>
      </c>
    </row>
    <row r="3" spans="1:42" x14ac:dyDescent="0.2">
      <c r="A3" s="9" t="s">
        <v>7</v>
      </c>
      <c r="B3" s="9" t="s">
        <v>18</v>
      </c>
      <c r="C3" s="9" t="s">
        <v>9</v>
      </c>
      <c r="D3" s="9" t="s">
        <v>10</v>
      </c>
      <c r="E3" s="9" t="s">
        <v>11</v>
      </c>
      <c r="F3" s="9" t="s">
        <v>1</v>
      </c>
      <c r="G3" t="s">
        <v>1212</v>
      </c>
      <c r="H3" t="s">
        <v>1213</v>
      </c>
      <c r="I3" t="s">
        <v>1214</v>
      </c>
      <c r="J3" t="s">
        <v>18</v>
      </c>
      <c r="K3" t="s">
        <v>1342</v>
      </c>
      <c r="L3" t="s">
        <v>13</v>
      </c>
      <c r="O3" t="s">
        <v>1343</v>
      </c>
      <c r="P3" t="s">
        <v>1344</v>
      </c>
      <c r="Q3" t="s">
        <v>1345</v>
      </c>
      <c r="R3" t="s">
        <v>1346</v>
      </c>
      <c r="S3" t="s">
        <v>1347</v>
      </c>
      <c r="T3" t="s">
        <v>1348</v>
      </c>
      <c r="V3" t="s">
        <v>1090</v>
      </c>
      <c r="W3">
        <v>902891404</v>
      </c>
      <c r="AE3" s="9" t="s">
        <v>20</v>
      </c>
      <c r="AF3" s="9" t="s">
        <v>13</v>
      </c>
      <c r="AG3" s="9" t="s">
        <v>19</v>
      </c>
      <c r="AH3" s="9" t="s">
        <v>9</v>
      </c>
      <c r="AI3" s="9" t="s">
        <v>10</v>
      </c>
      <c r="AJ3" s="9" t="s">
        <v>11</v>
      </c>
      <c r="AK3" s="9" t="s">
        <v>0</v>
      </c>
      <c r="AL3" s="9" t="s">
        <v>1</v>
      </c>
      <c r="AM3" t="s">
        <v>1212</v>
      </c>
      <c r="AN3" t="s">
        <v>1213</v>
      </c>
      <c r="AO3" t="s">
        <v>1234</v>
      </c>
      <c r="AP3" t="s">
        <v>1214</v>
      </c>
    </row>
    <row r="4" spans="1:42" x14ac:dyDescent="0.2">
      <c r="A4" t="s">
        <v>170</v>
      </c>
      <c r="B4" t="s">
        <v>1223</v>
      </c>
      <c r="G4" s="12">
        <v>1</v>
      </c>
      <c r="H4" s="12">
        <v>2</v>
      </c>
      <c r="I4" s="12">
        <v>13</v>
      </c>
      <c r="L4">
        <f t="shared" ref="L4:L67" si="0">IF(E4="",0,IF(I4=1,0.5,1))</f>
        <v>0</v>
      </c>
      <c r="N4" s="5"/>
      <c r="O4" s="5">
        <v>1</v>
      </c>
      <c r="P4" s="5">
        <f>SUMIFS(I:I,B:B,Table5[[#This Row],[Bus]])</f>
        <v>38</v>
      </c>
      <c r="Q4" s="5">
        <f>45-Table5[[#This Row],[Current]]</f>
        <v>7</v>
      </c>
      <c r="R4" t="s">
        <v>1349</v>
      </c>
      <c r="S4" t="s">
        <v>1090</v>
      </c>
      <c r="U4">
        <v>1</v>
      </c>
      <c r="V4" t="s">
        <v>1089</v>
      </c>
      <c r="W4" t="s">
        <v>1090</v>
      </c>
      <c r="X4">
        <v>902891404</v>
      </c>
      <c r="AE4" t="s">
        <v>452</v>
      </c>
      <c r="AF4" t="s">
        <v>26</v>
      </c>
      <c r="AG4">
        <v>1</v>
      </c>
      <c r="AH4" t="s">
        <v>1229</v>
      </c>
      <c r="AI4" t="s">
        <v>1230</v>
      </c>
      <c r="AJ4" t="s">
        <v>1233</v>
      </c>
      <c r="AK4" t="s">
        <v>1200</v>
      </c>
      <c r="AL4" t="s">
        <v>1201</v>
      </c>
      <c r="AM4">
        <v>0</v>
      </c>
      <c r="AN4">
        <v>0</v>
      </c>
      <c r="AO4">
        <v>0</v>
      </c>
      <c r="AP4">
        <v>1</v>
      </c>
    </row>
    <row r="5" spans="1:42" x14ac:dyDescent="0.2">
      <c r="A5" t="s">
        <v>1350</v>
      </c>
      <c r="G5" s="12">
        <v>1</v>
      </c>
      <c r="H5" s="12">
        <v>2</v>
      </c>
      <c r="I5" s="12">
        <v>13</v>
      </c>
      <c r="L5">
        <f t="shared" si="0"/>
        <v>0</v>
      </c>
      <c r="N5" s="5"/>
      <c r="O5" s="22">
        <v>2</v>
      </c>
      <c r="P5" s="22">
        <f>SUMIFS(I:I,B:B,Table5[[#This Row],[Bus]])</f>
        <v>37</v>
      </c>
      <c r="Q5" s="22">
        <f>45-Table5[[#This Row],[Current]]</f>
        <v>8</v>
      </c>
      <c r="R5" s="22" t="s">
        <v>1351</v>
      </c>
      <c r="S5" t="s">
        <v>549</v>
      </c>
      <c r="U5">
        <v>2</v>
      </c>
      <c r="V5" t="s">
        <v>548</v>
      </c>
      <c r="W5" t="s">
        <v>549</v>
      </c>
      <c r="X5">
        <v>375225989</v>
      </c>
      <c r="AE5" t="s">
        <v>452</v>
      </c>
      <c r="AF5" t="s">
        <v>26</v>
      </c>
      <c r="AG5">
        <v>1</v>
      </c>
      <c r="AH5" t="s">
        <v>1229</v>
      </c>
      <c r="AI5" t="s">
        <v>1230</v>
      </c>
      <c r="AJ5" t="s">
        <v>1241</v>
      </c>
      <c r="AK5" t="s">
        <v>1204</v>
      </c>
      <c r="AL5" t="s">
        <v>1205</v>
      </c>
      <c r="AM5">
        <v>0</v>
      </c>
      <c r="AN5">
        <v>0</v>
      </c>
      <c r="AO5">
        <v>0</v>
      </c>
      <c r="AP5">
        <v>1</v>
      </c>
    </row>
    <row r="6" spans="1:42" x14ac:dyDescent="0.2">
      <c r="A6" t="s">
        <v>24</v>
      </c>
      <c r="B6">
        <v>1</v>
      </c>
      <c r="G6" s="12">
        <v>1</v>
      </c>
      <c r="H6" s="12">
        <v>1</v>
      </c>
      <c r="I6" s="12">
        <v>38</v>
      </c>
      <c r="L6">
        <f t="shared" si="0"/>
        <v>0</v>
      </c>
      <c r="N6" s="5"/>
      <c r="O6">
        <v>3</v>
      </c>
      <c r="P6">
        <f>SUMIFS(I:I,B:B,Table5[[#This Row],[Bus]])</f>
        <v>38</v>
      </c>
      <c r="Q6">
        <f>45-Table5[[#This Row],[Current]]</f>
        <v>7</v>
      </c>
      <c r="R6" t="s">
        <v>1352</v>
      </c>
      <c r="S6" t="s">
        <v>1353</v>
      </c>
      <c r="U6">
        <v>3</v>
      </c>
      <c r="V6" t="s">
        <v>878</v>
      </c>
      <c r="W6" t="s">
        <v>879</v>
      </c>
      <c r="X6">
        <v>397459642</v>
      </c>
      <c r="AE6" t="s">
        <v>452</v>
      </c>
      <c r="AF6" t="s">
        <v>26</v>
      </c>
      <c r="AG6">
        <v>2</v>
      </c>
      <c r="AH6" t="s">
        <v>1229</v>
      </c>
      <c r="AI6" t="s">
        <v>1230</v>
      </c>
      <c r="AJ6" t="s">
        <v>1233</v>
      </c>
      <c r="AK6" t="s">
        <v>1191</v>
      </c>
      <c r="AL6" t="s">
        <v>1192</v>
      </c>
      <c r="AM6">
        <v>0</v>
      </c>
      <c r="AN6">
        <v>0</v>
      </c>
      <c r="AO6">
        <v>0</v>
      </c>
      <c r="AP6">
        <v>1</v>
      </c>
    </row>
    <row r="7" spans="1:42" x14ac:dyDescent="0.2">
      <c r="A7" t="s">
        <v>24</v>
      </c>
      <c r="B7">
        <v>2</v>
      </c>
      <c r="G7" s="12">
        <v>0</v>
      </c>
      <c r="H7" s="12">
        <v>0</v>
      </c>
      <c r="I7" s="12">
        <v>37</v>
      </c>
      <c r="L7">
        <f t="shared" si="0"/>
        <v>0</v>
      </c>
      <c r="N7" s="5"/>
      <c r="O7">
        <v>4</v>
      </c>
      <c r="P7">
        <f>SUMIFS(I:I,B:B,Table5[[#This Row],[Bus]])</f>
        <v>37</v>
      </c>
      <c r="Q7">
        <f>45-Table5[[#This Row],[Current]]</f>
        <v>8</v>
      </c>
      <c r="R7" t="s">
        <v>1354</v>
      </c>
      <c r="S7" t="s">
        <v>1355</v>
      </c>
      <c r="U7">
        <v>4</v>
      </c>
      <c r="V7" t="s">
        <v>552</v>
      </c>
      <c r="W7" t="s">
        <v>553</v>
      </c>
      <c r="X7">
        <v>945745944</v>
      </c>
      <c r="AE7" t="s">
        <v>452</v>
      </c>
      <c r="AF7" t="s">
        <v>26</v>
      </c>
      <c r="AG7">
        <v>2</v>
      </c>
      <c r="AH7" t="s">
        <v>1229</v>
      </c>
      <c r="AI7" t="s">
        <v>1230</v>
      </c>
      <c r="AJ7" t="s">
        <v>1233</v>
      </c>
      <c r="AK7" t="s">
        <v>1195</v>
      </c>
      <c r="AL7" t="s">
        <v>1196</v>
      </c>
      <c r="AM7">
        <v>0</v>
      </c>
      <c r="AN7">
        <v>0</v>
      </c>
      <c r="AO7">
        <v>0</v>
      </c>
      <c r="AP7">
        <v>1</v>
      </c>
    </row>
    <row r="8" spans="1:42" x14ac:dyDescent="0.2">
      <c r="A8" t="s">
        <v>24</v>
      </c>
      <c r="B8">
        <v>3</v>
      </c>
      <c r="G8" s="12">
        <v>5</v>
      </c>
      <c r="H8" s="12">
        <v>6</v>
      </c>
      <c r="I8" s="12">
        <v>38</v>
      </c>
      <c r="L8">
        <f t="shared" si="0"/>
        <v>0</v>
      </c>
      <c r="N8" s="5"/>
      <c r="O8">
        <v>5</v>
      </c>
      <c r="P8">
        <f>SUMIFS(I:I,B:B,Table5[[#This Row],[Bus]])</f>
        <v>31</v>
      </c>
      <c r="Q8">
        <f>45-Table5[[#This Row],[Current]]</f>
        <v>14</v>
      </c>
      <c r="R8" t="s">
        <v>1356</v>
      </c>
      <c r="S8" t="s">
        <v>1357</v>
      </c>
      <c r="U8">
        <v>5</v>
      </c>
      <c r="V8" t="s">
        <v>388</v>
      </c>
      <c r="W8" t="s">
        <v>389</v>
      </c>
      <c r="X8">
        <v>355327017</v>
      </c>
      <c r="AE8" t="s">
        <v>452</v>
      </c>
      <c r="AF8" t="s">
        <v>26</v>
      </c>
      <c r="AG8">
        <v>31</v>
      </c>
      <c r="AH8" t="s">
        <v>1229</v>
      </c>
      <c r="AI8" t="s">
        <v>1230</v>
      </c>
      <c r="AJ8" t="s">
        <v>1236</v>
      </c>
      <c r="AK8" t="s">
        <v>86</v>
      </c>
      <c r="AL8" t="s">
        <v>87</v>
      </c>
      <c r="AM8">
        <v>0</v>
      </c>
      <c r="AN8">
        <v>0</v>
      </c>
      <c r="AO8">
        <v>0</v>
      </c>
      <c r="AP8">
        <v>1</v>
      </c>
    </row>
    <row r="9" spans="1:42" x14ac:dyDescent="0.2">
      <c r="A9" t="s">
        <v>24</v>
      </c>
      <c r="B9">
        <v>4</v>
      </c>
      <c r="G9" s="12">
        <v>0</v>
      </c>
      <c r="H9" s="12">
        <v>2</v>
      </c>
      <c r="I9" s="12">
        <v>37</v>
      </c>
      <c r="L9">
        <f t="shared" si="0"/>
        <v>0</v>
      </c>
      <c r="N9" s="5"/>
      <c r="O9">
        <v>6</v>
      </c>
      <c r="P9">
        <f>SUMIFS(I:I,B:B,Table5[[#This Row],[Bus]])</f>
        <v>37</v>
      </c>
      <c r="Q9">
        <f>45-Table5[[#This Row],[Current]]</f>
        <v>8</v>
      </c>
      <c r="R9" t="s">
        <v>1358</v>
      </c>
      <c r="S9" t="s">
        <v>1359</v>
      </c>
      <c r="U9">
        <v>6</v>
      </c>
      <c r="V9" t="s">
        <v>221</v>
      </c>
      <c r="W9" t="s">
        <v>1360</v>
      </c>
      <c r="X9">
        <v>886311686</v>
      </c>
      <c r="AE9" t="s">
        <v>452</v>
      </c>
      <c r="AF9" t="s">
        <v>26</v>
      </c>
      <c r="AG9">
        <v>31</v>
      </c>
      <c r="AH9" t="s">
        <v>1229</v>
      </c>
      <c r="AI9" t="s">
        <v>1230</v>
      </c>
      <c r="AJ9" t="s">
        <v>1238</v>
      </c>
      <c r="AK9" t="s">
        <v>958</v>
      </c>
      <c r="AL9" t="s">
        <v>959</v>
      </c>
      <c r="AM9">
        <v>0</v>
      </c>
      <c r="AN9">
        <v>0</v>
      </c>
      <c r="AO9">
        <v>0</v>
      </c>
      <c r="AP9">
        <v>1</v>
      </c>
    </row>
    <row r="10" spans="1:42" x14ac:dyDescent="0.2">
      <c r="A10" t="s">
        <v>24</v>
      </c>
      <c r="B10">
        <v>5</v>
      </c>
      <c r="G10" s="12">
        <v>0</v>
      </c>
      <c r="H10" s="12">
        <v>1</v>
      </c>
      <c r="I10" s="12">
        <v>31</v>
      </c>
      <c r="L10">
        <f t="shared" si="0"/>
        <v>0</v>
      </c>
      <c r="N10" s="5"/>
      <c r="O10" s="5">
        <v>7</v>
      </c>
      <c r="P10" s="5">
        <f>SUMIFS(I:I,B:B,Table5[[#This Row],[Bus]])</f>
        <v>29</v>
      </c>
      <c r="Q10" s="5">
        <f>45-Table5[[#This Row],[Current]]</f>
        <v>16</v>
      </c>
      <c r="R10" s="5" t="s">
        <v>1361</v>
      </c>
      <c r="S10" t="s">
        <v>609</v>
      </c>
      <c r="U10">
        <v>7</v>
      </c>
      <c r="V10" t="s">
        <v>608</v>
      </c>
      <c r="W10" t="s">
        <v>609</v>
      </c>
      <c r="X10">
        <v>799010869</v>
      </c>
      <c r="AE10" t="s">
        <v>452</v>
      </c>
      <c r="AF10" t="s">
        <v>26</v>
      </c>
      <c r="AG10">
        <v>32</v>
      </c>
      <c r="AH10" t="s">
        <v>1229</v>
      </c>
      <c r="AI10" t="s">
        <v>1230</v>
      </c>
      <c r="AJ10" t="s">
        <v>1238</v>
      </c>
      <c r="AK10" t="s">
        <v>954</v>
      </c>
      <c r="AL10" t="s">
        <v>955</v>
      </c>
      <c r="AM10">
        <v>0</v>
      </c>
      <c r="AN10">
        <v>0</v>
      </c>
      <c r="AO10">
        <v>0</v>
      </c>
      <c r="AP10">
        <v>1</v>
      </c>
    </row>
    <row r="11" spans="1:42" x14ac:dyDescent="0.2">
      <c r="A11" t="s">
        <v>24</v>
      </c>
      <c r="B11">
        <v>6</v>
      </c>
      <c r="G11" s="12">
        <v>1</v>
      </c>
      <c r="H11" s="12">
        <v>1</v>
      </c>
      <c r="I11" s="12">
        <v>37</v>
      </c>
      <c r="L11">
        <f t="shared" si="0"/>
        <v>0</v>
      </c>
      <c r="N11" s="5"/>
      <c r="O11">
        <v>8</v>
      </c>
      <c r="P11">
        <f>SUMIFS(I:I,B:B,Table5[[#This Row],[Bus]])</f>
        <v>34</v>
      </c>
      <c r="Q11">
        <f>45-Table5[[#This Row],[Current]]</f>
        <v>11</v>
      </c>
      <c r="R11" t="s">
        <v>1362</v>
      </c>
      <c r="S11" t="s">
        <v>1363</v>
      </c>
      <c r="U11">
        <v>8</v>
      </c>
      <c r="V11" t="s">
        <v>243</v>
      </c>
      <c r="W11" t="s">
        <v>244</v>
      </c>
      <c r="X11">
        <v>763889811</v>
      </c>
      <c r="AE11" t="s">
        <v>452</v>
      </c>
      <c r="AF11" t="s">
        <v>26</v>
      </c>
      <c r="AG11">
        <v>32</v>
      </c>
      <c r="AH11" t="s">
        <v>1229</v>
      </c>
      <c r="AI11" t="s">
        <v>1230</v>
      </c>
      <c r="AJ11" t="s">
        <v>1238</v>
      </c>
      <c r="AK11" t="s">
        <v>950</v>
      </c>
      <c r="AL11" t="s">
        <v>951</v>
      </c>
      <c r="AM11">
        <v>0</v>
      </c>
      <c r="AN11">
        <v>0</v>
      </c>
      <c r="AO11">
        <v>0</v>
      </c>
      <c r="AP11">
        <v>1</v>
      </c>
    </row>
    <row r="12" spans="1:42" x14ac:dyDescent="0.2">
      <c r="A12" t="s">
        <v>24</v>
      </c>
      <c r="B12">
        <v>7</v>
      </c>
      <c r="G12" s="12">
        <v>0</v>
      </c>
      <c r="H12" s="12">
        <v>0</v>
      </c>
      <c r="I12" s="12">
        <v>29</v>
      </c>
      <c r="L12">
        <f t="shared" si="0"/>
        <v>0</v>
      </c>
      <c r="N12" s="5"/>
      <c r="AE12" t="s">
        <v>452</v>
      </c>
      <c r="AF12" t="s">
        <v>26</v>
      </c>
      <c r="AG12">
        <v>33</v>
      </c>
      <c r="AH12" t="s">
        <v>1229</v>
      </c>
      <c r="AI12" t="s">
        <v>1230</v>
      </c>
      <c r="AJ12" t="s">
        <v>1238</v>
      </c>
      <c r="AK12" t="s">
        <v>942</v>
      </c>
      <c r="AL12" t="s">
        <v>943</v>
      </c>
      <c r="AM12">
        <v>0</v>
      </c>
      <c r="AN12">
        <v>0</v>
      </c>
      <c r="AO12">
        <v>0</v>
      </c>
      <c r="AP12">
        <v>1</v>
      </c>
    </row>
    <row r="13" spans="1:42" x14ac:dyDescent="0.2">
      <c r="A13" t="s">
        <v>24</v>
      </c>
      <c r="B13">
        <v>8</v>
      </c>
      <c r="C13" t="s">
        <v>1305</v>
      </c>
      <c r="D13" t="s">
        <v>1306</v>
      </c>
      <c r="E13" t="s">
        <v>1307</v>
      </c>
      <c r="F13" t="s">
        <v>260</v>
      </c>
      <c r="G13" s="12">
        <v>0</v>
      </c>
      <c r="H13" s="12">
        <v>0</v>
      </c>
      <c r="I13" s="12">
        <v>1</v>
      </c>
      <c r="L13">
        <f t="shared" si="0"/>
        <v>0.5</v>
      </c>
      <c r="AE13" t="s">
        <v>452</v>
      </c>
      <c r="AF13" t="s">
        <v>26</v>
      </c>
      <c r="AG13">
        <v>33</v>
      </c>
      <c r="AH13" t="s">
        <v>1229</v>
      </c>
      <c r="AI13" t="s">
        <v>1230</v>
      </c>
      <c r="AJ13" t="s">
        <v>1238</v>
      </c>
      <c r="AK13" t="s">
        <v>946</v>
      </c>
      <c r="AL13" t="s">
        <v>947</v>
      </c>
      <c r="AM13">
        <v>0</v>
      </c>
      <c r="AN13">
        <v>0</v>
      </c>
      <c r="AO13">
        <v>0</v>
      </c>
      <c r="AP13">
        <v>1</v>
      </c>
    </row>
    <row r="14" spans="1:42" x14ac:dyDescent="0.2">
      <c r="A14" t="s">
        <v>24</v>
      </c>
      <c r="B14">
        <v>8</v>
      </c>
      <c r="C14" t="s">
        <v>1305</v>
      </c>
      <c r="D14" t="s">
        <v>1306</v>
      </c>
      <c r="E14" t="s">
        <v>1307</v>
      </c>
      <c r="F14" t="s">
        <v>327</v>
      </c>
      <c r="G14" s="12">
        <v>0</v>
      </c>
      <c r="H14" s="12">
        <v>0</v>
      </c>
      <c r="I14" s="12">
        <v>1</v>
      </c>
      <c r="L14">
        <f t="shared" si="0"/>
        <v>0.5</v>
      </c>
      <c r="AE14" t="s">
        <v>452</v>
      </c>
      <c r="AF14" t="s">
        <v>26</v>
      </c>
      <c r="AG14">
        <v>34</v>
      </c>
      <c r="AH14" t="s">
        <v>1229</v>
      </c>
      <c r="AI14" t="s">
        <v>1230</v>
      </c>
      <c r="AJ14" t="s">
        <v>1238</v>
      </c>
      <c r="AK14" t="s">
        <v>938</v>
      </c>
      <c r="AL14" t="s">
        <v>939</v>
      </c>
      <c r="AM14">
        <v>0</v>
      </c>
      <c r="AN14">
        <v>0</v>
      </c>
      <c r="AO14">
        <v>0</v>
      </c>
      <c r="AP14">
        <v>1</v>
      </c>
    </row>
    <row r="15" spans="1:42" x14ac:dyDescent="0.2">
      <c r="A15" t="s">
        <v>24</v>
      </c>
      <c r="B15">
        <v>8</v>
      </c>
      <c r="C15" t="s">
        <v>1273</v>
      </c>
      <c r="D15" t="s">
        <v>1281</v>
      </c>
      <c r="E15" t="s">
        <v>1294</v>
      </c>
      <c r="F15" t="s">
        <v>364</v>
      </c>
      <c r="G15" s="12">
        <v>0</v>
      </c>
      <c r="H15" s="12">
        <v>0</v>
      </c>
      <c r="I15" s="12">
        <v>1</v>
      </c>
      <c r="L15">
        <f t="shared" si="0"/>
        <v>0.5</v>
      </c>
      <c r="R15" t="s">
        <v>1364</v>
      </c>
      <c r="AE15" t="s">
        <v>452</v>
      </c>
      <c r="AF15" t="s">
        <v>26</v>
      </c>
      <c r="AG15">
        <v>34</v>
      </c>
      <c r="AH15" t="s">
        <v>1229</v>
      </c>
      <c r="AI15" t="s">
        <v>1230</v>
      </c>
      <c r="AJ15" t="s">
        <v>1238</v>
      </c>
      <c r="AK15" t="s">
        <v>934</v>
      </c>
      <c r="AL15" t="s">
        <v>935</v>
      </c>
      <c r="AM15">
        <v>0</v>
      </c>
      <c r="AN15">
        <v>0</v>
      </c>
      <c r="AO15">
        <v>0</v>
      </c>
      <c r="AP15">
        <v>1</v>
      </c>
    </row>
    <row r="16" spans="1:42" x14ac:dyDescent="0.2">
      <c r="A16" t="s">
        <v>24</v>
      </c>
      <c r="B16">
        <v>8</v>
      </c>
      <c r="C16" t="s">
        <v>1229</v>
      </c>
      <c r="D16" t="s">
        <v>1230</v>
      </c>
      <c r="E16" t="s">
        <v>1321</v>
      </c>
      <c r="F16" t="s">
        <v>248</v>
      </c>
      <c r="G16" s="12">
        <v>0</v>
      </c>
      <c r="H16" s="12">
        <v>0</v>
      </c>
      <c r="I16" s="12">
        <v>1</v>
      </c>
      <c r="L16">
        <f t="shared" si="0"/>
        <v>0.5</v>
      </c>
      <c r="R16" t="s">
        <v>1365</v>
      </c>
      <c r="S16" t="s">
        <v>1366</v>
      </c>
      <c r="AE16" t="s">
        <v>452</v>
      </c>
      <c r="AF16" t="s">
        <v>26</v>
      </c>
      <c r="AG16">
        <v>44</v>
      </c>
      <c r="AH16" t="s">
        <v>1229</v>
      </c>
      <c r="AI16" t="s">
        <v>1230</v>
      </c>
      <c r="AJ16" t="s">
        <v>1241</v>
      </c>
      <c r="AK16" t="s">
        <v>857</v>
      </c>
      <c r="AL16" t="s">
        <v>858</v>
      </c>
      <c r="AM16">
        <v>0</v>
      </c>
      <c r="AN16">
        <v>0</v>
      </c>
      <c r="AO16">
        <v>0</v>
      </c>
      <c r="AP16">
        <v>1</v>
      </c>
    </row>
    <row r="17" spans="1:42" x14ac:dyDescent="0.2">
      <c r="A17" t="s">
        <v>24</v>
      </c>
      <c r="B17">
        <v>8</v>
      </c>
      <c r="C17" t="s">
        <v>1229</v>
      </c>
      <c r="D17" t="s">
        <v>1263</v>
      </c>
      <c r="E17" t="s">
        <v>1311</v>
      </c>
      <c r="F17" t="s">
        <v>299</v>
      </c>
      <c r="G17" s="12">
        <v>0</v>
      </c>
      <c r="H17" s="12">
        <v>0</v>
      </c>
      <c r="I17" s="12">
        <v>1</v>
      </c>
      <c r="L17">
        <f t="shared" si="0"/>
        <v>0.5</v>
      </c>
      <c r="R17" t="s">
        <v>1367</v>
      </c>
      <c r="AE17" t="s">
        <v>452</v>
      </c>
      <c r="AF17" t="s">
        <v>26</v>
      </c>
      <c r="AG17">
        <v>44</v>
      </c>
      <c r="AH17" t="s">
        <v>1229</v>
      </c>
      <c r="AI17" t="s">
        <v>1230</v>
      </c>
      <c r="AJ17" t="s">
        <v>1241</v>
      </c>
      <c r="AK17" t="s">
        <v>861</v>
      </c>
      <c r="AL17" t="s">
        <v>862</v>
      </c>
      <c r="AM17">
        <v>0</v>
      </c>
      <c r="AN17">
        <v>0</v>
      </c>
      <c r="AO17">
        <v>0</v>
      </c>
      <c r="AP17">
        <v>1</v>
      </c>
    </row>
    <row r="18" spans="1:42" x14ac:dyDescent="0.2">
      <c r="A18" t="s">
        <v>24</v>
      </c>
      <c r="B18">
        <v>8</v>
      </c>
      <c r="C18" t="s">
        <v>1229</v>
      </c>
      <c r="D18" t="s">
        <v>1263</v>
      </c>
      <c r="E18" t="s">
        <v>1313</v>
      </c>
      <c r="F18" t="s">
        <v>291</v>
      </c>
      <c r="G18" s="12">
        <v>0</v>
      </c>
      <c r="H18" s="12">
        <v>0</v>
      </c>
      <c r="I18" s="12">
        <v>1</v>
      </c>
      <c r="L18">
        <f t="shared" si="0"/>
        <v>0.5</v>
      </c>
      <c r="R18" s="15" t="s">
        <v>1368</v>
      </c>
      <c r="AE18" t="s">
        <v>452</v>
      </c>
      <c r="AF18" t="s">
        <v>26</v>
      </c>
      <c r="AG18">
        <v>45</v>
      </c>
      <c r="AH18" t="s">
        <v>1229</v>
      </c>
      <c r="AI18" t="s">
        <v>1230</v>
      </c>
      <c r="AJ18" t="s">
        <v>1231</v>
      </c>
      <c r="AK18" t="s">
        <v>849</v>
      </c>
      <c r="AL18" t="s">
        <v>850</v>
      </c>
      <c r="AM18">
        <v>0</v>
      </c>
      <c r="AN18">
        <v>0</v>
      </c>
      <c r="AO18">
        <v>0</v>
      </c>
      <c r="AP18">
        <v>1</v>
      </c>
    </row>
    <row r="19" spans="1:42" x14ac:dyDescent="0.2">
      <c r="A19" t="s">
        <v>24</v>
      </c>
      <c r="B19">
        <v>8</v>
      </c>
      <c r="C19" t="s">
        <v>1229</v>
      </c>
      <c r="D19" t="s">
        <v>1263</v>
      </c>
      <c r="E19" t="s">
        <v>1312</v>
      </c>
      <c r="F19" t="s">
        <v>303</v>
      </c>
      <c r="G19" s="12">
        <v>0</v>
      </c>
      <c r="H19" s="12">
        <v>0</v>
      </c>
      <c r="I19" s="12">
        <v>1</v>
      </c>
      <c r="L19">
        <f t="shared" si="0"/>
        <v>0.5</v>
      </c>
      <c r="R19" t="s">
        <v>1369</v>
      </c>
      <c r="AE19" t="s">
        <v>452</v>
      </c>
      <c r="AF19" t="s">
        <v>26</v>
      </c>
      <c r="AG19">
        <v>45</v>
      </c>
      <c r="AH19" t="s">
        <v>1229</v>
      </c>
      <c r="AI19" t="s">
        <v>1230</v>
      </c>
      <c r="AJ19" t="s">
        <v>1240</v>
      </c>
      <c r="AK19" t="s">
        <v>853</v>
      </c>
      <c r="AL19" t="s">
        <v>854</v>
      </c>
      <c r="AM19">
        <v>0</v>
      </c>
      <c r="AN19">
        <v>0</v>
      </c>
      <c r="AO19">
        <v>0</v>
      </c>
      <c r="AP19">
        <v>1</v>
      </c>
    </row>
    <row r="20" spans="1:42" x14ac:dyDescent="0.2">
      <c r="A20" t="s">
        <v>24</v>
      </c>
      <c r="B20">
        <v>8</v>
      </c>
      <c r="C20" t="s">
        <v>1229</v>
      </c>
      <c r="D20" t="s">
        <v>1263</v>
      </c>
      <c r="E20" t="s">
        <v>1312</v>
      </c>
      <c r="F20" t="s">
        <v>281</v>
      </c>
      <c r="G20" s="12">
        <v>0</v>
      </c>
      <c r="H20" s="12">
        <v>1</v>
      </c>
      <c r="I20" s="12">
        <v>2</v>
      </c>
      <c r="L20">
        <f t="shared" si="0"/>
        <v>1</v>
      </c>
      <c r="AE20" t="s">
        <v>452</v>
      </c>
      <c r="AF20" t="s">
        <v>26</v>
      </c>
      <c r="AG20">
        <v>60</v>
      </c>
      <c r="AH20" t="s">
        <v>1229</v>
      </c>
      <c r="AI20" t="s">
        <v>1230</v>
      </c>
      <c r="AJ20" t="s">
        <v>1246</v>
      </c>
      <c r="AK20" t="s">
        <v>740</v>
      </c>
      <c r="AL20" t="s">
        <v>741</v>
      </c>
      <c r="AM20">
        <v>0</v>
      </c>
      <c r="AN20">
        <v>0</v>
      </c>
      <c r="AO20">
        <v>0</v>
      </c>
      <c r="AP20">
        <v>1</v>
      </c>
    </row>
    <row r="21" spans="1:42" x14ac:dyDescent="0.2">
      <c r="A21" t="s">
        <v>24</v>
      </c>
      <c r="B21">
        <v>8</v>
      </c>
      <c r="C21" t="s">
        <v>1229</v>
      </c>
      <c r="D21" t="s">
        <v>1263</v>
      </c>
      <c r="E21" t="s">
        <v>1312</v>
      </c>
      <c r="F21" t="s">
        <v>295</v>
      </c>
      <c r="G21" s="12">
        <v>0</v>
      </c>
      <c r="H21" s="12">
        <v>0</v>
      </c>
      <c r="I21" s="12">
        <v>1</v>
      </c>
      <c r="L21">
        <f t="shared" si="0"/>
        <v>0.5</v>
      </c>
      <c r="AE21" t="s">
        <v>452</v>
      </c>
      <c r="AF21" t="s">
        <v>26</v>
      </c>
      <c r="AG21">
        <v>60</v>
      </c>
      <c r="AH21" t="s">
        <v>1229</v>
      </c>
      <c r="AI21" t="s">
        <v>1230</v>
      </c>
      <c r="AJ21" t="s">
        <v>1244</v>
      </c>
      <c r="AK21" t="s">
        <v>736</v>
      </c>
      <c r="AL21" t="s">
        <v>737</v>
      </c>
      <c r="AM21">
        <v>0</v>
      </c>
      <c r="AN21">
        <v>0</v>
      </c>
      <c r="AO21">
        <v>0</v>
      </c>
      <c r="AP21">
        <v>1</v>
      </c>
    </row>
    <row r="22" spans="1:42" x14ac:dyDescent="0.2">
      <c r="A22" t="s">
        <v>24</v>
      </c>
      <c r="B22">
        <v>8</v>
      </c>
      <c r="C22" t="s">
        <v>1229</v>
      </c>
      <c r="D22" t="s">
        <v>1263</v>
      </c>
      <c r="E22" t="s">
        <v>1312</v>
      </c>
      <c r="F22" t="s">
        <v>286</v>
      </c>
      <c r="G22" s="12">
        <v>0</v>
      </c>
      <c r="H22" s="12">
        <v>1</v>
      </c>
      <c r="I22" s="12">
        <v>2</v>
      </c>
      <c r="L22">
        <f t="shared" si="0"/>
        <v>1</v>
      </c>
      <c r="AE22" t="s">
        <v>452</v>
      </c>
      <c r="AF22" t="s">
        <v>26</v>
      </c>
      <c r="AG22">
        <v>61</v>
      </c>
      <c r="AH22" t="s">
        <v>1229</v>
      </c>
      <c r="AI22" t="s">
        <v>1230</v>
      </c>
      <c r="AJ22" t="s">
        <v>1241</v>
      </c>
      <c r="AK22" t="s">
        <v>543</v>
      </c>
      <c r="AL22" t="s">
        <v>544</v>
      </c>
      <c r="AM22">
        <v>0</v>
      </c>
      <c r="AN22">
        <v>0</v>
      </c>
      <c r="AO22">
        <v>0</v>
      </c>
      <c r="AP22">
        <v>1</v>
      </c>
    </row>
    <row r="23" spans="1:42" x14ac:dyDescent="0.2">
      <c r="A23" t="s">
        <v>24</v>
      </c>
      <c r="B23">
        <v>8</v>
      </c>
      <c r="C23" t="s">
        <v>1229</v>
      </c>
      <c r="D23" t="s">
        <v>1263</v>
      </c>
      <c r="E23" t="s">
        <v>1300</v>
      </c>
      <c r="F23" t="s">
        <v>359</v>
      </c>
      <c r="G23" s="12">
        <v>0</v>
      </c>
      <c r="H23" s="12">
        <v>0</v>
      </c>
      <c r="I23" s="12">
        <v>1</v>
      </c>
      <c r="L23">
        <f t="shared" si="0"/>
        <v>0.5</v>
      </c>
      <c r="O23" s="13" t="s">
        <v>1343</v>
      </c>
      <c r="P23" s="14" t="s">
        <v>1344</v>
      </c>
      <c r="Q23" s="14" t="s">
        <v>1345</v>
      </c>
      <c r="R23" s="14" t="s">
        <v>1346</v>
      </c>
      <c r="AE23" t="s">
        <v>452</v>
      </c>
      <c r="AF23" t="s">
        <v>26</v>
      </c>
      <c r="AG23">
        <v>61</v>
      </c>
      <c r="AH23" t="s">
        <v>1229</v>
      </c>
      <c r="AI23" t="s">
        <v>1262</v>
      </c>
      <c r="AJ23" t="s">
        <v>1239</v>
      </c>
      <c r="AK23" t="s">
        <v>728</v>
      </c>
      <c r="AL23" t="s">
        <v>729</v>
      </c>
      <c r="AM23">
        <v>0</v>
      </c>
      <c r="AN23">
        <v>0</v>
      </c>
      <c r="AO23">
        <v>0</v>
      </c>
      <c r="AP23">
        <v>1</v>
      </c>
    </row>
    <row r="24" spans="1:42" x14ac:dyDescent="0.2">
      <c r="A24" t="s">
        <v>24</v>
      </c>
      <c r="B24">
        <v>8</v>
      </c>
      <c r="C24" t="s">
        <v>1229</v>
      </c>
      <c r="D24" t="s">
        <v>1263</v>
      </c>
      <c r="E24" t="s">
        <v>1300</v>
      </c>
      <c r="F24" t="s">
        <v>307</v>
      </c>
      <c r="G24" s="12">
        <v>0</v>
      </c>
      <c r="H24" s="12">
        <v>0</v>
      </c>
      <c r="I24" s="12">
        <v>1</v>
      </c>
      <c r="L24">
        <f t="shared" si="0"/>
        <v>0.5</v>
      </c>
      <c r="O24" s="16">
        <v>1</v>
      </c>
      <c r="P24" s="17">
        <f>SUMIFS(I:I,B:B,Table5[[#This Row],[Bus]])</f>
        <v>0</v>
      </c>
      <c r="Q24" s="17" t="e">
        <f>45-Table5[[#This Row],[Current]]</f>
        <v>#VALUE!</v>
      </c>
      <c r="R24" s="18" t="s">
        <v>1370</v>
      </c>
      <c r="AE24" t="s">
        <v>452</v>
      </c>
      <c r="AF24" t="s">
        <v>26</v>
      </c>
      <c r="AG24">
        <v>62</v>
      </c>
      <c r="AH24" t="s">
        <v>1229</v>
      </c>
      <c r="AI24" t="s">
        <v>1230</v>
      </c>
      <c r="AJ24" t="s">
        <v>1241</v>
      </c>
      <c r="AK24" t="s">
        <v>720</v>
      </c>
      <c r="AL24" t="s">
        <v>721</v>
      </c>
      <c r="AM24">
        <v>0</v>
      </c>
      <c r="AN24">
        <v>0</v>
      </c>
      <c r="AO24">
        <v>0</v>
      </c>
      <c r="AP24">
        <v>1</v>
      </c>
    </row>
    <row r="25" spans="1:42" x14ac:dyDescent="0.2">
      <c r="A25" t="s">
        <v>24</v>
      </c>
      <c r="B25">
        <v>8</v>
      </c>
      <c r="C25" t="s">
        <v>1229</v>
      </c>
      <c r="D25" t="s">
        <v>1263</v>
      </c>
      <c r="E25" t="s">
        <v>1300</v>
      </c>
      <c r="F25" t="s">
        <v>311</v>
      </c>
      <c r="G25" s="12">
        <v>0</v>
      </c>
      <c r="H25" s="12">
        <v>0</v>
      </c>
      <c r="I25" s="12">
        <v>1</v>
      </c>
      <c r="L25">
        <f t="shared" si="0"/>
        <v>0.5</v>
      </c>
      <c r="O25" s="19">
        <v>2</v>
      </c>
      <c r="P25" s="15">
        <f>SUMIFS(I:I,B:B,Table5[[#This Row],[Bus]])</f>
        <v>0</v>
      </c>
      <c r="Q25" s="15" t="e">
        <f>45-Table5[[#This Row],[Current]]</f>
        <v>#VALUE!</v>
      </c>
      <c r="R25" s="15" t="s">
        <v>1351</v>
      </c>
      <c r="AE25" t="s">
        <v>452</v>
      </c>
      <c r="AF25" t="s">
        <v>26</v>
      </c>
      <c r="AG25">
        <v>62</v>
      </c>
      <c r="AH25" t="s">
        <v>1229</v>
      </c>
      <c r="AI25" t="s">
        <v>1230</v>
      </c>
      <c r="AJ25" t="s">
        <v>1241</v>
      </c>
      <c r="AK25" t="s">
        <v>724</v>
      </c>
      <c r="AL25" t="s">
        <v>725</v>
      </c>
      <c r="AM25">
        <v>0</v>
      </c>
      <c r="AN25">
        <v>0</v>
      </c>
      <c r="AO25">
        <v>0</v>
      </c>
      <c r="AP25">
        <v>1</v>
      </c>
    </row>
    <row r="26" spans="1:42" x14ac:dyDescent="0.2">
      <c r="A26" t="s">
        <v>24</v>
      </c>
      <c r="B26">
        <v>8</v>
      </c>
      <c r="C26" t="s">
        <v>1229</v>
      </c>
      <c r="D26" t="s">
        <v>1263</v>
      </c>
      <c r="E26" t="s">
        <v>1264</v>
      </c>
      <c r="F26" t="s">
        <v>528</v>
      </c>
      <c r="G26" s="12">
        <v>0</v>
      </c>
      <c r="H26" s="12">
        <v>0</v>
      </c>
      <c r="I26" s="12">
        <v>1</v>
      </c>
      <c r="L26">
        <f t="shared" si="0"/>
        <v>0.5</v>
      </c>
      <c r="O26" s="20">
        <v>3</v>
      </c>
      <c r="P26" s="18">
        <f>SUMIFS(I:I,B:B,Table5[[#This Row],[Bus]])</f>
        <v>0</v>
      </c>
      <c r="Q26" s="18" t="e">
        <f>45-Table5[[#This Row],[Current]]</f>
        <v>#VALUE!</v>
      </c>
      <c r="R26" s="18" t="s">
        <v>1371</v>
      </c>
      <c r="AE26" t="s">
        <v>452</v>
      </c>
      <c r="AF26" t="s">
        <v>26</v>
      </c>
      <c r="AG26">
        <v>68</v>
      </c>
      <c r="AH26" t="s">
        <v>1229</v>
      </c>
      <c r="AI26" t="s">
        <v>1247</v>
      </c>
      <c r="AJ26" t="s">
        <v>1248</v>
      </c>
      <c r="AK26" t="s">
        <v>676</v>
      </c>
      <c r="AL26" t="s">
        <v>677</v>
      </c>
      <c r="AM26">
        <v>0</v>
      </c>
      <c r="AN26">
        <v>0</v>
      </c>
      <c r="AO26">
        <v>0</v>
      </c>
      <c r="AP26">
        <v>1</v>
      </c>
    </row>
    <row r="27" spans="1:42" x14ac:dyDescent="0.2">
      <c r="A27" t="s">
        <v>24</v>
      </c>
      <c r="B27">
        <v>8</v>
      </c>
      <c r="C27" t="s">
        <v>1229</v>
      </c>
      <c r="D27" t="s">
        <v>1262</v>
      </c>
      <c r="E27" s="5" t="s">
        <v>1265</v>
      </c>
      <c r="F27" s="5" t="s">
        <v>520</v>
      </c>
      <c r="G27" s="12">
        <v>0</v>
      </c>
      <c r="H27" s="12">
        <v>0</v>
      </c>
      <c r="I27" s="12">
        <v>1</v>
      </c>
      <c r="L27">
        <f t="shared" si="0"/>
        <v>0.5</v>
      </c>
      <c r="O27" s="19">
        <v>4</v>
      </c>
      <c r="P27" s="15">
        <f>SUMIFS(I:I,B:B,Table5[[#This Row],[Bus]])</f>
        <v>0</v>
      </c>
      <c r="Q27" s="15" t="e">
        <f>45-Table5[[#This Row],[Current]]</f>
        <v>#VALUE!</v>
      </c>
      <c r="R27" s="15" t="s">
        <v>1372</v>
      </c>
      <c r="AE27" t="s">
        <v>452</v>
      </c>
      <c r="AF27" t="s">
        <v>26</v>
      </c>
      <c r="AG27">
        <v>69</v>
      </c>
      <c r="AH27" t="s">
        <v>1229</v>
      </c>
      <c r="AI27" t="s">
        <v>1230</v>
      </c>
      <c r="AJ27" t="s">
        <v>1241</v>
      </c>
      <c r="AK27" t="s">
        <v>664</v>
      </c>
      <c r="AL27" t="s">
        <v>665</v>
      </c>
      <c r="AM27">
        <v>0</v>
      </c>
      <c r="AN27">
        <v>0</v>
      </c>
      <c r="AO27">
        <v>0</v>
      </c>
      <c r="AP27">
        <v>1</v>
      </c>
    </row>
    <row r="28" spans="1:42" x14ac:dyDescent="0.2">
      <c r="A28" t="s">
        <v>24</v>
      </c>
      <c r="B28">
        <v>8</v>
      </c>
      <c r="C28" t="s">
        <v>1229</v>
      </c>
      <c r="D28" t="s">
        <v>1262</v>
      </c>
      <c r="E28" t="s">
        <v>1304</v>
      </c>
      <c r="F28" t="s">
        <v>323</v>
      </c>
      <c r="G28" s="12">
        <v>0</v>
      </c>
      <c r="H28" s="12">
        <v>0</v>
      </c>
      <c r="I28" s="12">
        <v>1</v>
      </c>
      <c r="L28">
        <f t="shared" si="0"/>
        <v>0.5</v>
      </c>
      <c r="O28" s="20">
        <v>5</v>
      </c>
      <c r="P28" s="18">
        <f>SUMIFS(I:I,B:B,Table5[[#This Row],[Bus]])</f>
        <v>0</v>
      </c>
      <c r="Q28" s="18" t="e">
        <f>45-Table5[[#This Row],[Current]]</f>
        <v>#VALUE!</v>
      </c>
      <c r="R28" s="18" t="s">
        <v>1356</v>
      </c>
      <c r="AE28" t="s">
        <v>452</v>
      </c>
      <c r="AF28" t="s">
        <v>26</v>
      </c>
      <c r="AG28">
        <v>69</v>
      </c>
      <c r="AH28" t="s">
        <v>1229</v>
      </c>
      <c r="AI28" t="s">
        <v>1230</v>
      </c>
      <c r="AJ28" t="s">
        <v>1241</v>
      </c>
      <c r="AK28" t="s">
        <v>668</v>
      </c>
      <c r="AL28" t="s">
        <v>669</v>
      </c>
      <c r="AM28">
        <v>0</v>
      </c>
      <c r="AN28">
        <v>0</v>
      </c>
      <c r="AO28">
        <v>0</v>
      </c>
      <c r="AP28">
        <v>1</v>
      </c>
    </row>
    <row r="29" spans="1:42" x14ac:dyDescent="0.2">
      <c r="A29" t="s">
        <v>24</v>
      </c>
      <c r="B29">
        <v>8</v>
      </c>
      <c r="C29" t="s">
        <v>1229</v>
      </c>
      <c r="D29" t="s">
        <v>1247</v>
      </c>
      <c r="E29" t="s">
        <v>1246</v>
      </c>
      <c r="F29" t="s">
        <v>516</v>
      </c>
      <c r="G29" s="12">
        <v>0</v>
      </c>
      <c r="H29" s="12">
        <v>0</v>
      </c>
      <c r="I29" s="12">
        <v>1</v>
      </c>
      <c r="L29">
        <f t="shared" si="0"/>
        <v>0.5</v>
      </c>
      <c r="O29" s="19">
        <v>6</v>
      </c>
      <c r="P29" s="15">
        <f>SUMIFS(I:I,B:B,Table5[[#This Row],[Bus]])</f>
        <v>0</v>
      </c>
      <c r="Q29" s="15" t="e">
        <f>45-Table5[[#This Row],[Current]]</f>
        <v>#VALUE!</v>
      </c>
      <c r="R29" s="15" t="s">
        <v>1358</v>
      </c>
      <c r="AE29" t="s">
        <v>452</v>
      </c>
      <c r="AF29" t="s">
        <v>26</v>
      </c>
      <c r="AG29">
        <v>82</v>
      </c>
      <c r="AH29" t="s">
        <v>1249</v>
      </c>
      <c r="AI29" t="s">
        <v>1254</v>
      </c>
      <c r="AJ29" t="s">
        <v>1255</v>
      </c>
      <c r="AK29" t="s">
        <v>582</v>
      </c>
      <c r="AL29" t="s">
        <v>583</v>
      </c>
      <c r="AM29">
        <v>0</v>
      </c>
      <c r="AN29">
        <v>0</v>
      </c>
      <c r="AO29">
        <v>0</v>
      </c>
      <c r="AP29">
        <v>1</v>
      </c>
    </row>
    <row r="30" spans="1:42" x14ac:dyDescent="0.2">
      <c r="A30" t="s">
        <v>24</v>
      </c>
      <c r="B30">
        <v>8</v>
      </c>
      <c r="C30" t="s">
        <v>1229</v>
      </c>
      <c r="D30" t="s">
        <v>1296</v>
      </c>
      <c r="E30" s="5" t="s">
        <v>1297</v>
      </c>
      <c r="F30" s="5" t="s">
        <v>368</v>
      </c>
      <c r="G30" s="12">
        <v>0</v>
      </c>
      <c r="H30" s="12">
        <v>0</v>
      </c>
      <c r="I30" s="12">
        <v>1</v>
      </c>
      <c r="L30">
        <f t="shared" si="0"/>
        <v>0.5</v>
      </c>
      <c r="O30" s="16">
        <v>7</v>
      </c>
      <c r="P30" s="17">
        <f>SUMIFS(I:I,B:B,Table5[[#This Row],[Bus]])</f>
        <v>0</v>
      </c>
      <c r="Q30" s="17" t="e">
        <f>45-Table5[[#This Row],[Current]]</f>
        <v>#VALUE!</v>
      </c>
      <c r="R30" s="17" t="s">
        <v>1373</v>
      </c>
      <c r="AE30" t="s">
        <v>452</v>
      </c>
      <c r="AF30" t="s">
        <v>26</v>
      </c>
      <c r="AG30">
        <v>82</v>
      </c>
      <c r="AH30" t="s">
        <v>1249</v>
      </c>
      <c r="AI30" t="s">
        <v>1252</v>
      </c>
      <c r="AJ30" t="s">
        <v>1256</v>
      </c>
      <c r="AK30" t="s">
        <v>587</v>
      </c>
      <c r="AL30" t="s">
        <v>588</v>
      </c>
      <c r="AM30">
        <v>0</v>
      </c>
      <c r="AN30">
        <v>0</v>
      </c>
      <c r="AO30">
        <v>0</v>
      </c>
      <c r="AP30">
        <v>1</v>
      </c>
    </row>
    <row r="31" spans="1:42" x14ac:dyDescent="0.2">
      <c r="A31" t="s">
        <v>24</v>
      </c>
      <c r="B31">
        <v>8</v>
      </c>
      <c r="C31" t="s">
        <v>1229</v>
      </c>
      <c r="D31" t="s">
        <v>1296</v>
      </c>
      <c r="E31" s="5" t="s">
        <v>1327</v>
      </c>
      <c r="F31" s="5" t="s">
        <v>226</v>
      </c>
      <c r="G31" s="12">
        <v>0</v>
      </c>
      <c r="H31" s="12">
        <v>0</v>
      </c>
      <c r="I31" s="12">
        <v>1</v>
      </c>
      <c r="L31">
        <f t="shared" si="0"/>
        <v>0.5</v>
      </c>
      <c r="O31" s="19">
        <v>8</v>
      </c>
      <c r="P31" s="15">
        <f>SUMIFS(I:I,B:B,Table5[[#This Row],[Bus]])</f>
        <v>0</v>
      </c>
      <c r="Q31" s="15" t="e">
        <f>45-Table5[[#This Row],[Current]]</f>
        <v>#VALUE!</v>
      </c>
      <c r="R31" s="15" t="s">
        <v>1374</v>
      </c>
      <c r="AE31" t="s">
        <v>452</v>
      </c>
      <c r="AF31" t="s">
        <v>26</v>
      </c>
      <c r="AG31">
        <v>83</v>
      </c>
      <c r="AH31" t="s">
        <v>1249</v>
      </c>
      <c r="AI31" t="s">
        <v>1250</v>
      </c>
      <c r="AJ31" t="s">
        <v>1251</v>
      </c>
      <c r="AK31" t="s">
        <v>573</v>
      </c>
      <c r="AL31" t="s">
        <v>574</v>
      </c>
      <c r="AM31">
        <v>0</v>
      </c>
      <c r="AN31">
        <v>0</v>
      </c>
      <c r="AO31">
        <v>0</v>
      </c>
      <c r="AP31">
        <v>1</v>
      </c>
    </row>
    <row r="32" spans="1:42" x14ac:dyDescent="0.2">
      <c r="A32" t="s">
        <v>24</v>
      </c>
      <c r="B32">
        <v>8</v>
      </c>
      <c r="C32" t="s">
        <v>1266</v>
      </c>
      <c r="D32" t="s">
        <v>1335</v>
      </c>
      <c r="E32" t="s">
        <v>1336</v>
      </c>
      <c r="F32" t="s">
        <v>137</v>
      </c>
      <c r="G32" s="12">
        <v>0</v>
      </c>
      <c r="H32" s="12">
        <v>0</v>
      </c>
      <c r="I32" s="12">
        <v>1</v>
      </c>
      <c r="L32">
        <f t="shared" si="0"/>
        <v>0.5</v>
      </c>
      <c r="AE32" t="s">
        <v>452</v>
      </c>
      <c r="AF32" t="s">
        <v>26</v>
      </c>
      <c r="AG32">
        <v>83</v>
      </c>
      <c r="AH32" t="s">
        <v>1249</v>
      </c>
      <c r="AI32" t="s">
        <v>1252</v>
      </c>
      <c r="AJ32" t="s">
        <v>1256</v>
      </c>
      <c r="AK32" t="s">
        <v>577</v>
      </c>
      <c r="AL32" t="s">
        <v>578</v>
      </c>
      <c r="AM32">
        <v>0</v>
      </c>
      <c r="AN32">
        <v>0</v>
      </c>
      <c r="AO32">
        <v>0</v>
      </c>
      <c r="AP32">
        <v>1</v>
      </c>
    </row>
    <row r="33" spans="1:42" x14ac:dyDescent="0.2">
      <c r="A33" t="s">
        <v>24</v>
      </c>
      <c r="B33">
        <v>8</v>
      </c>
      <c r="C33" t="s">
        <v>1266</v>
      </c>
      <c r="D33" t="s">
        <v>1269</v>
      </c>
      <c r="E33" t="s">
        <v>1303</v>
      </c>
      <c r="F33" t="s">
        <v>331</v>
      </c>
      <c r="G33" s="12">
        <v>0</v>
      </c>
      <c r="H33" s="12">
        <v>0</v>
      </c>
      <c r="I33" s="12">
        <v>1</v>
      </c>
      <c r="L33">
        <f t="shared" si="0"/>
        <v>0.5</v>
      </c>
      <c r="AE33" t="s">
        <v>452</v>
      </c>
      <c r="AF33" t="s">
        <v>26</v>
      </c>
      <c r="AG33">
        <v>84</v>
      </c>
      <c r="AH33" t="s">
        <v>1249</v>
      </c>
      <c r="AI33" t="s">
        <v>1257</v>
      </c>
      <c r="AJ33" t="s">
        <v>1258</v>
      </c>
      <c r="AK33" t="s">
        <v>564</v>
      </c>
      <c r="AL33" t="s">
        <v>565</v>
      </c>
      <c r="AM33">
        <v>0</v>
      </c>
      <c r="AN33">
        <v>0</v>
      </c>
      <c r="AO33">
        <v>0</v>
      </c>
      <c r="AP33">
        <v>1</v>
      </c>
    </row>
    <row r="34" spans="1:42" x14ac:dyDescent="0.2">
      <c r="A34" t="s">
        <v>24</v>
      </c>
      <c r="B34">
        <v>8</v>
      </c>
      <c r="C34" t="s">
        <v>1266</v>
      </c>
      <c r="D34" t="s">
        <v>1267</v>
      </c>
      <c r="E34" t="s">
        <v>1268</v>
      </c>
      <c r="F34" t="s">
        <v>343</v>
      </c>
      <c r="G34" s="12">
        <v>0</v>
      </c>
      <c r="H34" s="12">
        <v>0</v>
      </c>
      <c r="I34" s="12">
        <v>1</v>
      </c>
      <c r="L34">
        <f t="shared" si="0"/>
        <v>0.5</v>
      </c>
      <c r="AE34" t="s">
        <v>452</v>
      </c>
      <c r="AF34" t="s">
        <v>26</v>
      </c>
      <c r="AG34">
        <v>84</v>
      </c>
      <c r="AH34" t="s">
        <v>1249</v>
      </c>
      <c r="AI34" t="s">
        <v>1252</v>
      </c>
      <c r="AJ34" t="s">
        <v>1259</v>
      </c>
      <c r="AK34" t="s">
        <v>568</v>
      </c>
      <c r="AL34" t="s">
        <v>569</v>
      </c>
      <c r="AM34">
        <v>0</v>
      </c>
      <c r="AN34">
        <v>0</v>
      </c>
      <c r="AO34">
        <v>0</v>
      </c>
      <c r="AP34">
        <v>1</v>
      </c>
    </row>
    <row r="35" spans="1:42" x14ac:dyDescent="0.2">
      <c r="A35" t="s">
        <v>24</v>
      </c>
      <c r="B35">
        <v>8</v>
      </c>
      <c r="C35" t="s">
        <v>1266</v>
      </c>
      <c r="D35" t="s">
        <v>1301</v>
      </c>
      <c r="E35" t="s">
        <v>1302</v>
      </c>
      <c r="F35" t="s">
        <v>256</v>
      </c>
      <c r="G35" s="12">
        <v>0</v>
      </c>
      <c r="H35" s="12">
        <v>0</v>
      </c>
      <c r="I35" s="12">
        <v>1</v>
      </c>
      <c r="L35">
        <f t="shared" si="0"/>
        <v>0.5</v>
      </c>
      <c r="AE35" t="s">
        <v>452</v>
      </c>
      <c r="AF35" t="s">
        <v>26</v>
      </c>
      <c r="AG35">
        <v>85</v>
      </c>
      <c r="AH35" t="s">
        <v>1229</v>
      </c>
      <c r="AI35" t="s">
        <v>1260</v>
      </c>
      <c r="AJ35" t="s">
        <v>1261</v>
      </c>
      <c r="AK35" t="s">
        <v>560</v>
      </c>
      <c r="AL35" t="s">
        <v>561</v>
      </c>
      <c r="AM35">
        <v>0</v>
      </c>
      <c r="AN35">
        <v>0</v>
      </c>
      <c r="AO35">
        <v>0</v>
      </c>
      <c r="AP35">
        <v>1</v>
      </c>
    </row>
    <row r="36" spans="1:42" x14ac:dyDescent="0.2">
      <c r="A36" t="s">
        <v>24</v>
      </c>
      <c r="B36">
        <v>8</v>
      </c>
      <c r="C36" t="s">
        <v>1266</v>
      </c>
      <c r="D36" t="s">
        <v>1301</v>
      </c>
      <c r="E36" t="s">
        <v>1302</v>
      </c>
      <c r="F36" t="s">
        <v>339</v>
      </c>
      <c r="G36" s="12">
        <v>0</v>
      </c>
      <c r="H36" s="12">
        <v>0</v>
      </c>
      <c r="I36" s="12">
        <v>1</v>
      </c>
      <c r="L36">
        <f t="shared" si="0"/>
        <v>0.5</v>
      </c>
      <c r="AE36" t="s">
        <v>452</v>
      </c>
      <c r="AF36" t="s">
        <v>26</v>
      </c>
      <c r="AG36">
        <v>85</v>
      </c>
      <c r="AH36" t="s">
        <v>1229</v>
      </c>
      <c r="AI36" t="s">
        <v>1247</v>
      </c>
      <c r="AJ36" t="s">
        <v>1246</v>
      </c>
      <c r="AK36" t="s">
        <v>556</v>
      </c>
      <c r="AL36" t="s">
        <v>557</v>
      </c>
      <c r="AM36">
        <v>0</v>
      </c>
      <c r="AN36">
        <v>0</v>
      </c>
      <c r="AO36">
        <v>0</v>
      </c>
      <c r="AP36">
        <v>1</v>
      </c>
    </row>
    <row r="37" spans="1:42" x14ac:dyDescent="0.2">
      <c r="A37" t="s">
        <v>24</v>
      </c>
      <c r="B37">
        <v>8</v>
      </c>
      <c r="C37" t="s">
        <v>1266</v>
      </c>
      <c r="D37" t="s">
        <v>1322</v>
      </c>
      <c r="E37" t="s">
        <v>1299</v>
      </c>
      <c r="F37" t="s">
        <v>252</v>
      </c>
      <c r="G37" s="12">
        <v>0</v>
      </c>
      <c r="H37" s="12">
        <v>0</v>
      </c>
      <c r="I37" s="12">
        <v>1</v>
      </c>
      <c r="L37">
        <f t="shared" si="0"/>
        <v>0.5</v>
      </c>
      <c r="AE37" t="s">
        <v>452</v>
      </c>
      <c r="AF37" t="s">
        <v>26</v>
      </c>
      <c r="AG37">
        <v>86</v>
      </c>
      <c r="AH37" t="s">
        <v>1229</v>
      </c>
      <c r="AI37" t="s">
        <v>1262</v>
      </c>
      <c r="AJ37" t="s">
        <v>1239</v>
      </c>
      <c r="AK37" t="s">
        <v>548</v>
      </c>
      <c r="AL37" t="s">
        <v>549</v>
      </c>
      <c r="AM37">
        <v>0</v>
      </c>
      <c r="AN37">
        <v>0</v>
      </c>
      <c r="AO37">
        <v>0</v>
      </c>
      <c r="AP37">
        <v>1</v>
      </c>
    </row>
    <row r="38" spans="1:42" x14ac:dyDescent="0.2">
      <c r="A38" t="s">
        <v>24</v>
      </c>
      <c r="B38">
        <v>8</v>
      </c>
      <c r="C38" t="s">
        <v>1308</v>
      </c>
      <c r="D38" t="s">
        <v>1309</v>
      </c>
      <c r="E38" t="s">
        <v>1310</v>
      </c>
      <c r="F38" t="s">
        <v>315</v>
      </c>
      <c r="G38" s="12">
        <v>0</v>
      </c>
      <c r="H38" s="12">
        <v>0</v>
      </c>
      <c r="I38" s="12">
        <v>1</v>
      </c>
      <c r="L38">
        <f t="shared" si="0"/>
        <v>0.5</v>
      </c>
      <c r="AE38" t="s">
        <v>452</v>
      </c>
      <c r="AF38" t="s">
        <v>26</v>
      </c>
      <c r="AG38">
        <v>86</v>
      </c>
      <c r="AH38" t="s">
        <v>1229</v>
      </c>
      <c r="AI38" t="s">
        <v>1247</v>
      </c>
      <c r="AJ38" t="s">
        <v>1243</v>
      </c>
      <c r="AK38" t="s">
        <v>552</v>
      </c>
      <c r="AL38" t="s">
        <v>553</v>
      </c>
      <c r="AM38">
        <v>0</v>
      </c>
      <c r="AN38">
        <v>0</v>
      </c>
      <c r="AO38">
        <v>0</v>
      </c>
      <c r="AP38">
        <v>1</v>
      </c>
    </row>
    <row r="39" spans="1:42" x14ac:dyDescent="0.2">
      <c r="A39" t="s">
        <v>24</v>
      </c>
      <c r="B39">
        <v>8</v>
      </c>
      <c r="C39" t="s">
        <v>1308</v>
      </c>
      <c r="D39" t="s">
        <v>1309</v>
      </c>
      <c r="E39" t="s">
        <v>1310</v>
      </c>
      <c r="F39" t="s">
        <v>319</v>
      </c>
      <c r="G39" s="12">
        <v>0</v>
      </c>
      <c r="H39" s="12">
        <v>0</v>
      </c>
      <c r="I39" s="12">
        <v>1</v>
      </c>
      <c r="L39">
        <f t="shared" si="0"/>
        <v>0.5</v>
      </c>
      <c r="AE39" t="s">
        <v>452</v>
      </c>
      <c r="AF39" t="s">
        <v>26</v>
      </c>
      <c r="AG39">
        <v>87</v>
      </c>
      <c r="AH39" t="s">
        <v>1229</v>
      </c>
      <c r="AI39" t="s">
        <v>1230</v>
      </c>
      <c r="AJ39" t="s">
        <v>1241</v>
      </c>
      <c r="AK39" t="s">
        <v>732</v>
      </c>
      <c r="AL39" t="s">
        <v>733</v>
      </c>
      <c r="AM39">
        <v>0</v>
      </c>
      <c r="AN39">
        <v>0</v>
      </c>
      <c r="AO39">
        <v>0</v>
      </c>
      <c r="AP39">
        <v>1</v>
      </c>
    </row>
    <row r="40" spans="1:42" x14ac:dyDescent="0.2">
      <c r="A40" t="s">
        <v>24</v>
      </c>
      <c r="B40">
        <v>8</v>
      </c>
      <c r="C40" t="s">
        <v>1318</v>
      </c>
      <c r="D40" t="s">
        <v>1319</v>
      </c>
      <c r="E40" t="s">
        <v>1320</v>
      </c>
      <c r="F40" t="s">
        <v>419</v>
      </c>
      <c r="G40" s="12">
        <v>0</v>
      </c>
      <c r="H40" s="12">
        <v>0</v>
      </c>
      <c r="I40" s="12">
        <v>1</v>
      </c>
      <c r="L40">
        <f t="shared" si="0"/>
        <v>0.5</v>
      </c>
      <c r="AE40" t="s">
        <v>452</v>
      </c>
      <c r="AF40" t="s">
        <v>26</v>
      </c>
      <c r="AG40">
        <v>87</v>
      </c>
      <c r="AH40" t="s">
        <v>1229</v>
      </c>
      <c r="AI40" t="s">
        <v>1262</v>
      </c>
      <c r="AJ40" t="s">
        <v>1248</v>
      </c>
      <c r="AK40" t="s">
        <v>539</v>
      </c>
      <c r="AL40" t="s">
        <v>540</v>
      </c>
      <c r="AM40">
        <v>0</v>
      </c>
      <c r="AN40">
        <v>0</v>
      </c>
      <c r="AO40">
        <v>0</v>
      </c>
      <c r="AP40">
        <v>1</v>
      </c>
    </row>
    <row r="41" spans="1:42" x14ac:dyDescent="0.2">
      <c r="A41" t="s">
        <v>24</v>
      </c>
      <c r="B41">
        <v>8</v>
      </c>
      <c r="C41" t="s">
        <v>1318</v>
      </c>
      <c r="D41" t="s">
        <v>1319</v>
      </c>
      <c r="E41" t="s">
        <v>1320</v>
      </c>
      <c r="F41" t="s">
        <v>268</v>
      </c>
      <c r="G41" s="12">
        <v>0</v>
      </c>
      <c r="H41" s="12">
        <v>0</v>
      </c>
      <c r="I41" s="12">
        <v>1</v>
      </c>
      <c r="L41">
        <f t="shared" si="0"/>
        <v>0.5</v>
      </c>
      <c r="AE41" t="s">
        <v>452</v>
      </c>
      <c r="AF41" t="s">
        <v>26</v>
      </c>
      <c r="AG41">
        <v>88</v>
      </c>
      <c r="AH41" t="s">
        <v>1229</v>
      </c>
      <c r="AI41" t="s">
        <v>1247</v>
      </c>
      <c r="AJ41" t="s">
        <v>1243</v>
      </c>
      <c r="AK41" t="s">
        <v>535</v>
      </c>
      <c r="AL41" t="s">
        <v>536</v>
      </c>
      <c r="AM41">
        <v>0</v>
      </c>
      <c r="AN41">
        <v>0</v>
      </c>
      <c r="AO41">
        <v>0</v>
      </c>
      <c r="AP41">
        <v>1</v>
      </c>
    </row>
    <row r="42" spans="1:42" x14ac:dyDescent="0.2">
      <c r="A42" t="s">
        <v>24</v>
      </c>
      <c r="B42">
        <v>8</v>
      </c>
      <c r="C42" t="s">
        <v>1318</v>
      </c>
      <c r="D42" t="s">
        <v>1319</v>
      </c>
      <c r="E42" t="s">
        <v>1320</v>
      </c>
      <c r="F42" t="s">
        <v>264</v>
      </c>
      <c r="G42" s="12">
        <v>0</v>
      </c>
      <c r="H42" s="12">
        <v>0</v>
      </c>
      <c r="I42" s="12">
        <v>1</v>
      </c>
      <c r="L42">
        <f t="shared" si="0"/>
        <v>0.5</v>
      </c>
      <c r="AE42" t="s">
        <v>452</v>
      </c>
      <c r="AF42" t="s">
        <v>26</v>
      </c>
      <c r="AG42">
        <v>88</v>
      </c>
      <c r="AH42" t="s">
        <v>1229</v>
      </c>
      <c r="AI42" t="s">
        <v>1247</v>
      </c>
      <c r="AJ42" t="s">
        <v>1246</v>
      </c>
      <c r="AK42" t="s">
        <v>531</v>
      </c>
      <c r="AL42" t="s">
        <v>532</v>
      </c>
      <c r="AM42">
        <v>0</v>
      </c>
      <c r="AN42">
        <v>0</v>
      </c>
      <c r="AO42">
        <v>0</v>
      </c>
      <c r="AP42">
        <v>1</v>
      </c>
    </row>
    <row r="43" spans="1:42" x14ac:dyDescent="0.2">
      <c r="A43" t="s">
        <v>24</v>
      </c>
      <c r="B43">
        <v>8</v>
      </c>
      <c r="C43" t="s">
        <v>1314</v>
      </c>
      <c r="D43" t="s">
        <v>1315</v>
      </c>
      <c r="E43" t="s">
        <v>1316</v>
      </c>
      <c r="F43" t="s">
        <v>273</v>
      </c>
      <c r="G43" s="12">
        <v>0</v>
      </c>
      <c r="H43" s="12">
        <v>0</v>
      </c>
      <c r="I43" s="12">
        <v>1</v>
      </c>
      <c r="L43">
        <f t="shared" si="0"/>
        <v>0.5</v>
      </c>
      <c r="AE43" t="s">
        <v>452</v>
      </c>
      <c r="AF43" t="s">
        <v>26</v>
      </c>
      <c r="AG43">
        <v>89</v>
      </c>
      <c r="AH43" t="s">
        <v>1229</v>
      </c>
      <c r="AI43" t="s">
        <v>1230</v>
      </c>
      <c r="AJ43" t="s">
        <v>1242</v>
      </c>
      <c r="AK43" t="s">
        <v>523</v>
      </c>
      <c r="AL43" t="s">
        <v>524</v>
      </c>
      <c r="AM43">
        <v>0</v>
      </c>
      <c r="AN43">
        <v>0</v>
      </c>
      <c r="AO43">
        <v>0</v>
      </c>
      <c r="AP43">
        <v>1</v>
      </c>
    </row>
    <row r="44" spans="1:42" x14ac:dyDescent="0.2">
      <c r="A44" t="s">
        <v>24</v>
      </c>
      <c r="B44">
        <v>8</v>
      </c>
      <c r="C44" t="s">
        <v>1314</v>
      </c>
      <c r="D44" t="s">
        <v>1315</v>
      </c>
      <c r="E44" t="s">
        <v>1317</v>
      </c>
      <c r="F44" t="s">
        <v>277</v>
      </c>
      <c r="G44" s="12">
        <v>0</v>
      </c>
      <c r="H44" s="12">
        <v>0</v>
      </c>
      <c r="I44" s="12">
        <v>1</v>
      </c>
      <c r="L44">
        <f t="shared" si="0"/>
        <v>0.5</v>
      </c>
      <c r="AE44" t="s">
        <v>452</v>
      </c>
      <c r="AF44" t="s">
        <v>26</v>
      </c>
      <c r="AG44">
        <v>89</v>
      </c>
      <c r="AH44" t="s">
        <v>1229</v>
      </c>
      <c r="AI44" t="s">
        <v>1263</v>
      </c>
      <c r="AJ44" t="s">
        <v>1264</v>
      </c>
      <c r="AK44" t="s">
        <v>527</v>
      </c>
      <c r="AL44" t="s">
        <v>528</v>
      </c>
      <c r="AM44">
        <v>0</v>
      </c>
      <c r="AN44">
        <v>0</v>
      </c>
      <c r="AO44">
        <v>0</v>
      </c>
      <c r="AP44">
        <v>1</v>
      </c>
    </row>
    <row r="45" spans="1:42" x14ac:dyDescent="0.2">
      <c r="A45" t="s">
        <v>1375</v>
      </c>
      <c r="G45" s="12">
        <v>7</v>
      </c>
      <c r="H45" s="12">
        <v>13</v>
      </c>
      <c r="I45" s="12">
        <v>281</v>
      </c>
      <c r="L45">
        <f t="shared" si="0"/>
        <v>0</v>
      </c>
      <c r="AE45" t="s">
        <v>452</v>
      </c>
      <c r="AF45" t="s">
        <v>26</v>
      </c>
      <c r="AG45">
        <v>94</v>
      </c>
      <c r="AH45" t="s">
        <v>1273</v>
      </c>
      <c r="AI45" t="s">
        <v>1274</v>
      </c>
      <c r="AJ45" t="s">
        <v>1275</v>
      </c>
      <c r="AK45" t="s">
        <v>494</v>
      </c>
      <c r="AL45" t="s">
        <v>495</v>
      </c>
      <c r="AM45">
        <v>0</v>
      </c>
      <c r="AN45">
        <v>0</v>
      </c>
      <c r="AO45">
        <v>0</v>
      </c>
      <c r="AP45">
        <v>1</v>
      </c>
    </row>
    <row r="46" spans="1:42" x14ac:dyDescent="0.2">
      <c r="A46" t="s">
        <v>1225</v>
      </c>
      <c r="G46" s="12">
        <v>8</v>
      </c>
      <c r="H46" s="12">
        <v>15</v>
      </c>
      <c r="I46" s="12">
        <v>294</v>
      </c>
      <c r="L46">
        <f t="shared" si="0"/>
        <v>0</v>
      </c>
      <c r="AE46" t="s">
        <v>452</v>
      </c>
      <c r="AF46" t="s">
        <v>26</v>
      </c>
      <c r="AG46">
        <v>94</v>
      </c>
      <c r="AH46" t="s">
        <v>1273</v>
      </c>
      <c r="AI46" t="s">
        <v>1274</v>
      </c>
      <c r="AJ46" t="s">
        <v>1276</v>
      </c>
      <c r="AK46" t="s">
        <v>498</v>
      </c>
      <c r="AL46" t="s">
        <v>499</v>
      </c>
      <c r="AM46">
        <v>0</v>
      </c>
      <c r="AN46">
        <v>0</v>
      </c>
      <c r="AO46">
        <v>0</v>
      </c>
      <c r="AP46">
        <v>1</v>
      </c>
    </row>
    <row r="47" spans="1:42" x14ac:dyDescent="0.2">
      <c r="L47">
        <f t="shared" si="0"/>
        <v>0</v>
      </c>
      <c r="AE47" t="s">
        <v>452</v>
      </c>
      <c r="AF47" t="s">
        <v>26</v>
      </c>
      <c r="AG47">
        <v>95</v>
      </c>
      <c r="AH47" t="s">
        <v>1273</v>
      </c>
      <c r="AI47" t="s">
        <v>1274</v>
      </c>
      <c r="AJ47" t="s">
        <v>1276</v>
      </c>
      <c r="AK47" t="s">
        <v>442</v>
      </c>
      <c r="AL47" t="s">
        <v>443</v>
      </c>
      <c r="AM47">
        <v>0</v>
      </c>
      <c r="AN47">
        <v>0</v>
      </c>
      <c r="AO47">
        <v>0</v>
      </c>
      <c r="AP47">
        <v>1</v>
      </c>
    </row>
    <row r="48" spans="1:42" x14ac:dyDescent="0.2">
      <c r="L48">
        <f t="shared" si="0"/>
        <v>0</v>
      </c>
      <c r="AE48" t="s">
        <v>452</v>
      </c>
      <c r="AF48" t="s">
        <v>26</v>
      </c>
      <c r="AG48">
        <v>95</v>
      </c>
      <c r="AH48" t="s">
        <v>1273</v>
      </c>
      <c r="AI48" t="s">
        <v>1279</v>
      </c>
      <c r="AJ48" t="s">
        <v>447</v>
      </c>
      <c r="AK48" t="s">
        <v>490</v>
      </c>
      <c r="AL48" t="s">
        <v>491</v>
      </c>
      <c r="AM48">
        <v>0</v>
      </c>
      <c r="AN48">
        <v>0</v>
      </c>
      <c r="AO48">
        <v>0</v>
      </c>
      <c r="AP48">
        <v>1</v>
      </c>
    </row>
    <row r="49" spans="12:42" x14ac:dyDescent="0.2">
      <c r="L49">
        <f t="shared" si="0"/>
        <v>0</v>
      </c>
      <c r="AE49" t="s">
        <v>452</v>
      </c>
      <c r="AF49" t="s">
        <v>26</v>
      </c>
      <c r="AG49">
        <v>96</v>
      </c>
      <c r="AH49" t="s">
        <v>1273</v>
      </c>
      <c r="AI49" t="s">
        <v>1274</v>
      </c>
      <c r="AJ49" t="s">
        <v>1280</v>
      </c>
      <c r="AK49" t="s">
        <v>477</v>
      </c>
      <c r="AL49" t="s">
        <v>478</v>
      </c>
      <c r="AM49">
        <v>0</v>
      </c>
      <c r="AN49">
        <v>0</v>
      </c>
      <c r="AO49">
        <v>0</v>
      </c>
      <c r="AP49">
        <v>1</v>
      </c>
    </row>
    <row r="50" spans="12:42" x14ac:dyDescent="0.2">
      <c r="L50">
        <f t="shared" si="0"/>
        <v>0</v>
      </c>
      <c r="AE50" t="s">
        <v>452</v>
      </c>
      <c r="AF50" t="s">
        <v>26</v>
      </c>
      <c r="AG50">
        <v>96</v>
      </c>
      <c r="AH50" t="s">
        <v>1273</v>
      </c>
      <c r="AI50" t="s">
        <v>1281</v>
      </c>
      <c r="AJ50" t="s">
        <v>1282</v>
      </c>
      <c r="AK50" t="s">
        <v>482</v>
      </c>
      <c r="AL50" t="s">
        <v>483</v>
      </c>
      <c r="AM50">
        <v>0</v>
      </c>
      <c r="AN50">
        <v>0</v>
      </c>
      <c r="AO50">
        <v>0</v>
      </c>
      <c r="AP50">
        <v>1</v>
      </c>
    </row>
    <row r="51" spans="12:42" x14ac:dyDescent="0.2">
      <c r="L51">
        <f t="shared" si="0"/>
        <v>0</v>
      </c>
      <c r="AE51" t="s">
        <v>452</v>
      </c>
      <c r="AF51" t="s">
        <v>26</v>
      </c>
      <c r="AG51">
        <v>97</v>
      </c>
      <c r="AH51" t="s">
        <v>1273</v>
      </c>
      <c r="AI51" t="s">
        <v>1274</v>
      </c>
      <c r="AJ51" t="s">
        <v>1280</v>
      </c>
      <c r="AK51" t="s">
        <v>473</v>
      </c>
      <c r="AL51" t="s">
        <v>474</v>
      </c>
      <c r="AM51">
        <v>0</v>
      </c>
      <c r="AN51">
        <v>0</v>
      </c>
      <c r="AO51">
        <v>0</v>
      </c>
      <c r="AP51">
        <v>1</v>
      </c>
    </row>
    <row r="52" spans="12:42" x14ac:dyDescent="0.2">
      <c r="L52">
        <f t="shared" si="0"/>
        <v>0</v>
      </c>
      <c r="AE52" t="s">
        <v>452</v>
      </c>
      <c r="AF52" t="s">
        <v>26</v>
      </c>
      <c r="AG52">
        <v>97</v>
      </c>
      <c r="AH52" t="s">
        <v>1273</v>
      </c>
      <c r="AI52" t="s">
        <v>1274</v>
      </c>
      <c r="AJ52" t="s">
        <v>1280</v>
      </c>
      <c r="AK52" t="s">
        <v>469</v>
      </c>
      <c r="AL52" t="s">
        <v>470</v>
      </c>
      <c r="AM52">
        <v>0</v>
      </c>
      <c r="AN52">
        <v>0</v>
      </c>
      <c r="AO52">
        <v>0</v>
      </c>
      <c r="AP52">
        <v>1</v>
      </c>
    </row>
    <row r="53" spans="12:42" x14ac:dyDescent="0.2">
      <c r="L53">
        <f t="shared" si="0"/>
        <v>0</v>
      </c>
      <c r="AE53" t="s">
        <v>452</v>
      </c>
      <c r="AF53" t="s">
        <v>26</v>
      </c>
      <c r="AG53">
        <v>98</v>
      </c>
      <c r="AH53" t="s">
        <v>1273</v>
      </c>
      <c r="AI53" t="s">
        <v>1274</v>
      </c>
      <c r="AJ53" t="s">
        <v>1280</v>
      </c>
      <c r="AK53" t="s">
        <v>465</v>
      </c>
      <c r="AL53" t="s">
        <v>466</v>
      </c>
      <c r="AM53">
        <v>0</v>
      </c>
      <c r="AN53">
        <v>0</v>
      </c>
      <c r="AO53">
        <v>0</v>
      </c>
      <c r="AP53">
        <v>1</v>
      </c>
    </row>
    <row r="54" spans="12:42" x14ac:dyDescent="0.2">
      <c r="L54">
        <f t="shared" si="0"/>
        <v>0</v>
      </c>
      <c r="AE54" t="s">
        <v>452</v>
      </c>
      <c r="AF54" t="s">
        <v>26</v>
      </c>
      <c r="AG54">
        <v>98</v>
      </c>
      <c r="AH54" t="s">
        <v>1273</v>
      </c>
      <c r="AI54" t="s">
        <v>1274</v>
      </c>
      <c r="AJ54" t="s">
        <v>1280</v>
      </c>
      <c r="AK54" t="s">
        <v>461</v>
      </c>
      <c r="AL54" t="s">
        <v>462</v>
      </c>
      <c r="AM54">
        <v>0</v>
      </c>
      <c r="AN54">
        <v>0</v>
      </c>
      <c r="AO54">
        <v>0</v>
      </c>
      <c r="AP54">
        <v>1</v>
      </c>
    </row>
    <row r="55" spans="12:42" x14ac:dyDescent="0.2">
      <c r="L55">
        <f t="shared" si="0"/>
        <v>0</v>
      </c>
      <c r="AE55" t="s">
        <v>452</v>
      </c>
      <c r="AF55" t="s">
        <v>26</v>
      </c>
      <c r="AG55">
        <v>99</v>
      </c>
      <c r="AH55" t="s">
        <v>1273</v>
      </c>
      <c r="AI55" t="s">
        <v>1283</v>
      </c>
      <c r="AJ55" t="s">
        <v>451</v>
      </c>
      <c r="AK55" t="s">
        <v>457</v>
      </c>
      <c r="AL55" t="s">
        <v>458</v>
      </c>
      <c r="AM55">
        <v>0</v>
      </c>
      <c r="AN55">
        <v>0</v>
      </c>
      <c r="AO55">
        <v>0</v>
      </c>
      <c r="AP55">
        <v>1</v>
      </c>
    </row>
    <row r="56" spans="12:42" x14ac:dyDescent="0.2">
      <c r="L56">
        <f t="shared" si="0"/>
        <v>0</v>
      </c>
      <c r="AE56" t="s">
        <v>452</v>
      </c>
      <c r="AF56" t="s">
        <v>26</v>
      </c>
      <c r="AG56">
        <v>99</v>
      </c>
      <c r="AH56" t="s">
        <v>1273</v>
      </c>
      <c r="AI56" t="s">
        <v>1283</v>
      </c>
      <c r="AJ56" t="s">
        <v>451</v>
      </c>
      <c r="AK56" t="s">
        <v>453</v>
      </c>
      <c r="AL56" t="s">
        <v>454</v>
      </c>
      <c r="AM56">
        <v>0</v>
      </c>
      <c r="AN56">
        <v>0</v>
      </c>
      <c r="AO56">
        <v>0</v>
      </c>
      <c r="AP56">
        <v>1</v>
      </c>
    </row>
    <row r="57" spans="12:42" x14ac:dyDescent="0.2">
      <c r="L57">
        <f t="shared" si="0"/>
        <v>0</v>
      </c>
      <c r="AE57" t="s">
        <v>452</v>
      </c>
      <c r="AF57" t="s">
        <v>26</v>
      </c>
      <c r="AG57">
        <v>100</v>
      </c>
      <c r="AH57" t="s">
        <v>1273</v>
      </c>
      <c r="AI57" t="s">
        <v>1283</v>
      </c>
      <c r="AJ57" t="s">
        <v>1376</v>
      </c>
      <c r="AK57" t="s">
        <v>450</v>
      </c>
      <c r="AL57" t="s">
        <v>451</v>
      </c>
      <c r="AM57">
        <v>0</v>
      </c>
      <c r="AN57">
        <v>0</v>
      </c>
      <c r="AO57">
        <v>0</v>
      </c>
      <c r="AP57">
        <v>1</v>
      </c>
    </row>
    <row r="58" spans="12:42" x14ac:dyDescent="0.2">
      <c r="L58">
        <f t="shared" si="0"/>
        <v>0</v>
      </c>
      <c r="AE58" t="s">
        <v>452</v>
      </c>
      <c r="AF58" t="s">
        <v>26</v>
      </c>
      <c r="AG58">
        <v>100</v>
      </c>
      <c r="AH58" t="s">
        <v>1273</v>
      </c>
      <c r="AI58" t="s">
        <v>1279</v>
      </c>
      <c r="AJ58" t="s">
        <v>1285</v>
      </c>
      <c r="AK58" t="s">
        <v>446</v>
      </c>
      <c r="AL58" t="s">
        <v>447</v>
      </c>
      <c r="AM58">
        <v>0</v>
      </c>
      <c r="AN58">
        <v>0</v>
      </c>
      <c r="AO58">
        <v>0</v>
      </c>
      <c r="AP58">
        <v>1</v>
      </c>
    </row>
    <row r="59" spans="12:42" x14ac:dyDescent="0.2">
      <c r="L59">
        <f t="shared" si="0"/>
        <v>0</v>
      </c>
      <c r="AE59" t="s">
        <v>452</v>
      </c>
      <c r="AF59" t="s">
        <v>26</v>
      </c>
      <c r="AG59">
        <v>101</v>
      </c>
      <c r="AH59" t="s">
        <v>1273</v>
      </c>
      <c r="AI59" t="s">
        <v>1274</v>
      </c>
      <c r="AJ59" t="s">
        <v>1284</v>
      </c>
      <c r="AK59" t="s">
        <v>90</v>
      </c>
      <c r="AL59" t="s">
        <v>91</v>
      </c>
      <c r="AM59">
        <v>0</v>
      </c>
      <c r="AN59">
        <v>0</v>
      </c>
      <c r="AO59">
        <v>0</v>
      </c>
      <c r="AP59">
        <v>1</v>
      </c>
    </row>
    <row r="60" spans="12:42" x14ac:dyDescent="0.2">
      <c r="L60">
        <f t="shared" si="0"/>
        <v>0</v>
      </c>
      <c r="AE60" t="s">
        <v>452</v>
      </c>
      <c r="AF60" t="s">
        <v>26</v>
      </c>
      <c r="AG60">
        <v>101</v>
      </c>
      <c r="AH60" t="s">
        <v>1229</v>
      </c>
      <c r="AI60" t="s">
        <v>1230</v>
      </c>
      <c r="AJ60" t="s">
        <v>1321</v>
      </c>
      <c r="AK60" t="s">
        <v>247</v>
      </c>
      <c r="AL60" t="s">
        <v>248</v>
      </c>
      <c r="AM60">
        <v>0</v>
      </c>
      <c r="AN60">
        <v>0</v>
      </c>
      <c r="AO60">
        <v>0</v>
      </c>
      <c r="AP60">
        <v>1</v>
      </c>
    </row>
    <row r="61" spans="12:42" x14ac:dyDescent="0.2">
      <c r="L61">
        <f t="shared" si="0"/>
        <v>0</v>
      </c>
      <c r="AE61" t="s">
        <v>452</v>
      </c>
      <c r="AF61" t="s">
        <v>26</v>
      </c>
      <c r="AG61">
        <v>102</v>
      </c>
      <c r="AH61" t="s">
        <v>1273</v>
      </c>
      <c r="AI61" t="s">
        <v>1274</v>
      </c>
      <c r="AJ61" t="s">
        <v>1276</v>
      </c>
      <c r="AK61" t="s">
        <v>430</v>
      </c>
      <c r="AL61" t="s">
        <v>431</v>
      </c>
      <c r="AM61">
        <v>0</v>
      </c>
      <c r="AN61">
        <v>0</v>
      </c>
      <c r="AO61">
        <v>0</v>
      </c>
      <c r="AP61">
        <v>1</v>
      </c>
    </row>
    <row r="62" spans="12:42" x14ac:dyDescent="0.2">
      <c r="L62">
        <f t="shared" si="0"/>
        <v>0</v>
      </c>
      <c r="AE62" t="s">
        <v>452</v>
      </c>
      <c r="AF62" t="s">
        <v>26</v>
      </c>
      <c r="AG62">
        <v>102</v>
      </c>
      <c r="AH62" t="s">
        <v>1273</v>
      </c>
      <c r="AI62" t="s">
        <v>1274</v>
      </c>
      <c r="AJ62" t="s">
        <v>1287</v>
      </c>
      <c r="AK62" t="s">
        <v>434</v>
      </c>
      <c r="AL62" t="s">
        <v>435</v>
      </c>
      <c r="AM62">
        <v>0</v>
      </c>
      <c r="AN62">
        <v>0</v>
      </c>
      <c r="AO62">
        <v>0</v>
      </c>
      <c r="AP62">
        <v>1</v>
      </c>
    </row>
    <row r="63" spans="12:42" x14ac:dyDescent="0.2">
      <c r="L63">
        <f t="shared" si="0"/>
        <v>0</v>
      </c>
      <c r="AE63" t="s">
        <v>452</v>
      </c>
      <c r="AF63" t="s">
        <v>26</v>
      </c>
      <c r="AG63">
        <v>103</v>
      </c>
      <c r="AH63" t="s">
        <v>1273</v>
      </c>
      <c r="AI63" t="s">
        <v>1274</v>
      </c>
      <c r="AJ63" t="s">
        <v>1286</v>
      </c>
      <c r="AK63" t="s">
        <v>422</v>
      </c>
      <c r="AL63" t="s">
        <v>423</v>
      </c>
      <c r="AM63">
        <v>0</v>
      </c>
      <c r="AN63">
        <v>0</v>
      </c>
      <c r="AO63">
        <v>0</v>
      </c>
      <c r="AP63">
        <v>1</v>
      </c>
    </row>
    <row r="64" spans="12:42" x14ac:dyDescent="0.2">
      <c r="L64">
        <f t="shared" si="0"/>
        <v>0</v>
      </c>
      <c r="AE64" t="s">
        <v>452</v>
      </c>
      <c r="AF64" t="s">
        <v>26</v>
      </c>
      <c r="AG64">
        <v>103</v>
      </c>
      <c r="AH64" t="s">
        <v>1273</v>
      </c>
      <c r="AI64" t="s">
        <v>1274</v>
      </c>
      <c r="AJ64" t="s">
        <v>1275</v>
      </c>
      <c r="AK64" t="s">
        <v>426</v>
      </c>
      <c r="AL64" t="s">
        <v>427</v>
      </c>
      <c r="AM64">
        <v>0</v>
      </c>
      <c r="AN64">
        <v>0</v>
      </c>
      <c r="AO64">
        <v>0</v>
      </c>
      <c r="AP64">
        <v>1</v>
      </c>
    </row>
    <row r="65" spans="12:42" x14ac:dyDescent="0.2">
      <c r="L65">
        <f t="shared" si="0"/>
        <v>0</v>
      </c>
      <c r="AE65" t="s">
        <v>452</v>
      </c>
      <c r="AF65" t="s">
        <v>26</v>
      </c>
      <c r="AG65">
        <v>104</v>
      </c>
      <c r="AH65" t="s">
        <v>1273</v>
      </c>
      <c r="AI65" t="s">
        <v>1274</v>
      </c>
      <c r="AJ65" t="s">
        <v>1288</v>
      </c>
      <c r="AK65" t="s">
        <v>409</v>
      </c>
      <c r="AL65" t="s">
        <v>410</v>
      </c>
      <c r="AM65">
        <v>0</v>
      </c>
      <c r="AN65">
        <v>0</v>
      </c>
      <c r="AO65">
        <v>0</v>
      </c>
      <c r="AP65">
        <v>1</v>
      </c>
    </row>
    <row r="66" spans="12:42" x14ac:dyDescent="0.2">
      <c r="L66">
        <f t="shared" si="0"/>
        <v>0</v>
      </c>
      <c r="AE66" t="s">
        <v>452</v>
      </c>
      <c r="AF66" t="s">
        <v>26</v>
      </c>
      <c r="AG66">
        <v>104</v>
      </c>
      <c r="AH66" t="s">
        <v>1318</v>
      </c>
      <c r="AI66" t="s">
        <v>1319</v>
      </c>
      <c r="AJ66" t="s">
        <v>1320</v>
      </c>
      <c r="AK66" t="s">
        <v>418</v>
      </c>
      <c r="AL66" t="s">
        <v>419</v>
      </c>
      <c r="AM66">
        <v>0</v>
      </c>
      <c r="AN66">
        <v>0</v>
      </c>
      <c r="AO66">
        <v>0</v>
      </c>
      <c r="AP66">
        <v>1</v>
      </c>
    </row>
    <row r="67" spans="12:42" x14ac:dyDescent="0.2">
      <c r="L67">
        <f t="shared" si="0"/>
        <v>0</v>
      </c>
      <c r="AE67" t="s">
        <v>452</v>
      </c>
      <c r="AF67" t="s">
        <v>26</v>
      </c>
      <c r="AG67">
        <v>116</v>
      </c>
      <c r="AH67" t="s">
        <v>1308</v>
      </c>
      <c r="AI67" t="s">
        <v>1309</v>
      </c>
      <c r="AJ67" t="s">
        <v>1310</v>
      </c>
      <c r="AK67" t="s">
        <v>314</v>
      </c>
      <c r="AL67" t="s">
        <v>315</v>
      </c>
      <c r="AM67">
        <v>0</v>
      </c>
      <c r="AN67">
        <v>0</v>
      </c>
      <c r="AO67">
        <v>0</v>
      </c>
      <c r="AP67">
        <v>1</v>
      </c>
    </row>
    <row r="68" spans="12:42" x14ac:dyDescent="0.2">
      <c r="L68">
        <f t="shared" ref="L68:L131" si="1">IF(E68="",0,IF(I68=1,0.5,1))</f>
        <v>0</v>
      </c>
      <c r="AE68" t="s">
        <v>452</v>
      </c>
      <c r="AF68" t="s">
        <v>26</v>
      </c>
      <c r="AG68">
        <v>116</v>
      </c>
      <c r="AH68" t="s">
        <v>1308</v>
      </c>
      <c r="AI68" t="s">
        <v>1309</v>
      </c>
      <c r="AJ68" t="s">
        <v>1310</v>
      </c>
      <c r="AK68" t="s">
        <v>318</v>
      </c>
      <c r="AL68" t="s">
        <v>319</v>
      </c>
      <c r="AM68">
        <v>0</v>
      </c>
      <c r="AN68">
        <v>0</v>
      </c>
      <c r="AO68">
        <v>0</v>
      </c>
      <c r="AP68">
        <v>1</v>
      </c>
    </row>
    <row r="69" spans="12:42" x14ac:dyDescent="0.2">
      <c r="L69">
        <f t="shared" si="1"/>
        <v>0</v>
      </c>
      <c r="AE69" t="s">
        <v>452</v>
      </c>
      <c r="AF69" t="s">
        <v>26</v>
      </c>
      <c r="AG69">
        <v>117</v>
      </c>
      <c r="AH69" t="s">
        <v>1229</v>
      </c>
      <c r="AI69" t="s">
        <v>1263</v>
      </c>
      <c r="AJ69" t="s">
        <v>1300</v>
      </c>
      <c r="AK69" t="s">
        <v>306</v>
      </c>
      <c r="AL69" t="s">
        <v>307</v>
      </c>
      <c r="AM69">
        <v>0</v>
      </c>
      <c r="AN69">
        <v>0</v>
      </c>
      <c r="AO69">
        <v>0</v>
      </c>
      <c r="AP69">
        <v>1</v>
      </c>
    </row>
    <row r="70" spans="12:42" x14ac:dyDescent="0.2">
      <c r="L70">
        <f t="shared" si="1"/>
        <v>0</v>
      </c>
      <c r="AE70" t="s">
        <v>452</v>
      </c>
      <c r="AF70" t="s">
        <v>26</v>
      </c>
      <c r="AG70">
        <v>117</v>
      </c>
      <c r="AH70" t="s">
        <v>1229</v>
      </c>
      <c r="AI70" t="s">
        <v>1263</v>
      </c>
      <c r="AJ70" t="s">
        <v>1300</v>
      </c>
      <c r="AK70" t="s">
        <v>310</v>
      </c>
      <c r="AL70" t="s">
        <v>311</v>
      </c>
      <c r="AM70">
        <v>0</v>
      </c>
      <c r="AN70">
        <v>0</v>
      </c>
      <c r="AO70">
        <v>0</v>
      </c>
      <c r="AP70">
        <v>1</v>
      </c>
    </row>
    <row r="71" spans="12:42" x14ac:dyDescent="0.2">
      <c r="L71">
        <f t="shared" si="1"/>
        <v>0</v>
      </c>
      <c r="AE71" t="s">
        <v>452</v>
      </c>
      <c r="AF71" t="s">
        <v>26</v>
      </c>
      <c r="AG71">
        <v>118</v>
      </c>
      <c r="AH71" t="s">
        <v>1229</v>
      </c>
      <c r="AI71" t="s">
        <v>1263</v>
      </c>
      <c r="AJ71" t="s">
        <v>1311</v>
      </c>
      <c r="AK71" t="s">
        <v>298</v>
      </c>
      <c r="AL71" t="s">
        <v>299</v>
      </c>
      <c r="AM71">
        <v>0</v>
      </c>
      <c r="AN71">
        <v>0</v>
      </c>
      <c r="AO71">
        <v>0</v>
      </c>
      <c r="AP71">
        <v>1</v>
      </c>
    </row>
    <row r="72" spans="12:42" x14ac:dyDescent="0.2">
      <c r="L72">
        <f t="shared" si="1"/>
        <v>0</v>
      </c>
      <c r="AE72" t="s">
        <v>452</v>
      </c>
      <c r="AF72" t="s">
        <v>26</v>
      </c>
      <c r="AG72">
        <v>118</v>
      </c>
      <c r="AH72" t="s">
        <v>1229</v>
      </c>
      <c r="AI72" t="s">
        <v>1263</v>
      </c>
      <c r="AJ72" t="s">
        <v>1312</v>
      </c>
      <c r="AK72" t="s">
        <v>302</v>
      </c>
      <c r="AL72" t="s">
        <v>303</v>
      </c>
      <c r="AM72">
        <v>0</v>
      </c>
      <c r="AN72">
        <v>0</v>
      </c>
      <c r="AO72">
        <v>0</v>
      </c>
      <c r="AP72">
        <v>1</v>
      </c>
    </row>
    <row r="73" spans="12:42" x14ac:dyDescent="0.2">
      <c r="L73">
        <f t="shared" si="1"/>
        <v>0</v>
      </c>
      <c r="AE73" t="s">
        <v>452</v>
      </c>
      <c r="AF73" t="s">
        <v>26</v>
      </c>
      <c r="AG73">
        <v>119</v>
      </c>
      <c r="AH73" t="s">
        <v>1229</v>
      </c>
      <c r="AI73" t="s">
        <v>1263</v>
      </c>
      <c r="AJ73" t="s">
        <v>1313</v>
      </c>
      <c r="AK73" t="s">
        <v>290</v>
      </c>
      <c r="AL73" t="s">
        <v>291</v>
      </c>
      <c r="AM73">
        <v>0</v>
      </c>
      <c r="AN73">
        <v>0</v>
      </c>
      <c r="AO73">
        <v>0</v>
      </c>
      <c r="AP73">
        <v>1</v>
      </c>
    </row>
    <row r="74" spans="12:42" x14ac:dyDescent="0.2">
      <c r="L74">
        <f t="shared" si="1"/>
        <v>0</v>
      </c>
      <c r="AE74" t="s">
        <v>452</v>
      </c>
      <c r="AF74" t="s">
        <v>26</v>
      </c>
      <c r="AG74">
        <v>119</v>
      </c>
      <c r="AH74" t="s">
        <v>1229</v>
      </c>
      <c r="AI74" t="s">
        <v>1263</v>
      </c>
      <c r="AJ74" t="s">
        <v>1312</v>
      </c>
      <c r="AK74" t="s">
        <v>294</v>
      </c>
      <c r="AL74" t="s">
        <v>295</v>
      </c>
      <c r="AM74">
        <v>0</v>
      </c>
      <c r="AN74">
        <v>0</v>
      </c>
      <c r="AO74">
        <v>0</v>
      </c>
      <c r="AP74">
        <v>1</v>
      </c>
    </row>
    <row r="75" spans="12:42" x14ac:dyDescent="0.2">
      <c r="L75">
        <f t="shared" si="1"/>
        <v>0</v>
      </c>
      <c r="AE75" t="s">
        <v>452</v>
      </c>
      <c r="AF75" t="s">
        <v>26</v>
      </c>
      <c r="AG75">
        <v>122</v>
      </c>
      <c r="AH75" t="s">
        <v>1314</v>
      </c>
      <c r="AI75" t="s">
        <v>1315</v>
      </c>
      <c r="AJ75" t="s">
        <v>1316</v>
      </c>
      <c r="AK75" t="s">
        <v>272</v>
      </c>
      <c r="AL75" t="s">
        <v>273</v>
      </c>
      <c r="AM75">
        <v>0</v>
      </c>
      <c r="AN75">
        <v>0</v>
      </c>
      <c r="AO75">
        <v>0</v>
      </c>
      <c r="AP75">
        <v>1</v>
      </c>
    </row>
    <row r="76" spans="12:42" x14ac:dyDescent="0.2">
      <c r="L76">
        <f t="shared" si="1"/>
        <v>0</v>
      </c>
      <c r="AE76" t="s">
        <v>452</v>
      </c>
      <c r="AF76" t="s">
        <v>26</v>
      </c>
      <c r="AG76">
        <v>122</v>
      </c>
      <c r="AH76" t="s">
        <v>1314</v>
      </c>
      <c r="AI76" t="s">
        <v>1315</v>
      </c>
      <c r="AJ76" t="s">
        <v>1317</v>
      </c>
      <c r="AK76" t="s">
        <v>276</v>
      </c>
      <c r="AL76" t="s">
        <v>277</v>
      </c>
      <c r="AM76">
        <v>0</v>
      </c>
      <c r="AN76">
        <v>0</v>
      </c>
      <c r="AO76">
        <v>0</v>
      </c>
      <c r="AP76">
        <v>1</v>
      </c>
    </row>
    <row r="77" spans="12:42" x14ac:dyDescent="0.2">
      <c r="L77">
        <f t="shared" si="1"/>
        <v>0</v>
      </c>
      <c r="AE77" t="s">
        <v>452</v>
      </c>
      <c r="AF77" t="s">
        <v>26</v>
      </c>
      <c r="AG77">
        <v>123</v>
      </c>
      <c r="AH77" t="s">
        <v>1318</v>
      </c>
      <c r="AI77" t="s">
        <v>1319</v>
      </c>
      <c r="AJ77" t="s">
        <v>1320</v>
      </c>
      <c r="AK77" t="s">
        <v>267</v>
      </c>
      <c r="AL77" t="s">
        <v>268</v>
      </c>
      <c r="AM77">
        <v>0</v>
      </c>
      <c r="AN77">
        <v>0</v>
      </c>
      <c r="AO77">
        <v>0</v>
      </c>
      <c r="AP77">
        <v>1</v>
      </c>
    </row>
    <row r="78" spans="12:42" x14ac:dyDescent="0.2">
      <c r="L78">
        <f t="shared" si="1"/>
        <v>0</v>
      </c>
      <c r="AE78" t="s">
        <v>452</v>
      </c>
      <c r="AF78" t="s">
        <v>26</v>
      </c>
      <c r="AG78">
        <v>123</v>
      </c>
      <c r="AH78" t="s">
        <v>1318</v>
      </c>
      <c r="AI78" t="s">
        <v>1319</v>
      </c>
      <c r="AJ78" t="s">
        <v>1320</v>
      </c>
      <c r="AK78" t="s">
        <v>263</v>
      </c>
      <c r="AL78" t="s">
        <v>264</v>
      </c>
      <c r="AM78">
        <v>0</v>
      </c>
      <c r="AN78">
        <v>0</v>
      </c>
      <c r="AO78">
        <v>0</v>
      </c>
      <c r="AP78">
        <v>1</v>
      </c>
    </row>
    <row r="79" spans="12:42" x14ac:dyDescent="0.2">
      <c r="L79">
        <f t="shared" si="1"/>
        <v>0</v>
      </c>
      <c r="AE79" t="s">
        <v>452</v>
      </c>
      <c r="AF79" t="s">
        <v>26</v>
      </c>
      <c r="AG79">
        <v>124</v>
      </c>
      <c r="AH79" t="s">
        <v>1305</v>
      </c>
      <c r="AI79" t="s">
        <v>1306</v>
      </c>
      <c r="AJ79" t="s">
        <v>1307</v>
      </c>
      <c r="AK79" t="s">
        <v>259</v>
      </c>
      <c r="AL79" t="s">
        <v>260</v>
      </c>
      <c r="AM79">
        <v>0</v>
      </c>
      <c r="AN79">
        <v>0</v>
      </c>
      <c r="AO79">
        <v>0</v>
      </c>
      <c r="AP79">
        <v>1</v>
      </c>
    </row>
    <row r="80" spans="12:42" x14ac:dyDescent="0.2">
      <c r="L80">
        <f t="shared" si="1"/>
        <v>0</v>
      </c>
      <c r="AE80" t="s">
        <v>452</v>
      </c>
      <c r="AF80" t="s">
        <v>26</v>
      </c>
      <c r="AG80">
        <v>124</v>
      </c>
      <c r="AH80" t="s">
        <v>1266</v>
      </c>
      <c r="AI80" t="s">
        <v>1301</v>
      </c>
      <c r="AJ80" t="s">
        <v>1302</v>
      </c>
      <c r="AK80" t="s">
        <v>255</v>
      </c>
      <c r="AL80" t="s">
        <v>256</v>
      </c>
      <c r="AM80">
        <v>0</v>
      </c>
      <c r="AN80">
        <v>0</v>
      </c>
      <c r="AO80">
        <v>0</v>
      </c>
      <c r="AP80">
        <v>1</v>
      </c>
    </row>
    <row r="81" spans="12:42" x14ac:dyDescent="0.2">
      <c r="L81">
        <f t="shared" si="1"/>
        <v>0</v>
      </c>
      <c r="AE81" t="s">
        <v>452</v>
      </c>
      <c r="AF81" t="s">
        <v>26</v>
      </c>
      <c r="AG81">
        <v>125</v>
      </c>
      <c r="AH81" t="s">
        <v>1266</v>
      </c>
      <c r="AI81" t="s">
        <v>1322</v>
      </c>
      <c r="AJ81" t="s">
        <v>1299</v>
      </c>
      <c r="AK81" t="s">
        <v>251</v>
      </c>
      <c r="AL81" t="s">
        <v>252</v>
      </c>
      <c r="AM81">
        <v>0</v>
      </c>
      <c r="AN81">
        <v>0</v>
      </c>
      <c r="AO81">
        <v>0</v>
      </c>
      <c r="AP81">
        <v>1</v>
      </c>
    </row>
    <row r="82" spans="12:42" x14ac:dyDescent="0.2">
      <c r="L82">
        <f t="shared" si="1"/>
        <v>0</v>
      </c>
      <c r="AE82" t="s">
        <v>452</v>
      </c>
      <c r="AF82" t="s">
        <v>26</v>
      </c>
      <c r="AG82">
        <v>125</v>
      </c>
      <c r="AH82" t="s">
        <v>1277</v>
      </c>
      <c r="AI82" t="s">
        <v>1278</v>
      </c>
      <c r="AJ82" t="s">
        <v>1239</v>
      </c>
      <c r="AK82" t="s">
        <v>486</v>
      </c>
      <c r="AL82" t="s">
        <v>487</v>
      </c>
      <c r="AM82">
        <v>0</v>
      </c>
      <c r="AN82">
        <v>0</v>
      </c>
      <c r="AO82">
        <v>0</v>
      </c>
      <c r="AP82">
        <v>1</v>
      </c>
    </row>
    <row r="83" spans="12:42" x14ac:dyDescent="0.2">
      <c r="L83">
        <f t="shared" si="1"/>
        <v>0</v>
      </c>
      <c r="AE83" t="s">
        <v>452</v>
      </c>
      <c r="AF83" t="s">
        <v>26</v>
      </c>
      <c r="AG83">
        <v>126</v>
      </c>
      <c r="AH83" t="s">
        <v>1266</v>
      </c>
      <c r="AI83" t="s">
        <v>1298</v>
      </c>
      <c r="AJ83" t="s">
        <v>1272</v>
      </c>
      <c r="AK83" t="s">
        <v>239</v>
      </c>
      <c r="AL83" t="s">
        <v>240</v>
      </c>
      <c r="AM83">
        <v>0</v>
      </c>
      <c r="AN83">
        <v>0</v>
      </c>
      <c r="AO83">
        <v>0</v>
      </c>
      <c r="AP83">
        <v>1</v>
      </c>
    </row>
    <row r="84" spans="12:42" x14ac:dyDescent="0.2">
      <c r="L84">
        <f t="shared" si="1"/>
        <v>0</v>
      </c>
      <c r="AE84" t="s">
        <v>452</v>
      </c>
      <c r="AF84" t="s">
        <v>26</v>
      </c>
      <c r="AG84">
        <v>126</v>
      </c>
      <c r="AH84" t="s">
        <v>1266</v>
      </c>
      <c r="AI84" t="s">
        <v>1298</v>
      </c>
      <c r="AJ84" t="s">
        <v>1323</v>
      </c>
      <c r="AK84" t="s">
        <v>243</v>
      </c>
      <c r="AL84" t="s">
        <v>244</v>
      </c>
      <c r="AM84">
        <v>0</v>
      </c>
      <c r="AN84">
        <v>0</v>
      </c>
      <c r="AO84">
        <v>0</v>
      </c>
      <c r="AP84">
        <v>1</v>
      </c>
    </row>
    <row r="85" spans="12:42" x14ac:dyDescent="0.2">
      <c r="L85">
        <f t="shared" si="1"/>
        <v>0</v>
      </c>
      <c r="AE85" t="s">
        <v>452</v>
      </c>
      <c r="AF85" t="s">
        <v>26</v>
      </c>
      <c r="AG85">
        <v>127</v>
      </c>
      <c r="AH85" t="s">
        <v>1266</v>
      </c>
      <c r="AI85" t="s">
        <v>1298</v>
      </c>
      <c r="AJ85" t="s">
        <v>1323</v>
      </c>
      <c r="AK85" t="s">
        <v>235</v>
      </c>
      <c r="AL85" t="s">
        <v>236</v>
      </c>
      <c r="AM85">
        <v>0</v>
      </c>
      <c r="AN85">
        <v>0</v>
      </c>
      <c r="AO85">
        <v>0</v>
      </c>
      <c r="AP85">
        <v>1</v>
      </c>
    </row>
    <row r="86" spans="12:42" x14ac:dyDescent="0.2">
      <c r="L86">
        <f t="shared" si="1"/>
        <v>0</v>
      </c>
      <c r="AE86" t="s">
        <v>452</v>
      </c>
      <c r="AF86" t="s">
        <v>26</v>
      </c>
      <c r="AG86">
        <v>127</v>
      </c>
      <c r="AH86" t="s">
        <v>1266</v>
      </c>
      <c r="AI86" t="s">
        <v>1324</v>
      </c>
      <c r="AJ86" t="s">
        <v>1325</v>
      </c>
      <c r="AK86" t="s">
        <v>230</v>
      </c>
      <c r="AL86" t="s">
        <v>231</v>
      </c>
      <c r="AM86">
        <v>0</v>
      </c>
      <c r="AN86">
        <v>0</v>
      </c>
      <c r="AO86">
        <v>0</v>
      </c>
      <c r="AP86">
        <v>1</v>
      </c>
    </row>
    <row r="87" spans="12:42" x14ac:dyDescent="0.2">
      <c r="L87">
        <f t="shared" si="1"/>
        <v>0</v>
      </c>
      <c r="AE87" t="s">
        <v>452</v>
      </c>
      <c r="AF87" t="s">
        <v>26</v>
      </c>
      <c r="AG87">
        <v>128</v>
      </c>
      <c r="AH87" t="s">
        <v>1229</v>
      </c>
      <c r="AI87" t="s">
        <v>1296</v>
      </c>
      <c r="AJ87" t="s">
        <v>1327</v>
      </c>
      <c r="AK87" t="s">
        <v>225</v>
      </c>
      <c r="AL87" t="s">
        <v>226</v>
      </c>
      <c r="AM87">
        <v>0</v>
      </c>
      <c r="AN87">
        <v>0</v>
      </c>
      <c r="AO87">
        <v>0</v>
      </c>
      <c r="AP87">
        <v>1</v>
      </c>
    </row>
    <row r="88" spans="12:42" x14ac:dyDescent="0.2">
      <c r="L88">
        <f t="shared" si="1"/>
        <v>0</v>
      </c>
      <c r="AE88" t="s">
        <v>452</v>
      </c>
      <c r="AF88" t="s">
        <v>26</v>
      </c>
      <c r="AG88">
        <v>128</v>
      </c>
      <c r="AH88" t="s">
        <v>1266</v>
      </c>
      <c r="AI88" t="s">
        <v>1298</v>
      </c>
      <c r="AJ88" t="s">
        <v>1326</v>
      </c>
      <c r="AK88" t="s">
        <v>221</v>
      </c>
      <c r="AL88" t="s">
        <v>222</v>
      </c>
      <c r="AM88">
        <v>0</v>
      </c>
      <c r="AN88">
        <v>0</v>
      </c>
      <c r="AO88">
        <v>0</v>
      </c>
      <c r="AP88">
        <v>1</v>
      </c>
    </row>
    <row r="89" spans="12:42" x14ac:dyDescent="0.2">
      <c r="L89">
        <f t="shared" si="1"/>
        <v>0</v>
      </c>
      <c r="AE89" t="s">
        <v>452</v>
      </c>
      <c r="AF89" t="s">
        <v>26</v>
      </c>
      <c r="AG89">
        <v>129</v>
      </c>
      <c r="AH89" t="s">
        <v>1266</v>
      </c>
      <c r="AI89" t="s">
        <v>1324</v>
      </c>
      <c r="AJ89" t="s">
        <v>1326</v>
      </c>
      <c r="AK89" t="s">
        <v>212</v>
      </c>
      <c r="AL89" t="s">
        <v>213</v>
      </c>
      <c r="AM89">
        <v>0</v>
      </c>
      <c r="AN89">
        <v>0</v>
      </c>
      <c r="AO89">
        <v>0</v>
      </c>
      <c r="AP89">
        <v>1</v>
      </c>
    </row>
    <row r="90" spans="12:42" x14ac:dyDescent="0.2">
      <c r="L90">
        <f t="shared" si="1"/>
        <v>0</v>
      </c>
      <c r="AE90" t="s">
        <v>452</v>
      </c>
      <c r="AF90" t="s">
        <v>26</v>
      </c>
      <c r="AG90">
        <v>129</v>
      </c>
      <c r="AH90" t="s">
        <v>1266</v>
      </c>
      <c r="AI90" t="s">
        <v>1271</v>
      </c>
      <c r="AJ90" t="s">
        <v>1328</v>
      </c>
      <c r="AK90" t="s">
        <v>216</v>
      </c>
      <c r="AL90" t="s">
        <v>217</v>
      </c>
      <c r="AM90">
        <v>0</v>
      </c>
      <c r="AN90">
        <v>0</v>
      </c>
      <c r="AO90">
        <v>0</v>
      </c>
      <c r="AP90">
        <v>1</v>
      </c>
    </row>
    <row r="91" spans="12:42" x14ac:dyDescent="0.2">
      <c r="L91">
        <f t="shared" si="1"/>
        <v>0</v>
      </c>
      <c r="AE91" t="s">
        <v>452</v>
      </c>
      <c r="AF91" t="s">
        <v>26</v>
      </c>
      <c r="AG91">
        <v>130</v>
      </c>
      <c r="AH91" t="s">
        <v>1266</v>
      </c>
      <c r="AI91" t="s">
        <v>1324</v>
      </c>
      <c r="AJ91" t="s">
        <v>1323</v>
      </c>
      <c r="AK91" t="s">
        <v>204</v>
      </c>
      <c r="AL91" t="s">
        <v>205</v>
      </c>
      <c r="AM91">
        <v>0</v>
      </c>
      <c r="AN91">
        <v>0</v>
      </c>
      <c r="AO91">
        <v>0</v>
      </c>
      <c r="AP91">
        <v>1</v>
      </c>
    </row>
    <row r="92" spans="12:42" x14ac:dyDescent="0.2">
      <c r="L92">
        <f t="shared" si="1"/>
        <v>0</v>
      </c>
      <c r="AE92" t="s">
        <v>452</v>
      </c>
      <c r="AF92" t="s">
        <v>26</v>
      </c>
      <c r="AG92">
        <v>130</v>
      </c>
      <c r="AH92" t="s">
        <v>1266</v>
      </c>
      <c r="AI92" t="s">
        <v>1271</v>
      </c>
      <c r="AJ92" t="s">
        <v>1329</v>
      </c>
      <c r="AK92" t="s">
        <v>208</v>
      </c>
      <c r="AL92" t="s">
        <v>209</v>
      </c>
      <c r="AM92">
        <v>0</v>
      </c>
      <c r="AN92">
        <v>0</v>
      </c>
      <c r="AO92">
        <v>0</v>
      </c>
      <c r="AP92">
        <v>1</v>
      </c>
    </row>
    <row r="93" spans="12:42" x14ac:dyDescent="0.2">
      <c r="L93">
        <f t="shared" si="1"/>
        <v>0</v>
      </c>
      <c r="AE93" t="s">
        <v>452</v>
      </c>
      <c r="AF93" t="s">
        <v>26</v>
      </c>
      <c r="AG93">
        <v>131</v>
      </c>
      <c r="AH93" t="s">
        <v>1266</v>
      </c>
      <c r="AI93" t="s">
        <v>1330</v>
      </c>
      <c r="AJ93" t="s">
        <v>1323</v>
      </c>
      <c r="AK93" t="s">
        <v>199</v>
      </c>
      <c r="AL93" t="s">
        <v>200</v>
      </c>
      <c r="AM93">
        <v>0</v>
      </c>
      <c r="AN93">
        <v>0</v>
      </c>
      <c r="AO93">
        <v>0</v>
      </c>
      <c r="AP93">
        <v>1</v>
      </c>
    </row>
    <row r="94" spans="12:42" x14ac:dyDescent="0.2">
      <c r="L94">
        <f t="shared" si="1"/>
        <v>0</v>
      </c>
      <c r="AE94" t="s">
        <v>452</v>
      </c>
      <c r="AF94" t="s">
        <v>26</v>
      </c>
      <c r="AG94">
        <v>131</v>
      </c>
      <c r="AH94" t="s">
        <v>1266</v>
      </c>
      <c r="AI94" t="s">
        <v>1324</v>
      </c>
      <c r="AJ94" t="s">
        <v>1272</v>
      </c>
      <c r="AK94" t="s">
        <v>195</v>
      </c>
      <c r="AL94" t="s">
        <v>196</v>
      </c>
      <c r="AM94">
        <v>0</v>
      </c>
      <c r="AN94">
        <v>0</v>
      </c>
      <c r="AO94">
        <v>0</v>
      </c>
      <c r="AP94">
        <v>1</v>
      </c>
    </row>
    <row r="95" spans="12:42" x14ac:dyDescent="0.2">
      <c r="L95">
        <f t="shared" si="1"/>
        <v>0</v>
      </c>
      <c r="AE95" t="s">
        <v>452</v>
      </c>
      <c r="AF95" t="s">
        <v>23</v>
      </c>
      <c r="AG95">
        <v>43</v>
      </c>
      <c r="AH95" t="s">
        <v>1229</v>
      </c>
      <c r="AI95" t="s">
        <v>1230</v>
      </c>
      <c r="AJ95" t="s">
        <v>1241</v>
      </c>
      <c r="AK95" t="s">
        <v>865</v>
      </c>
      <c r="AL95" t="s">
        <v>866</v>
      </c>
      <c r="AM95">
        <v>0</v>
      </c>
      <c r="AN95">
        <v>1</v>
      </c>
      <c r="AO95">
        <v>1</v>
      </c>
      <c r="AP95">
        <v>2</v>
      </c>
    </row>
    <row r="96" spans="12:42" x14ac:dyDescent="0.2">
      <c r="L96">
        <f t="shared" si="1"/>
        <v>0</v>
      </c>
      <c r="AE96" t="s">
        <v>452</v>
      </c>
      <c r="AF96" t="s">
        <v>23</v>
      </c>
      <c r="AG96">
        <v>105</v>
      </c>
      <c r="AH96" t="s">
        <v>1273</v>
      </c>
      <c r="AI96" t="s">
        <v>1274</v>
      </c>
      <c r="AJ96" t="s">
        <v>1290</v>
      </c>
      <c r="AK96" t="s">
        <v>404</v>
      </c>
      <c r="AL96" t="s">
        <v>405</v>
      </c>
      <c r="AM96">
        <v>0</v>
      </c>
      <c r="AN96">
        <v>1</v>
      </c>
      <c r="AO96">
        <v>1</v>
      </c>
      <c r="AP96">
        <v>2</v>
      </c>
    </row>
    <row r="97" spans="12:42" x14ac:dyDescent="0.2">
      <c r="L97">
        <f t="shared" si="1"/>
        <v>0</v>
      </c>
      <c r="AE97" t="s">
        <v>452</v>
      </c>
      <c r="AF97" t="s">
        <v>23</v>
      </c>
      <c r="AG97">
        <v>120</v>
      </c>
      <c r="AH97" t="s">
        <v>1229</v>
      </c>
      <c r="AI97" t="s">
        <v>1263</v>
      </c>
      <c r="AJ97" t="s">
        <v>1312</v>
      </c>
      <c r="AK97" t="s">
        <v>285</v>
      </c>
      <c r="AL97" t="s">
        <v>286</v>
      </c>
      <c r="AM97">
        <v>0</v>
      </c>
      <c r="AN97">
        <v>1</v>
      </c>
      <c r="AO97">
        <v>1</v>
      </c>
      <c r="AP97">
        <v>2</v>
      </c>
    </row>
    <row r="98" spans="12:42" x14ac:dyDescent="0.2">
      <c r="L98">
        <f t="shared" si="1"/>
        <v>0</v>
      </c>
      <c r="AE98" t="s">
        <v>452</v>
      </c>
      <c r="AF98" t="s">
        <v>23</v>
      </c>
      <c r="AG98">
        <v>121</v>
      </c>
      <c r="AH98" t="s">
        <v>1229</v>
      </c>
      <c r="AI98" t="s">
        <v>1263</v>
      </c>
      <c r="AJ98" t="s">
        <v>1312</v>
      </c>
      <c r="AK98" t="s">
        <v>280</v>
      </c>
      <c r="AL98" t="s">
        <v>281</v>
      </c>
      <c r="AM98">
        <v>0</v>
      </c>
      <c r="AN98">
        <v>1</v>
      </c>
      <c r="AO98">
        <v>1</v>
      </c>
      <c r="AP98">
        <v>2</v>
      </c>
    </row>
    <row r="99" spans="12:42" x14ac:dyDescent="0.2">
      <c r="L99">
        <f t="shared" si="1"/>
        <v>0</v>
      </c>
      <c r="AE99" t="s">
        <v>1932</v>
      </c>
      <c r="AF99" t="s">
        <v>26</v>
      </c>
      <c r="AG99">
        <v>3</v>
      </c>
      <c r="AH99" t="s">
        <v>1229</v>
      </c>
      <c r="AI99" t="s">
        <v>1230</v>
      </c>
      <c r="AJ99" t="s">
        <v>1231</v>
      </c>
      <c r="AK99" t="s">
        <v>1182</v>
      </c>
      <c r="AL99" t="s">
        <v>1183</v>
      </c>
      <c r="AM99">
        <v>0</v>
      </c>
      <c r="AN99">
        <v>0</v>
      </c>
      <c r="AO99">
        <v>0</v>
      </c>
      <c r="AP99">
        <v>1</v>
      </c>
    </row>
    <row r="100" spans="12:42" x14ac:dyDescent="0.2">
      <c r="L100">
        <f t="shared" si="1"/>
        <v>0</v>
      </c>
      <c r="AE100" t="s">
        <v>1932</v>
      </c>
      <c r="AF100" t="s">
        <v>26</v>
      </c>
      <c r="AG100">
        <v>3</v>
      </c>
      <c r="AH100" t="s">
        <v>1229</v>
      </c>
      <c r="AI100" t="s">
        <v>1230</v>
      </c>
      <c r="AJ100" t="s">
        <v>1231</v>
      </c>
      <c r="AK100" t="s">
        <v>1186</v>
      </c>
      <c r="AL100" t="s">
        <v>1187</v>
      </c>
      <c r="AM100">
        <v>0</v>
      </c>
      <c r="AN100">
        <v>0</v>
      </c>
      <c r="AO100">
        <v>0</v>
      </c>
      <c r="AP100">
        <v>1</v>
      </c>
    </row>
    <row r="101" spans="12:42" x14ac:dyDescent="0.2">
      <c r="L101">
        <f t="shared" si="1"/>
        <v>0</v>
      </c>
      <c r="AE101" t="s">
        <v>1932</v>
      </c>
      <c r="AF101" t="s">
        <v>26</v>
      </c>
      <c r="AG101">
        <v>4</v>
      </c>
      <c r="AH101" t="s">
        <v>1229</v>
      </c>
      <c r="AI101" t="s">
        <v>1230</v>
      </c>
      <c r="AJ101" t="s">
        <v>1231</v>
      </c>
      <c r="AK101" t="s">
        <v>1174</v>
      </c>
      <c r="AL101" t="s">
        <v>1175</v>
      </c>
      <c r="AM101">
        <v>0</v>
      </c>
      <c r="AN101">
        <v>0</v>
      </c>
      <c r="AO101">
        <v>0</v>
      </c>
      <c r="AP101">
        <v>1</v>
      </c>
    </row>
    <row r="102" spans="12:42" x14ac:dyDescent="0.2">
      <c r="L102">
        <f t="shared" si="1"/>
        <v>0</v>
      </c>
      <c r="AE102" t="s">
        <v>1932</v>
      </c>
      <c r="AF102" t="s">
        <v>26</v>
      </c>
      <c r="AG102">
        <v>4</v>
      </c>
      <c r="AH102" t="s">
        <v>1229</v>
      </c>
      <c r="AI102" t="s">
        <v>1230</v>
      </c>
      <c r="AJ102" t="s">
        <v>1231</v>
      </c>
      <c r="AK102" t="s">
        <v>1178</v>
      </c>
      <c r="AL102" t="s">
        <v>1179</v>
      </c>
      <c r="AM102">
        <v>0</v>
      </c>
      <c r="AN102">
        <v>0</v>
      </c>
      <c r="AO102">
        <v>0</v>
      </c>
      <c r="AP102">
        <v>1</v>
      </c>
    </row>
    <row r="103" spans="12:42" x14ac:dyDescent="0.2">
      <c r="L103">
        <f t="shared" si="1"/>
        <v>0</v>
      </c>
      <c r="AE103" t="s">
        <v>1932</v>
      </c>
      <c r="AF103" t="s">
        <v>26</v>
      </c>
      <c r="AG103">
        <v>5</v>
      </c>
      <c r="AH103" t="s">
        <v>1229</v>
      </c>
      <c r="AI103" t="s">
        <v>1230</v>
      </c>
      <c r="AJ103" t="s">
        <v>1231</v>
      </c>
      <c r="AK103" t="s">
        <v>1170</v>
      </c>
      <c r="AL103" t="s">
        <v>1171</v>
      </c>
      <c r="AM103">
        <v>0</v>
      </c>
      <c r="AN103">
        <v>0</v>
      </c>
      <c r="AO103">
        <v>0</v>
      </c>
      <c r="AP103">
        <v>1</v>
      </c>
    </row>
    <row r="104" spans="12:42" x14ac:dyDescent="0.2">
      <c r="L104">
        <f t="shared" si="1"/>
        <v>0</v>
      </c>
      <c r="AE104" t="s">
        <v>1932</v>
      </c>
      <c r="AF104" t="s">
        <v>26</v>
      </c>
      <c r="AG104">
        <v>5</v>
      </c>
      <c r="AH104" t="s">
        <v>1229</v>
      </c>
      <c r="AI104" t="s">
        <v>1230</v>
      </c>
      <c r="AJ104" t="s">
        <v>1231</v>
      </c>
      <c r="AK104" t="s">
        <v>1166</v>
      </c>
      <c r="AL104" t="s">
        <v>1167</v>
      </c>
      <c r="AM104">
        <v>0</v>
      </c>
      <c r="AN104">
        <v>0</v>
      </c>
      <c r="AO104">
        <v>0</v>
      </c>
      <c r="AP104">
        <v>1</v>
      </c>
    </row>
    <row r="105" spans="12:42" x14ac:dyDescent="0.2">
      <c r="L105">
        <f t="shared" si="1"/>
        <v>0</v>
      </c>
      <c r="AE105" t="s">
        <v>1932</v>
      </c>
      <c r="AF105" t="s">
        <v>26</v>
      </c>
      <c r="AG105">
        <v>6</v>
      </c>
      <c r="AH105" t="s">
        <v>1229</v>
      </c>
      <c r="AI105" t="s">
        <v>1230</v>
      </c>
      <c r="AJ105" t="s">
        <v>1231</v>
      </c>
      <c r="AK105" t="s">
        <v>1162</v>
      </c>
      <c r="AL105" t="s">
        <v>1163</v>
      </c>
      <c r="AM105">
        <v>0</v>
      </c>
      <c r="AN105">
        <v>0</v>
      </c>
      <c r="AO105">
        <v>0</v>
      </c>
      <c r="AP105">
        <v>1</v>
      </c>
    </row>
    <row r="106" spans="12:42" x14ac:dyDescent="0.2">
      <c r="L106">
        <f t="shared" si="1"/>
        <v>0</v>
      </c>
      <c r="AE106" t="s">
        <v>1932</v>
      </c>
      <c r="AF106" t="s">
        <v>26</v>
      </c>
      <c r="AG106">
        <v>6</v>
      </c>
      <c r="AH106" t="s">
        <v>1229</v>
      </c>
      <c r="AI106" t="s">
        <v>1230</v>
      </c>
      <c r="AJ106" t="s">
        <v>1231</v>
      </c>
      <c r="AK106" t="s">
        <v>1158</v>
      </c>
      <c r="AL106" t="s">
        <v>1159</v>
      </c>
      <c r="AM106">
        <v>0</v>
      </c>
      <c r="AN106">
        <v>0</v>
      </c>
      <c r="AO106">
        <v>0</v>
      </c>
      <c r="AP106">
        <v>1</v>
      </c>
    </row>
    <row r="107" spans="12:42" x14ac:dyDescent="0.2">
      <c r="L107">
        <f t="shared" si="1"/>
        <v>0</v>
      </c>
      <c r="AE107" t="s">
        <v>1932</v>
      </c>
      <c r="AF107" t="s">
        <v>26</v>
      </c>
      <c r="AG107">
        <v>7</v>
      </c>
      <c r="AH107" t="s">
        <v>1229</v>
      </c>
      <c r="AI107" t="s">
        <v>1230</v>
      </c>
      <c r="AJ107" t="s">
        <v>1231</v>
      </c>
      <c r="AK107" t="s">
        <v>1154</v>
      </c>
      <c r="AL107" t="s">
        <v>1155</v>
      </c>
      <c r="AM107">
        <v>0</v>
      </c>
      <c r="AN107">
        <v>0</v>
      </c>
      <c r="AO107">
        <v>0</v>
      </c>
      <c r="AP107">
        <v>1</v>
      </c>
    </row>
    <row r="108" spans="12:42" x14ac:dyDescent="0.2">
      <c r="L108">
        <f t="shared" si="1"/>
        <v>0</v>
      </c>
      <c r="AE108" t="s">
        <v>1932</v>
      </c>
      <c r="AF108" t="s">
        <v>26</v>
      </c>
      <c r="AG108">
        <v>7</v>
      </c>
      <c r="AH108" t="s">
        <v>1229</v>
      </c>
      <c r="AI108" t="s">
        <v>1230</v>
      </c>
      <c r="AJ108" t="s">
        <v>1231</v>
      </c>
      <c r="AK108" t="s">
        <v>1150</v>
      </c>
      <c r="AL108" t="s">
        <v>1151</v>
      </c>
      <c r="AM108">
        <v>0</v>
      </c>
      <c r="AN108">
        <v>0</v>
      </c>
      <c r="AO108">
        <v>0</v>
      </c>
      <c r="AP108">
        <v>1</v>
      </c>
    </row>
    <row r="109" spans="12:42" x14ac:dyDescent="0.2">
      <c r="L109">
        <f t="shared" si="1"/>
        <v>0</v>
      </c>
      <c r="AE109" t="s">
        <v>1932</v>
      </c>
      <c r="AF109" t="s">
        <v>26</v>
      </c>
      <c r="AG109">
        <v>8</v>
      </c>
      <c r="AH109" t="s">
        <v>1229</v>
      </c>
      <c r="AI109" t="s">
        <v>1230</v>
      </c>
      <c r="AJ109" t="s">
        <v>1231</v>
      </c>
      <c r="AK109" t="s">
        <v>1142</v>
      </c>
      <c r="AL109" t="s">
        <v>1143</v>
      </c>
      <c r="AM109">
        <v>0</v>
      </c>
      <c r="AN109">
        <v>0</v>
      </c>
      <c r="AO109">
        <v>0</v>
      </c>
      <c r="AP109">
        <v>1</v>
      </c>
    </row>
    <row r="110" spans="12:42" x14ac:dyDescent="0.2">
      <c r="L110">
        <f t="shared" si="1"/>
        <v>0</v>
      </c>
      <c r="AE110" t="s">
        <v>1932</v>
      </c>
      <c r="AF110" t="s">
        <v>26</v>
      </c>
      <c r="AG110">
        <v>8</v>
      </c>
      <c r="AH110" t="s">
        <v>1229</v>
      </c>
      <c r="AI110" t="s">
        <v>1230</v>
      </c>
      <c r="AJ110" t="s">
        <v>1233</v>
      </c>
      <c r="AK110" t="s">
        <v>1146</v>
      </c>
      <c r="AL110" t="s">
        <v>1147</v>
      </c>
      <c r="AM110">
        <v>0</v>
      </c>
      <c r="AN110">
        <v>0</v>
      </c>
      <c r="AO110">
        <v>0</v>
      </c>
      <c r="AP110">
        <v>1</v>
      </c>
    </row>
    <row r="111" spans="12:42" x14ac:dyDescent="0.2">
      <c r="L111">
        <f t="shared" si="1"/>
        <v>0</v>
      </c>
      <c r="AE111" t="s">
        <v>1932</v>
      </c>
      <c r="AF111" t="s">
        <v>26</v>
      </c>
      <c r="AG111">
        <v>9</v>
      </c>
      <c r="AH111" t="s">
        <v>1229</v>
      </c>
      <c r="AI111" t="s">
        <v>1230</v>
      </c>
      <c r="AJ111" t="s">
        <v>1233</v>
      </c>
      <c r="AK111" t="s">
        <v>1134</v>
      </c>
      <c r="AL111" t="s">
        <v>1135</v>
      </c>
      <c r="AM111">
        <v>0</v>
      </c>
      <c r="AN111">
        <v>0</v>
      </c>
      <c r="AO111">
        <v>0</v>
      </c>
      <c r="AP111">
        <v>1</v>
      </c>
    </row>
    <row r="112" spans="12:42" x14ac:dyDescent="0.2">
      <c r="L112">
        <f t="shared" si="1"/>
        <v>0</v>
      </c>
      <c r="AE112" t="s">
        <v>1932</v>
      </c>
      <c r="AF112" t="s">
        <v>26</v>
      </c>
      <c r="AG112">
        <v>9</v>
      </c>
      <c r="AH112" t="s">
        <v>1229</v>
      </c>
      <c r="AI112" t="s">
        <v>1230</v>
      </c>
      <c r="AJ112" t="s">
        <v>1233</v>
      </c>
      <c r="AK112" t="s">
        <v>1138</v>
      </c>
      <c r="AL112" t="s">
        <v>1139</v>
      </c>
      <c r="AM112">
        <v>0</v>
      </c>
      <c r="AN112">
        <v>0</v>
      </c>
      <c r="AO112">
        <v>0</v>
      </c>
      <c r="AP112">
        <v>1</v>
      </c>
    </row>
    <row r="113" spans="12:42" x14ac:dyDescent="0.2">
      <c r="L113">
        <f t="shared" si="1"/>
        <v>0</v>
      </c>
      <c r="AE113" t="s">
        <v>1932</v>
      </c>
      <c r="AF113" t="s">
        <v>26</v>
      </c>
      <c r="AG113">
        <v>10</v>
      </c>
      <c r="AH113" t="s">
        <v>1229</v>
      </c>
      <c r="AI113" t="s">
        <v>1230</v>
      </c>
      <c r="AJ113" t="s">
        <v>1233</v>
      </c>
      <c r="AK113" t="s">
        <v>1126</v>
      </c>
      <c r="AL113" t="s">
        <v>1127</v>
      </c>
      <c r="AM113">
        <v>0</v>
      </c>
      <c r="AN113">
        <v>0</v>
      </c>
      <c r="AO113">
        <v>0</v>
      </c>
      <c r="AP113">
        <v>1</v>
      </c>
    </row>
    <row r="114" spans="12:42" x14ac:dyDescent="0.2">
      <c r="L114">
        <f t="shared" si="1"/>
        <v>0</v>
      </c>
      <c r="AE114" t="s">
        <v>1932</v>
      </c>
      <c r="AF114" t="s">
        <v>26</v>
      </c>
      <c r="AG114">
        <v>10</v>
      </c>
      <c r="AH114" t="s">
        <v>1229</v>
      </c>
      <c r="AI114" t="s">
        <v>1230</v>
      </c>
      <c r="AJ114" t="s">
        <v>1233</v>
      </c>
      <c r="AK114" t="s">
        <v>1130</v>
      </c>
      <c r="AL114" t="s">
        <v>1131</v>
      </c>
      <c r="AM114">
        <v>0</v>
      </c>
      <c r="AN114">
        <v>0</v>
      </c>
      <c r="AO114">
        <v>0</v>
      </c>
      <c r="AP114">
        <v>1</v>
      </c>
    </row>
    <row r="115" spans="12:42" x14ac:dyDescent="0.2">
      <c r="L115">
        <f t="shared" si="1"/>
        <v>0</v>
      </c>
      <c r="AE115" t="s">
        <v>1932</v>
      </c>
      <c r="AF115" t="s">
        <v>26</v>
      </c>
      <c r="AG115">
        <v>11</v>
      </c>
      <c r="AH115" t="s">
        <v>1229</v>
      </c>
      <c r="AI115" t="s">
        <v>1230</v>
      </c>
      <c r="AJ115" t="s">
        <v>1233</v>
      </c>
      <c r="AK115" t="s">
        <v>1118</v>
      </c>
      <c r="AL115" t="s">
        <v>1119</v>
      </c>
      <c r="AM115">
        <v>0</v>
      </c>
      <c r="AN115">
        <v>0</v>
      </c>
      <c r="AO115">
        <v>0</v>
      </c>
      <c r="AP115">
        <v>1</v>
      </c>
    </row>
    <row r="116" spans="12:42" x14ac:dyDescent="0.2">
      <c r="L116">
        <f t="shared" si="1"/>
        <v>0</v>
      </c>
      <c r="AE116" t="s">
        <v>1932</v>
      </c>
      <c r="AF116" t="s">
        <v>26</v>
      </c>
      <c r="AG116">
        <v>11</v>
      </c>
      <c r="AH116" t="s">
        <v>1229</v>
      </c>
      <c r="AI116" t="s">
        <v>1230</v>
      </c>
      <c r="AJ116" t="s">
        <v>1233</v>
      </c>
      <c r="AK116" t="s">
        <v>1122</v>
      </c>
      <c r="AL116" t="s">
        <v>1123</v>
      </c>
      <c r="AM116">
        <v>0</v>
      </c>
      <c r="AN116">
        <v>0</v>
      </c>
      <c r="AO116">
        <v>0</v>
      </c>
      <c r="AP116">
        <v>1</v>
      </c>
    </row>
    <row r="117" spans="12:42" x14ac:dyDescent="0.2">
      <c r="L117">
        <f t="shared" si="1"/>
        <v>0</v>
      </c>
      <c r="AE117" t="s">
        <v>1932</v>
      </c>
      <c r="AF117" t="s">
        <v>26</v>
      </c>
      <c r="AG117">
        <v>12</v>
      </c>
      <c r="AH117" t="s">
        <v>1229</v>
      </c>
      <c r="AI117" t="s">
        <v>1230</v>
      </c>
      <c r="AJ117" t="s">
        <v>1233</v>
      </c>
      <c r="AK117" t="s">
        <v>1110</v>
      </c>
      <c r="AL117" t="s">
        <v>1111</v>
      </c>
      <c r="AM117">
        <v>0</v>
      </c>
      <c r="AN117">
        <v>0</v>
      </c>
      <c r="AO117">
        <v>0</v>
      </c>
      <c r="AP117">
        <v>1</v>
      </c>
    </row>
    <row r="118" spans="12:42" x14ac:dyDescent="0.2">
      <c r="L118">
        <f t="shared" si="1"/>
        <v>0</v>
      </c>
      <c r="AE118" t="s">
        <v>1932</v>
      </c>
      <c r="AF118" t="s">
        <v>26</v>
      </c>
      <c r="AG118">
        <v>12</v>
      </c>
      <c r="AH118" t="s">
        <v>1229</v>
      </c>
      <c r="AI118" t="s">
        <v>1230</v>
      </c>
      <c r="AJ118" t="s">
        <v>1233</v>
      </c>
      <c r="AK118" t="s">
        <v>1114</v>
      </c>
      <c r="AL118" t="s">
        <v>1115</v>
      </c>
      <c r="AM118">
        <v>0</v>
      </c>
      <c r="AN118">
        <v>0</v>
      </c>
      <c r="AO118">
        <v>0</v>
      </c>
      <c r="AP118">
        <v>1</v>
      </c>
    </row>
    <row r="119" spans="12:42" x14ac:dyDescent="0.2">
      <c r="L119">
        <f t="shared" si="1"/>
        <v>0</v>
      </c>
      <c r="AE119" t="s">
        <v>1932</v>
      </c>
      <c r="AF119" t="s">
        <v>26</v>
      </c>
      <c r="AG119">
        <v>13</v>
      </c>
      <c r="AH119" t="s">
        <v>1229</v>
      </c>
      <c r="AI119" t="s">
        <v>1230</v>
      </c>
      <c r="AJ119" t="s">
        <v>1233</v>
      </c>
      <c r="AK119" t="s">
        <v>1106</v>
      </c>
      <c r="AL119" t="s">
        <v>1107</v>
      </c>
      <c r="AM119">
        <v>0</v>
      </c>
      <c r="AN119">
        <v>0</v>
      </c>
      <c r="AO119">
        <v>0</v>
      </c>
      <c r="AP119">
        <v>1</v>
      </c>
    </row>
    <row r="120" spans="12:42" x14ac:dyDescent="0.2">
      <c r="L120">
        <f t="shared" si="1"/>
        <v>0</v>
      </c>
      <c r="AE120" t="s">
        <v>1932</v>
      </c>
      <c r="AF120" t="s">
        <v>26</v>
      </c>
      <c r="AG120">
        <v>13</v>
      </c>
      <c r="AH120" t="s">
        <v>1229</v>
      </c>
      <c r="AI120" t="s">
        <v>1230</v>
      </c>
      <c r="AJ120" t="s">
        <v>1233</v>
      </c>
      <c r="AK120" t="s">
        <v>1102</v>
      </c>
      <c r="AL120" t="s">
        <v>1103</v>
      </c>
      <c r="AM120">
        <v>0</v>
      </c>
      <c r="AN120">
        <v>0</v>
      </c>
      <c r="AO120">
        <v>0</v>
      </c>
      <c r="AP120">
        <v>1</v>
      </c>
    </row>
    <row r="121" spans="12:42" x14ac:dyDescent="0.2">
      <c r="L121">
        <f t="shared" si="1"/>
        <v>0</v>
      </c>
      <c r="AE121" t="s">
        <v>1932</v>
      </c>
      <c r="AF121" t="s">
        <v>26</v>
      </c>
      <c r="AG121">
        <v>14</v>
      </c>
      <c r="AH121" t="s">
        <v>1229</v>
      </c>
      <c r="AI121" t="s">
        <v>1230</v>
      </c>
      <c r="AJ121" t="s">
        <v>1233</v>
      </c>
      <c r="AK121" t="s">
        <v>1098</v>
      </c>
      <c r="AL121" t="s">
        <v>1099</v>
      </c>
      <c r="AM121">
        <v>0</v>
      </c>
      <c r="AN121">
        <v>0</v>
      </c>
      <c r="AO121">
        <v>0</v>
      </c>
      <c r="AP121">
        <v>1</v>
      </c>
    </row>
    <row r="122" spans="12:42" x14ac:dyDescent="0.2">
      <c r="L122">
        <f t="shared" si="1"/>
        <v>0</v>
      </c>
      <c r="AE122" t="s">
        <v>1932</v>
      </c>
      <c r="AF122" t="s">
        <v>26</v>
      </c>
      <c r="AG122">
        <v>14</v>
      </c>
      <c r="AH122" t="s">
        <v>1229</v>
      </c>
      <c r="AI122" t="s">
        <v>1230</v>
      </c>
      <c r="AJ122" t="s">
        <v>1233</v>
      </c>
      <c r="AK122" t="s">
        <v>1094</v>
      </c>
      <c r="AL122" t="s">
        <v>1095</v>
      </c>
      <c r="AM122">
        <v>0</v>
      </c>
      <c r="AN122">
        <v>0</v>
      </c>
      <c r="AO122">
        <v>0</v>
      </c>
      <c r="AP122">
        <v>1</v>
      </c>
    </row>
    <row r="123" spans="12:42" x14ac:dyDescent="0.2">
      <c r="L123">
        <f t="shared" si="1"/>
        <v>0</v>
      </c>
      <c r="AE123" t="s">
        <v>1932</v>
      </c>
      <c r="AF123" t="s">
        <v>26</v>
      </c>
      <c r="AG123">
        <v>15</v>
      </c>
      <c r="AH123" t="s">
        <v>1229</v>
      </c>
      <c r="AI123" t="s">
        <v>1230</v>
      </c>
      <c r="AJ123" t="s">
        <v>1233</v>
      </c>
      <c r="AK123" t="s">
        <v>1085</v>
      </c>
      <c r="AL123" t="s">
        <v>1086</v>
      </c>
      <c r="AM123">
        <v>0</v>
      </c>
      <c r="AN123">
        <v>0</v>
      </c>
      <c r="AO123">
        <v>0</v>
      </c>
      <c r="AP123">
        <v>1</v>
      </c>
    </row>
    <row r="124" spans="12:42" x14ac:dyDescent="0.2">
      <c r="L124">
        <f t="shared" si="1"/>
        <v>0</v>
      </c>
      <c r="AE124" t="s">
        <v>1932</v>
      </c>
      <c r="AF124" t="s">
        <v>26</v>
      </c>
      <c r="AG124">
        <v>15</v>
      </c>
      <c r="AH124" t="s">
        <v>1229</v>
      </c>
      <c r="AI124" t="s">
        <v>1230</v>
      </c>
      <c r="AJ124" t="s">
        <v>516</v>
      </c>
      <c r="AK124" t="s">
        <v>1089</v>
      </c>
      <c r="AL124" t="s">
        <v>1090</v>
      </c>
      <c r="AM124">
        <v>0</v>
      </c>
      <c r="AN124">
        <v>0</v>
      </c>
      <c r="AO124">
        <v>0</v>
      </c>
      <c r="AP124">
        <v>1</v>
      </c>
    </row>
    <row r="125" spans="12:42" x14ac:dyDescent="0.2">
      <c r="L125">
        <f t="shared" si="1"/>
        <v>0</v>
      </c>
      <c r="AE125" t="s">
        <v>1932</v>
      </c>
      <c r="AF125" t="s">
        <v>26</v>
      </c>
      <c r="AG125">
        <v>16</v>
      </c>
      <c r="AH125" t="s">
        <v>1229</v>
      </c>
      <c r="AI125" t="s">
        <v>1230</v>
      </c>
      <c r="AJ125" t="s">
        <v>516</v>
      </c>
      <c r="AK125" t="s">
        <v>1077</v>
      </c>
      <c r="AL125" t="s">
        <v>1078</v>
      </c>
      <c r="AM125">
        <v>0</v>
      </c>
      <c r="AN125">
        <v>0</v>
      </c>
      <c r="AO125">
        <v>0</v>
      </c>
      <c r="AP125">
        <v>1</v>
      </c>
    </row>
    <row r="126" spans="12:42" x14ac:dyDescent="0.2">
      <c r="L126">
        <f t="shared" si="1"/>
        <v>0</v>
      </c>
      <c r="AE126" t="s">
        <v>1932</v>
      </c>
      <c r="AF126" t="s">
        <v>26</v>
      </c>
      <c r="AG126">
        <v>16</v>
      </c>
      <c r="AH126" t="s">
        <v>1229</v>
      </c>
      <c r="AI126" t="s">
        <v>1230</v>
      </c>
      <c r="AJ126" t="s">
        <v>516</v>
      </c>
      <c r="AK126" t="s">
        <v>1081</v>
      </c>
      <c r="AL126" t="s">
        <v>1082</v>
      </c>
      <c r="AM126">
        <v>0</v>
      </c>
      <c r="AN126">
        <v>0</v>
      </c>
      <c r="AO126">
        <v>0</v>
      </c>
      <c r="AP126">
        <v>1</v>
      </c>
    </row>
    <row r="127" spans="12:42" x14ac:dyDescent="0.2">
      <c r="L127">
        <f t="shared" si="1"/>
        <v>0</v>
      </c>
      <c r="AE127" t="s">
        <v>1932</v>
      </c>
      <c r="AF127" t="s">
        <v>26</v>
      </c>
      <c r="AG127">
        <v>17</v>
      </c>
      <c r="AH127" t="s">
        <v>1229</v>
      </c>
      <c r="AI127" t="s">
        <v>1230</v>
      </c>
      <c r="AJ127" t="s">
        <v>1236</v>
      </c>
      <c r="AK127" t="s">
        <v>1069</v>
      </c>
      <c r="AL127" t="s">
        <v>1070</v>
      </c>
      <c r="AM127">
        <v>0</v>
      </c>
      <c r="AN127">
        <v>0</v>
      </c>
      <c r="AO127">
        <v>0</v>
      </c>
      <c r="AP127">
        <v>1</v>
      </c>
    </row>
    <row r="128" spans="12:42" x14ac:dyDescent="0.2">
      <c r="L128">
        <f t="shared" si="1"/>
        <v>0</v>
      </c>
      <c r="AE128" t="s">
        <v>1932</v>
      </c>
      <c r="AF128" t="s">
        <v>26</v>
      </c>
      <c r="AG128">
        <v>17</v>
      </c>
      <c r="AH128" t="s">
        <v>1229</v>
      </c>
      <c r="AI128" t="s">
        <v>1230</v>
      </c>
      <c r="AJ128" t="s">
        <v>1238</v>
      </c>
      <c r="AK128" t="s">
        <v>1073</v>
      </c>
      <c r="AL128" t="s">
        <v>1074</v>
      </c>
      <c r="AM128">
        <v>0</v>
      </c>
      <c r="AN128">
        <v>0</v>
      </c>
      <c r="AO128">
        <v>0</v>
      </c>
      <c r="AP128">
        <v>1</v>
      </c>
    </row>
    <row r="129" spans="12:42" x14ac:dyDescent="0.2">
      <c r="L129">
        <f t="shared" si="1"/>
        <v>0</v>
      </c>
      <c r="AE129" t="s">
        <v>1932</v>
      </c>
      <c r="AF129" t="s">
        <v>26</v>
      </c>
      <c r="AG129">
        <v>18</v>
      </c>
      <c r="AH129" t="s">
        <v>1229</v>
      </c>
      <c r="AI129" t="s">
        <v>1230</v>
      </c>
      <c r="AJ129" t="s">
        <v>1238</v>
      </c>
      <c r="AK129" t="s">
        <v>1061</v>
      </c>
      <c r="AL129" t="s">
        <v>1062</v>
      </c>
      <c r="AM129">
        <v>0</v>
      </c>
      <c r="AN129">
        <v>0</v>
      </c>
      <c r="AO129">
        <v>0</v>
      </c>
      <c r="AP129">
        <v>1</v>
      </c>
    </row>
    <row r="130" spans="12:42" x14ac:dyDescent="0.2">
      <c r="L130">
        <f t="shared" si="1"/>
        <v>0</v>
      </c>
      <c r="AE130" t="s">
        <v>1932</v>
      </c>
      <c r="AF130" t="s">
        <v>26</v>
      </c>
      <c r="AG130">
        <v>18</v>
      </c>
      <c r="AH130" t="s">
        <v>1229</v>
      </c>
      <c r="AI130" t="s">
        <v>1230</v>
      </c>
      <c r="AJ130" t="s">
        <v>1238</v>
      </c>
      <c r="AK130" t="s">
        <v>1065</v>
      </c>
      <c r="AL130" t="s">
        <v>1066</v>
      </c>
      <c r="AM130">
        <v>0</v>
      </c>
      <c r="AN130">
        <v>0</v>
      </c>
      <c r="AO130">
        <v>0</v>
      </c>
      <c r="AP130">
        <v>1</v>
      </c>
    </row>
    <row r="131" spans="12:42" x14ac:dyDescent="0.2">
      <c r="L131">
        <f t="shared" si="1"/>
        <v>0</v>
      </c>
      <c r="AE131" t="s">
        <v>1932</v>
      </c>
      <c r="AF131" t="s">
        <v>26</v>
      </c>
      <c r="AG131">
        <v>19</v>
      </c>
      <c r="AH131" t="s">
        <v>1229</v>
      </c>
      <c r="AI131" t="s">
        <v>1230</v>
      </c>
      <c r="AJ131" t="s">
        <v>1238</v>
      </c>
      <c r="AK131" t="s">
        <v>1052</v>
      </c>
      <c r="AL131" t="s">
        <v>1053</v>
      </c>
      <c r="AM131">
        <v>0</v>
      </c>
      <c r="AN131">
        <v>0</v>
      </c>
      <c r="AO131">
        <v>0</v>
      </c>
      <c r="AP131">
        <v>1</v>
      </c>
    </row>
    <row r="132" spans="12:42" x14ac:dyDescent="0.2">
      <c r="L132">
        <f t="shared" ref="L132:L195" si="2">IF(E132="",0,IF(I132=1,0.5,1))</f>
        <v>0</v>
      </c>
      <c r="AE132" t="s">
        <v>1932</v>
      </c>
      <c r="AF132" t="s">
        <v>26</v>
      </c>
      <c r="AG132">
        <v>19</v>
      </c>
      <c r="AH132" t="s">
        <v>1229</v>
      </c>
      <c r="AI132" t="s">
        <v>1230</v>
      </c>
      <c r="AJ132" t="s">
        <v>1238</v>
      </c>
      <c r="AK132" t="s">
        <v>1056</v>
      </c>
      <c r="AL132" t="s">
        <v>1057</v>
      </c>
      <c r="AM132">
        <v>0</v>
      </c>
      <c r="AN132">
        <v>0</v>
      </c>
      <c r="AO132">
        <v>0</v>
      </c>
      <c r="AP132">
        <v>1</v>
      </c>
    </row>
    <row r="133" spans="12:42" x14ac:dyDescent="0.2">
      <c r="L133">
        <f t="shared" si="2"/>
        <v>0</v>
      </c>
      <c r="AE133" t="s">
        <v>1932</v>
      </c>
      <c r="AF133" t="s">
        <v>26</v>
      </c>
      <c r="AG133">
        <v>20</v>
      </c>
      <c r="AH133" t="s">
        <v>1229</v>
      </c>
      <c r="AI133" t="s">
        <v>1230</v>
      </c>
      <c r="AJ133" t="s">
        <v>1236</v>
      </c>
      <c r="AK133" t="s">
        <v>1044</v>
      </c>
      <c r="AL133" t="s">
        <v>1045</v>
      </c>
      <c r="AM133">
        <v>0</v>
      </c>
      <c r="AN133">
        <v>0</v>
      </c>
      <c r="AO133">
        <v>0</v>
      </c>
      <c r="AP133">
        <v>1</v>
      </c>
    </row>
    <row r="134" spans="12:42" x14ac:dyDescent="0.2">
      <c r="L134">
        <f t="shared" si="2"/>
        <v>0</v>
      </c>
      <c r="AE134" t="s">
        <v>1932</v>
      </c>
      <c r="AF134" t="s">
        <v>26</v>
      </c>
      <c r="AG134">
        <v>20</v>
      </c>
      <c r="AH134" t="s">
        <v>1229</v>
      </c>
      <c r="AI134" t="s">
        <v>1230</v>
      </c>
      <c r="AJ134" t="s">
        <v>1236</v>
      </c>
      <c r="AK134" t="s">
        <v>1048</v>
      </c>
      <c r="AL134" t="s">
        <v>1049</v>
      </c>
      <c r="AM134">
        <v>0</v>
      </c>
      <c r="AN134">
        <v>0</v>
      </c>
      <c r="AO134">
        <v>0</v>
      </c>
      <c r="AP134">
        <v>1</v>
      </c>
    </row>
    <row r="135" spans="12:42" x14ac:dyDescent="0.2">
      <c r="L135">
        <f t="shared" si="2"/>
        <v>0</v>
      </c>
      <c r="AE135" t="s">
        <v>1932</v>
      </c>
      <c r="AF135" t="s">
        <v>26</v>
      </c>
      <c r="AG135">
        <v>21</v>
      </c>
      <c r="AH135" t="s">
        <v>1229</v>
      </c>
      <c r="AI135" t="s">
        <v>1230</v>
      </c>
      <c r="AJ135" t="s">
        <v>1238</v>
      </c>
      <c r="AK135" t="s">
        <v>1040</v>
      </c>
      <c r="AL135" t="s">
        <v>1041</v>
      </c>
      <c r="AM135">
        <v>0</v>
      </c>
      <c r="AN135">
        <v>0</v>
      </c>
      <c r="AO135">
        <v>0</v>
      </c>
      <c r="AP135">
        <v>1</v>
      </c>
    </row>
    <row r="136" spans="12:42" x14ac:dyDescent="0.2">
      <c r="L136">
        <f t="shared" si="2"/>
        <v>0</v>
      </c>
      <c r="AE136" t="s">
        <v>1932</v>
      </c>
      <c r="AF136" t="s">
        <v>26</v>
      </c>
      <c r="AG136">
        <v>21</v>
      </c>
      <c r="AH136" t="s">
        <v>1229</v>
      </c>
      <c r="AI136" t="s">
        <v>1230</v>
      </c>
      <c r="AJ136" t="s">
        <v>1238</v>
      </c>
      <c r="AK136" t="s">
        <v>1036</v>
      </c>
      <c r="AL136" t="s">
        <v>1037</v>
      </c>
      <c r="AM136">
        <v>0</v>
      </c>
      <c r="AN136">
        <v>0</v>
      </c>
      <c r="AO136">
        <v>0</v>
      </c>
      <c r="AP136">
        <v>1</v>
      </c>
    </row>
    <row r="137" spans="12:42" x14ac:dyDescent="0.2">
      <c r="L137">
        <f t="shared" si="2"/>
        <v>0</v>
      </c>
      <c r="AE137" t="s">
        <v>1932</v>
      </c>
      <c r="AF137" t="s">
        <v>26</v>
      </c>
      <c r="AG137">
        <v>22</v>
      </c>
      <c r="AH137" t="s">
        <v>1229</v>
      </c>
      <c r="AI137" t="s">
        <v>1230</v>
      </c>
      <c r="AJ137" t="s">
        <v>1238</v>
      </c>
      <c r="AK137" t="s">
        <v>1028</v>
      </c>
      <c r="AL137" t="s">
        <v>1029</v>
      </c>
      <c r="AM137">
        <v>0</v>
      </c>
      <c r="AN137">
        <v>0</v>
      </c>
      <c r="AO137">
        <v>0</v>
      </c>
      <c r="AP137">
        <v>1</v>
      </c>
    </row>
    <row r="138" spans="12:42" x14ac:dyDescent="0.2">
      <c r="L138">
        <f t="shared" si="2"/>
        <v>0</v>
      </c>
      <c r="AE138" t="s">
        <v>1932</v>
      </c>
      <c r="AF138" t="s">
        <v>26</v>
      </c>
      <c r="AG138">
        <v>22</v>
      </c>
      <c r="AH138" t="s">
        <v>1229</v>
      </c>
      <c r="AI138" t="s">
        <v>1230</v>
      </c>
      <c r="AJ138" t="s">
        <v>1238</v>
      </c>
      <c r="AK138" t="s">
        <v>1032</v>
      </c>
      <c r="AL138" t="s">
        <v>1033</v>
      </c>
      <c r="AM138">
        <v>0</v>
      </c>
      <c r="AN138">
        <v>0</v>
      </c>
      <c r="AO138">
        <v>0</v>
      </c>
      <c r="AP138">
        <v>1</v>
      </c>
    </row>
    <row r="139" spans="12:42" x14ac:dyDescent="0.2">
      <c r="L139">
        <f t="shared" si="2"/>
        <v>0</v>
      </c>
      <c r="AE139" t="s">
        <v>1932</v>
      </c>
      <c r="AF139" t="s">
        <v>26</v>
      </c>
      <c r="AG139">
        <v>23</v>
      </c>
      <c r="AH139" t="s">
        <v>1229</v>
      </c>
      <c r="AI139" t="s">
        <v>1230</v>
      </c>
      <c r="AJ139" t="s">
        <v>1238</v>
      </c>
      <c r="AK139" t="s">
        <v>1024</v>
      </c>
      <c r="AL139" t="s">
        <v>1025</v>
      </c>
      <c r="AM139">
        <v>0</v>
      </c>
      <c r="AN139">
        <v>0</v>
      </c>
      <c r="AO139">
        <v>0</v>
      </c>
      <c r="AP139">
        <v>1</v>
      </c>
    </row>
    <row r="140" spans="12:42" x14ac:dyDescent="0.2">
      <c r="L140">
        <f t="shared" si="2"/>
        <v>0</v>
      </c>
      <c r="AE140" t="s">
        <v>1932</v>
      </c>
      <c r="AF140" t="s">
        <v>26</v>
      </c>
      <c r="AG140">
        <v>23</v>
      </c>
      <c r="AH140" t="s">
        <v>1229</v>
      </c>
      <c r="AI140" t="s">
        <v>1230</v>
      </c>
      <c r="AJ140" t="s">
        <v>1238</v>
      </c>
      <c r="AK140" t="s">
        <v>1020</v>
      </c>
      <c r="AL140" t="s">
        <v>1021</v>
      </c>
      <c r="AM140">
        <v>0</v>
      </c>
      <c r="AN140">
        <v>0</v>
      </c>
      <c r="AO140">
        <v>0</v>
      </c>
      <c r="AP140">
        <v>1</v>
      </c>
    </row>
    <row r="141" spans="12:42" x14ac:dyDescent="0.2">
      <c r="L141">
        <f t="shared" si="2"/>
        <v>0</v>
      </c>
      <c r="AE141" t="s">
        <v>1932</v>
      </c>
      <c r="AF141" t="s">
        <v>26</v>
      </c>
      <c r="AG141">
        <v>24</v>
      </c>
      <c r="AH141" t="s">
        <v>1229</v>
      </c>
      <c r="AI141" t="s">
        <v>1230</v>
      </c>
      <c r="AJ141" t="s">
        <v>1238</v>
      </c>
      <c r="AK141" t="s">
        <v>1016</v>
      </c>
      <c r="AL141" t="s">
        <v>1017</v>
      </c>
      <c r="AM141">
        <v>0</v>
      </c>
      <c r="AN141">
        <v>0</v>
      </c>
      <c r="AO141">
        <v>0</v>
      </c>
      <c r="AP141">
        <v>1</v>
      </c>
    </row>
    <row r="142" spans="12:42" x14ac:dyDescent="0.2">
      <c r="L142">
        <f t="shared" si="2"/>
        <v>0</v>
      </c>
      <c r="AE142" t="s">
        <v>1932</v>
      </c>
      <c r="AF142" t="s">
        <v>26</v>
      </c>
      <c r="AG142">
        <v>25</v>
      </c>
      <c r="AH142" t="s">
        <v>1229</v>
      </c>
      <c r="AI142" t="s">
        <v>1230</v>
      </c>
      <c r="AJ142" t="s">
        <v>1238</v>
      </c>
      <c r="AK142" t="s">
        <v>1008</v>
      </c>
      <c r="AL142" t="s">
        <v>1009</v>
      </c>
      <c r="AM142">
        <v>0</v>
      </c>
      <c r="AN142">
        <v>0</v>
      </c>
      <c r="AO142">
        <v>0</v>
      </c>
      <c r="AP142">
        <v>1</v>
      </c>
    </row>
    <row r="143" spans="12:42" x14ac:dyDescent="0.2">
      <c r="L143">
        <f t="shared" si="2"/>
        <v>0</v>
      </c>
      <c r="AE143" t="s">
        <v>1932</v>
      </c>
      <c r="AF143" t="s">
        <v>26</v>
      </c>
      <c r="AG143">
        <v>25</v>
      </c>
      <c r="AH143" t="s">
        <v>1229</v>
      </c>
      <c r="AI143" t="s">
        <v>1230</v>
      </c>
      <c r="AJ143" t="s">
        <v>1238</v>
      </c>
      <c r="AK143" t="s">
        <v>1004</v>
      </c>
      <c r="AL143" t="s">
        <v>1005</v>
      </c>
      <c r="AM143">
        <v>0</v>
      </c>
      <c r="AN143">
        <v>0</v>
      </c>
      <c r="AO143">
        <v>0</v>
      </c>
      <c r="AP143">
        <v>1</v>
      </c>
    </row>
    <row r="144" spans="12:42" x14ac:dyDescent="0.2">
      <c r="L144">
        <f t="shared" si="2"/>
        <v>0</v>
      </c>
      <c r="AE144" t="s">
        <v>1932</v>
      </c>
      <c r="AF144" t="s">
        <v>26</v>
      </c>
      <c r="AG144">
        <v>26</v>
      </c>
      <c r="AH144" t="s">
        <v>1229</v>
      </c>
      <c r="AI144" t="s">
        <v>1230</v>
      </c>
      <c r="AJ144" t="s">
        <v>1238</v>
      </c>
      <c r="AK144" t="s">
        <v>996</v>
      </c>
      <c r="AL144" t="s">
        <v>997</v>
      </c>
      <c r="AM144">
        <v>0</v>
      </c>
      <c r="AN144">
        <v>0</v>
      </c>
      <c r="AO144">
        <v>0</v>
      </c>
      <c r="AP144">
        <v>1</v>
      </c>
    </row>
    <row r="145" spans="12:42" x14ac:dyDescent="0.2">
      <c r="L145">
        <f t="shared" si="2"/>
        <v>0</v>
      </c>
      <c r="AE145" t="s">
        <v>1932</v>
      </c>
      <c r="AF145" t="s">
        <v>26</v>
      </c>
      <c r="AG145">
        <v>26</v>
      </c>
      <c r="AH145" t="s">
        <v>1229</v>
      </c>
      <c r="AI145" t="s">
        <v>1230</v>
      </c>
      <c r="AJ145" t="s">
        <v>1238</v>
      </c>
      <c r="AK145" t="s">
        <v>1000</v>
      </c>
      <c r="AL145" t="s">
        <v>1001</v>
      </c>
      <c r="AM145">
        <v>0</v>
      </c>
      <c r="AN145">
        <v>0</v>
      </c>
      <c r="AO145">
        <v>0</v>
      </c>
      <c r="AP145">
        <v>1</v>
      </c>
    </row>
    <row r="146" spans="12:42" x14ac:dyDescent="0.2">
      <c r="L146">
        <f t="shared" si="2"/>
        <v>0</v>
      </c>
      <c r="AE146" t="s">
        <v>1932</v>
      </c>
      <c r="AF146" t="s">
        <v>26</v>
      </c>
      <c r="AG146">
        <v>27</v>
      </c>
      <c r="AH146" t="s">
        <v>1229</v>
      </c>
      <c r="AI146" t="s">
        <v>1230</v>
      </c>
      <c r="AJ146" t="s">
        <v>1238</v>
      </c>
      <c r="AK146" t="s">
        <v>988</v>
      </c>
      <c r="AL146" t="s">
        <v>989</v>
      </c>
      <c r="AM146">
        <v>0</v>
      </c>
      <c r="AN146">
        <v>0</v>
      </c>
      <c r="AO146">
        <v>0</v>
      </c>
      <c r="AP146">
        <v>1</v>
      </c>
    </row>
    <row r="147" spans="12:42" x14ac:dyDescent="0.2">
      <c r="L147">
        <f t="shared" si="2"/>
        <v>0</v>
      </c>
      <c r="AE147" t="s">
        <v>1932</v>
      </c>
      <c r="AF147" t="s">
        <v>26</v>
      </c>
      <c r="AG147">
        <v>27</v>
      </c>
      <c r="AH147" t="s">
        <v>1229</v>
      </c>
      <c r="AI147" t="s">
        <v>1230</v>
      </c>
      <c r="AJ147" t="s">
        <v>1238</v>
      </c>
      <c r="AK147" t="s">
        <v>992</v>
      </c>
      <c r="AL147" t="s">
        <v>993</v>
      </c>
      <c r="AM147">
        <v>0</v>
      </c>
      <c r="AN147">
        <v>0</v>
      </c>
      <c r="AO147">
        <v>0</v>
      </c>
      <c r="AP147">
        <v>1</v>
      </c>
    </row>
    <row r="148" spans="12:42" x14ac:dyDescent="0.2">
      <c r="L148">
        <f t="shared" si="2"/>
        <v>0</v>
      </c>
      <c r="AE148" t="s">
        <v>1932</v>
      </c>
      <c r="AF148" t="s">
        <v>26</v>
      </c>
      <c r="AG148">
        <v>28</v>
      </c>
      <c r="AH148" t="s">
        <v>1229</v>
      </c>
      <c r="AI148" t="s">
        <v>1230</v>
      </c>
      <c r="AJ148" t="s">
        <v>1238</v>
      </c>
      <c r="AK148" t="s">
        <v>985</v>
      </c>
      <c r="AL148" t="s">
        <v>986</v>
      </c>
      <c r="AM148">
        <v>0</v>
      </c>
      <c r="AN148">
        <v>0</v>
      </c>
      <c r="AO148">
        <v>0</v>
      </c>
      <c r="AP148">
        <v>1</v>
      </c>
    </row>
    <row r="149" spans="12:42" x14ac:dyDescent="0.2">
      <c r="L149">
        <f t="shared" si="2"/>
        <v>0</v>
      </c>
      <c r="AE149" t="s">
        <v>1932</v>
      </c>
      <c r="AF149" t="s">
        <v>26</v>
      </c>
      <c r="AG149">
        <v>28</v>
      </c>
      <c r="AH149" t="s">
        <v>1229</v>
      </c>
      <c r="AI149" t="s">
        <v>1230</v>
      </c>
      <c r="AJ149" t="s">
        <v>1238</v>
      </c>
      <c r="AK149" t="s">
        <v>981</v>
      </c>
      <c r="AL149" t="s">
        <v>982</v>
      </c>
      <c r="AM149">
        <v>0</v>
      </c>
      <c r="AN149">
        <v>0</v>
      </c>
      <c r="AO149">
        <v>0</v>
      </c>
      <c r="AP149">
        <v>1</v>
      </c>
    </row>
    <row r="150" spans="12:42" x14ac:dyDescent="0.2">
      <c r="L150">
        <f t="shared" si="2"/>
        <v>0</v>
      </c>
      <c r="AE150" t="s">
        <v>1932</v>
      </c>
      <c r="AF150" t="s">
        <v>26</v>
      </c>
      <c r="AG150">
        <v>29</v>
      </c>
      <c r="AH150" t="s">
        <v>1229</v>
      </c>
      <c r="AI150" t="s">
        <v>1230</v>
      </c>
      <c r="AJ150" t="s">
        <v>1238</v>
      </c>
      <c r="AK150" t="s">
        <v>977</v>
      </c>
      <c r="AL150" t="s">
        <v>978</v>
      </c>
      <c r="AM150">
        <v>0</v>
      </c>
      <c r="AN150">
        <v>0</v>
      </c>
      <c r="AO150">
        <v>0</v>
      </c>
      <c r="AP150">
        <v>1</v>
      </c>
    </row>
    <row r="151" spans="12:42" x14ac:dyDescent="0.2">
      <c r="L151">
        <f t="shared" si="2"/>
        <v>0</v>
      </c>
      <c r="AE151" t="s">
        <v>1932</v>
      </c>
      <c r="AF151" t="s">
        <v>26</v>
      </c>
      <c r="AG151">
        <v>29</v>
      </c>
      <c r="AH151" t="s">
        <v>1229</v>
      </c>
      <c r="AI151" t="s">
        <v>1230</v>
      </c>
      <c r="AJ151" t="s">
        <v>1238</v>
      </c>
      <c r="AK151" t="s">
        <v>973</v>
      </c>
      <c r="AL151" t="s">
        <v>974</v>
      </c>
      <c r="AM151">
        <v>0</v>
      </c>
      <c r="AN151">
        <v>0</v>
      </c>
      <c r="AO151">
        <v>0</v>
      </c>
      <c r="AP151">
        <v>1</v>
      </c>
    </row>
    <row r="152" spans="12:42" x14ac:dyDescent="0.2">
      <c r="L152">
        <f t="shared" si="2"/>
        <v>0</v>
      </c>
      <c r="AE152" t="s">
        <v>1932</v>
      </c>
      <c r="AF152" t="s">
        <v>26</v>
      </c>
      <c r="AG152">
        <v>30</v>
      </c>
      <c r="AH152" t="s">
        <v>1229</v>
      </c>
      <c r="AI152" t="s">
        <v>1230</v>
      </c>
      <c r="AJ152" t="s">
        <v>1238</v>
      </c>
      <c r="AK152" t="s">
        <v>964</v>
      </c>
      <c r="AL152" t="s">
        <v>965</v>
      </c>
      <c r="AM152">
        <v>0</v>
      </c>
      <c r="AN152">
        <v>0</v>
      </c>
      <c r="AO152">
        <v>0</v>
      </c>
      <c r="AP152">
        <v>1</v>
      </c>
    </row>
    <row r="153" spans="12:42" x14ac:dyDescent="0.2">
      <c r="L153">
        <f t="shared" si="2"/>
        <v>0</v>
      </c>
      <c r="AE153" t="s">
        <v>1932</v>
      </c>
      <c r="AF153" t="s">
        <v>26</v>
      </c>
      <c r="AG153">
        <v>30</v>
      </c>
      <c r="AH153" t="s">
        <v>1229</v>
      </c>
      <c r="AI153" t="s">
        <v>1230</v>
      </c>
      <c r="AJ153" t="s">
        <v>1239</v>
      </c>
      <c r="AK153" t="s">
        <v>968</v>
      </c>
      <c r="AL153" t="s">
        <v>969</v>
      </c>
      <c r="AM153">
        <v>0</v>
      </c>
      <c r="AN153">
        <v>0</v>
      </c>
      <c r="AO153">
        <v>0</v>
      </c>
      <c r="AP153">
        <v>1</v>
      </c>
    </row>
    <row r="154" spans="12:42" x14ac:dyDescent="0.2">
      <c r="L154">
        <f t="shared" si="2"/>
        <v>0</v>
      </c>
      <c r="AE154" t="s">
        <v>1932</v>
      </c>
      <c r="AF154" t="s">
        <v>26</v>
      </c>
      <c r="AG154">
        <v>35</v>
      </c>
      <c r="AH154" t="s">
        <v>1229</v>
      </c>
      <c r="AI154" t="s">
        <v>1230</v>
      </c>
      <c r="AJ154" t="s">
        <v>1240</v>
      </c>
      <c r="AK154" t="s">
        <v>926</v>
      </c>
      <c r="AL154" t="s">
        <v>927</v>
      </c>
      <c r="AM154">
        <v>0</v>
      </c>
      <c r="AN154">
        <v>0</v>
      </c>
      <c r="AO154">
        <v>0</v>
      </c>
      <c r="AP154">
        <v>1</v>
      </c>
    </row>
    <row r="155" spans="12:42" x14ac:dyDescent="0.2">
      <c r="L155">
        <f t="shared" si="2"/>
        <v>0</v>
      </c>
      <c r="AE155" t="s">
        <v>1932</v>
      </c>
      <c r="AF155" t="s">
        <v>26</v>
      </c>
      <c r="AG155">
        <v>35</v>
      </c>
      <c r="AH155" t="s">
        <v>1229</v>
      </c>
      <c r="AI155" t="s">
        <v>1230</v>
      </c>
      <c r="AJ155" t="s">
        <v>1239</v>
      </c>
      <c r="AK155" t="s">
        <v>930</v>
      </c>
      <c r="AL155" t="s">
        <v>931</v>
      </c>
      <c r="AM155">
        <v>0</v>
      </c>
      <c r="AN155">
        <v>0</v>
      </c>
      <c r="AO155">
        <v>0</v>
      </c>
      <c r="AP155">
        <v>1</v>
      </c>
    </row>
    <row r="156" spans="12:42" x14ac:dyDescent="0.2">
      <c r="L156">
        <f t="shared" si="2"/>
        <v>0</v>
      </c>
      <c r="AE156" t="s">
        <v>1932</v>
      </c>
      <c r="AF156" t="s">
        <v>26</v>
      </c>
      <c r="AG156">
        <v>36</v>
      </c>
      <c r="AH156" t="s">
        <v>1229</v>
      </c>
      <c r="AI156" t="s">
        <v>1230</v>
      </c>
      <c r="AJ156" t="s">
        <v>1240</v>
      </c>
      <c r="AK156" t="s">
        <v>922</v>
      </c>
      <c r="AL156" t="s">
        <v>923</v>
      </c>
      <c r="AM156">
        <v>0</v>
      </c>
      <c r="AN156">
        <v>0</v>
      </c>
      <c r="AO156">
        <v>0</v>
      </c>
      <c r="AP156">
        <v>1</v>
      </c>
    </row>
    <row r="157" spans="12:42" x14ac:dyDescent="0.2">
      <c r="L157">
        <f t="shared" si="2"/>
        <v>0</v>
      </c>
      <c r="AE157" t="s">
        <v>1932</v>
      </c>
      <c r="AF157" t="s">
        <v>26</v>
      </c>
      <c r="AG157">
        <v>36</v>
      </c>
      <c r="AH157" t="s">
        <v>1229</v>
      </c>
      <c r="AI157" t="s">
        <v>1230</v>
      </c>
      <c r="AJ157" t="s">
        <v>1240</v>
      </c>
      <c r="AK157" t="s">
        <v>918</v>
      </c>
      <c r="AL157" t="s">
        <v>919</v>
      </c>
      <c r="AM157">
        <v>0</v>
      </c>
      <c r="AN157">
        <v>0</v>
      </c>
      <c r="AO157">
        <v>0</v>
      </c>
      <c r="AP157">
        <v>1</v>
      </c>
    </row>
    <row r="158" spans="12:42" x14ac:dyDescent="0.2">
      <c r="L158">
        <f t="shared" si="2"/>
        <v>0</v>
      </c>
      <c r="AE158" t="s">
        <v>1932</v>
      </c>
      <c r="AF158" t="s">
        <v>26</v>
      </c>
      <c r="AG158">
        <v>37</v>
      </c>
      <c r="AH158" t="s">
        <v>1229</v>
      </c>
      <c r="AI158" t="s">
        <v>1230</v>
      </c>
      <c r="AJ158" t="s">
        <v>1241</v>
      </c>
      <c r="AK158" t="s">
        <v>914</v>
      </c>
      <c r="AL158" t="s">
        <v>915</v>
      </c>
      <c r="AM158">
        <v>0</v>
      </c>
      <c r="AN158">
        <v>0</v>
      </c>
      <c r="AO158">
        <v>0</v>
      </c>
      <c r="AP158">
        <v>1</v>
      </c>
    </row>
    <row r="159" spans="12:42" x14ac:dyDescent="0.2">
      <c r="L159">
        <f t="shared" si="2"/>
        <v>0</v>
      </c>
      <c r="AE159" t="s">
        <v>1932</v>
      </c>
      <c r="AF159" t="s">
        <v>26</v>
      </c>
      <c r="AG159">
        <v>37</v>
      </c>
      <c r="AH159" t="s">
        <v>1229</v>
      </c>
      <c r="AI159" t="s">
        <v>1230</v>
      </c>
      <c r="AJ159" t="s">
        <v>1241</v>
      </c>
      <c r="AK159" t="s">
        <v>910</v>
      </c>
      <c r="AL159" t="s">
        <v>911</v>
      </c>
      <c r="AM159">
        <v>0</v>
      </c>
      <c r="AN159">
        <v>0</v>
      </c>
      <c r="AO159">
        <v>0</v>
      </c>
      <c r="AP159">
        <v>1</v>
      </c>
    </row>
    <row r="160" spans="12:42" x14ac:dyDescent="0.2">
      <c r="L160">
        <f t="shared" si="2"/>
        <v>0</v>
      </c>
      <c r="AE160" t="s">
        <v>1932</v>
      </c>
      <c r="AF160" t="s">
        <v>26</v>
      </c>
      <c r="AG160">
        <v>38</v>
      </c>
      <c r="AH160" t="s">
        <v>1229</v>
      </c>
      <c r="AI160" t="s">
        <v>1230</v>
      </c>
      <c r="AJ160" t="s">
        <v>1241</v>
      </c>
      <c r="AK160" t="s">
        <v>902</v>
      </c>
      <c r="AL160" t="s">
        <v>903</v>
      </c>
      <c r="AM160">
        <v>0</v>
      </c>
      <c r="AN160">
        <v>0</v>
      </c>
      <c r="AO160">
        <v>0</v>
      </c>
      <c r="AP160">
        <v>1</v>
      </c>
    </row>
    <row r="161" spans="12:42" x14ac:dyDescent="0.2">
      <c r="L161">
        <f t="shared" si="2"/>
        <v>0</v>
      </c>
      <c r="AE161" t="s">
        <v>1932</v>
      </c>
      <c r="AF161" t="s">
        <v>26</v>
      </c>
      <c r="AG161">
        <v>38</v>
      </c>
      <c r="AH161" t="s">
        <v>1229</v>
      </c>
      <c r="AI161" t="s">
        <v>1230</v>
      </c>
      <c r="AJ161" t="s">
        <v>1241</v>
      </c>
      <c r="AK161" t="s">
        <v>906</v>
      </c>
      <c r="AL161" t="s">
        <v>907</v>
      </c>
      <c r="AM161">
        <v>0</v>
      </c>
      <c r="AN161">
        <v>0</v>
      </c>
      <c r="AO161">
        <v>0</v>
      </c>
      <c r="AP161">
        <v>1</v>
      </c>
    </row>
    <row r="162" spans="12:42" x14ac:dyDescent="0.2">
      <c r="L162">
        <f t="shared" si="2"/>
        <v>0</v>
      </c>
      <c r="AE162" t="s">
        <v>1932</v>
      </c>
      <c r="AF162" t="s">
        <v>26</v>
      </c>
      <c r="AG162">
        <v>39</v>
      </c>
      <c r="AH162" t="s">
        <v>1229</v>
      </c>
      <c r="AI162" t="s">
        <v>1230</v>
      </c>
      <c r="AJ162" t="s">
        <v>1241</v>
      </c>
      <c r="AK162" t="s">
        <v>898</v>
      </c>
      <c r="AL162" t="s">
        <v>899</v>
      </c>
      <c r="AM162">
        <v>0</v>
      </c>
      <c r="AN162">
        <v>0</v>
      </c>
      <c r="AO162">
        <v>0</v>
      </c>
      <c r="AP162">
        <v>1</v>
      </c>
    </row>
    <row r="163" spans="12:42" x14ac:dyDescent="0.2">
      <c r="L163">
        <f t="shared" si="2"/>
        <v>0</v>
      </c>
      <c r="AE163" t="s">
        <v>1932</v>
      </c>
      <c r="AF163" t="s">
        <v>26</v>
      </c>
      <c r="AG163">
        <v>39</v>
      </c>
      <c r="AH163" t="s">
        <v>1229</v>
      </c>
      <c r="AI163" t="s">
        <v>1230</v>
      </c>
      <c r="AJ163" t="s">
        <v>1241</v>
      </c>
      <c r="AK163" t="s">
        <v>894</v>
      </c>
      <c r="AL163" t="s">
        <v>895</v>
      </c>
      <c r="AM163">
        <v>0</v>
      </c>
      <c r="AN163">
        <v>0</v>
      </c>
      <c r="AO163">
        <v>0</v>
      </c>
      <c r="AP163">
        <v>1</v>
      </c>
    </row>
    <row r="164" spans="12:42" x14ac:dyDescent="0.2">
      <c r="L164">
        <f t="shared" si="2"/>
        <v>0</v>
      </c>
      <c r="AE164" t="s">
        <v>1932</v>
      </c>
      <c r="AF164" t="s">
        <v>26</v>
      </c>
      <c r="AG164">
        <v>40</v>
      </c>
      <c r="AH164" t="s">
        <v>1229</v>
      </c>
      <c r="AI164" t="s">
        <v>1230</v>
      </c>
      <c r="AJ164" t="s">
        <v>1241</v>
      </c>
      <c r="AK164" t="s">
        <v>886</v>
      </c>
      <c r="AL164" t="s">
        <v>887</v>
      </c>
      <c r="AM164">
        <v>0</v>
      </c>
      <c r="AN164">
        <v>0</v>
      </c>
      <c r="AO164">
        <v>0</v>
      </c>
      <c r="AP164">
        <v>1</v>
      </c>
    </row>
    <row r="165" spans="12:42" x14ac:dyDescent="0.2">
      <c r="L165">
        <f t="shared" si="2"/>
        <v>0</v>
      </c>
      <c r="AE165" t="s">
        <v>1932</v>
      </c>
      <c r="AF165" t="s">
        <v>26</v>
      </c>
      <c r="AG165">
        <v>40</v>
      </c>
      <c r="AH165" t="s">
        <v>1229</v>
      </c>
      <c r="AI165" t="s">
        <v>1230</v>
      </c>
      <c r="AJ165" t="s">
        <v>1241</v>
      </c>
      <c r="AK165" t="s">
        <v>890</v>
      </c>
      <c r="AL165" t="s">
        <v>891</v>
      </c>
      <c r="AM165">
        <v>0</v>
      </c>
      <c r="AN165">
        <v>0</v>
      </c>
      <c r="AO165">
        <v>0</v>
      </c>
      <c r="AP165">
        <v>1</v>
      </c>
    </row>
    <row r="166" spans="12:42" x14ac:dyDescent="0.2">
      <c r="L166">
        <f t="shared" si="2"/>
        <v>0</v>
      </c>
      <c r="AE166" t="s">
        <v>1932</v>
      </c>
      <c r="AF166" t="s">
        <v>26</v>
      </c>
      <c r="AG166">
        <v>41</v>
      </c>
      <c r="AH166" t="s">
        <v>1229</v>
      </c>
      <c r="AI166" t="s">
        <v>1230</v>
      </c>
      <c r="AJ166" t="s">
        <v>1241</v>
      </c>
      <c r="AK166" t="s">
        <v>882</v>
      </c>
      <c r="AL166" t="s">
        <v>883</v>
      </c>
      <c r="AM166">
        <v>0</v>
      </c>
      <c r="AN166">
        <v>0</v>
      </c>
      <c r="AO166">
        <v>0</v>
      </c>
      <c r="AP166">
        <v>1</v>
      </c>
    </row>
    <row r="167" spans="12:42" x14ac:dyDescent="0.2">
      <c r="L167">
        <f t="shared" si="2"/>
        <v>0</v>
      </c>
      <c r="AE167" t="s">
        <v>1932</v>
      </c>
      <c r="AF167" t="s">
        <v>26</v>
      </c>
      <c r="AG167">
        <v>41</v>
      </c>
      <c r="AH167" t="s">
        <v>1229</v>
      </c>
      <c r="AI167" t="s">
        <v>1230</v>
      </c>
      <c r="AJ167" t="s">
        <v>1241</v>
      </c>
      <c r="AK167" t="s">
        <v>878</v>
      </c>
      <c r="AL167" t="s">
        <v>879</v>
      </c>
      <c r="AM167">
        <v>0</v>
      </c>
      <c r="AN167">
        <v>0</v>
      </c>
      <c r="AO167">
        <v>0</v>
      </c>
      <c r="AP167">
        <v>1</v>
      </c>
    </row>
    <row r="168" spans="12:42" x14ac:dyDescent="0.2">
      <c r="L168">
        <f t="shared" si="2"/>
        <v>0</v>
      </c>
      <c r="AE168" t="s">
        <v>1932</v>
      </c>
      <c r="AF168" t="s">
        <v>26</v>
      </c>
      <c r="AG168">
        <v>42</v>
      </c>
      <c r="AH168" t="s">
        <v>1229</v>
      </c>
      <c r="AI168" t="s">
        <v>1230</v>
      </c>
      <c r="AJ168" t="s">
        <v>1241</v>
      </c>
      <c r="AK168" t="s">
        <v>870</v>
      </c>
      <c r="AL168" t="s">
        <v>871</v>
      </c>
      <c r="AM168">
        <v>0</v>
      </c>
      <c r="AN168">
        <v>0</v>
      </c>
      <c r="AO168">
        <v>0</v>
      </c>
      <c r="AP168">
        <v>1</v>
      </c>
    </row>
    <row r="169" spans="12:42" x14ac:dyDescent="0.2">
      <c r="L169">
        <f t="shared" si="2"/>
        <v>0</v>
      </c>
      <c r="AE169" t="s">
        <v>1932</v>
      </c>
      <c r="AF169" t="s">
        <v>26</v>
      </c>
      <c r="AG169">
        <v>42</v>
      </c>
      <c r="AH169" t="s">
        <v>1229</v>
      </c>
      <c r="AI169" t="s">
        <v>1230</v>
      </c>
      <c r="AJ169" t="s">
        <v>1241</v>
      </c>
      <c r="AK169" t="s">
        <v>874</v>
      </c>
      <c r="AL169" t="s">
        <v>875</v>
      </c>
      <c r="AM169">
        <v>0</v>
      </c>
      <c r="AN169">
        <v>0</v>
      </c>
      <c r="AO169">
        <v>0</v>
      </c>
      <c r="AP169">
        <v>1</v>
      </c>
    </row>
    <row r="170" spans="12:42" x14ac:dyDescent="0.2">
      <c r="L170">
        <f t="shared" si="2"/>
        <v>0</v>
      </c>
      <c r="AE170" t="s">
        <v>1932</v>
      </c>
      <c r="AF170" t="s">
        <v>26</v>
      </c>
      <c r="AG170">
        <v>46</v>
      </c>
      <c r="AH170" t="s">
        <v>1229</v>
      </c>
      <c r="AI170" t="s">
        <v>1230</v>
      </c>
      <c r="AJ170" t="s">
        <v>1242</v>
      </c>
      <c r="AK170" t="s">
        <v>845</v>
      </c>
      <c r="AL170" t="s">
        <v>846</v>
      </c>
      <c r="AM170">
        <v>0</v>
      </c>
      <c r="AN170">
        <v>0</v>
      </c>
      <c r="AO170">
        <v>0</v>
      </c>
      <c r="AP170">
        <v>1</v>
      </c>
    </row>
    <row r="171" spans="12:42" x14ac:dyDescent="0.2">
      <c r="L171">
        <f t="shared" si="2"/>
        <v>0</v>
      </c>
      <c r="AE171" t="s">
        <v>1932</v>
      </c>
      <c r="AF171" t="s">
        <v>26</v>
      </c>
      <c r="AG171">
        <v>46</v>
      </c>
      <c r="AH171" t="s">
        <v>1229</v>
      </c>
      <c r="AI171" t="s">
        <v>1230</v>
      </c>
      <c r="AJ171" t="s">
        <v>1242</v>
      </c>
      <c r="AK171" t="s">
        <v>841</v>
      </c>
      <c r="AL171" t="s">
        <v>842</v>
      </c>
      <c r="AM171">
        <v>0</v>
      </c>
      <c r="AN171">
        <v>0</v>
      </c>
      <c r="AO171">
        <v>0</v>
      </c>
      <c r="AP171">
        <v>1</v>
      </c>
    </row>
    <row r="172" spans="12:42" x14ac:dyDescent="0.2">
      <c r="L172">
        <f t="shared" si="2"/>
        <v>0</v>
      </c>
      <c r="AE172" t="s">
        <v>1932</v>
      </c>
      <c r="AF172" t="s">
        <v>26</v>
      </c>
      <c r="AG172">
        <v>47</v>
      </c>
      <c r="AH172" t="s">
        <v>1229</v>
      </c>
      <c r="AI172" t="s">
        <v>1230</v>
      </c>
      <c r="AJ172" t="s">
        <v>1242</v>
      </c>
      <c r="AK172" t="s">
        <v>833</v>
      </c>
      <c r="AL172" t="s">
        <v>834</v>
      </c>
      <c r="AM172">
        <v>0</v>
      </c>
      <c r="AN172">
        <v>0</v>
      </c>
      <c r="AO172">
        <v>0</v>
      </c>
      <c r="AP172">
        <v>1</v>
      </c>
    </row>
    <row r="173" spans="12:42" x14ac:dyDescent="0.2">
      <c r="L173">
        <f t="shared" si="2"/>
        <v>0</v>
      </c>
      <c r="AE173" t="s">
        <v>1932</v>
      </c>
      <c r="AF173" t="s">
        <v>26</v>
      </c>
      <c r="AG173">
        <v>47</v>
      </c>
      <c r="AH173" t="s">
        <v>1229</v>
      </c>
      <c r="AI173" t="s">
        <v>1230</v>
      </c>
      <c r="AJ173" t="s">
        <v>1242</v>
      </c>
      <c r="AK173" t="s">
        <v>837</v>
      </c>
      <c r="AL173" t="s">
        <v>838</v>
      </c>
      <c r="AM173">
        <v>0</v>
      </c>
      <c r="AN173">
        <v>0</v>
      </c>
      <c r="AO173">
        <v>0</v>
      </c>
      <c r="AP173">
        <v>1</v>
      </c>
    </row>
    <row r="174" spans="12:42" x14ac:dyDescent="0.2">
      <c r="L174">
        <f t="shared" si="2"/>
        <v>0</v>
      </c>
      <c r="AE174" t="s">
        <v>1932</v>
      </c>
      <c r="AF174" t="s">
        <v>26</v>
      </c>
      <c r="AG174">
        <v>48</v>
      </c>
      <c r="AH174" t="s">
        <v>1229</v>
      </c>
      <c r="AI174" t="s">
        <v>1230</v>
      </c>
      <c r="AJ174" t="s">
        <v>1242</v>
      </c>
      <c r="AK174" t="s">
        <v>829</v>
      </c>
      <c r="AL174" t="s">
        <v>830</v>
      </c>
      <c r="AM174">
        <v>0</v>
      </c>
      <c r="AN174">
        <v>0</v>
      </c>
      <c r="AO174">
        <v>0</v>
      </c>
      <c r="AP174">
        <v>1</v>
      </c>
    </row>
    <row r="175" spans="12:42" x14ac:dyDescent="0.2">
      <c r="L175">
        <f t="shared" si="2"/>
        <v>0</v>
      </c>
      <c r="AE175" t="s">
        <v>1932</v>
      </c>
      <c r="AF175" t="s">
        <v>26</v>
      </c>
      <c r="AG175">
        <v>48</v>
      </c>
      <c r="AH175" t="s">
        <v>1229</v>
      </c>
      <c r="AI175" t="s">
        <v>1230</v>
      </c>
      <c r="AJ175" t="s">
        <v>1242</v>
      </c>
      <c r="AK175" t="s">
        <v>825</v>
      </c>
      <c r="AL175" t="s">
        <v>826</v>
      </c>
      <c r="AM175">
        <v>0</v>
      </c>
      <c r="AN175">
        <v>0</v>
      </c>
      <c r="AO175">
        <v>0</v>
      </c>
      <c r="AP175">
        <v>1</v>
      </c>
    </row>
    <row r="176" spans="12:42" x14ac:dyDescent="0.2">
      <c r="L176">
        <f t="shared" si="2"/>
        <v>0</v>
      </c>
      <c r="AE176" t="s">
        <v>1932</v>
      </c>
      <c r="AF176" t="s">
        <v>26</v>
      </c>
      <c r="AG176">
        <v>50</v>
      </c>
      <c r="AH176" t="s">
        <v>1229</v>
      </c>
      <c r="AI176" t="s">
        <v>1230</v>
      </c>
      <c r="AJ176" t="s">
        <v>1244</v>
      </c>
      <c r="AK176" t="s">
        <v>812</v>
      </c>
      <c r="AL176" t="s">
        <v>813</v>
      </c>
      <c r="AM176">
        <v>0</v>
      </c>
      <c r="AN176">
        <v>0</v>
      </c>
      <c r="AO176">
        <v>0</v>
      </c>
      <c r="AP176">
        <v>1</v>
      </c>
    </row>
    <row r="177" spans="12:42" x14ac:dyDescent="0.2">
      <c r="L177">
        <f t="shared" si="2"/>
        <v>0</v>
      </c>
      <c r="AE177" t="s">
        <v>1932</v>
      </c>
      <c r="AF177" t="s">
        <v>26</v>
      </c>
      <c r="AG177">
        <v>50</v>
      </c>
      <c r="AH177" t="s">
        <v>1229</v>
      </c>
      <c r="AI177" t="s">
        <v>1230</v>
      </c>
      <c r="AJ177" t="s">
        <v>1244</v>
      </c>
      <c r="AK177" t="s">
        <v>816</v>
      </c>
      <c r="AL177" t="s">
        <v>817</v>
      </c>
      <c r="AM177">
        <v>0</v>
      </c>
      <c r="AN177">
        <v>0</v>
      </c>
      <c r="AO177">
        <v>0</v>
      </c>
      <c r="AP177">
        <v>1</v>
      </c>
    </row>
    <row r="178" spans="12:42" x14ac:dyDescent="0.2">
      <c r="L178">
        <f t="shared" si="2"/>
        <v>0</v>
      </c>
      <c r="AE178" t="s">
        <v>1932</v>
      </c>
      <c r="AF178" t="s">
        <v>26</v>
      </c>
      <c r="AG178">
        <v>51</v>
      </c>
      <c r="AH178" t="s">
        <v>1229</v>
      </c>
      <c r="AI178" t="s">
        <v>1230</v>
      </c>
      <c r="AJ178" t="s">
        <v>1244</v>
      </c>
      <c r="AK178" t="s">
        <v>804</v>
      </c>
      <c r="AL178" t="s">
        <v>805</v>
      </c>
      <c r="AM178">
        <v>0</v>
      </c>
      <c r="AN178">
        <v>0</v>
      </c>
      <c r="AO178">
        <v>0</v>
      </c>
      <c r="AP178">
        <v>1</v>
      </c>
    </row>
    <row r="179" spans="12:42" x14ac:dyDescent="0.2">
      <c r="L179">
        <f t="shared" si="2"/>
        <v>0</v>
      </c>
      <c r="AE179" t="s">
        <v>1932</v>
      </c>
      <c r="AF179" t="s">
        <v>26</v>
      </c>
      <c r="AG179">
        <v>51</v>
      </c>
      <c r="AH179" t="s">
        <v>1229</v>
      </c>
      <c r="AI179" t="s">
        <v>1230</v>
      </c>
      <c r="AJ179" t="s">
        <v>1244</v>
      </c>
      <c r="AK179" t="s">
        <v>808</v>
      </c>
      <c r="AL179" t="s">
        <v>809</v>
      </c>
      <c r="AM179">
        <v>0</v>
      </c>
      <c r="AN179">
        <v>0</v>
      </c>
      <c r="AO179">
        <v>0</v>
      </c>
      <c r="AP179">
        <v>1</v>
      </c>
    </row>
    <row r="180" spans="12:42" x14ac:dyDescent="0.2">
      <c r="L180">
        <f t="shared" si="2"/>
        <v>0</v>
      </c>
      <c r="AE180" t="s">
        <v>1932</v>
      </c>
      <c r="AF180" t="s">
        <v>26</v>
      </c>
      <c r="AG180">
        <v>52</v>
      </c>
      <c r="AH180" t="s">
        <v>1229</v>
      </c>
      <c r="AI180" t="s">
        <v>1230</v>
      </c>
      <c r="AJ180" t="s">
        <v>1244</v>
      </c>
      <c r="AK180" t="s">
        <v>800</v>
      </c>
      <c r="AL180" t="s">
        <v>801</v>
      </c>
      <c r="AM180">
        <v>0</v>
      </c>
      <c r="AN180">
        <v>0</v>
      </c>
      <c r="AO180">
        <v>0</v>
      </c>
      <c r="AP180">
        <v>1</v>
      </c>
    </row>
    <row r="181" spans="12:42" x14ac:dyDescent="0.2">
      <c r="L181">
        <f t="shared" si="2"/>
        <v>0</v>
      </c>
      <c r="AE181" t="s">
        <v>1932</v>
      </c>
      <c r="AF181" t="s">
        <v>26</v>
      </c>
      <c r="AG181">
        <v>52</v>
      </c>
      <c r="AH181" t="s">
        <v>1229</v>
      </c>
      <c r="AI181" t="s">
        <v>1230</v>
      </c>
      <c r="AJ181" t="s">
        <v>1244</v>
      </c>
      <c r="AK181" t="s">
        <v>796</v>
      </c>
      <c r="AL181" t="s">
        <v>797</v>
      </c>
      <c r="AM181">
        <v>0</v>
      </c>
      <c r="AN181">
        <v>0</v>
      </c>
      <c r="AO181">
        <v>0</v>
      </c>
      <c r="AP181">
        <v>1</v>
      </c>
    </row>
    <row r="182" spans="12:42" x14ac:dyDescent="0.2">
      <c r="L182">
        <f t="shared" si="2"/>
        <v>0</v>
      </c>
      <c r="AE182" t="s">
        <v>1932</v>
      </c>
      <c r="AF182" t="s">
        <v>26</v>
      </c>
      <c r="AG182">
        <v>53</v>
      </c>
      <c r="AH182" t="s">
        <v>1229</v>
      </c>
      <c r="AI182" t="s">
        <v>1230</v>
      </c>
      <c r="AJ182" t="s">
        <v>1244</v>
      </c>
      <c r="AK182" t="s">
        <v>788</v>
      </c>
      <c r="AL182" t="s">
        <v>789</v>
      </c>
      <c r="AM182">
        <v>0</v>
      </c>
      <c r="AN182">
        <v>0</v>
      </c>
      <c r="AO182">
        <v>0</v>
      </c>
      <c r="AP182">
        <v>1</v>
      </c>
    </row>
    <row r="183" spans="12:42" x14ac:dyDescent="0.2">
      <c r="L183">
        <f t="shared" si="2"/>
        <v>0</v>
      </c>
      <c r="AE183" t="s">
        <v>1932</v>
      </c>
      <c r="AF183" t="s">
        <v>26</v>
      </c>
      <c r="AG183">
        <v>53</v>
      </c>
      <c r="AH183" t="s">
        <v>1229</v>
      </c>
      <c r="AI183" t="s">
        <v>1230</v>
      </c>
      <c r="AJ183" t="s">
        <v>1244</v>
      </c>
      <c r="AK183" t="s">
        <v>792</v>
      </c>
      <c r="AL183" t="s">
        <v>793</v>
      </c>
      <c r="AM183">
        <v>0</v>
      </c>
      <c r="AN183">
        <v>0</v>
      </c>
      <c r="AO183">
        <v>0</v>
      </c>
      <c r="AP183">
        <v>1</v>
      </c>
    </row>
    <row r="184" spans="12:42" x14ac:dyDescent="0.2">
      <c r="L184">
        <f t="shared" si="2"/>
        <v>0</v>
      </c>
      <c r="AE184" t="s">
        <v>1932</v>
      </c>
      <c r="AF184" t="s">
        <v>26</v>
      </c>
      <c r="AG184">
        <v>54</v>
      </c>
      <c r="AH184" t="s">
        <v>1229</v>
      </c>
      <c r="AI184" t="s">
        <v>1230</v>
      </c>
      <c r="AJ184" t="s">
        <v>1238</v>
      </c>
      <c r="AK184" t="s">
        <v>83</v>
      </c>
      <c r="AL184" t="s">
        <v>84</v>
      </c>
      <c r="AM184">
        <v>0</v>
      </c>
      <c r="AN184">
        <v>0</v>
      </c>
      <c r="AO184">
        <v>0</v>
      </c>
      <c r="AP184">
        <v>1</v>
      </c>
    </row>
    <row r="185" spans="12:42" x14ac:dyDescent="0.2">
      <c r="L185">
        <f t="shared" si="2"/>
        <v>0</v>
      </c>
      <c r="AE185" t="s">
        <v>1932</v>
      </c>
      <c r="AF185" t="s">
        <v>26</v>
      </c>
      <c r="AG185">
        <v>54</v>
      </c>
      <c r="AH185" t="s">
        <v>1229</v>
      </c>
      <c r="AI185" t="s">
        <v>1230</v>
      </c>
      <c r="AJ185" t="s">
        <v>1243</v>
      </c>
      <c r="AK185" t="s">
        <v>784</v>
      </c>
      <c r="AL185" t="s">
        <v>785</v>
      </c>
      <c r="AM185">
        <v>0</v>
      </c>
      <c r="AN185">
        <v>0</v>
      </c>
      <c r="AO185">
        <v>0</v>
      </c>
      <c r="AP185">
        <v>1</v>
      </c>
    </row>
    <row r="186" spans="12:42" x14ac:dyDescent="0.2">
      <c r="L186">
        <f t="shared" si="2"/>
        <v>0</v>
      </c>
      <c r="AE186" t="s">
        <v>1932</v>
      </c>
      <c r="AF186" t="s">
        <v>26</v>
      </c>
      <c r="AG186">
        <v>55</v>
      </c>
      <c r="AH186" t="s">
        <v>1229</v>
      </c>
      <c r="AI186" t="s">
        <v>1230</v>
      </c>
      <c r="AJ186" t="s">
        <v>1241</v>
      </c>
      <c r="AK186" t="s">
        <v>780</v>
      </c>
      <c r="AL186" t="s">
        <v>781</v>
      </c>
      <c r="AM186">
        <v>0</v>
      </c>
      <c r="AN186">
        <v>0</v>
      </c>
      <c r="AO186">
        <v>0</v>
      </c>
      <c r="AP186">
        <v>1</v>
      </c>
    </row>
    <row r="187" spans="12:42" x14ac:dyDescent="0.2">
      <c r="L187">
        <f t="shared" si="2"/>
        <v>0</v>
      </c>
      <c r="AE187" t="s">
        <v>1932</v>
      </c>
      <c r="AF187" t="s">
        <v>26</v>
      </c>
      <c r="AG187">
        <v>55</v>
      </c>
      <c r="AH187" t="s">
        <v>1229</v>
      </c>
      <c r="AI187" t="s">
        <v>1230</v>
      </c>
      <c r="AJ187" t="s">
        <v>1241</v>
      </c>
      <c r="AK187" t="s">
        <v>776</v>
      </c>
      <c r="AL187" t="s">
        <v>777</v>
      </c>
      <c r="AM187">
        <v>0</v>
      </c>
      <c r="AN187">
        <v>0</v>
      </c>
      <c r="AO187">
        <v>0</v>
      </c>
      <c r="AP187">
        <v>1</v>
      </c>
    </row>
    <row r="188" spans="12:42" x14ac:dyDescent="0.2">
      <c r="L188">
        <f t="shared" si="2"/>
        <v>0</v>
      </c>
      <c r="AE188" t="s">
        <v>1932</v>
      </c>
      <c r="AF188" t="s">
        <v>26</v>
      </c>
      <c r="AG188">
        <v>56</v>
      </c>
      <c r="AH188" t="s">
        <v>1229</v>
      </c>
      <c r="AI188" t="s">
        <v>1230</v>
      </c>
      <c r="AJ188" t="s">
        <v>1243</v>
      </c>
      <c r="AK188" t="s">
        <v>772</v>
      </c>
      <c r="AL188" t="s">
        <v>773</v>
      </c>
      <c r="AM188">
        <v>0</v>
      </c>
      <c r="AN188">
        <v>0</v>
      </c>
      <c r="AO188">
        <v>0</v>
      </c>
      <c r="AP188">
        <v>1</v>
      </c>
    </row>
    <row r="189" spans="12:42" x14ac:dyDescent="0.2">
      <c r="L189">
        <f t="shared" si="2"/>
        <v>0</v>
      </c>
      <c r="AE189" t="s">
        <v>1932</v>
      </c>
      <c r="AF189" t="s">
        <v>26</v>
      </c>
      <c r="AG189">
        <v>56</v>
      </c>
      <c r="AH189" t="s">
        <v>1229</v>
      </c>
      <c r="AI189" t="s">
        <v>1230</v>
      </c>
      <c r="AJ189" t="s">
        <v>1244</v>
      </c>
      <c r="AK189" t="s">
        <v>768</v>
      </c>
      <c r="AL189" t="s">
        <v>769</v>
      </c>
      <c r="AM189">
        <v>0</v>
      </c>
      <c r="AN189">
        <v>0</v>
      </c>
      <c r="AO189">
        <v>0</v>
      </c>
      <c r="AP189">
        <v>1</v>
      </c>
    </row>
    <row r="190" spans="12:42" x14ac:dyDescent="0.2">
      <c r="L190">
        <f t="shared" si="2"/>
        <v>0</v>
      </c>
      <c r="AE190" t="s">
        <v>1932</v>
      </c>
      <c r="AF190" t="s">
        <v>26</v>
      </c>
      <c r="AG190">
        <v>57</v>
      </c>
      <c r="AH190" t="s">
        <v>1229</v>
      </c>
      <c r="AI190" t="s">
        <v>1230</v>
      </c>
      <c r="AJ190" t="s">
        <v>1241</v>
      </c>
      <c r="AK190" t="s">
        <v>764</v>
      </c>
      <c r="AL190" t="s">
        <v>765</v>
      </c>
      <c r="AM190">
        <v>0</v>
      </c>
      <c r="AN190">
        <v>0</v>
      </c>
      <c r="AO190">
        <v>0</v>
      </c>
      <c r="AP190">
        <v>1</v>
      </c>
    </row>
    <row r="191" spans="12:42" x14ac:dyDescent="0.2">
      <c r="L191">
        <f t="shared" si="2"/>
        <v>0</v>
      </c>
      <c r="AE191" t="s">
        <v>1932</v>
      </c>
      <c r="AF191" t="s">
        <v>26</v>
      </c>
      <c r="AG191">
        <v>57</v>
      </c>
      <c r="AH191" t="s">
        <v>1229</v>
      </c>
      <c r="AI191" t="s">
        <v>1230</v>
      </c>
      <c r="AJ191" t="s">
        <v>1241</v>
      </c>
      <c r="AK191" t="s">
        <v>761</v>
      </c>
      <c r="AL191" t="s">
        <v>762</v>
      </c>
      <c r="AM191">
        <v>0</v>
      </c>
      <c r="AN191">
        <v>0</v>
      </c>
      <c r="AO191">
        <v>0</v>
      </c>
      <c r="AP191">
        <v>1</v>
      </c>
    </row>
    <row r="192" spans="12:42" x14ac:dyDescent="0.2">
      <c r="L192">
        <f t="shared" si="2"/>
        <v>0</v>
      </c>
      <c r="AE192" t="s">
        <v>1932</v>
      </c>
      <c r="AF192" t="s">
        <v>26</v>
      </c>
      <c r="AG192">
        <v>58</v>
      </c>
      <c r="AH192" t="s">
        <v>1229</v>
      </c>
      <c r="AI192" t="s">
        <v>1230</v>
      </c>
      <c r="AJ192" t="s">
        <v>1241</v>
      </c>
      <c r="AK192" t="s">
        <v>753</v>
      </c>
      <c r="AL192" t="s">
        <v>754</v>
      </c>
      <c r="AM192">
        <v>0</v>
      </c>
      <c r="AN192">
        <v>0</v>
      </c>
      <c r="AO192">
        <v>0</v>
      </c>
      <c r="AP192">
        <v>1</v>
      </c>
    </row>
    <row r="193" spans="12:42" x14ac:dyDescent="0.2">
      <c r="L193">
        <f t="shared" si="2"/>
        <v>0</v>
      </c>
      <c r="AE193" t="s">
        <v>1932</v>
      </c>
      <c r="AF193" t="s">
        <v>26</v>
      </c>
      <c r="AG193">
        <v>58</v>
      </c>
      <c r="AH193" t="s">
        <v>1229</v>
      </c>
      <c r="AI193" t="s">
        <v>1230</v>
      </c>
      <c r="AJ193" t="s">
        <v>1241</v>
      </c>
      <c r="AK193" t="s">
        <v>757</v>
      </c>
      <c r="AL193" t="s">
        <v>758</v>
      </c>
      <c r="AM193">
        <v>0</v>
      </c>
      <c r="AN193">
        <v>0</v>
      </c>
      <c r="AO193">
        <v>0</v>
      </c>
      <c r="AP193">
        <v>1</v>
      </c>
    </row>
    <row r="194" spans="12:42" x14ac:dyDescent="0.2">
      <c r="L194">
        <f t="shared" si="2"/>
        <v>0</v>
      </c>
      <c r="AE194" t="s">
        <v>1932</v>
      </c>
      <c r="AF194" t="s">
        <v>26</v>
      </c>
      <c r="AG194">
        <v>59</v>
      </c>
      <c r="AH194" t="s">
        <v>1229</v>
      </c>
      <c r="AI194" t="s">
        <v>1230</v>
      </c>
      <c r="AJ194" t="s">
        <v>1241</v>
      </c>
      <c r="AK194" t="s">
        <v>749</v>
      </c>
      <c r="AL194" t="s">
        <v>750</v>
      </c>
      <c r="AM194">
        <v>0</v>
      </c>
      <c r="AN194">
        <v>0</v>
      </c>
      <c r="AO194">
        <v>0</v>
      </c>
      <c r="AP194">
        <v>1</v>
      </c>
    </row>
    <row r="195" spans="12:42" x14ac:dyDescent="0.2">
      <c r="L195">
        <f t="shared" si="2"/>
        <v>0</v>
      </c>
      <c r="AE195" t="s">
        <v>1932</v>
      </c>
      <c r="AF195" t="s">
        <v>26</v>
      </c>
      <c r="AG195">
        <v>59</v>
      </c>
      <c r="AH195" t="s">
        <v>1229</v>
      </c>
      <c r="AI195" t="s">
        <v>1230</v>
      </c>
      <c r="AJ195" t="s">
        <v>1241</v>
      </c>
      <c r="AK195" t="s">
        <v>745</v>
      </c>
      <c r="AL195" t="s">
        <v>746</v>
      </c>
      <c r="AM195">
        <v>0</v>
      </c>
      <c r="AN195">
        <v>0</v>
      </c>
      <c r="AO195">
        <v>0</v>
      </c>
      <c r="AP195">
        <v>1</v>
      </c>
    </row>
    <row r="196" spans="12:42" x14ac:dyDescent="0.2">
      <c r="L196">
        <f t="shared" ref="L196:L259" si="3">IF(E196="",0,IF(I196=1,0.5,1))</f>
        <v>0</v>
      </c>
      <c r="AE196" t="s">
        <v>1932</v>
      </c>
      <c r="AF196" t="s">
        <v>26</v>
      </c>
      <c r="AG196">
        <v>63</v>
      </c>
      <c r="AH196" t="s">
        <v>1229</v>
      </c>
      <c r="AI196" t="s">
        <v>1230</v>
      </c>
      <c r="AJ196" t="s">
        <v>1246</v>
      </c>
      <c r="AK196" t="s">
        <v>712</v>
      </c>
      <c r="AL196" t="s">
        <v>713</v>
      </c>
      <c r="AM196">
        <v>0</v>
      </c>
      <c r="AN196">
        <v>0</v>
      </c>
      <c r="AO196">
        <v>0</v>
      </c>
      <c r="AP196">
        <v>1</v>
      </c>
    </row>
    <row r="197" spans="12:42" x14ac:dyDescent="0.2">
      <c r="L197">
        <f t="shared" si="3"/>
        <v>0</v>
      </c>
      <c r="AE197" t="s">
        <v>1932</v>
      </c>
      <c r="AF197" t="s">
        <v>26</v>
      </c>
      <c r="AG197">
        <v>63</v>
      </c>
      <c r="AH197" t="s">
        <v>1229</v>
      </c>
      <c r="AI197" t="s">
        <v>1230</v>
      </c>
      <c r="AJ197" t="s">
        <v>1246</v>
      </c>
      <c r="AK197" t="s">
        <v>716</v>
      </c>
      <c r="AL197" t="s">
        <v>717</v>
      </c>
      <c r="AM197">
        <v>0</v>
      </c>
      <c r="AN197">
        <v>0</v>
      </c>
      <c r="AO197">
        <v>0</v>
      </c>
      <c r="AP197">
        <v>1</v>
      </c>
    </row>
    <row r="198" spans="12:42" x14ac:dyDescent="0.2">
      <c r="L198">
        <f t="shared" si="3"/>
        <v>0</v>
      </c>
      <c r="AE198" t="s">
        <v>1932</v>
      </c>
      <c r="AF198" t="s">
        <v>26</v>
      </c>
      <c r="AG198">
        <v>64</v>
      </c>
      <c r="AH198" t="s">
        <v>1229</v>
      </c>
      <c r="AI198" t="s">
        <v>1230</v>
      </c>
      <c r="AJ198" t="s">
        <v>1246</v>
      </c>
      <c r="AK198" t="s">
        <v>704</v>
      </c>
      <c r="AL198" t="s">
        <v>705</v>
      </c>
      <c r="AM198">
        <v>0</v>
      </c>
      <c r="AN198">
        <v>0</v>
      </c>
      <c r="AO198">
        <v>0</v>
      </c>
      <c r="AP198">
        <v>1</v>
      </c>
    </row>
    <row r="199" spans="12:42" x14ac:dyDescent="0.2">
      <c r="L199">
        <f t="shared" si="3"/>
        <v>0</v>
      </c>
      <c r="AE199" t="s">
        <v>1932</v>
      </c>
      <c r="AF199" t="s">
        <v>26</v>
      </c>
      <c r="AG199">
        <v>64</v>
      </c>
      <c r="AH199" t="s">
        <v>1229</v>
      </c>
      <c r="AI199" t="s">
        <v>1230</v>
      </c>
      <c r="AJ199" t="s">
        <v>1246</v>
      </c>
      <c r="AK199" t="s">
        <v>708</v>
      </c>
      <c r="AL199" t="s">
        <v>709</v>
      </c>
      <c r="AM199">
        <v>0</v>
      </c>
      <c r="AN199">
        <v>0</v>
      </c>
      <c r="AO199">
        <v>0</v>
      </c>
      <c r="AP199">
        <v>1</v>
      </c>
    </row>
    <row r="200" spans="12:42" x14ac:dyDescent="0.2">
      <c r="L200">
        <f t="shared" si="3"/>
        <v>0</v>
      </c>
      <c r="AE200" t="s">
        <v>1932</v>
      </c>
      <c r="AF200" t="s">
        <v>26</v>
      </c>
      <c r="AG200">
        <v>65</v>
      </c>
      <c r="AH200" t="s">
        <v>1229</v>
      </c>
      <c r="AI200" t="s">
        <v>1230</v>
      </c>
      <c r="AJ200" t="s">
        <v>1235</v>
      </c>
      <c r="AK200" t="s">
        <v>696</v>
      </c>
      <c r="AL200" t="s">
        <v>697</v>
      </c>
      <c r="AM200">
        <v>0</v>
      </c>
      <c r="AN200">
        <v>0</v>
      </c>
      <c r="AO200">
        <v>0</v>
      </c>
      <c r="AP200">
        <v>1</v>
      </c>
    </row>
    <row r="201" spans="12:42" x14ac:dyDescent="0.2">
      <c r="L201">
        <f t="shared" si="3"/>
        <v>0</v>
      </c>
      <c r="AE201" t="s">
        <v>1932</v>
      </c>
      <c r="AF201" t="s">
        <v>26</v>
      </c>
      <c r="AG201">
        <v>65</v>
      </c>
      <c r="AH201" t="s">
        <v>1229</v>
      </c>
      <c r="AI201" t="s">
        <v>1230</v>
      </c>
      <c r="AJ201" t="s">
        <v>1246</v>
      </c>
      <c r="AK201" t="s">
        <v>700</v>
      </c>
      <c r="AL201" t="s">
        <v>701</v>
      </c>
      <c r="AM201">
        <v>0</v>
      </c>
      <c r="AN201">
        <v>0</v>
      </c>
      <c r="AO201">
        <v>0</v>
      </c>
      <c r="AP201">
        <v>1</v>
      </c>
    </row>
    <row r="202" spans="12:42" x14ac:dyDescent="0.2">
      <c r="L202">
        <f t="shared" si="3"/>
        <v>0</v>
      </c>
      <c r="AE202" t="s">
        <v>1932</v>
      </c>
      <c r="AF202" t="s">
        <v>26</v>
      </c>
      <c r="AG202">
        <v>66</v>
      </c>
      <c r="AH202" t="s">
        <v>1229</v>
      </c>
      <c r="AI202" t="s">
        <v>1230</v>
      </c>
      <c r="AJ202" t="s">
        <v>1235</v>
      </c>
      <c r="AK202" t="s">
        <v>692</v>
      </c>
      <c r="AL202" t="s">
        <v>693</v>
      </c>
      <c r="AM202">
        <v>0</v>
      </c>
      <c r="AN202">
        <v>0</v>
      </c>
      <c r="AO202">
        <v>0</v>
      </c>
      <c r="AP202">
        <v>1</v>
      </c>
    </row>
    <row r="203" spans="12:42" x14ac:dyDescent="0.2">
      <c r="L203">
        <f t="shared" si="3"/>
        <v>0</v>
      </c>
      <c r="AE203" t="s">
        <v>1932</v>
      </c>
      <c r="AF203" t="s">
        <v>26</v>
      </c>
      <c r="AG203">
        <v>66</v>
      </c>
      <c r="AH203" t="s">
        <v>1229</v>
      </c>
      <c r="AI203" t="s">
        <v>1230</v>
      </c>
      <c r="AJ203" t="s">
        <v>1235</v>
      </c>
      <c r="AK203" t="s">
        <v>688</v>
      </c>
      <c r="AL203" t="s">
        <v>689</v>
      </c>
      <c r="AM203">
        <v>0</v>
      </c>
      <c r="AN203">
        <v>0</v>
      </c>
      <c r="AO203">
        <v>0</v>
      </c>
      <c r="AP203">
        <v>1</v>
      </c>
    </row>
    <row r="204" spans="12:42" x14ac:dyDescent="0.2">
      <c r="L204">
        <f t="shared" si="3"/>
        <v>0</v>
      </c>
      <c r="AE204" t="s">
        <v>1932</v>
      </c>
      <c r="AF204" t="s">
        <v>26</v>
      </c>
      <c r="AG204">
        <v>67</v>
      </c>
      <c r="AH204" t="s">
        <v>1229</v>
      </c>
      <c r="AI204" t="s">
        <v>1230</v>
      </c>
      <c r="AJ204" t="s">
        <v>1235</v>
      </c>
      <c r="AK204" t="s">
        <v>680</v>
      </c>
      <c r="AL204" t="s">
        <v>681</v>
      </c>
      <c r="AM204">
        <v>0</v>
      </c>
      <c r="AN204">
        <v>0</v>
      </c>
      <c r="AO204">
        <v>0</v>
      </c>
      <c r="AP204">
        <v>1</v>
      </c>
    </row>
    <row r="205" spans="12:42" x14ac:dyDescent="0.2">
      <c r="L205">
        <f t="shared" si="3"/>
        <v>0</v>
      </c>
      <c r="AE205" t="s">
        <v>1932</v>
      </c>
      <c r="AF205" t="s">
        <v>26</v>
      </c>
      <c r="AG205">
        <v>67</v>
      </c>
      <c r="AH205" t="s">
        <v>1229</v>
      </c>
      <c r="AI205" t="s">
        <v>1230</v>
      </c>
      <c r="AJ205" t="s">
        <v>1235</v>
      </c>
      <c r="AK205" t="s">
        <v>684</v>
      </c>
      <c r="AL205" t="s">
        <v>685</v>
      </c>
      <c r="AO205">
        <v>0</v>
      </c>
      <c r="AP205">
        <v>1</v>
      </c>
    </row>
    <row r="206" spans="12:42" x14ac:dyDescent="0.2">
      <c r="L206">
        <f t="shared" si="3"/>
        <v>0</v>
      </c>
      <c r="AE206" t="s">
        <v>1932</v>
      </c>
      <c r="AF206" t="s">
        <v>26</v>
      </c>
      <c r="AG206">
        <v>68</v>
      </c>
      <c r="AH206" t="s">
        <v>1229</v>
      </c>
      <c r="AI206" t="s">
        <v>1247</v>
      </c>
      <c r="AJ206" t="s">
        <v>1248</v>
      </c>
      <c r="AK206" t="s">
        <v>672</v>
      </c>
      <c r="AL206" t="s">
        <v>673</v>
      </c>
      <c r="AM206">
        <v>0</v>
      </c>
      <c r="AN206">
        <v>0</v>
      </c>
      <c r="AO206">
        <v>0</v>
      </c>
      <c r="AP206">
        <v>1</v>
      </c>
    </row>
    <row r="207" spans="12:42" x14ac:dyDescent="0.2">
      <c r="L207">
        <f t="shared" si="3"/>
        <v>0</v>
      </c>
      <c r="AE207" t="s">
        <v>1932</v>
      </c>
      <c r="AF207" t="s">
        <v>26</v>
      </c>
      <c r="AG207">
        <v>78</v>
      </c>
      <c r="AH207" t="s">
        <v>1229</v>
      </c>
      <c r="AI207" t="s">
        <v>1230</v>
      </c>
      <c r="AJ207" t="s">
        <v>1235</v>
      </c>
      <c r="AK207" t="s">
        <v>616</v>
      </c>
      <c r="AL207" t="s">
        <v>617</v>
      </c>
      <c r="AM207">
        <v>0</v>
      </c>
      <c r="AN207">
        <v>0</v>
      </c>
      <c r="AO207">
        <v>0</v>
      </c>
      <c r="AP207">
        <v>1</v>
      </c>
    </row>
    <row r="208" spans="12:42" x14ac:dyDescent="0.2">
      <c r="L208">
        <f t="shared" si="3"/>
        <v>0</v>
      </c>
      <c r="AE208" t="s">
        <v>1932</v>
      </c>
      <c r="AF208" t="s">
        <v>26</v>
      </c>
      <c r="AG208">
        <v>78</v>
      </c>
      <c r="AH208" t="s">
        <v>1229</v>
      </c>
      <c r="AI208" t="s">
        <v>1230</v>
      </c>
      <c r="AJ208" t="s">
        <v>1238</v>
      </c>
      <c r="AK208" t="s">
        <v>620</v>
      </c>
      <c r="AL208" t="s">
        <v>621</v>
      </c>
      <c r="AM208">
        <v>0</v>
      </c>
      <c r="AN208">
        <v>0</v>
      </c>
      <c r="AO208">
        <v>0</v>
      </c>
      <c r="AP208">
        <v>1</v>
      </c>
    </row>
    <row r="209" spans="12:42" x14ac:dyDescent="0.2">
      <c r="L209">
        <f t="shared" si="3"/>
        <v>0</v>
      </c>
      <c r="AE209" t="s">
        <v>1932</v>
      </c>
      <c r="AF209" t="s">
        <v>26</v>
      </c>
      <c r="AG209">
        <v>79</v>
      </c>
      <c r="AH209" t="s">
        <v>1229</v>
      </c>
      <c r="AI209" t="s">
        <v>1230</v>
      </c>
      <c r="AJ209" t="s">
        <v>1241</v>
      </c>
      <c r="AK209" t="s">
        <v>612</v>
      </c>
      <c r="AL209" t="s">
        <v>613</v>
      </c>
      <c r="AM209">
        <v>0</v>
      </c>
      <c r="AN209">
        <v>0</v>
      </c>
      <c r="AO209">
        <v>0</v>
      </c>
      <c r="AP209">
        <v>1</v>
      </c>
    </row>
    <row r="210" spans="12:42" x14ac:dyDescent="0.2">
      <c r="L210">
        <f t="shared" si="3"/>
        <v>0</v>
      </c>
      <c r="AE210" t="s">
        <v>1932</v>
      </c>
      <c r="AF210" t="s">
        <v>26</v>
      </c>
      <c r="AG210">
        <v>79</v>
      </c>
      <c r="AH210" t="s">
        <v>1229</v>
      </c>
      <c r="AI210" t="s">
        <v>1230</v>
      </c>
      <c r="AJ210" t="s">
        <v>1241</v>
      </c>
      <c r="AK210" t="s">
        <v>608</v>
      </c>
      <c r="AL210" t="s">
        <v>609</v>
      </c>
      <c r="AM210">
        <v>0</v>
      </c>
      <c r="AN210">
        <v>0</v>
      </c>
      <c r="AO210">
        <v>0</v>
      </c>
      <c r="AP210">
        <v>1</v>
      </c>
    </row>
    <row r="211" spans="12:42" x14ac:dyDescent="0.2">
      <c r="L211">
        <f t="shared" si="3"/>
        <v>0</v>
      </c>
      <c r="AE211" t="s">
        <v>1932</v>
      </c>
      <c r="AF211" t="s">
        <v>26</v>
      </c>
      <c r="AG211">
        <v>80</v>
      </c>
      <c r="AH211" t="s">
        <v>1249</v>
      </c>
      <c r="AI211" t="s">
        <v>1250</v>
      </c>
      <c r="AJ211" t="s">
        <v>1251</v>
      </c>
      <c r="AK211" t="s">
        <v>604</v>
      </c>
      <c r="AL211" t="s">
        <v>605</v>
      </c>
      <c r="AM211">
        <v>0</v>
      </c>
      <c r="AN211">
        <v>0</v>
      </c>
      <c r="AO211">
        <v>0</v>
      </c>
      <c r="AP211">
        <v>1</v>
      </c>
    </row>
    <row r="212" spans="12:42" x14ac:dyDescent="0.2">
      <c r="L212">
        <f t="shared" si="3"/>
        <v>0</v>
      </c>
      <c r="AE212" t="s">
        <v>1932</v>
      </c>
      <c r="AF212" t="s">
        <v>26</v>
      </c>
      <c r="AG212">
        <v>80</v>
      </c>
      <c r="AH212" t="s">
        <v>1249</v>
      </c>
      <c r="AI212" t="s">
        <v>1250</v>
      </c>
      <c r="AJ212" t="s">
        <v>1251</v>
      </c>
      <c r="AK212" t="s">
        <v>600</v>
      </c>
      <c r="AL212" t="s">
        <v>601</v>
      </c>
      <c r="AM212">
        <v>0</v>
      </c>
      <c r="AN212">
        <v>0</v>
      </c>
      <c r="AO212">
        <v>0</v>
      </c>
      <c r="AP212">
        <v>1</v>
      </c>
    </row>
    <row r="213" spans="12:42" x14ac:dyDescent="0.2">
      <c r="L213">
        <f t="shared" si="3"/>
        <v>0</v>
      </c>
      <c r="AE213" t="s">
        <v>1932</v>
      </c>
      <c r="AF213" t="s">
        <v>26</v>
      </c>
      <c r="AG213">
        <v>81</v>
      </c>
      <c r="AH213" t="s">
        <v>1249</v>
      </c>
      <c r="AI213" t="s">
        <v>1250</v>
      </c>
      <c r="AJ213" t="s">
        <v>1251</v>
      </c>
      <c r="AK213" t="s">
        <v>591</v>
      </c>
      <c r="AL213" t="s">
        <v>592</v>
      </c>
      <c r="AM213">
        <v>0</v>
      </c>
      <c r="AN213">
        <v>0</v>
      </c>
      <c r="AO213">
        <v>0</v>
      </c>
      <c r="AP213">
        <v>1</v>
      </c>
    </row>
    <row r="214" spans="12:42" x14ac:dyDescent="0.2">
      <c r="L214">
        <f t="shared" si="3"/>
        <v>0</v>
      </c>
      <c r="AE214" t="s">
        <v>1932</v>
      </c>
      <c r="AF214" t="s">
        <v>26</v>
      </c>
      <c r="AG214">
        <v>81</v>
      </c>
      <c r="AH214" t="s">
        <v>1249</v>
      </c>
      <c r="AI214" t="s">
        <v>1252</v>
      </c>
      <c r="AJ214" t="s">
        <v>1253</v>
      </c>
      <c r="AK214" t="s">
        <v>595</v>
      </c>
      <c r="AL214" t="s">
        <v>596</v>
      </c>
      <c r="AM214">
        <v>0</v>
      </c>
      <c r="AN214">
        <v>0</v>
      </c>
      <c r="AO214">
        <v>0</v>
      </c>
      <c r="AP214">
        <v>1</v>
      </c>
    </row>
    <row r="215" spans="12:42" x14ac:dyDescent="0.2">
      <c r="L215">
        <f t="shared" si="3"/>
        <v>0</v>
      </c>
      <c r="AE215" t="s">
        <v>1932</v>
      </c>
      <c r="AF215" t="s">
        <v>26</v>
      </c>
      <c r="AG215">
        <v>90</v>
      </c>
      <c r="AH215" t="s">
        <v>1229</v>
      </c>
      <c r="AI215" t="s">
        <v>1262</v>
      </c>
      <c r="AJ215" t="s">
        <v>1265</v>
      </c>
      <c r="AK215" t="s">
        <v>519</v>
      </c>
      <c r="AL215" t="s">
        <v>520</v>
      </c>
      <c r="AM215">
        <v>0</v>
      </c>
      <c r="AN215">
        <v>0</v>
      </c>
      <c r="AO215">
        <v>0</v>
      </c>
      <c r="AP215">
        <v>1</v>
      </c>
    </row>
    <row r="216" spans="12:42" x14ac:dyDescent="0.2">
      <c r="L216">
        <f t="shared" si="3"/>
        <v>0</v>
      </c>
      <c r="AE216" t="s">
        <v>1932</v>
      </c>
      <c r="AF216" t="s">
        <v>26</v>
      </c>
      <c r="AG216">
        <v>90</v>
      </c>
      <c r="AH216" t="s">
        <v>1229</v>
      </c>
      <c r="AI216" t="s">
        <v>1296</v>
      </c>
      <c r="AJ216" t="s">
        <v>1297</v>
      </c>
      <c r="AK216" t="s">
        <v>367</v>
      </c>
      <c r="AL216" t="s">
        <v>368</v>
      </c>
      <c r="AM216">
        <v>0</v>
      </c>
      <c r="AN216">
        <v>0</v>
      </c>
      <c r="AO216">
        <v>0</v>
      </c>
      <c r="AP216">
        <v>1</v>
      </c>
    </row>
    <row r="217" spans="12:42" x14ac:dyDescent="0.2">
      <c r="L217">
        <f t="shared" si="3"/>
        <v>0</v>
      </c>
      <c r="AE217" t="s">
        <v>1932</v>
      </c>
      <c r="AF217" t="s">
        <v>26</v>
      </c>
      <c r="AG217">
        <v>91</v>
      </c>
      <c r="AH217" t="s">
        <v>1229</v>
      </c>
      <c r="AI217" t="s">
        <v>1230</v>
      </c>
      <c r="AJ217" t="s">
        <v>1242</v>
      </c>
      <c r="AK217" t="s">
        <v>81</v>
      </c>
      <c r="AL217" t="s">
        <v>82</v>
      </c>
      <c r="AM217">
        <v>0</v>
      </c>
      <c r="AN217">
        <v>0</v>
      </c>
      <c r="AO217">
        <v>0</v>
      </c>
      <c r="AP217">
        <v>1</v>
      </c>
    </row>
    <row r="218" spans="12:42" x14ac:dyDescent="0.2">
      <c r="L218">
        <f t="shared" si="3"/>
        <v>0</v>
      </c>
      <c r="AE218" t="s">
        <v>1932</v>
      </c>
      <c r="AF218" t="s">
        <v>26</v>
      </c>
      <c r="AG218">
        <v>91</v>
      </c>
      <c r="AH218" t="s">
        <v>1229</v>
      </c>
      <c r="AI218" t="s">
        <v>1230</v>
      </c>
      <c r="AJ218" t="s">
        <v>1242</v>
      </c>
      <c r="AK218" t="s">
        <v>1226</v>
      </c>
      <c r="AL218" t="s">
        <v>1227</v>
      </c>
      <c r="AM218">
        <v>0</v>
      </c>
      <c r="AN218">
        <v>0</v>
      </c>
      <c r="AO218">
        <v>0</v>
      </c>
      <c r="AP218">
        <v>1</v>
      </c>
    </row>
    <row r="219" spans="12:42" x14ac:dyDescent="0.2">
      <c r="L219">
        <f t="shared" si="3"/>
        <v>0</v>
      </c>
      <c r="AE219" t="s">
        <v>1932</v>
      </c>
      <c r="AF219" t="s">
        <v>26</v>
      </c>
      <c r="AG219">
        <v>92</v>
      </c>
      <c r="AH219" t="s">
        <v>1266</v>
      </c>
      <c r="AI219" t="s">
        <v>1269</v>
      </c>
      <c r="AJ219" t="s">
        <v>1270</v>
      </c>
      <c r="AK219" t="s">
        <v>511</v>
      </c>
      <c r="AL219" t="s">
        <v>512</v>
      </c>
      <c r="AM219">
        <v>0</v>
      </c>
      <c r="AN219">
        <v>0</v>
      </c>
      <c r="AO219">
        <v>0</v>
      </c>
      <c r="AP219">
        <v>1</v>
      </c>
    </row>
    <row r="220" spans="12:42" x14ac:dyDescent="0.2">
      <c r="L220">
        <f t="shared" si="3"/>
        <v>0</v>
      </c>
      <c r="AE220" t="s">
        <v>1932</v>
      </c>
      <c r="AF220" t="s">
        <v>26</v>
      </c>
      <c r="AG220">
        <v>92</v>
      </c>
      <c r="AH220" t="s">
        <v>1266</v>
      </c>
      <c r="AI220" t="s">
        <v>1269</v>
      </c>
      <c r="AJ220" t="s">
        <v>1303</v>
      </c>
      <c r="AK220" t="s">
        <v>334</v>
      </c>
      <c r="AL220" t="s">
        <v>335</v>
      </c>
      <c r="AM220">
        <v>0</v>
      </c>
      <c r="AN220">
        <v>0</v>
      </c>
      <c r="AO220">
        <v>0</v>
      </c>
      <c r="AP220">
        <v>1</v>
      </c>
    </row>
    <row r="221" spans="12:42" x14ac:dyDescent="0.2">
      <c r="L221">
        <f t="shared" si="3"/>
        <v>0</v>
      </c>
      <c r="AE221" t="s">
        <v>1932</v>
      </c>
      <c r="AF221" t="s">
        <v>26</v>
      </c>
      <c r="AG221">
        <v>106</v>
      </c>
      <c r="AH221" t="s">
        <v>1273</v>
      </c>
      <c r="AI221" t="s">
        <v>1291</v>
      </c>
      <c r="AJ221" t="s">
        <v>1292</v>
      </c>
      <c r="AK221" t="s">
        <v>400</v>
      </c>
      <c r="AL221" t="s">
        <v>401</v>
      </c>
      <c r="AM221">
        <v>0</v>
      </c>
      <c r="AN221">
        <v>0</v>
      </c>
      <c r="AO221">
        <v>0</v>
      </c>
      <c r="AP221">
        <v>1</v>
      </c>
    </row>
    <row r="222" spans="12:42" x14ac:dyDescent="0.2">
      <c r="L222">
        <f t="shared" si="3"/>
        <v>0</v>
      </c>
      <c r="AE222" t="s">
        <v>1932</v>
      </c>
      <c r="AF222" t="s">
        <v>26</v>
      </c>
      <c r="AG222">
        <v>106</v>
      </c>
      <c r="AH222" t="s">
        <v>1273</v>
      </c>
      <c r="AI222" t="s">
        <v>1283</v>
      </c>
      <c r="AJ222" t="s">
        <v>451</v>
      </c>
      <c r="AK222" t="s">
        <v>396</v>
      </c>
      <c r="AL222" t="s">
        <v>397</v>
      </c>
      <c r="AM222">
        <v>0</v>
      </c>
      <c r="AN222">
        <v>0</v>
      </c>
      <c r="AO222">
        <v>0</v>
      </c>
      <c r="AP222">
        <v>1</v>
      </c>
    </row>
    <row r="223" spans="12:42" x14ac:dyDescent="0.2">
      <c r="L223">
        <f t="shared" si="3"/>
        <v>0</v>
      </c>
      <c r="AE223" t="s">
        <v>1932</v>
      </c>
      <c r="AF223" t="s">
        <v>26</v>
      </c>
      <c r="AG223">
        <v>107</v>
      </c>
      <c r="AH223" t="s">
        <v>1273</v>
      </c>
      <c r="AI223" t="s">
        <v>1283</v>
      </c>
      <c r="AJ223" t="s">
        <v>1293</v>
      </c>
      <c r="AK223" t="s">
        <v>388</v>
      </c>
      <c r="AL223" t="s">
        <v>389</v>
      </c>
      <c r="AM223">
        <v>0</v>
      </c>
      <c r="AN223">
        <v>0</v>
      </c>
      <c r="AO223">
        <v>0</v>
      </c>
      <c r="AP223">
        <v>1</v>
      </c>
    </row>
    <row r="224" spans="12:42" x14ac:dyDescent="0.2">
      <c r="L224">
        <f t="shared" si="3"/>
        <v>0</v>
      </c>
      <c r="AE224" t="s">
        <v>1932</v>
      </c>
      <c r="AF224" t="s">
        <v>26</v>
      </c>
      <c r="AG224">
        <v>107</v>
      </c>
      <c r="AH224" t="s">
        <v>1273</v>
      </c>
      <c r="AI224" t="s">
        <v>1279</v>
      </c>
      <c r="AJ224" t="s">
        <v>447</v>
      </c>
      <c r="AK224" t="s">
        <v>392</v>
      </c>
      <c r="AL224" t="s">
        <v>393</v>
      </c>
      <c r="AM224">
        <v>0</v>
      </c>
      <c r="AN224">
        <v>0</v>
      </c>
      <c r="AO224">
        <v>0</v>
      </c>
      <c r="AP224">
        <v>1</v>
      </c>
    </row>
    <row r="225" spans="12:42" x14ac:dyDescent="0.2">
      <c r="L225">
        <f t="shared" si="3"/>
        <v>0</v>
      </c>
      <c r="AE225" t="s">
        <v>1932</v>
      </c>
      <c r="AF225" t="s">
        <v>26</v>
      </c>
      <c r="AG225">
        <v>108</v>
      </c>
      <c r="AH225" t="s">
        <v>1273</v>
      </c>
      <c r="AI225" t="s">
        <v>1291</v>
      </c>
      <c r="AJ225" t="s">
        <v>1294</v>
      </c>
      <c r="AK225" t="s">
        <v>380</v>
      </c>
      <c r="AL225" t="s">
        <v>381</v>
      </c>
      <c r="AM225">
        <v>0</v>
      </c>
      <c r="AN225">
        <v>0</v>
      </c>
      <c r="AO225">
        <v>0</v>
      </c>
      <c r="AP225">
        <v>1</v>
      </c>
    </row>
    <row r="226" spans="12:42" x14ac:dyDescent="0.2">
      <c r="L226">
        <f t="shared" si="3"/>
        <v>0</v>
      </c>
      <c r="AE226" t="s">
        <v>1932</v>
      </c>
      <c r="AF226" t="s">
        <v>26</v>
      </c>
      <c r="AG226">
        <v>108</v>
      </c>
      <c r="AH226" t="s">
        <v>1273</v>
      </c>
      <c r="AI226" t="s">
        <v>1291</v>
      </c>
      <c r="AJ226" t="s">
        <v>1295</v>
      </c>
      <c r="AK226" t="s">
        <v>384</v>
      </c>
      <c r="AL226" t="s">
        <v>385</v>
      </c>
      <c r="AM226">
        <v>0</v>
      </c>
      <c r="AN226">
        <v>0</v>
      </c>
      <c r="AO226">
        <v>0</v>
      </c>
      <c r="AP226">
        <v>1</v>
      </c>
    </row>
    <row r="227" spans="12:42" x14ac:dyDescent="0.2">
      <c r="L227">
        <f t="shared" si="3"/>
        <v>0</v>
      </c>
      <c r="AE227" t="s">
        <v>1932</v>
      </c>
      <c r="AF227" t="s">
        <v>26</v>
      </c>
      <c r="AG227">
        <v>109</v>
      </c>
      <c r="AH227" t="s">
        <v>1273</v>
      </c>
      <c r="AI227" t="s">
        <v>1274</v>
      </c>
      <c r="AJ227" t="s">
        <v>1280</v>
      </c>
      <c r="AK227" t="s">
        <v>371</v>
      </c>
      <c r="AL227" t="s">
        <v>372</v>
      </c>
      <c r="AM227">
        <v>0</v>
      </c>
      <c r="AN227">
        <v>0</v>
      </c>
      <c r="AO227">
        <v>0</v>
      </c>
      <c r="AP227">
        <v>1</v>
      </c>
    </row>
    <row r="228" spans="12:42" x14ac:dyDescent="0.2">
      <c r="L228">
        <f t="shared" si="3"/>
        <v>0</v>
      </c>
      <c r="AE228" t="s">
        <v>1932</v>
      </c>
      <c r="AF228" t="s">
        <v>26</v>
      </c>
      <c r="AG228">
        <v>109</v>
      </c>
      <c r="AH228" t="s">
        <v>1273</v>
      </c>
      <c r="AI228" t="s">
        <v>1274</v>
      </c>
      <c r="AJ228" t="s">
        <v>451</v>
      </c>
      <c r="AK228" t="s">
        <v>376</v>
      </c>
      <c r="AL228" t="s">
        <v>377</v>
      </c>
      <c r="AM228">
        <v>0</v>
      </c>
      <c r="AN228">
        <v>0</v>
      </c>
      <c r="AO228">
        <v>0</v>
      </c>
      <c r="AP228">
        <v>1</v>
      </c>
    </row>
    <row r="229" spans="12:42" x14ac:dyDescent="0.2">
      <c r="L229">
        <f t="shared" si="3"/>
        <v>0</v>
      </c>
      <c r="AE229" t="s">
        <v>1932</v>
      </c>
      <c r="AF229" t="s">
        <v>26</v>
      </c>
      <c r="AG229">
        <v>110</v>
      </c>
      <c r="AH229" t="s">
        <v>1273</v>
      </c>
      <c r="AI229" t="s">
        <v>1281</v>
      </c>
      <c r="AJ229" t="s">
        <v>1294</v>
      </c>
      <c r="AK229" t="s">
        <v>363</v>
      </c>
      <c r="AL229" t="s">
        <v>364</v>
      </c>
      <c r="AM229">
        <v>0</v>
      </c>
      <c r="AN229">
        <v>0</v>
      </c>
      <c r="AO229">
        <v>0</v>
      </c>
      <c r="AP229">
        <v>1</v>
      </c>
    </row>
    <row r="230" spans="12:42" x14ac:dyDescent="0.2">
      <c r="L230">
        <f t="shared" si="3"/>
        <v>0</v>
      </c>
      <c r="AE230" t="s">
        <v>1932</v>
      </c>
      <c r="AF230" t="s">
        <v>26</v>
      </c>
      <c r="AG230">
        <v>110</v>
      </c>
      <c r="AH230" t="s">
        <v>1229</v>
      </c>
      <c r="AI230" t="s">
        <v>1247</v>
      </c>
      <c r="AJ230" t="s">
        <v>1246</v>
      </c>
      <c r="AK230" t="s">
        <v>515</v>
      </c>
      <c r="AL230" t="s">
        <v>516</v>
      </c>
      <c r="AM230">
        <v>0</v>
      </c>
      <c r="AN230">
        <v>0</v>
      </c>
      <c r="AO230">
        <v>0</v>
      </c>
      <c r="AP230">
        <v>1</v>
      </c>
    </row>
    <row r="231" spans="12:42" x14ac:dyDescent="0.2">
      <c r="L231">
        <f t="shared" si="3"/>
        <v>0</v>
      </c>
      <c r="AE231" t="s">
        <v>1932</v>
      </c>
      <c r="AF231" t="s">
        <v>26</v>
      </c>
      <c r="AG231">
        <v>111</v>
      </c>
      <c r="AH231" t="s">
        <v>1229</v>
      </c>
      <c r="AI231" t="s">
        <v>1263</v>
      </c>
      <c r="AJ231" t="s">
        <v>1300</v>
      </c>
      <c r="AK231" t="s">
        <v>358</v>
      </c>
      <c r="AL231" t="s">
        <v>359</v>
      </c>
      <c r="AM231">
        <v>0</v>
      </c>
      <c r="AN231">
        <v>0</v>
      </c>
      <c r="AO231">
        <v>0</v>
      </c>
      <c r="AP231">
        <v>1</v>
      </c>
    </row>
    <row r="232" spans="12:42" x14ac:dyDescent="0.2">
      <c r="L232">
        <f t="shared" si="3"/>
        <v>0</v>
      </c>
      <c r="AE232" t="s">
        <v>1932</v>
      </c>
      <c r="AF232" t="s">
        <v>26</v>
      </c>
      <c r="AG232">
        <v>111</v>
      </c>
      <c r="AH232" t="s">
        <v>1266</v>
      </c>
      <c r="AI232" t="s">
        <v>1298</v>
      </c>
      <c r="AJ232" t="s">
        <v>1299</v>
      </c>
      <c r="AK232" t="s">
        <v>354</v>
      </c>
      <c r="AL232" t="s">
        <v>355</v>
      </c>
      <c r="AM232">
        <v>0</v>
      </c>
      <c r="AN232">
        <v>0</v>
      </c>
      <c r="AO232">
        <v>0</v>
      </c>
      <c r="AP232">
        <v>1</v>
      </c>
    </row>
    <row r="233" spans="12:42" x14ac:dyDescent="0.2">
      <c r="L233">
        <f t="shared" si="3"/>
        <v>0</v>
      </c>
      <c r="AE233" t="s">
        <v>1932</v>
      </c>
      <c r="AF233" t="s">
        <v>26</v>
      </c>
      <c r="AG233">
        <v>112</v>
      </c>
      <c r="AH233" t="s">
        <v>1266</v>
      </c>
      <c r="AI233" t="s">
        <v>1298</v>
      </c>
      <c r="AJ233" t="s">
        <v>1272</v>
      </c>
      <c r="AK233" t="s">
        <v>346</v>
      </c>
      <c r="AL233" t="s">
        <v>347</v>
      </c>
      <c r="AM233">
        <v>0</v>
      </c>
      <c r="AN233">
        <v>0</v>
      </c>
      <c r="AO233">
        <v>0</v>
      </c>
      <c r="AP233">
        <v>1</v>
      </c>
    </row>
    <row r="234" spans="12:42" x14ac:dyDescent="0.2">
      <c r="L234">
        <f t="shared" si="3"/>
        <v>0</v>
      </c>
      <c r="AE234" t="s">
        <v>1932</v>
      </c>
      <c r="AF234" t="s">
        <v>26</v>
      </c>
      <c r="AG234">
        <v>112</v>
      </c>
      <c r="AH234" t="s">
        <v>1266</v>
      </c>
      <c r="AI234" t="s">
        <v>1298</v>
      </c>
      <c r="AJ234" t="s">
        <v>1299</v>
      </c>
      <c r="AK234" t="s">
        <v>350</v>
      </c>
      <c r="AL234" t="s">
        <v>351</v>
      </c>
      <c r="AM234">
        <v>0</v>
      </c>
      <c r="AN234">
        <v>0</v>
      </c>
      <c r="AO234">
        <v>0</v>
      </c>
      <c r="AP234">
        <v>1</v>
      </c>
    </row>
    <row r="235" spans="12:42" x14ac:dyDescent="0.2">
      <c r="L235">
        <f t="shared" si="3"/>
        <v>0</v>
      </c>
      <c r="AE235" t="s">
        <v>1932</v>
      </c>
      <c r="AF235" t="s">
        <v>26</v>
      </c>
      <c r="AG235">
        <v>113</v>
      </c>
      <c r="AH235" t="s">
        <v>1266</v>
      </c>
      <c r="AI235" t="s">
        <v>1267</v>
      </c>
      <c r="AJ235" t="s">
        <v>1268</v>
      </c>
      <c r="AK235" t="s">
        <v>342</v>
      </c>
      <c r="AL235" t="s">
        <v>343</v>
      </c>
      <c r="AM235">
        <v>0</v>
      </c>
      <c r="AN235">
        <v>0</v>
      </c>
      <c r="AO235">
        <v>0</v>
      </c>
      <c r="AP235">
        <v>1</v>
      </c>
    </row>
    <row r="236" spans="12:42" x14ac:dyDescent="0.2">
      <c r="L236">
        <f t="shared" si="3"/>
        <v>0</v>
      </c>
      <c r="AE236" t="s">
        <v>1932</v>
      </c>
      <c r="AF236" t="s">
        <v>26</v>
      </c>
      <c r="AG236">
        <v>113</v>
      </c>
      <c r="AH236" t="s">
        <v>1266</v>
      </c>
      <c r="AI236" t="s">
        <v>1301</v>
      </c>
      <c r="AJ236" t="s">
        <v>1302</v>
      </c>
      <c r="AK236" t="s">
        <v>338</v>
      </c>
      <c r="AL236" t="s">
        <v>339</v>
      </c>
      <c r="AM236">
        <v>0</v>
      </c>
      <c r="AN236">
        <v>0</v>
      </c>
      <c r="AO236">
        <v>0</v>
      </c>
      <c r="AP236">
        <v>1</v>
      </c>
    </row>
    <row r="237" spans="12:42" x14ac:dyDescent="0.2">
      <c r="L237">
        <f t="shared" si="3"/>
        <v>0</v>
      </c>
      <c r="AE237" t="s">
        <v>1932</v>
      </c>
      <c r="AF237" t="s">
        <v>26</v>
      </c>
      <c r="AG237">
        <v>114</v>
      </c>
      <c r="AH237" t="s">
        <v>1266</v>
      </c>
      <c r="AI237" t="s">
        <v>1269</v>
      </c>
      <c r="AJ237" t="s">
        <v>1303</v>
      </c>
      <c r="AK237" t="s">
        <v>330</v>
      </c>
      <c r="AL237" t="s">
        <v>331</v>
      </c>
      <c r="AM237">
        <v>0</v>
      </c>
      <c r="AN237">
        <v>0</v>
      </c>
      <c r="AO237">
        <v>0</v>
      </c>
      <c r="AP237">
        <v>1</v>
      </c>
    </row>
    <row r="238" spans="12:42" x14ac:dyDescent="0.2">
      <c r="L238">
        <f t="shared" si="3"/>
        <v>0</v>
      </c>
      <c r="AE238" t="s">
        <v>1932</v>
      </c>
      <c r="AF238" t="s">
        <v>26</v>
      </c>
      <c r="AG238">
        <v>114</v>
      </c>
      <c r="AH238" t="s">
        <v>1266</v>
      </c>
      <c r="AI238" t="s">
        <v>1267</v>
      </c>
      <c r="AJ238" t="s">
        <v>1268</v>
      </c>
      <c r="AK238" t="s">
        <v>507</v>
      </c>
      <c r="AL238" t="s">
        <v>508</v>
      </c>
      <c r="AM238">
        <v>0</v>
      </c>
      <c r="AN238">
        <v>0</v>
      </c>
      <c r="AO238">
        <v>0</v>
      </c>
      <c r="AP238">
        <v>1</v>
      </c>
    </row>
    <row r="239" spans="12:42" x14ac:dyDescent="0.2">
      <c r="L239">
        <f t="shared" si="3"/>
        <v>0</v>
      </c>
      <c r="AE239" t="s">
        <v>1932</v>
      </c>
      <c r="AF239" t="s">
        <v>26</v>
      </c>
      <c r="AG239">
        <v>115</v>
      </c>
      <c r="AH239" t="s">
        <v>1305</v>
      </c>
      <c r="AI239" t="s">
        <v>1306</v>
      </c>
      <c r="AJ239" t="s">
        <v>1307</v>
      </c>
      <c r="AK239" t="s">
        <v>326</v>
      </c>
      <c r="AL239" t="s">
        <v>327</v>
      </c>
      <c r="AM239">
        <v>0</v>
      </c>
      <c r="AN239">
        <v>0</v>
      </c>
      <c r="AO239">
        <v>0</v>
      </c>
      <c r="AP239">
        <v>1</v>
      </c>
    </row>
    <row r="240" spans="12:42" x14ac:dyDescent="0.2">
      <c r="L240">
        <f t="shared" si="3"/>
        <v>0</v>
      </c>
      <c r="AE240" t="s">
        <v>1932</v>
      </c>
      <c r="AF240" t="s">
        <v>26</v>
      </c>
      <c r="AG240">
        <v>115</v>
      </c>
      <c r="AH240" t="s">
        <v>1229</v>
      </c>
      <c r="AI240" t="s">
        <v>1262</v>
      </c>
      <c r="AJ240" t="s">
        <v>1304</v>
      </c>
      <c r="AK240" t="s">
        <v>322</v>
      </c>
      <c r="AL240" t="s">
        <v>323</v>
      </c>
      <c r="AM240">
        <v>0</v>
      </c>
      <c r="AN240">
        <v>0</v>
      </c>
      <c r="AO240">
        <v>0</v>
      </c>
      <c r="AP240">
        <v>1</v>
      </c>
    </row>
    <row r="241" spans="12:42" x14ac:dyDescent="0.2">
      <c r="L241">
        <f t="shared" si="3"/>
        <v>0</v>
      </c>
      <c r="AE241" t="s">
        <v>1932</v>
      </c>
      <c r="AF241" t="s">
        <v>26</v>
      </c>
      <c r="AG241">
        <v>132</v>
      </c>
      <c r="AH241" t="s">
        <v>1266</v>
      </c>
      <c r="AI241" t="s">
        <v>1271</v>
      </c>
      <c r="AJ241" t="s">
        <v>1331</v>
      </c>
      <c r="AK241" t="s">
        <v>187</v>
      </c>
      <c r="AL241" t="s">
        <v>188</v>
      </c>
      <c r="AM241">
        <v>0</v>
      </c>
      <c r="AN241">
        <v>0</v>
      </c>
      <c r="AO241">
        <v>0</v>
      </c>
      <c r="AP241">
        <v>1</v>
      </c>
    </row>
    <row r="242" spans="12:42" x14ac:dyDescent="0.2">
      <c r="L242">
        <f t="shared" si="3"/>
        <v>0</v>
      </c>
      <c r="AE242" t="s">
        <v>1932</v>
      </c>
      <c r="AF242" t="s">
        <v>26</v>
      </c>
      <c r="AG242">
        <v>132</v>
      </c>
      <c r="AH242" t="s">
        <v>1266</v>
      </c>
      <c r="AI242" t="s">
        <v>1271</v>
      </c>
      <c r="AJ242" t="s">
        <v>1331</v>
      </c>
      <c r="AK242" t="s">
        <v>191</v>
      </c>
      <c r="AL242" t="s">
        <v>192</v>
      </c>
      <c r="AM242">
        <v>0</v>
      </c>
      <c r="AN242">
        <v>0</v>
      </c>
      <c r="AO242">
        <v>0</v>
      </c>
      <c r="AP242">
        <v>1</v>
      </c>
    </row>
    <row r="243" spans="12:42" x14ac:dyDescent="0.2">
      <c r="L243">
        <f t="shared" si="3"/>
        <v>0</v>
      </c>
      <c r="AE243" t="s">
        <v>1932</v>
      </c>
      <c r="AF243" t="s">
        <v>26</v>
      </c>
      <c r="AG243">
        <v>133</v>
      </c>
      <c r="AH243" t="s">
        <v>1266</v>
      </c>
      <c r="AI243" t="s">
        <v>1271</v>
      </c>
      <c r="AJ243" t="s">
        <v>1328</v>
      </c>
      <c r="AK243" t="s">
        <v>183</v>
      </c>
      <c r="AL243" t="s">
        <v>184</v>
      </c>
      <c r="AM243">
        <v>0</v>
      </c>
      <c r="AN243">
        <v>0</v>
      </c>
      <c r="AO243">
        <v>0</v>
      </c>
      <c r="AP243">
        <v>1</v>
      </c>
    </row>
    <row r="244" spans="12:42" x14ac:dyDescent="0.2">
      <c r="L244">
        <f t="shared" si="3"/>
        <v>0</v>
      </c>
      <c r="AE244" t="s">
        <v>1932</v>
      </c>
      <c r="AF244" t="s">
        <v>26</v>
      </c>
      <c r="AG244">
        <v>133</v>
      </c>
      <c r="AH244" t="s">
        <v>1266</v>
      </c>
      <c r="AI244" t="s">
        <v>1271</v>
      </c>
      <c r="AJ244" t="s">
        <v>1328</v>
      </c>
      <c r="AK244" t="s">
        <v>179</v>
      </c>
      <c r="AL244" t="s">
        <v>180</v>
      </c>
      <c r="AM244">
        <v>0</v>
      </c>
      <c r="AN244">
        <v>0</v>
      </c>
      <c r="AO244">
        <v>0</v>
      </c>
      <c r="AP244">
        <v>1</v>
      </c>
    </row>
    <row r="245" spans="12:42" x14ac:dyDescent="0.2">
      <c r="L245">
        <f t="shared" si="3"/>
        <v>0</v>
      </c>
      <c r="AE245" t="s">
        <v>1932</v>
      </c>
      <c r="AF245" t="s">
        <v>26</v>
      </c>
      <c r="AG245">
        <v>134</v>
      </c>
      <c r="AH245" t="s">
        <v>1266</v>
      </c>
      <c r="AI245" t="s">
        <v>1271</v>
      </c>
      <c r="AJ245" t="s">
        <v>1328</v>
      </c>
      <c r="AK245" t="s">
        <v>171</v>
      </c>
      <c r="AL245" t="s">
        <v>172</v>
      </c>
      <c r="AM245">
        <v>0</v>
      </c>
      <c r="AN245">
        <v>0</v>
      </c>
      <c r="AO245">
        <v>0</v>
      </c>
      <c r="AP245">
        <v>1</v>
      </c>
    </row>
    <row r="246" spans="12:42" x14ac:dyDescent="0.2">
      <c r="L246">
        <f t="shared" si="3"/>
        <v>0</v>
      </c>
      <c r="AE246" t="s">
        <v>1932</v>
      </c>
      <c r="AF246" t="s">
        <v>26</v>
      </c>
      <c r="AG246">
        <v>134</v>
      </c>
      <c r="AH246" t="s">
        <v>1266</v>
      </c>
      <c r="AI246" t="s">
        <v>1271</v>
      </c>
      <c r="AJ246" t="s">
        <v>1328</v>
      </c>
      <c r="AK246" t="s">
        <v>175</v>
      </c>
      <c r="AL246" t="s">
        <v>176</v>
      </c>
      <c r="AM246">
        <v>0</v>
      </c>
      <c r="AN246">
        <v>0</v>
      </c>
      <c r="AO246">
        <v>0</v>
      </c>
      <c r="AP246">
        <v>1</v>
      </c>
    </row>
    <row r="247" spans="12:42" x14ac:dyDescent="0.2">
      <c r="L247">
        <f t="shared" si="3"/>
        <v>0</v>
      </c>
      <c r="AE247" t="s">
        <v>1932</v>
      </c>
      <c r="AF247" t="s">
        <v>26</v>
      </c>
      <c r="AG247">
        <v>135</v>
      </c>
      <c r="AH247" t="s">
        <v>1266</v>
      </c>
      <c r="AI247" t="s">
        <v>1330</v>
      </c>
      <c r="AJ247" t="s">
        <v>1299</v>
      </c>
      <c r="AK247" t="s">
        <v>161</v>
      </c>
      <c r="AL247" t="s">
        <v>162</v>
      </c>
      <c r="AM247">
        <v>0</v>
      </c>
      <c r="AN247">
        <v>0</v>
      </c>
      <c r="AO247">
        <v>0</v>
      </c>
      <c r="AP247">
        <v>1</v>
      </c>
    </row>
    <row r="248" spans="12:42" x14ac:dyDescent="0.2">
      <c r="L248">
        <f t="shared" si="3"/>
        <v>0</v>
      </c>
      <c r="AE248" t="s">
        <v>1932</v>
      </c>
      <c r="AF248" t="s">
        <v>26</v>
      </c>
      <c r="AG248">
        <v>135</v>
      </c>
      <c r="AH248" t="s">
        <v>1266</v>
      </c>
      <c r="AI248" t="s">
        <v>1332</v>
      </c>
      <c r="AJ248" t="s">
        <v>1333</v>
      </c>
      <c r="AK248" t="s">
        <v>166</v>
      </c>
      <c r="AL248" t="s">
        <v>167</v>
      </c>
      <c r="AM248">
        <v>0</v>
      </c>
      <c r="AN248">
        <v>0</v>
      </c>
      <c r="AO248">
        <v>0</v>
      </c>
      <c r="AP248">
        <v>1</v>
      </c>
    </row>
    <row r="249" spans="12:42" x14ac:dyDescent="0.2">
      <c r="L249">
        <f t="shared" si="3"/>
        <v>0</v>
      </c>
      <c r="AE249" t="s">
        <v>1932</v>
      </c>
      <c r="AF249" t="s">
        <v>26</v>
      </c>
      <c r="AG249">
        <v>136</v>
      </c>
      <c r="AH249" t="s">
        <v>1266</v>
      </c>
      <c r="AI249" t="s">
        <v>1271</v>
      </c>
      <c r="AJ249" t="s">
        <v>1334</v>
      </c>
      <c r="AK249" t="s">
        <v>157</v>
      </c>
      <c r="AL249" t="s">
        <v>158</v>
      </c>
      <c r="AM249">
        <v>0</v>
      </c>
      <c r="AN249">
        <v>0</v>
      </c>
      <c r="AO249">
        <v>0</v>
      </c>
      <c r="AP249">
        <v>1</v>
      </c>
    </row>
    <row r="250" spans="12:42" x14ac:dyDescent="0.2">
      <c r="L250">
        <f t="shared" si="3"/>
        <v>0</v>
      </c>
      <c r="AE250" t="s">
        <v>1932</v>
      </c>
      <c r="AF250" t="s">
        <v>26</v>
      </c>
      <c r="AG250">
        <v>136</v>
      </c>
      <c r="AH250" t="s">
        <v>1266</v>
      </c>
      <c r="AI250" t="s">
        <v>1271</v>
      </c>
      <c r="AJ250" t="s">
        <v>1334</v>
      </c>
      <c r="AK250" t="s">
        <v>153</v>
      </c>
      <c r="AL250" t="s">
        <v>154</v>
      </c>
      <c r="AM250">
        <v>0</v>
      </c>
      <c r="AN250">
        <v>0</v>
      </c>
      <c r="AO250">
        <v>0</v>
      </c>
      <c r="AP250">
        <v>1</v>
      </c>
    </row>
    <row r="251" spans="12:42" x14ac:dyDescent="0.2">
      <c r="L251">
        <f t="shared" si="3"/>
        <v>0</v>
      </c>
      <c r="AE251" t="s">
        <v>1932</v>
      </c>
      <c r="AF251" t="s">
        <v>26</v>
      </c>
      <c r="AG251">
        <v>137</v>
      </c>
      <c r="AH251" t="s">
        <v>1266</v>
      </c>
      <c r="AI251" t="s">
        <v>1271</v>
      </c>
      <c r="AJ251" t="s">
        <v>1329</v>
      </c>
      <c r="AK251" t="s">
        <v>145</v>
      </c>
      <c r="AL251" t="s">
        <v>146</v>
      </c>
      <c r="AM251">
        <v>0</v>
      </c>
      <c r="AN251">
        <v>0</v>
      </c>
      <c r="AO251">
        <v>0</v>
      </c>
      <c r="AP251">
        <v>1</v>
      </c>
    </row>
    <row r="252" spans="12:42" x14ac:dyDescent="0.2">
      <c r="L252">
        <f t="shared" si="3"/>
        <v>0</v>
      </c>
      <c r="AE252" t="s">
        <v>1932</v>
      </c>
      <c r="AF252" t="s">
        <v>26</v>
      </c>
      <c r="AG252">
        <v>137</v>
      </c>
      <c r="AH252" t="s">
        <v>1266</v>
      </c>
      <c r="AI252" t="s">
        <v>1271</v>
      </c>
      <c r="AJ252" t="s">
        <v>1334</v>
      </c>
      <c r="AK252" t="s">
        <v>149</v>
      </c>
      <c r="AL252" t="s">
        <v>150</v>
      </c>
      <c r="AM252">
        <v>0</v>
      </c>
      <c r="AN252">
        <v>0</v>
      </c>
      <c r="AO252">
        <v>0</v>
      </c>
      <c r="AP252">
        <v>1</v>
      </c>
    </row>
    <row r="253" spans="12:42" x14ac:dyDescent="0.2">
      <c r="L253">
        <f t="shared" si="3"/>
        <v>0</v>
      </c>
      <c r="AE253" t="s">
        <v>1932</v>
      </c>
      <c r="AF253" t="s">
        <v>26</v>
      </c>
      <c r="AG253">
        <v>138</v>
      </c>
      <c r="AH253" t="s">
        <v>1266</v>
      </c>
      <c r="AI253" t="s">
        <v>1335</v>
      </c>
      <c r="AJ253" t="s">
        <v>1336</v>
      </c>
      <c r="AK253" t="s">
        <v>136</v>
      </c>
      <c r="AL253" t="s">
        <v>137</v>
      </c>
      <c r="AM253">
        <v>0</v>
      </c>
      <c r="AN253">
        <v>0</v>
      </c>
      <c r="AO253">
        <v>0</v>
      </c>
      <c r="AP253">
        <v>1</v>
      </c>
    </row>
    <row r="254" spans="12:42" x14ac:dyDescent="0.2">
      <c r="L254">
        <f t="shared" si="3"/>
        <v>0</v>
      </c>
      <c r="AE254" t="s">
        <v>1932</v>
      </c>
      <c r="AF254" t="s">
        <v>26</v>
      </c>
      <c r="AG254">
        <v>138</v>
      </c>
      <c r="AH254" t="s">
        <v>1266</v>
      </c>
      <c r="AI254" t="s">
        <v>1271</v>
      </c>
      <c r="AJ254" t="s">
        <v>1272</v>
      </c>
      <c r="AK254" t="s">
        <v>141</v>
      </c>
      <c r="AL254" t="s">
        <v>142</v>
      </c>
      <c r="AM254">
        <v>0</v>
      </c>
      <c r="AN254">
        <v>0</v>
      </c>
      <c r="AO254">
        <v>0</v>
      </c>
      <c r="AP254">
        <v>1</v>
      </c>
    </row>
    <row r="255" spans="12:42" x14ac:dyDescent="0.2">
      <c r="L255">
        <f t="shared" si="3"/>
        <v>0</v>
      </c>
      <c r="AE255" t="s">
        <v>1932</v>
      </c>
      <c r="AF255" t="s">
        <v>26</v>
      </c>
      <c r="AG255">
        <v>139</v>
      </c>
      <c r="AH255" t="s">
        <v>1266</v>
      </c>
      <c r="AI255" t="s">
        <v>1324</v>
      </c>
      <c r="AJ255" t="s">
        <v>1323</v>
      </c>
      <c r="AK255" t="s">
        <v>132</v>
      </c>
      <c r="AL255" t="s">
        <v>133</v>
      </c>
      <c r="AM255">
        <v>0</v>
      </c>
      <c r="AN255">
        <v>0</v>
      </c>
      <c r="AO255">
        <v>0</v>
      </c>
      <c r="AP255">
        <v>1</v>
      </c>
    </row>
    <row r="256" spans="12:42" x14ac:dyDescent="0.2">
      <c r="L256">
        <f t="shared" si="3"/>
        <v>0</v>
      </c>
      <c r="AE256" t="s">
        <v>1932</v>
      </c>
      <c r="AF256" t="s">
        <v>26</v>
      </c>
      <c r="AG256">
        <v>139</v>
      </c>
      <c r="AH256" t="s">
        <v>1266</v>
      </c>
      <c r="AI256" t="s">
        <v>1271</v>
      </c>
      <c r="AJ256" t="s">
        <v>1272</v>
      </c>
      <c r="AK256" t="s">
        <v>128</v>
      </c>
      <c r="AL256" t="s">
        <v>129</v>
      </c>
      <c r="AM256">
        <v>0</v>
      </c>
      <c r="AN256">
        <v>0</v>
      </c>
      <c r="AO256">
        <v>0</v>
      </c>
      <c r="AP256">
        <v>1</v>
      </c>
    </row>
    <row r="257" spans="12:42" x14ac:dyDescent="0.2">
      <c r="L257">
        <f t="shared" si="3"/>
        <v>0</v>
      </c>
      <c r="AE257" t="s">
        <v>1932</v>
      </c>
      <c r="AF257" t="s">
        <v>26</v>
      </c>
      <c r="AG257">
        <v>140</v>
      </c>
      <c r="AH257" t="s">
        <v>1266</v>
      </c>
      <c r="AI257" t="s">
        <v>1271</v>
      </c>
      <c r="AJ257" t="s">
        <v>1329</v>
      </c>
      <c r="AK257" t="s">
        <v>124</v>
      </c>
      <c r="AL257" t="s">
        <v>125</v>
      </c>
      <c r="AM257">
        <v>0</v>
      </c>
      <c r="AN257">
        <v>0</v>
      </c>
      <c r="AO257">
        <v>0</v>
      </c>
      <c r="AP257">
        <v>1</v>
      </c>
    </row>
    <row r="258" spans="12:42" x14ac:dyDescent="0.2">
      <c r="L258">
        <f t="shared" si="3"/>
        <v>0</v>
      </c>
      <c r="AE258" t="s">
        <v>1932</v>
      </c>
      <c r="AF258" t="s">
        <v>26</v>
      </c>
      <c r="AG258">
        <v>140</v>
      </c>
      <c r="AH258" t="s">
        <v>1266</v>
      </c>
      <c r="AI258" t="s">
        <v>1271</v>
      </c>
      <c r="AJ258" t="s">
        <v>1329</v>
      </c>
      <c r="AK258" t="s">
        <v>120</v>
      </c>
      <c r="AL258" t="s">
        <v>121</v>
      </c>
      <c r="AM258">
        <v>0</v>
      </c>
      <c r="AN258">
        <v>0</v>
      </c>
      <c r="AO258">
        <v>0</v>
      </c>
      <c r="AP258">
        <v>1</v>
      </c>
    </row>
    <row r="259" spans="12:42" x14ac:dyDescent="0.2">
      <c r="L259">
        <f t="shared" si="3"/>
        <v>0</v>
      </c>
      <c r="AE259" t="s">
        <v>1932</v>
      </c>
      <c r="AF259" t="s">
        <v>26</v>
      </c>
      <c r="AG259">
        <v>141</v>
      </c>
      <c r="AH259" t="s">
        <v>1266</v>
      </c>
      <c r="AI259" t="s">
        <v>1271</v>
      </c>
      <c r="AJ259" t="s">
        <v>1329</v>
      </c>
      <c r="AK259" t="s">
        <v>116</v>
      </c>
      <c r="AL259" t="s">
        <v>117</v>
      </c>
      <c r="AM259">
        <v>0</v>
      </c>
      <c r="AN259">
        <v>0</v>
      </c>
      <c r="AO259">
        <v>0</v>
      </c>
      <c r="AP259">
        <v>1</v>
      </c>
    </row>
    <row r="260" spans="12:42" x14ac:dyDescent="0.2">
      <c r="L260">
        <f t="shared" ref="L260:L288" si="4">IF(E260="",0,IF(I260=1,0.5,1))</f>
        <v>0</v>
      </c>
      <c r="AE260" t="s">
        <v>1932</v>
      </c>
      <c r="AF260" t="s">
        <v>26</v>
      </c>
      <c r="AG260">
        <v>141</v>
      </c>
      <c r="AH260" t="s">
        <v>1266</v>
      </c>
      <c r="AI260" t="s">
        <v>1271</v>
      </c>
      <c r="AJ260" t="s">
        <v>1329</v>
      </c>
      <c r="AK260" t="s">
        <v>112</v>
      </c>
      <c r="AL260" t="s">
        <v>113</v>
      </c>
      <c r="AM260">
        <v>0</v>
      </c>
      <c r="AN260">
        <v>0</v>
      </c>
      <c r="AO260">
        <v>0</v>
      </c>
      <c r="AP260">
        <v>1</v>
      </c>
    </row>
    <row r="261" spans="12:42" x14ac:dyDescent="0.2">
      <c r="L261">
        <f t="shared" si="4"/>
        <v>0</v>
      </c>
      <c r="AE261" t="s">
        <v>1932</v>
      </c>
      <c r="AF261" t="s">
        <v>26</v>
      </c>
      <c r="AG261">
        <v>142</v>
      </c>
      <c r="AH261" t="s">
        <v>1266</v>
      </c>
      <c r="AI261" t="s">
        <v>1271</v>
      </c>
      <c r="AJ261" t="s">
        <v>1329</v>
      </c>
      <c r="AK261" t="s">
        <v>108</v>
      </c>
      <c r="AL261" t="s">
        <v>109</v>
      </c>
      <c r="AM261">
        <v>0</v>
      </c>
      <c r="AN261">
        <v>0</v>
      </c>
      <c r="AO261">
        <v>0</v>
      </c>
      <c r="AP261">
        <v>1</v>
      </c>
    </row>
    <row r="262" spans="12:42" x14ac:dyDescent="0.2">
      <c r="L262">
        <f t="shared" si="4"/>
        <v>0</v>
      </c>
      <c r="AE262" t="s">
        <v>1932</v>
      </c>
      <c r="AF262" t="s">
        <v>26</v>
      </c>
      <c r="AG262">
        <v>142</v>
      </c>
      <c r="AH262" t="s">
        <v>1266</v>
      </c>
      <c r="AI262" t="s">
        <v>1271</v>
      </c>
      <c r="AJ262" t="s">
        <v>1329</v>
      </c>
      <c r="AK262" t="s">
        <v>104</v>
      </c>
      <c r="AL262" t="s">
        <v>105</v>
      </c>
      <c r="AM262">
        <v>0</v>
      </c>
      <c r="AN262">
        <v>0</v>
      </c>
      <c r="AO262">
        <v>0</v>
      </c>
      <c r="AP262">
        <v>1</v>
      </c>
    </row>
    <row r="263" spans="12:42" x14ac:dyDescent="0.2">
      <c r="L263">
        <f t="shared" si="4"/>
        <v>0</v>
      </c>
      <c r="AE263" t="s">
        <v>1932</v>
      </c>
      <c r="AF263" t="s">
        <v>26</v>
      </c>
      <c r="AG263">
        <v>144</v>
      </c>
      <c r="AH263" t="s">
        <v>1266</v>
      </c>
      <c r="AI263" t="s">
        <v>1330</v>
      </c>
      <c r="AJ263" t="s">
        <v>1326</v>
      </c>
      <c r="AK263" t="s">
        <v>94</v>
      </c>
      <c r="AL263" t="s">
        <v>95</v>
      </c>
      <c r="AM263">
        <v>0</v>
      </c>
      <c r="AN263">
        <v>0</v>
      </c>
      <c r="AO263">
        <v>0</v>
      </c>
      <c r="AP263">
        <v>1</v>
      </c>
    </row>
    <row r="264" spans="12:42" x14ac:dyDescent="0.2">
      <c r="L264">
        <f t="shared" si="4"/>
        <v>0</v>
      </c>
      <c r="AE264" t="s">
        <v>1932</v>
      </c>
      <c r="AF264" t="s">
        <v>23</v>
      </c>
      <c r="AG264">
        <v>49</v>
      </c>
      <c r="AH264" t="s">
        <v>1229</v>
      </c>
      <c r="AI264" t="s">
        <v>1230</v>
      </c>
      <c r="AJ264" t="s">
        <v>1243</v>
      </c>
      <c r="AK264" t="s">
        <v>820</v>
      </c>
      <c r="AL264" t="s">
        <v>821</v>
      </c>
      <c r="AM264">
        <v>0</v>
      </c>
      <c r="AN264">
        <v>1</v>
      </c>
      <c r="AO264">
        <v>1</v>
      </c>
      <c r="AP264">
        <v>2</v>
      </c>
    </row>
    <row r="265" spans="12:42" x14ac:dyDescent="0.2">
      <c r="L265">
        <f t="shared" si="4"/>
        <v>0</v>
      </c>
      <c r="AE265" t="s">
        <v>1932</v>
      </c>
      <c r="AF265" t="s">
        <v>23</v>
      </c>
      <c r="AG265">
        <v>70</v>
      </c>
      <c r="AH265" t="s">
        <v>1229</v>
      </c>
      <c r="AI265" t="s">
        <v>1230</v>
      </c>
      <c r="AJ265" t="s">
        <v>1241</v>
      </c>
      <c r="AK265" t="s">
        <v>659</v>
      </c>
      <c r="AL265" t="s">
        <v>660</v>
      </c>
      <c r="AM265">
        <v>0</v>
      </c>
      <c r="AN265">
        <v>1</v>
      </c>
      <c r="AO265">
        <v>1</v>
      </c>
      <c r="AP265">
        <v>2</v>
      </c>
    </row>
    <row r="266" spans="12:42" x14ac:dyDescent="0.2">
      <c r="L266">
        <f t="shared" si="4"/>
        <v>0</v>
      </c>
      <c r="AE266" t="s">
        <v>1932</v>
      </c>
      <c r="AF266" t="s">
        <v>23</v>
      </c>
      <c r="AG266">
        <v>71</v>
      </c>
      <c r="AH266" t="s">
        <v>1229</v>
      </c>
      <c r="AI266" t="s">
        <v>1230</v>
      </c>
      <c r="AJ266" t="s">
        <v>1241</v>
      </c>
      <c r="AK266" t="s">
        <v>654</v>
      </c>
      <c r="AL266" t="s">
        <v>655</v>
      </c>
      <c r="AM266">
        <v>0</v>
      </c>
      <c r="AN266">
        <v>1</v>
      </c>
      <c r="AO266">
        <v>1</v>
      </c>
      <c r="AP266">
        <v>2</v>
      </c>
    </row>
    <row r="267" spans="12:42" x14ac:dyDescent="0.2">
      <c r="L267">
        <f t="shared" si="4"/>
        <v>0</v>
      </c>
      <c r="AE267" t="s">
        <v>1932</v>
      </c>
      <c r="AF267" t="s">
        <v>23</v>
      </c>
      <c r="AG267">
        <v>72</v>
      </c>
      <c r="AH267" t="s">
        <v>1229</v>
      </c>
      <c r="AI267" t="s">
        <v>1230</v>
      </c>
      <c r="AJ267" t="s">
        <v>1241</v>
      </c>
      <c r="AK267" t="s">
        <v>649</v>
      </c>
      <c r="AL267" t="s">
        <v>650</v>
      </c>
      <c r="AM267">
        <v>0</v>
      </c>
      <c r="AN267">
        <v>1</v>
      </c>
      <c r="AO267">
        <v>1</v>
      </c>
      <c r="AP267">
        <v>2</v>
      </c>
    </row>
    <row r="268" spans="12:42" x14ac:dyDescent="0.2">
      <c r="L268">
        <f t="shared" si="4"/>
        <v>0</v>
      </c>
      <c r="AE268" t="s">
        <v>1932</v>
      </c>
      <c r="AF268" t="s">
        <v>23</v>
      </c>
      <c r="AG268">
        <v>73</v>
      </c>
      <c r="AH268" t="s">
        <v>1229</v>
      </c>
      <c r="AI268" t="s">
        <v>1230</v>
      </c>
      <c r="AJ268" t="s">
        <v>1233</v>
      </c>
      <c r="AK268" t="s">
        <v>644</v>
      </c>
      <c r="AL268" t="s">
        <v>645</v>
      </c>
      <c r="AM268">
        <v>1</v>
      </c>
      <c r="AN268">
        <v>1</v>
      </c>
      <c r="AO268">
        <v>2</v>
      </c>
      <c r="AP268">
        <v>3</v>
      </c>
    </row>
    <row r="269" spans="12:42" x14ac:dyDescent="0.2">
      <c r="L269">
        <f t="shared" si="4"/>
        <v>0</v>
      </c>
      <c r="AE269" t="s">
        <v>1932</v>
      </c>
      <c r="AF269" t="s">
        <v>23</v>
      </c>
      <c r="AG269">
        <v>74</v>
      </c>
      <c r="AH269" t="s">
        <v>1229</v>
      </c>
      <c r="AI269" t="s">
        <v>1230</v>
      </c>
      <c r="AJ269" t="s">
        <v>1241</v>
      </c>
      <c r="AK269" t="s">
        <v>639</v>
      </c>
      <c r="AL269" t="s">
        <v>640</v>
      </c>
      <c r="AM269">
        <v>2</v>
      </c>
      <c r="AN269">
        <v>1</v>
      </c>
      <c r="AO269">
        <v>3</v>
      </c>
      <c r="AP269">
        <v>4</v>
      </c>
    </row>
    <row r="270" spans="12:42" x14ac:dyDescent="0.2">
      <c r="L270">
        <f t="shared" si="4"/>
        <v>0</v>
      </c>
      <c r="AE270" t="s">
        <v>1932</v>
      </c>
      <c r="AF270" t="s">
        <v>23</v>
      </c>
      <c r="AG270">
        <v>75</v>
      </c>
      <c r="AH270" t="s">
        <v>1229</v>
      </c>
      <c r="AI270" t="s">
        <v>1230</v>
      </c>
      <c r="AJ270" t="s">
        <v>1241</v>
      </c>
      <c r="AK270" t="s">
        <v>634</v>
      </c>
      <c r="AL270" t="s">
        <v>635</v>
      </c>
      <c r="AM270">
        <v>2</v>
      </c>
      <c r="AN270">
        <v>1</v>
      </c>
      <c r="AO270">
        <v>3</v>
      </c>
      <c r="AP270">
        <v>4</v>
      </c>
    </row>
    <row r="271" spans="12:42" x14ac:dyDescent="0.2">
      <c r="L271">
        <f t="shared" si="4"/>
        <v>0</v>
      </c>
      <c r="AE271" t="s">
        <v>1932</v>
      </c>
      <c r="AF271" t="s">
        <v>23</v>
      </c>
      <c r="AG271">
        <v>76</v>
      </c>
      <c r="AH271" t="s">
        <v>1229</v>
      </c>
      <c r="AI271" t="s">
        <v>1230</v>
      </c>
      <c r="AJ271" t="s">
        <v>1241</v>
      </c>
      <c r="AK271" t="s">
        <v>629</v>
      </c>
      <c r="AL271" t="s">
        <v>630</v>
      </c>
      <c r="AM271">
        <v>1</v>
      </c>
      <c r="AN271">
        <v>1</v>
      </c>
      <c r="AO271">
        <v>2</v>
      </c>
      <c r="AP271">
        <v>3</v>
      </c>
    </row>
    <row r="272" spans="12:42" x14ac:dyDescent="0.2">
      <c r="L272">
        <f t="shared" si="4"/>
        <v>0</v>
      </c>
      <c r="AE272" t="s">
        <v>1932</v>
      </c>
      <c r="AF272" t="s">
        <v>23</v>
      </c>
      <c r="AG272">
        <v>77</v>
      </c>
      <c r="AH272" t="s">
        <v>1229</v>
      </c>
      <c r="AI272" t="s">
        <v>1230</v>
      </c>
      <c r="AJ272" t="s">
        <v>1241</v>
      </c>
      <c r="AK272" t="s">
        <v>624</v>
      </c>
      <c r="AL272" t="s">
        <v>625</v>
      </c>
      <c r="AM272">
        <v>0</v>
      </c>
      <c r="AN272">
        <v>1</v>
      </c>
      <c r="AO272">
        <v>1</v>
      </c>
      <c r="AP272">
        <v>2</v>
      </c>
    </row>
    <row r="273" spans="12:42" x14ac:dyDescent="0.2">
      <c r="L273">
        <f t="shared" si="4"/>
        <v>0</v>
      </c>
      <c r="AE273" t="s">
        <v>1932</v>
      </c>
      <c r="AF273" t="s">
        <v>23</v>
      </c>
      <c r="AG273">
        <v>93</v>
      </c>
      <c r="AH273" t="s">
        <v>1266</v>
      </c>
      <c r="AI273" t="s">
        <v>1271</v>
      </c>
      <c r="AJ273" t="s">
        <v>1272</v>
      </c>
      <c r="AK273" t="s">
        <v>502</v>
      </c>
      <c r="AL273" t="s">
        <v>503</v>
      </c>
      <c r="AM273">
        <v>1</v>
      </c>
      <c r="AN273">
        <v>1</v>
      </c>
      <c r="AO273">
        <v>2</v>
      </c>
      <c r="AP273">
        <v>3</v>
      </c>
    </row>
    <row r="274" spans="12:42" x14ac:dyDescent="0.2">
      <c r="L274">
        <f t="shared" si="4"/>
        <v>0</v>
      </c>
      <c r="AE274" t="s">
        <v>1932</v>
      </c>
      <c r="AF274" t="s">
        <v>23</v>
      </c>
      <c r="AG274">
        <v>143</v>
      </c>
      <c r="AH274" t="s">
        <v>1266</v>
      </c>
      <c r="AI274" t="s">
        <v>1332</v>
      </c>
      <c r="AJ274" t="s">
        <v>1333</v>
      </c>
      <c r="AK274" t="s">
        <v>99</v>
      </c>
      <c r="AL274" t="s">
        <v>100</v>
      </c>
      <c r="AM274">
        <v>1</v>
      </c>
      <c r="AN274">
        <v>1</v>
      </c>
      <c r="AO274">
        <v>2</v>
      </c>
      <c r="AP274">
        <v>3</v>
      </c>
    </row>
    <row r="275" spans="12:42" x14ac:dyDescent="0.2">
      <c r="L275">
        <f t="shared" si="4"/>
        <v>0</v>
      </c>
      <c r="AE275" t="s">
        <v>1225</v>
      </c>
      <c r="AM275">
        <v>8</v>
      </c>
      <c r="AN275">
        <v>15</v>
      </c>
      <c r="AO275">
        <v>23</v>
      </c>
      <c r="AP275">
        <v>294</v>
      </c>
    </row>
    <row r="276" spans="12:42" x14ac:dyDescent="0.2">
      <c r="L276">
        <f t="shared" si="4"/>
        <v>0</v>
      </c>
    </row>
    <row r="277" spans="12:42" x14ac:dyDescent="0.2">
      <c r="L277">
        <f t="shared" si="4"/>
        <v>0</v>
      </c>
    </row>
    <row r="278" spans="12:42" x14ac:dyDescent="0.2">
      <c r="L278">
        <f t="shared" si="4"/>
        <v>0</v>
      </c>
    </row>
    <row r="279" spans="12:42" x14ac:dyDescent="0.2">
      <c r="L279">
        <f t="shared" si="4"/>
        <v>0</v>
      </c>
    </row>
    <row r="280" spans="12:42" x14ac:dyDescent="0.2">
      <c r="L280">
        <f t="shared" si="4"/>
        <v>0</v>
      </c>
    </row>
    <row r="281" spans="12:42" x14ac:dyDescent="0.2">
      <c r="L281">
        <f t="shared" si="4"/>
        <v>0</v>
      </c>
    </row>
    <row r="282" spans="12:42" x14ac:dyDescent="0.2">
      <c r="L282">
        <f t="shared" si="4"/>
        <v>0</v>
      </c>
    </row>
    <row r="283" spans="12:42" x14ac:dyDescent="0.2">
      <c r="L283">
        <f t="shared" si="4"/>
        <v>0</v>
      </c>
    </row>
    <row r="284" spans="12:42" x14ac:dyDescent="0.2">
      <c r="L284">
        <f t="shared" si="4"/>
        <v>0</v>
      </c>
    </row>
    <row r="285" spans="12:42" x14ac:dyDescent="0.2">
      <c r="L285">
        <f t="shared" si="4"/>
        <v>0</v>
      </c>
    </row>
    <row r="286" spans="12:42" x14ac:dyDescent="0.2">
      <c r="L286">
        <f t="shared" si="4"/>
        <v>0</v>
      </c>
    </row>
    <row r="287" spans="12:42" x14ac:dyDescent="0.2">
      <c r="L287">
        <f t="shared" si="4"/>
        <v>0</v>
      </c>
    </row>
    <row r="288" spans="12:42" x14ac:dyDescent="0.2">
      <c r="L288">
        <f t="shared" si="4"/>
        <v>0</v>
      </c>
    </row>
  </sheetData>
  <conditionalFormatting sqref="F1:H3 F307:H1048576">
    <cfRule type="cellIs" dxfId="5" priority="4" operator="greaterThan">
      <formula>1</formula>
    </cfRule>
  </conditionalFormatting>
  <conditionalFormatting sqref="AP1:AP3 AP279:AP1048576">
    <cfRule type="cellIs" dxfId="4" priority="1" operator="greaterThan">
      <formula>2</formula>
    </cfRule>
  </conditionalFormatting>
  <pageMargins left="0.7" right="0.7" top="0.75" bottom="0.75" header="0.3" footer="0.3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19D6-AB15-4B52-AC27-10798C040B41}">
  <sheetPr>
    <tabColor theme="4" tint="-0.249977111117893"/>
  </sheetPr>
  <dimension ref="A1:H457"/>
  <sheetViews>
    <sheetView topLeftCell="A348" workbookViewId="0">
      <selection activeCell="H455" sqref="H455"/>
    </sheetView>
  </sheetViews>
  <sheetFormatPr baseColWidth="10" defaultColWidth="8.83203125" defaultRowHeight="15" x14ac:dyDescent="0.2"/>
  <cols>
    <col min="1" max="1" width="13.6640625" customWidth="1"/>
    <col min="2" max="2" width="32.6640625" bestFit="1" customWidth="1"/>
    <col min="3" max="3" width="38.5" bestFit="1" customWidth="1"/>
    <col min="4" max="4" width="30.33203125" bestFit="1" customWidth="1"/>
    <col min="5" max="6" width="29.1640625" bestFit="1" customWidth="1"/>
    <col min="7" max="7" width="17.5" customWidth="1"/>
    <col min="8" max="8" width="9.83203125" customWidth="1"/>
  </cols>
  <sheetData>
    <row r="1" spans="1:8" x14ac:dyDescent="0.2">
      <c r="A1" s="6" t="s">
        <v>1377</v>
      </c>
      <c r="B1" s="6" t="s">
        <v>1378</v>
      </c>
      <c r="C1" s="6" t="s">
        <v>0</v>
      </c>
      <c r="D1" s="6" t="s">
        <v>1379</v>
      </c>
      <c r="E1" s="6" t="s">
        <v>1380</v>
      </c>
      <c r="F1" s="6" t="s">
        <v>1381</v>
      </c>
      <c r="G1" s="6" t="s">
        <v>1382</v>
      </c>
      <c r="H1" s="23" t="s">
        <v>20</v>
      </c>
    </row>
    <row r="2" spans="1:8" hidden="1" x14ac:dyDescent="0.2">
      <c r="A2" s="7">
        <v>356</v>
      </c>
      <c r="B2" s="7" t="s">
        <v>1282</v>
      </c>
      <c r="C2" s="7" t="s">
        <v>363</v>
      </c>
      <c r="D2" s="7" t="s">
        <v>1294</v>
      </c>
      <c r="E2" s="7" t="s">
        <v>1273</v>
      </c>
      <c r="F2" s="7" t="s">
        <v>1281</v>
      </c>
      <c r="G2" s="7" t="s">
        <v>1232</v>
      </c>
      <c r="H2" t="s">
        <v>1932</v>
      </c>
    </row>
    <row r="3" spans="1:8" hidden="1" x14ac:dyDescent="0.2">
      <c r="A3" s="8">
        <v>23365</v>
      </c>
      <c r="B3" s="8" t="s">
        <v>1383</v>
      </c>
      <c r="C3" s="8" t="s">
        <v>1384</v>
      </c>
      <c r="D3" s="8" t="s">
        <v>1333</v>
      </c>
      <c r="E3" s="8" t="s">
        <v>1266</v>
      </c>
      <c r="F3" s="8" t="s">
        <v>1332</v>
      </c>
      <c r="G3" s="8" t="s">
        <v>1232</v>
      </c>
      <c r="H3" t="s">
        <v>1932</v>
      </c>
    </row>
    <row r="4" spans="1:8" hidden="1" x14ac:dyDescent="0.2">
      <c r="A4" s="7">
        <v>6854</v>
      </c>
      <c r="B4" s="7" t="s">
        <v>1328</v>
      </c>
      <c r="C4" s="7" t="s">
        <v>1385</v>
      </c>
      <c r="D4" s="7" t="s">
        <v>1272</v>
      </c>
      <c r="E4" s="7" t="s">
        <v>1266</v>
      </c>
      <c r="F4" s="7" t="s">
        <v>1271</v>
      </c>
      <c r="G4" s="7" t="s">
        <v>1232</v>
      </c>
      <c r="H4" t="s">
        <v>1932</v>
      </c>
    </row>
    <row r="5" spans="1:8" hidden="1" x14ac:dyDescent="0.2">
      <c r="A5" s="8">
        <v>5540</v>
      </c>
      <c r="B5" s="8" t="s">
        <v>1386</v>
      </c>
      <c r="C5" s="8" t="s">
        <v>99</v>
      </c>
      <c r="D5" s="8" t="s">
        <v>1333</v>
      </c>
      <c r="E5" s="8" t="s">
        <v>1266</v>
      </c>
      <c r="F5" s="8" t="s">
        <v>1332</v>
      </c>
      <c r="G5" s="8" t="s">
        <v>1232</v>
      </c>
      <c r="H5" t="s">
        <v>1932</v>
      </c>
    </row>
    <row r="6" spans="1:8" x14ac:dyDescent="0.2">
      <c r="A6" s="7">
        <v>6350</v>
      </c>
      <c r="B6" s="7" t="s">
        <v>1251</v>
      </c>
      <c r="C6" s="7" t="s">
        <v>1387</v>
      </c>
      <c r="D6" s="7" t="s">
        <v>1388</v>
      </c>
      <c r="E6" s="7" t="s">
        <v>1249</v>
      </c>
      <c r="F6" s="7" t="s">
        <v>1250</v>
      </c>
      <c r="G6" s="7" t="s">
        <v>1232</v>
      </c>
      <c r="H6" t="s">
        <v>452</v>
      </c>
    </row>
    <row r="7" spans="1:8" hidden="1" x14ac:dyDescent="0.2">
      <c r="A7" s="8">
        <v>10666</v>
      </c>
      <c r="B7" s="8" t="s">
        <v>1334</v>
      </c>
      <c r="C7" s="8" t="s">
        <v>1389</v>
      </c>
      <c r="D7" s="8" t="s">
        <v>1272</v>
      </c>
      <c r="E7" s="8" t="s">
        <v>1266</v>
      </c>
      <c r="F7" s="8" t="s">
        <v>1271</v>
      </c>
      <c r="G7" s="8" t="s">
        <v>1232</v>
      </c>
      <c r="H7" t="s">
        <v>1932</v>
      </c>
    </row>
    <row r="8" spans="1:8" hidden="1" x14ac:dyDescent="0.2">
      <c r="A8" s="7">
        <v>15646</v>
      </c>
      <c r="B8" s="7" t="s">
        <v>1390</v>
      </c>
      <c r="C8" s="7" t="s">
        <v>28</v>
      </c>
      <c r="D8" s="7" t="s">
        <v>1329</v>
      </c>
      <c r="E8" s="7" t="s">
        <v>1266</v>
      </c>
      <c r="F8" s="7" t="s">
        <v>1271</v>
      </c>
      <c r="G8" s="7" t="s">
        <v>1232</v>
      </c>
      <c r="H8" t="s">
        <v>1932</v>
      </c>
    </row>
    <row r="9" spans="1:8" hidden="1" x14ac:dyDescent="0.2">
      <c r="A9" s="8">
        <v>7616</v>
      </c>
      <c r="B9" s="8" t="s">
        <v>1391</v>
      </c>
      <c r="C9" s="8" t="s">
        <v>145</v>
      </c>
      <c r="D9" s="8" t="s">
        <v>1329</v>
      </c>
      <c r="E9" s="8" t="s">
        <v>1266</v>
      </c>
      <c r="F9" s="8" t="s">
        <v>1271</v>
      </c>
      <c r="G9" s="8" t="s">
        <v>1232</v>
      </c>
      <c r="H9" t="s">
        <v>1932</v>
      </c>
    </row>
    <row r="10" spans="1:8" hidden="1" x14ac:dyDescent="0.2">
      <c r="A10" s="7">
        <v>8057</v>
      </c>
      <c r="B10" s="7" t="s">
        <v>1392</v>
      </c>
      <c r="C10" s="7" t="s">
        <v>51</v>
      </c>
      <c r="D10" s="7" t="s">
        <v>1393</v>
      </c>
      <c r="E10" s="7" t="s">
        <v>1266</v>
      </c>
      <c r="F10" s="7" t="s">
        <v>1394</v>
      </c>
      <c r="G10" s="7" t="s">
        <v>1232</v>
      </c>
      <c r="H10" t="s">
        <v>1932</v>
      </c>
    </row>
    <row r="11" spans="1:8" hidden="1" x14ac:dyDescent="0.2">
      <c r="A11" s="8">
        <v>7929</v>
      </c>
      <c r="B11" s="8" t="s">
        <v>1333</v>
      </c>
      <c r="C11" s="8" t="s">
        <v>1395</v>
      </c>
      <c r="D11" s="8" t="s">
        <v>1336</v>
      </c>
      <c r="E11" s="8" t="s">
        <v>1266</v>
      </c>
      <c r="F11" s="8" t="s">
        <v>1332</v>
      </c>
      <c r="G11" s="8" t="s">
        <v>1232</v>
      </c>
      <c r="H11" t="s">
        <v>1932</v>
      </c>
    </row>
    <row r="12" spans="1:8" hidden="1" x14ac:dyDescent="0.2">
      <c r="A12" s="7">
        <v>9700</v>
      </c>
      <c r="B12" s="7" t="s">
        <v>1396</v>
      </c>
      <c r="C12" s="7" t="s">
        <v>112</v>
      </c>
      <c r="D12" s="7" t="s">
        <v>1329</v>
      </c>
      <c r="E12" s="7" t="s">
        <v>1266</v>
      </c>
      <c r="F12" s="7" t="s">
        <v>1271</v>
      </c>
      <c r="G12" s="7" t="s">
        <v>1232</v>
      </c>
      <c r="H12" t="s">
        <v>1932</v>
      </c>
    </row>
    <row r="13" spans="1:8" hidden="1" x14ac:dyDescent="0.2">
      <c r="A13" s="8">
        <v>9061</v>
      </c>
      <c r="B13" s="8" t="s">
        <v>1397</v>
      </c>
      <c r="C13" s="8" t="s">
        <v>79</v>
      </c>
      <c r="D13" s="8" t="s">
        <v>1272</v>
      </c>
      <c r="E13" s="8" t="s">
        <v>1266</v>
      </c>
      <c r="F13" s="8" t="s">
        <v>1271</v>
      </c>
      <c r="G13" s="8" t="s">
        <v>1232</v>
      </c>
      <c r="H13" t="s">
        <v>1932</v>
      </c>
    </row>
    <row r="14" spans="1:8" hidden="1" x14ac:dyDescent="0.2">
      <c r="A14" s="7">
        <v>7469</v>
      </c>
      <c r="B14" s="7" t="s">
        <v>1398</v>
      </c>
      <c r="C14" s="7" t="s">
        <v>1399</v>
      </c>
      <c r="D14" s="7" t="s">
        <v>1272</v>
      </c>
      <c r="E14" s="7" t="s">
        <v>1266</v>
      </c>
      <c r="F14" s="7" t="s">
        <v>1271</v>
      </c>
      <c r="G14" s="7" t="s">
        <v>1232</v>
      </c>
      <c r="H14" t="s">
        <v>1932</v>
      </c>
    </row>
    <row r="15" spans="1:8" hidden="1" x14ac:dyDescent="0.2">
      <c r="A15" s="8">
        <v>7915</v>
      </c>
      <c r="B15" s="8" t="s">
        <v>1400</v>
      </c>
      <c r="C15" s="8" t="s">
        <v>124</v>
      </c>
      <c r="D15" s="8" t="s">
        <v>1329</v>
      </c>
      <c r="E15" s="8" t="s">
        <v>1266</v>
      </c>
      <c r="F15" s="8" t="s">
        <v>1271</v>
      </c>
      <c r="G15" s="8" t="s">
        <v>1232</v>
      </c>
      <c r="H15" t="s">
        <v>1932</v>
      </c>
    </row>
    <row r="16" spans="1:8" hidden="1" x14ac:dyDescent="0.2">
      <c r="A16" s="7">
        <v>7682</v>
      </c>
      <c r="B16" s="7" t="s">
        <v>1302</v>
      </c>
      <c r="C16" s="7" t="s">
        <v>1401</v>
      </c>
      <c r="D16" s="7" t="s">
        <v>1402</v>
      </c>
      <c r="E16" s="7" t="s">
        <v>1266</v>
      </c>
      <c r="F16" s="7" t="s">
        <v>1403</v>
      </c>
      <c r="G16" s="7" t="s">
        <v>1232</v>
      </c>
      <c r="H16" t="s">
        <v>1932</v>
      </c>
    </row>
    <row r="17" spans="1:8" hidden="1" x14ac:dyDescent="0.2">
      <c r="A17" s="8">
        <v>7643</v>
      </c>
      <c r="B17" s="8" t="s">
        <v>1404</v>
      </c>
      <c r="C17" s="8" t="s">
        <v>49</v>
      </c>
      <c r="D17" s="8" t="s">
        <v>1334</v>
      </c>
      <c r="E17" s="8" t="s">
        <v>1266</v>
      </c>
      <c r="F17" s="8" t="s">
        <v>1271</v>
      </c>
      <c r="G17" s="8" t="s">
        <v>1232</v>
      </c>
      <c r="H17" t="s">
        <v>1932</v>
      </c>
    </row>
    <row r="18" spans="1:8" hidden="1" x14ac:dyDescent="0.2">
      <c r="A18" s="7">
        <v>23031</v>
      </c>
      <c r="B18" s="7" t="s">
        <v>1405</v>
      </c>
      <c r="C18" s="7" t="s">
        <v>784</v>
      </c>
      <c r="D18" s="7" t="s">
        <v>1243</v>
      </c>
      <c r="E18" s="7" t="s">
        <v>1229</v>
      </c>
      <c r="F18" s="7" t="s">
        <v>1230</v>
      </c>
      <c r="G18" s="7" t="s">
        <v>1232</v>
      </c>
      <c r="H18" t="s">
        <v>1932</v>
      </c>
    </row>
    <row r="19" spans="1:8" hidden="1" x14ac:dyDescent="0.2">
      <c r="A19" s="8">
        <v>7658</v>
      </c>
      <c r="B19" s="8" t="s">
        <v>1406</v>
      </c>
      <c r="C19" s="8" t="s">
        <v>1407</v>
      </c>
      <c r="D19" s="8" t="s">
        <v>1393</v>
      </c>
      <c r="E19" s="8" t="s">
        <v>1266</v>
      </c>
      <c r="F19" s="8" t="s">
        <v>1394</v>
      </c>
      <c r="G19" s="8" t="s">
        <v>1232</v>
      </c>
      <c r="H19" t="s">
        <v>1932</v>
      </c>
    </row>
    <row r="20" spans="1:8" x14ac:dyDescent="0.2">
      <c r="A20" s="7">
        <v>10902</v>
      </c>
      <c r="B20" s="7" t="s">
        <v>1248</v>
      </c>
      <c r="C20" s="7" t="s">
        <v>560</v>
      </c>
      <c r="D20" s="7" t="s">
        <v>1261</v>
      </c>
      <c r="E20" s="7" t="s">
        <v>1229</v>
      </c>
      <c r="F20" s="7" t="s">
        <v>1260</v>
      </c>
      <c r="G20" s="7" t="s">
        <v>1232</v>
      </c>
      <c r="H20" t="s">
        <v>452</v>
      </c>
    </row>
    <row r="21" spans="1:8" hidden="1" x14ac:dyDescent="0.2">
      <c r="A21" s="8">
        <v>23143</v>
      </c>
      <c r="B21" s="8" t="s">
        <v>1408</v>
      </c>
      <c r="C21" s="8" t="s">
        <v>166</v>
      </c>
      <c r="D21" s="8" t="s">
        <v>1333</v>
      </c>
      <c r="E21" s="8" t="s">
        <v>1266</v>
      </c>
      <c r="F21" s="8" t="s">
        <v>1332</v>
      </c>
      <c r="G21" s="8" t="s">
        <v>1232</v>
      </c>
      <c r="H21" t="s">
        <v>1932</v>
      </c>
    </row>
    <row r="22" spans="1:8" hidden="1" x14ac:dyDescent="0.2">
      <c r="A22" s="7">
        <v>32796</v>
      </c>
      <c r="B22" s="7" t="s">
        <v>1409</v>
      </c>
      <c r="C22" s="7" t="s">
        <v>1410</v>
      </c>
      <c r="D22" s="7" t="s">
        <v>1331</v>
      </c>
      <c r="E22" s="7" t="s">
        <v>1266</v>
      </c>
      <c r="F22" s="7" t="s">
        <v>1271</v>
      </c>
      <c r="G22" s="7" t="s">
        <v>1232</v>
      </c>
      <c r="H22" t="s">
        <v>1932</v>
      </c>
    </row>
    <row r="23" spans="1:8" hidden="1" x14ac:dyDescent="0.2">
      <c r="A23" s="8">
        <v>8366</v>
      </c>
      <c r="B23" s="8" t="s">
        <v>1411</v>
      </c>
      <c r="C23" s="8" t="s">
        <v>1412</v>
      </c>
      <c r="D23" s="8" t="s">
        <v>1329</v>
      </c>
      <c r="E23" s="8" t="s">
        <v>1266</v>
      </c>
      <c r="F23" s="8" t="s">
        <v>1271</v>
      </c>
      <c r="G23" s="8" t="s">
        <v>1232</v>
      </c>
      <c r="H23" t="s">
        <v>1932</v>
      </c>
    </row>
    <row r="24" spans="1:8" hidden="1" x14ac:dyDescent="0.2">
      <c r="A24" s="7">
        <v>8163</v>
      </c>
      <c r="B24" s="7" t="s">
        <v>1329</v>
      </c>
      <c r="C24" s="7" t="s">
        <v>141</v>
      </c>
      <c r="D24" s="7" t="s">
        <v>1272</v>
      </c>
      <c r="E24" s="7" t="s">
        <v>1266</v>
      </c>
      <c r="F24" s="7" t="s">
        <v>1271</v>
      </c>
      <c r="G24" s="7" t="s">
        <v>1232</v>
      </c>
      <c r="H24" t="s">
        <v>1932</v>
      </c>
    </row>
    <row r="25" spans="1:8" hidden="1" x14ac:dyDescent="0.2">
      <c r="A25" s="8">
        <v>7896</v>
      </c>
      <c r="B25" s="8" t="s">
        <v>1413</v>
      </c>
      <c r="C25" s="8" t="s">
        <v>1414</v>
      </c>
      <c r="D25" s="8" t="s">
        <v>1272</v>
      </c>
      <c r="E25" s="8" t="s">
        <v>1266</v>
      </c>
      <c r="F25" s="8" t="s">
        <v>1271</v>
      </c>
      <c r="G25" s="8" t="s">
        <v>1232</v>
      </c>
      <c r="H25" t="s">
        <v>1932</v>
      </c>
    </row>
    <row r="26" spans="1:8" x14ac:dyDescent="0.2">
      <c r="A26" s="7">
        <v>20350</v>
      </c>
      <c r="B26" s="7" t="s">
        <v>1415</v>
      </c>
      <c r="C26" s="7" t="s">
        <v>1200</v>
      </c>
      <c r="D26" s="7" t="s">
        <v>1233</v>
      </c>
      <c r="E26" s="7" t="s">
        <v>1229</v>
      </c>
      <c r="F26" s="7" t="s">
        <v>1230</v>
      </c>
      <c r="G26" s="7" t="s">
        <v>1232</v>
      </c>
      <c r="H26" t="s">
        <v>452</v>
      </c>
    </row>
    <row r="27" spans="1:8" hidden="1" x14ac:dyDescent="0.2">
      <c r="A27" s="8">
        <v>8951</v>
      </c>
      <c r="B27" s="8" t="s">
        <v>1416</v>
      </c>
      <c r="C27" s="8" t="s">
        <v>1417</v>
      </c>
      <c r="D27" s="8" t="s">
        <v>1285</v>
      </c>
      <c r="E27" s="8" t="s">
        <v>1273</v>
      </c>
      <c r="F27" s="8" t="s">
        <v>1291</v>
      </c>
      <c r="G27" s="8" t="s">
        <v>1232</v>
      </c>
      <c r="H27" t="s">
        <v>1932</v>
      </c>
    </row>
    <row r="28" spans="1:8" x14ac:dyDescent="0.2">
      <c r="A28" s="7">
        <v>9088</v>
      </c>
      <c r="B28" s="7" t="s">
        <v>1360</v>
      </c>
      <c r="C28" s="7" t="s">
        <v>221</v>
      </c>
      <c r="D28" s="7" t="s">
        <v>1326</v>
      </c>
      <c r="E28" s="7" t="s">
        <v>1266</v>
      </c>
      <c r="F28" s="7" t="s">
        <v>1298</v>
      </c>
      <c r="G28" s="7" t="s">
        <v>1232</v>
      </c>
      <c r="H28" t="s">
        <v>452</v>
      </c>
    </row>
    <row r="29" spans="1:8" hidden="1" x14ac:dyDescent="0.2">
      <c r="A29" s="8">
        <v>9323</v>
      </c>
      <c r="B29" s="8" t="s">
        <v>1418</v>
      </c>
      <c r="C29" s="8" t="s">
        <v>50</v>
      </c>
      <c r="D29" s="8" t="s">
        <v>1272</v>
      </c>
      <c r="E29" s="8" t="s">
        <v>1266</v>
      </c>
      <c r="F29" s="8" t="s">
        <v>1324</v>
      </c>
      <c r="G29" s="8" t="s">
        <v>1232</v>
      </c>
      <c r="H29" t="s">
        <v>1932</v>
      </c>
    </row>
    <row r="30" spans="1:8" hidden="1" x14ac:dyDescent="0.2">
      <c r="A30" s="7">
        <v>9402</v>
      </c>
      <c r="B30" s="7" t="s">
        <v>1419</v>
      </c>
      <c r="C30" s="7" t="s">
        <v>149</v>
      </c>
      <c r="D30" s="7" t="s">
        <v>1334</v>
      </c>
      <c r="E30" s="7" t="s">
        <v>1266</v>
      </c>
      <c r="F30" s="7" t="s">
        <v>1271</v>
      </c>
      <c r="G30" s="7" t="s">
        <v>1232</v>
      </c>
      <c r="H30" t="s">
        <v>1932</v>
      </c>
    </row>
    <row r="31" spans="1:8" hidden="1" x14ac:dyDescent="0.2">
      <c r="A31" s="8">
        <v>9462</v>
      </c>
      <c r="B31" s="8" t="s">
        <v>1420</v>
      </c>
      <c r="C31" s="8" t="s">
        <v>1421</v>
      </c>
      <c r="D31" s="8" t="s">
        <v>1329</v>
      </c>
      <c r="E31" s="8" t="s">
        <v>1266</v>
      </c>
      <c r="F31" s="8" t="s">
        <v>1271</v>
      </c>
      <c r="G31" s="8" t="s">
        <v>1232</v>
      </c>
      <c r="H31" t="s">
        <v>1932</v>
      </c>
    </row>
    <row r="32" spans="1:8" x14ac:dyDescent="0.2">
      <c r="A32" s="7">
        <v>9429</v>
      </c>
      <c r="B32" s="7" t="s">
        <v>1312</v>
      </c>
      <c r="C32" s="7" t="s">
        <v>298</v>
      </c>
      <c r="D32" s="7" t="s">
        <v>1311</v>
      </c>
      <c r="E32" s="7" t="s">
        <v>1229</v>
      </c>
      <c r="F32" s="7" t="s">
        <v>1263</v>
      </c>
      <c r="G32" s="7" t="s">
        <v>1232</v>
      </c>
      <c r="H32" t="s">
        <v>452</v>
      </c>
    </row>
    <row r="33" spans="1:8" hidden="1" x14ac:dyDescent="0.2">
      <c r="A33" s="8">
        <v>9268</v>
      </c>
      <c r="B33" s="8" t="s">
        <v>1422</v>
      </c>
      <c r="C33" s="8" t="s">
        <v>507</v>
      </c>
      <c r="D33" s="8" t="s">
        <v>1268</v>
      </c>
      <c r="E33" s="8" t="s">
        <v>1266</v>
      </c>
      <c r="F33" s="8" t="s">
        <v>1267</v>
      </c>
      <c r="G33" s="8" t="s">
        <v>1232</v>
      </c>
      <c r="H33" t="s">
        <v>1932</v>
      </c>
    </row>
    <row r="34" spans="1:8" hidden="1" x14ac:dyDescent="0.2">
      <c r="A34" s="7">
        <v>21608</v>
      </c>
      <c r="B34" s="7" t="s">
        <v>1423</v>
      </c>
      <c r="C34" s="7" t="s">
        <v>350</v>
      </c>
      <c r="D34" s="7" t="s">
        <v>1299</v>
      </c>
      <c r="E34" s="7" t="s">
        <v>1266</v>
      </c>
      <c r="F34" s="7" t="s">
        <v>1298</v>
      </c>
      <c r="G34" s="7" t="s">
        <v>1232</v>
      </c>
      <c r="H34" t="s">
        <v>1932</v>
      </c>
    </row>
    <row r="35" spans="1:8" hidden="1" x14ac:dyDescent="0.2">
      <c r="A35" s="8">
        <v>11064</v>
      </c>
      <c r="B35" s="8" t="s">
        <v>1285</v>
      </c>
      <c r="C35" s="8" t="s">
        <v>380</v>
      </c>
      <c r="D35" s="8" t="s">
        <v>1294</v>
      </c>
      <c r="E35" s="8" t="s">
        <v>1273</v>
      </c>
      <c r="F35" s="8" t="s">
        <v>1291</v>
      </c>
      <c r="G35" s="8" t="s">
        <v>1232</v>
      </c>
      <c r="H35" t="s">
        <v>1932</v>
      </c>
    </row>
    <row r="36" spans="1:8" hidden="1" x14ac:dyDescent="0.2">
      <c r="A36" s="7">
        <v>23022</v>
      </c>
      <c r="B36" s="7" t="s">
        <v>1424</v>
      </c>
      <c r="C36" s="7" t="s">
        <v>1425</v>
      </c>
      <c r="D36" s="7" t="s">
        <v>1426</v>
      </c>
      <c r="E36" s="7" t="s">
        <v>1427</v>
      </c>
      <c r="F36" s="7" t="s">
        <v>1428</v>
      </c>
      <c r="G36" s="7" t="s">
        <v>1232</v>
      </c>
      <c r="H36" t="s">
        <v>1932</v>
      </c>
    </row>
    <row r="37" spans="1:8" hidden="1" x14ac:dyDescent="0.2">
      <c r="A37" s="8">
        <v>10164</v>
      </c>
      <c r="B37" s="8" t="s">
        <v>1323</v>
      </c>
      <c r="C37" s="8" t="s">
        <v>1429</v>
      </c>
      <c r="D37" s="8" t="s">
        <v>1272</v>
      </c>
      <c r="E37" s="8" t="s">
        <v>1266</v>
      </c>
      <c r="F37" s="8" t="s">
        <v>1298</v>
      </c>
      <c r="G37" s="8" t="s">
        <v>1232</v>
      </c>
      <c r="H37" t="s">
        <v>1932</v>
      </c>
    </row>
    <row r="38" spans="1:8" hidden="1" x14ac:dyDescent="0.2">
      <c r="A38" s="7">
        <v>22422</v>
      </c>
      <c r="B38" s="7" t="s">
        <v>1430</v>
      </c>
      <c r="C38" s="7" t="s">
        <v>1431</v>
      </c>
      <c r="D38" s="7" t="s">
        <v>1304</v>
      </c>
      <c r="E38" s="7" t="s">
        <v>1229</v>
      </c>
      <c r="F38" s="7" t="s">
        <v>1262</v>
      </c>
      <c r="G38" s="7" t="s">
        <v>1237</v>
      </c>
      <c r="H38" t="s">
        <v>1932</v>
      </c>
    </row>
    <row r="39" spans="1:8" hidden="1" x14ac:dyDescent="0.2">
      <c r="A39" s="8">
        <v>37495</v>
      </c>
      <c r="B39" s="8" t="s">
        <v>1432</v>
      </c>
      <c r="C39" s="8" t="s">
        <v>1433</v>
      </c>
      <c r="D39" s="8" t="s">
        <v>1233</v>
      </c>
      <c r="E39" s="8" t="s">
        <v>1229</v>
      </c>
      <c r="F39" s="8" t="s">
        <v>1230</v>
      </c>
      <c r="G39" s="8" t="s">
        <v>1232</v>
      </c>
      <c r="H39" t="s">
        <v>1932</v>
      </c>
    </row>
    <row r="40" spans="1:8" hidden="1" x14ac:dyDescent="0.2">
      <c r="A40" s="7">
        <v>11564</v>
      </c>
      <c r="B40" s="7" t="s">
        <v>1434</v>
      </c>
      <c r="C40" s="7" t="s">
        <v>1435</v>
      </c>
      <c r="D40" s="7" t="s">
        <v>1328</v>
      </c>
      <c r="E40" s="7" t="s">
        <v>1266</v>
      </c>
      <c r="F40" s="7" t="s">
        <v>1271</v>
      </c>
      <c r="G40" s="7" t="s">
        <v>1232</v>
      </c>
      <c r="H40" t="s">
        <v>1932</v>
      </c>
    </row>
    <row r="41" spans="1:8" hidden="1" x14ac:dyDescent="0.2">
      <c r="A41" s="8">
        <v>11265</v>
      </c>
      <c r="B41" s="8" t="s">
        <v>1280</v>
      </c>
      <c r="C41" s="8" t="s">
        <v>384</v>
      </c>
      <c r="D41" s="8" t="s">
        <v>1295</v>
      </c>
      <c r="E41" s="8" t="s">
        <v>1273</v>
      </c>
      <c r="F41" s="8" t="s">
        <v>1291</v>
      </c>
      <c r="G41" s="8" t="s">
        <v>1232</v>
      </c>
      <c r="H41" t="s">
        <v>1932</v>
      </c>
    </row>
    <row r="42" spans="1:8" hidden="1" x14ac:dyDescent="0.2">
      <c r="A42" s="7">
        <v>15036</v>
      </c>
      <c r="B42" s="7" t="s">
        <v>1436</v>
      </c>
      <c r="C42" s="7" t="s">
        <v>1437</v>
      </c>
      <c r="D42" s="7" t="s">
        <v>1329</v>
      </c>
      <c r="E42" s="7" t="s">
        <v>1266</v>
      </c>
      <c r="F42" s="7" t="s">
        <v>1271</v>
      </c>
      <c r="G42" s="7" t="s">
        <v>1232</v>
      </c>
      <c r="H42" t="s">
        <v>1932</v>
      </c>
    </row>
    <row r="43" spans="1:8" hidden="1" x14ac:dyDescent="0.2">
      <c r="A43" s="8">
        <v>10857</v>
      </c>
      <c r="B43" s="8" t="s">
        <v>1256</v>
      </c>
      <c r="C43" s="8" t="s">
        <v>595</v>
      </c>
      <c r="D43" s="8" t="s">
        <v>1253</v>
      </c>
      <c r="E43" s="8" t="s">
        <v>1249</v>
      </c>
      <c r="F43" s="8" t="s">
        <v>1252</v>
      </c>
      <c r="G43" s="8" t="s">
        <v>1232</v>
      </c>
      <c r="H43" t="s">
        <v>1932</v>
      </c>
    </row>
    <row r="44" spans="1:8" hidden="1" x14ac:dyDescent="0.2">
      <c r="A44" s="7">
        <v>13142</v>
      </c>
      <c r="B44" s="7" t="s">
        <v>1438</v>
      </c>
      <c r="C44" s="7" t="s">
        <v>644</v>
      </c>
      <c r="D44" s="7" t="s">
        <v>1233</v>
      </c>
      <c r="E44" s="7" t="s">
        <v>1229</v>
      </c>
      <c r="F44" s="7" t="s">
        <v>1230</v>
      </c>
      <c r="G44" s="7" t="s">
        <v>1232</v>
      </c>
      <c r="H44" t="s">
        <v>1932</v>
      </c>
    </row>
    <row r="45" spans="1:8" hidden="1" x14ac:dyDescent="0.2">
      <c r="A45" s="8">
        <v>13479</v>
      </c>
      <c r="B45" s="8" t="s">
        <v>1439</v>
      </c>
      <c r="C45" s="8" t="s">
        <v>116</v>
      </c>
      <c r="D45" s="8" t="s">
        <v>1329</v>
      </c>
      <c r="E45" s="8" t="s">
        <v>1266</v>
      </c>
      <c r="F45" s="8" t="s">
        <v>1271</v>
      </c>
      <c r="G45" s="8" t="s">
        <v>1232</v>
      </c>
      <c r="H45" t="s">
        <v>1932</v>
      </c>
    </row>
    <row r="46" spans="1:8" hidden="1" x14ac:dyDescent="0.2">
      <c r="A46" s="7">
        <v>26472</v>
      </c>
      <c r="B46" s="7" t="s">
        <v>1440</v>
      </c>
      <c r="C46" s="7" t="s">
        <v>179</v>
      </c>
      <c r="D46" s="7" t="s">
        <v>1328</v>
      </c>
      <c r="E46" s="7" t="s">
        <v>1266</v>
      </c>
      <c r="F46" s="7" t="s">
        <v>1271</v>
      </c>
      <c r="G46" s="7" t="s">
        <v>1232</v>
      </c>
      <c r="H46" t="s">
        <v>1932</v>
      </c>
    </row>
    <row r="47" spans="1:8" x14ac:dyDescent="0.2">
      <c r="A47" s="8">
        <v>13601</v>
      </c>
      <c r="B47" s="8" t="s">
        <v>1239</v>
      </c>
      <c r="C47" s="8" t="s">
        <v>539</v>
      </c>
      <c r="D47" s="8" t="s">
        <v>1248</v>
      </c>
      <c r="E47" s="8" t="s">
        <v>1229</v>
      </c>
      <c r="F47" s="8" t="s">
        <v>1262</v>
      </c>
      <c r="G47" s="8" t="s">
        <v>1232</v>
      </c>
      <c r="H47" t="s">
        <v>452</v>
      </c>
    </row>
    <row r="48" spans="1:8" hidden="1" x14ac:dyDescent="0.2">
      <c r="A48" s="7">
        <v>11978</v>
      </c>
      <c r="B48" s="7" t="s">
        <v>1327</v>
      </c>
      <c r="C48" s="7" t="s">
        <v>367</v>
      </c>
      <c r="D48" s="7" t="s">
        <v>1297</v>
      </c>
      <c r="E48" s="7" t="s">
        <v>1229</v>
      </c>
      <c r="F48" s="7" t="s">
        <v>1296</v>
      </c>
      <c r="G48" s="7" t="s">
        <v>1232</v>
      </c>
      <c r="H48" t="s">
        <v>1932</v>
      </c>
    </row>
    <row r="49" spans="1:8" hidden="1" x14ac:dyDescent="0.2">
      <c r="A49" s="8">
        <v>12702</v>
      </c>
      <c r="B49" s="8" t="s">
        <v>1286</v>
      </c>
      <c r="C49" s="8" t="s">
        <v>400</v>
      </c>
      <c r="D49" s="8" t="s">
        <v>1292</v>
      </c>
      <c r="E49" s="8" t="s">
        <v>1273</v>
      </c>
      <c r="F49" s="8" t="s">
        <v>1291</v>
      </c>
      <c r="G49" s="8" t="s">
        <v>1232</v>
      </c>
      <c r="H49" t="s">
        <v>1932</v>
      </c>
    </row>
    <row r="50" spans="1:8" x14ac:dyDescent="0.2">
      <c r="A50" s="7">
        <v>12694</v>
      </c>
      <c r="B50" s="7" t="s">
        <v>447</v>
      </c>
      <c r="C50" s="7" t="s">
        <v>446</v>
      </c>
      <c r="D50" s="7" t="s">
        <v>1285</v>
      </c>
      <c r="E50" s="7" t="s">
        <v>1273</v>
      </c>
      <c r="F50" s="7" t="s">
        <v>1279</v>
      </c>
      <c r="G50" s="7" t="s">
        <v>1232</v>
      </c>
      <c r="H50" t="s">
        <v>452</v>
      </c>
    </row>
    <row r="51" spans="1:8" x14ac:dyDescent="0.2">
      <c r="A51" s="8">
        <v>13260</v>
      </c>
      <c r="B51" s="8" t="s">
        <v>1295</v>
      </c>
      <c r="C51" s="8" t="s">
        <v>21</v>
      </c>
      <c r="D51" s="8" t="s">
        <v>1292</v>
      </c>
      <c r="E51" s="8" t="s">
        <v>1273</v>
      </c>
      <c r="F51" s="8" t="s">
        <v>1291</v>
      </c>
      <c r="G51" s="8" t="s">
        <v>1232</v>
      </c>
      <c r="H51" t="s">
        <v>452</v>
      </c>
    </row>
    <row r="52" spans="1:8" x14ac:dyDescent="0.2">
      <c r="A52" s="7">
        <v>13732</v>
      </c>
      <c r="B52" s="7" t="s">
        <v>1441</v>
      </c>
      <c r="C52" s="7" t="s">
        <v>1442</v>
      </c>
      <c r="D52" s="7" t="s">
        <v>1299</v>
      </c>
      <c r="E52" s="7" t="s">
        <v>1266</v>
      </c>
      <c r="F52" s="7" t="s">
        <v>1324</v>
      </c>
      <c r="G52" s="7" t="s">
        <v>1232</v>
      </c>
      <c r="H52" t="s">
        <v>452</v>
      </c>
    </row>
    <row r="53" spans="1:8" hidden="1" x14ac:dyDescent="0.2">
      <c r="A53" s="8">
        <v>13322</v>
      </c>
      <c r="B53" s="8" t="s">
        <v>1443</v>
      </c>
      <c r="C53" s="8" t="s">
        <v>654</v>
      </c>
      <c r="D53" s="8" t="s">
        <v>1241</v>
      </c>
      <c r="E53" s="8" t="s">
        <v>1229</v>
      </c>
      <c r="F53" s="8" t="s">
        <v>1230</v>
      </c>
      <c r="G53" s="8" t="s">
        <v>1232</v>
      </c>
      <c r="H53" t="s">
        <v>1932</v>
      </c>
    </row>
    <row r="54" spans="1:8" hidden="1" x14ac:dyDescent="0.2">
      <c r="A54" s="7">
        <v>14054</v>
      </c>
      <c r="B54" s="7" t="s">
        <v>1240</v>
      </c>
      <c r="C54" s="7" t="s">
        <v>930</v>
      </c>
      <c r="D54" s="7" t="s">
        <v>1239</v>
      </c>
      <c r="E54" s="7" t="s">
        <v>1229</v>
      </c>
      <c r="F54" s="7" t="s">
        <v>1230</v>
      </c>
      <c r="G54" s="7" t="s">
        <v>1232</v>
      </c>
      <c r="H54" t="s">
        <v>1932</v>
      </c>
    </row>
    <row r="55" spans="1:8" hidden="1" x14ac:dyDescent="0.2">
      <c r="A55" s="8">
        <v>19740</v>
      </c>
      <c r="B55" s="8" t="s">
        <v>1444</v>
      </c>
      <c r="C55" s="8" t="s">
        <v>1445</v>
      </c>
      <c r="D55" s="8" t="s">
        <v>1331</v>
      </c>
      <c r="E55" s="8" t="s">
        <v>1266</v>
      </c>
      <c r="F55" s="8" t="s">
        <v>1271</v>
      </c>
      <c r="G55" s="8" t="s">
        <v>1232</v>
      </c>
      <c r="H55" t="s">
        <v>1932</v>
      </c>
    </row>
    <row r="56" spans="1:8" x14ac:dyDescent="0.2">
      <c r="A56" s="7">
        <v>24558</v>
      </c>
      <c r="B56" s="7" t="s">
        <v>1275</v>
      </c>
      <c r="C56" s="7" t="s">
        <v>1446</v>
      </c>
      <c r="D56" s="7" t="s">
        <v>1447</v>
      </c>
      <c r="E56" s="7" t="s">
        <v>1273</v>
      </c>
      <c r="F56" s="7" t="s">
        <v>1274</v>
      </c>
      <c r="G56" s="7" t="s">
        <v>1232</v>
      </c>
      <c r="H56" t="s">
        <v>452</v>
      </c>
    </row>
    <row r="57" spans="1:8" hidden="1" x14ac:dyDescent="0.2">
      <c r="A57" s="8">
        <v>13999</v>
      </c>
      <c r="B57" s="8" t="s">
        <v>1258</v>
      </c>
      <c r="C57" s="8" t="s">
        <v>1448</v>
      </c>
      <c r="D57" s="8" t="s">
        <v>1449</v>
      </c>
      <c r="E57" s="8" t="s">
        <v>1249</v>
      </c>
      <c r="F57" s="8" t="s">
        <v>1257</v>
      </c>
      <c r="G57" s="8" t="s">
        <v>1237</v>
      </c>
      <c r="H57" t="s">
        <v>1932</v>
      </c>
    </row>
    <row r="58" spans="1:8" x14ac:dyDescent="0.2">
      <c r="A58" s="7">
        <v>14820</v>
      </c>
      <c r="B58" s="7" t="s">
        <v>1450</v>
      </c>
      <c r="C58" s="7" t="s">
        <v>1451</v>
      </c>
      <c r="D58" s="7" t="s">
        <v>1276</v>
      </c>
      <c r="E58" s="7" t="s">
        <v>1273</v>
      </c>
      <c r="F58" s="7" t="s">
        <v>1291</v>
      </c>
      <c r="G58" s="7" t="s">
        <v>1232</v>
      </c>
      <c r="H58" t="s">
        <v>452</v>
      </c>
    </row>
    <row r="59" spans="1:8" hidden="1" x14ac:dyDescent="0.2">
      <c r="A59" s="8">
        <v>14777</v>
      </c>
      <c r="B59" s="8" t="s">
        <v>1452</v>
      </c>
      <c r="C59" s="8" t="s">
        <v>94</v>
      </c>
      <c r="D59" s="8" t="s">
        <v>1326</v>
      </c>
      <c r="E59" s="8" t="s">
        <v>1266</v>
      </c>
      <c r="F59" s="8" t="s">
        <v>1330</v>
      </c>
      <c r="G59" s="8" t="s">
        <v>1232</v>
      </c>
      <c r="H59" t="s">
        <v>1932</v>
      </c>
    </row>
    <row r="60" spans="1:8" x14ac:dyDescent="0.2">
      <c r="A60" s="7">
        <v>35401</v>
      </c>
      <c r="B60" s="7" t="s">
        <v>1453</v>
      </c>
      <c r="C60" s="7" t="s">
        <v>247</v>
      </c>
      <c r="D60" s="7" t="s">
        <v>1321</v>
      </c>
      <c r="E60" s="7" t="s">
        <v>1229</v>
      </c>
      <c r="F60" s="7" t="s">
        <v>1230</v>
      </c>
      <c r="G60" s="7" t="s">
        <v>1232</v>
      </c>
      <c r="H60" t="s">
        <v>452</v>
      </c>
    </row>
    <row r="61" spans="1:8" hidden="1" x14ac:dyDescent="0.2">
      <c r="A61" s="8">
        <v>16127</v>
      </c>
      <c r="B61" s="8" t="s">
        <v>1243</v>
      </c>
      <c r="C61" s="8" t="s">
        <v>672</v>
      </c>
      <c r="D61" s="8" t="s">
        <v>1248</v>
      </c>
      <c r="E61" s="8" t="s">
        <v>1229</v>
      </c>
      <c r="F61" s="8" t="s">
        <v>1247</v>
      </c>
      <c r="G61" s="8" t="s">
        <v>1232</v>
      </c>
      <c r="H61" t="s">
        <v>1932</v>
      </c>
    </row>
    <row r="62" spans="1:8" x14ac:dyDescent="0.2">
      <c r="A62" s="7">
        <v>14723</v>
      </c>
      <c r="B62" s="7" t="s">
        <v>451</v>
      </c>
      <c r="C62" s="7" t="s">
        <v>450</v>
      </c>
      <c r="D62" s="7" t="s">
        <v>1376</v>
      </c>
      <c r="E62" s="7" t="s">
        <v>1273</v>
      </c>
      <c r="F62" s="7" t="s">
        <v>1283</v>
      </c>
      <c r="G62" s="7" t="s">
        <v>1232</v>
      </c>
      <c r="H62" t="s">
        <v>452</v>
      </c>
    </row>
    <row r="63" spans="1:8" hidden="1" x14ac:dyDescent="0.2">
      <c r="A63" s="8">
        <v>16542</v>
      </c>
      <c r="B63" s="8" t="s">
        <v>1454</v>
      </c>
      <c r="C63" s="8" t="s">
        <v>874</v>
      </c>
      <c r="D63" s="8" t="s">
        <v>1241</v>
      </c>
      <c r="E63" s="8" t="s">
        <v>1229</v>
      </c>
      <c r="F63" s="8" t="s">
        <v>1230</v>
      </c>
      <c r="G63" s="8" t="s">
        <v>1232</v>
      </c>
      <c r="H63" t="s">
        <v>1932</v>
      </c>
    </row>
    <row r="64" spans="1:8" hidden="1" x14ac:dyDescent="0.2">
      <c r="A64" s="7">
        <v>17077</v>
      </c>
      <c r="B64" s="7" t="s">
        <v>1455</v>
      </c>
      <c r="C64" s="7" t="s">
        <v>1094</v>
      </c>
      <c r="D64" s="7" t="s">
        <v>1233</v>
      </c>
      <c r="E64" s="7" t="s">
        <v>1229</v>
      </c>
      <c r="F64" s="7" t="s">
        <v>1230</v>
      </c>
      <c r="G64" s="7" t="s">
        <v>1232</v>
      </c>
      <c r="H64" t="s">
        <v>1932</v>
      </c>
    </row>
    <row r="65" spans="1:8" x14ac:dyDescent="0.2">
      <c r="A65" s="8">
        <v>19360</v>
      </c>
      <c r="B65" s="8" t="s">
        <v>1456</v>
      </c>
      <c r="C65" s="8" t="s">
        <v>267</v>
      </c>
      <c r="D65" s="8" t="s">
        <v>1320</v>
      </c>
      <c r="E65" s="8" t="s">
        <v>1318</v>
      </c>
      <c r="F65" s="8" t="s">
        <v>1319</v>
      </c>
      <c r="G65" s="8" t="s">
        <v>1232</v>
      </c>
      <c r="H65" t="s">
        <v>452</v>
      </c>
    </row>
    <row r="66" spans="1:8" x14ac:dyDescent="0.2">
      <c r="A66" s="7">
        <v>15930</v>
      </c>
      <c r="B66" s="7" t="s">
        <v>1457</v>
      </c>
      <c r="C66" s="7" t="s">
        <v>418</v>
      </c>
      <c r="D66" s="7" t="s">
        <v>1320</v>
      </c>
      <c r="E66" s="7" t="s">
        <v>1318</v>
      </c>
      <c r="F66" s="7" t="s">
        <v>1319</v>
      </c>
      <c r="G66" s="7" t="s">
        <v>1232</v>
      </c>
      <c r="H66" t="s">
        <v>452</v>
      </c>
    </row>
    <row r="67" spans="1:8" hidden="1" x14ac:dyDescent="0.2">
      <c r="A67" s="8">
        <v>18303</v>
      </c>
      <c r="B67" s="8" t="s">
        <v>1458</v>
      </c>
      <c r="C67" s="8" t="s">
        <v>80</v>
      </c>
      <c r="D67" s="8" t="s">
        <v>1243</v>
      </c>
      <c r="E67" s="8" t="s">
        <v>1229</v>
      </c>
      <c r="F67" s="8" t="s">
        <v>1230</v>
      </c>
      <c r="G67" s="8" t="s">
        <v>1232</v>
      </c>
      <c r="H67" t="s">
        <v>1932</v>
      </c>
    </row>
    <row r="68" spans="1:8" hidden="1" x14ac:dyDescent="0.2">
      <c r="A68" s="7">
        <v>17646</v>
      </c>
      <c r="B68" s="7" t="s">
        <v>1459</v>
      </c>
      <c r="C68" s="7" t="s">
        <v>753</v>
      </c>
      <c r="D68" s="7" t="s">
        <v>1241</v>
      </c>
      <c r="E68" s="7" t="s">
        <v>1229</v>
      </c>
      <c r="F68" s="7" t="s">
        <v>1230</v>
      </c>
      <c r="G68" s="7" t="s">
        <v>1232</v>
      </c>
      <c r="H68" t="s">
        <v>1932</v>
      </c>
    </row>
    <row r="69" spans="1:8" hidden="1" x14ac:dyDescent="0.2">
      <c r="A69" s="8">
        <v>17356</v>
      </c>
      <c r="B69" s="8" t="s">
        <v>1460</v>
      </c>
      <c r="C69" s="8" t="s">
        <v>388</v>
      </c>
      <c r="D69" s="8" t="s">
        <v>1293</v>
      </c>
      <c r="E69" s="8" t="s">
        <v>1273</v>
      </c>
      <c r="F69" s="8" t="s">
        <v>1283</v>
      </c>
      <c r="G69" s="8" t="s">
        <v>1232</v>
      </c>
      <c r="H69" t="s">
        <v>1932</v>
      </c>
    </row>
    <row r="70" spans="1:8" hidden="1" x14ac:dyDescent="0.2">
      <c r="A70" s="7">
        <v>17501</v>
      </c>
      <c r="B70" s="7" t="s">
        <v>1461</v>
      </c>
      <c r="C70" s="7" t="s">
        <v>659</v>
      </c>
      <c r="D70" s="7" t="s">
        <v>1241</v>
      </c>
      <c r="E70" s="7" t="s">
        <v>1229</v>
      </c>
      <c r="F70" s="7" t="s">
        <v>1230</v>
      </c>
      <c r="G70" s="7" t="s">
        <v>1232</v>
      </c>
      <c r="H70" t="s">
        <v>1932</v>
      </c>
    </row>
    <row r="71" spans="1:8" x14ac:dyDescent="0.2">
      <c r="A71" s="8">
        <v>25640</v>
      </c>
      <c r="B71" s="8" t="s">
        <v>1462</v>
      </c>
      <c r="C71" s="8" t="s">
        <v>413</v>
      </c>
      <c r="D71" s="8" t="s">
        <v>1289</v>
      </c>
      <c r="E71" s="8" t="s">
        <v>1273</v>
      </c>
      <c r="F71" s="8" t="s">
        <v>1274</v>
      </c>
      <c r="G71" s="8" t="s">
        <v>1232</v>
      </c>
      <c r="H71" t="s">
        <v>452</v>
      </c>
    </row>
    <row r="72" spans="1:8" hidden="1" x14ac:dyDescent="0.2">
      <c r="A72" s="7">
        <v>16176</v>
      </c>
      <c r="B72" s="7" t="s">
        <v>1463</v>
      </c>
      <c r="C72" s="7" t="s">
        <v>71</v>
      </c>
      <c r="D72" s="7" t="s">
        <v>1464</v>
      </c>
      <c r="E72" s="7" t="s">
        <v>1266</v>
      </c>
      <c r="F72" s="7" t="s">
        <v>1465</v>
      </c>
      <c r="G72" s="7" t="s">
        <v>1232</v>
      </c>
      <c r="H72" t="s">
        <v>1932</v>
      </c>
    </row>
    <row r="73" spans="1:8" x14ac:dyDescent="0.2">
      <c r="A73" s="8">
        <v>20411</v>
      </c>
      <c r="B73" s="8" t="s">
        <v>1466</v>
      </c>
      <c r="C73" s="8" t="s">
        <v>48</v>
      </c>
      <c r="D73" s="8" t="s">
        <v>451</v>
      </c>
      <c r="E73" s="8" t="s">
        <v>1273</v>
      </c>
      <c r="F73" s="8" t="s">
        <v>1283</v>
      </c>
      <c r="G73" s="8" t="s">
        <v>1232</v>
      </c>
      <c r="H73" t="s">
        <v>452</v>
      </c>
    </row>
    <row r="74" spans="1:8" x14ac:dyDescent="0.2">
      <c r="A74" s="7">
        <v>18096</v>
      </c>
      <c r="B74" s="7" t="s">
        <v>1467</v>
      </c>
      <c r="C74" s="7" t="s">
        <v>1468</v>
      </c>
      <c r="D74" s="7" t="s">
        <v>1469</v>
      </c>
      <c r="E74" s="7" t="s">
        <v>1229</v>
      </c>
      <c r="F74" s="7" t="s">
        <v>1230</v>
      </c>
      <c r="G74" s="7" t="s">
        <v>1232</v>
      </c>
      <c r="H74" t="s">
        <v>452</v>
      </c>
    </row>
    <row r="75" spans="1:8" hidden="1" x14ac:dyDescent="0.2">
      <c r="A75" s="8">
        <v>21408</v>
      </c>
      <c r="B75" s="8" t="s">
        <v>1470</v>
      </c>
      <c r="C75" s="8" t="s">
        <v>629</v>
      </c>
      <c r="D75" s="8" t="s">
        <v>1241</v>
      </c>
      <c r="E75" s="8" t="s">
        <v>1229</v>
      </c>
      <c r="F75" s="8" t="s">
        <v>1230</v>
      </c>
      <c r="G75" s="8" t="s">
        <v>1232</v>
      </c>
      <c r="H75" t="s">
        <v>1932</v>
      </c>
    </row>
    <row r="76" spans="1:8" x14ac:dyDescent="0.2">
      <c r="A76" s="7">
        <v>18753</v>
      </c>
      <c r="B76" s="7" t="s">
        <v>1246</v>
      </c>
      <c r="C76" s="7" t="s">
        <v>676</v>
      </c>
      <c r="D76" s="7" t="s">
        <v>1248</v>
      </c>
      <c r="E76" s="7" t="s">
        <v>1229</v>
      </c>
      <c r="F76" s="7" t="s">
        <v>1247</v>
      </c>
      <c r="G76" s="7" t="s">
        <v>1232</v>
      </c>
      <c r="H76" t="s">
        <v>452</v>
      </c>
    </row>
    <row r="77" spans="1:8" hidden="1" x14ac:dyDescent="0.2">
      <c r="A77" s="8">
        <v>16841</v>
      </c>
      <c r="B77" s="8" t="s">
        <v>1471</v>
      </c>
      <c r="C77" s="8" t="s">
        <v>870</v>
      </c>
      <c r="D77" s="8" t="s">
        <v>1241</v>
      </c>
      <c r="E77" s="8" t="s">
        <v>1229</v>
      </c>
      <c r="F77" s="8" t="s">
        <v>1230</v>
      </c>
      <c r="G77" s="8" t="s">
        <v>1232</v>
      </c>
      <c r="H77" t="s">
        <v>1932</v>
      </c>
    </row>
    <row r="78" spans="1:8" hidden="1" x14ac:dyDescent="0.2">
      <c r="A78" s="7">
        <v>22727</v>
      </c>
      <c r="B78" s="7" t="s">
        <v>1426</v>
      </c>
      <c r="C78" s="7" t="s">
        <v>1472</v>
      </c>
      <c r="D78" s="7" t="s">
        <v>1473</v>
      </c>
      <c r="E78" s="7" t="s">
        <v>1427</v>
      </c>
      <c r="F78" s="7" t="s">
        <v>1428</v>
      </c>
      <c r="G78" s="7" t="s">
        <v>1232</v>
      </c>
      <c r="H78" t="s">
        <v>1932</v>
      </c>
    </row>
    <row r="79" spans="1:8" x14ac:dyDescent="0.2">
      <c r="A79" s="8">
        <v>25801</v>
      </c>
      <c r="B79" s="8" t="s">
        <v>1474</v>
      </c>
      <c r="C79" s="8" t="s">
        <v>66</v>
      </c>
      <c r="D79" s="8" t="s">
        <v>1241</v>
      </c>
      <c r="E79" s="8" t="s">
        <v>1229</v>
      </c>
      <c r="F79" s="8" t="s">
        <v>1230</v>
      </c>
      <c r="G79" s="8" t="s">
        <v>1232</v>
      </c>
      <c r="H79" t="s">
        <v>452</v>
      </c>
    </row>
    <row r="80" spans="1:8" hidden="1" x14ac:dyDescent="0.2">
      <c r="A80" s="7">
        <v>20509</v>
      </c>
      <c r="B80" s="7" t="s">
        <v>1475</v>
      </c>
      <c r="C80" s="7" t="s">
        <v>1024</v>
      </c>
      <c r="D80" s="7" t="s">
        <v>1238</v>
      </c>
      <c r="E80" s="7" t="s">
        <v>1229</v>
      </c>
      <c r="F80" s="7" t="s">
        <v>1230</v>
      </c>
      <c r="G80" s="7" t="s">
        <v>1232</v>
      </c>
      <c r="H80" t="s">
        <v>1932</v>
      </c>
    </row>
    <row r="81" spans="1:8" hidden="1" x14ac:dyDescent="0.2">
      <c r="A81" s="8">
        <v>17609</v>
      </c>
      <c r="B81" s="8" t="s">
        <v>1236</v>
      </c>
      <c r="C81" s="8" t="s">
        <v>968</v>
      </c>
      <c r="D81" s="8" t="s">
        <v>1239</v>
      </c>
      <c r="E81" s="8" t="s">
        <v>1229</v>
      </c>
      <c r="F81" s="8" t="s">
        <v>1230</v>
      </c>
      <c r="G81" s="8" t="s">
        <v>1232</v>
      </c>
      <c r="H81" t="s">
        <v>1932</v>
      </c>
    </row>
    <row r="82" spans="1:8" x14ac:dyDescent="0.2">
      <c r="A82" s="7">
        <v>30997</v>
      </c>
      <c r="B82" s="7" t="s">
        <v>1476</v>
      </c>
      <c r="C82" s="7" t="s">
        <v>740</v>
      </c>
      <c r="D82" s="7" t="s">
        <v>1246</v>
      </c>
      <c r="E82" s="7" t="s">
        <v>1229</v>
      </c>
      <c r="F82" s="7" t="s">
        <v>1230</v>
      </c>
      <c r="G82" s="7" t="s">
        <v>1232</v>
      </c>
      <c r="H82" t="s">
        <v>452</v>
      </c>
    </row>
    <row r="83" spans="1:8" x14ac:dyDescent="0.2">
      <c r="A83" s="8">
        <v>17743</v>
      </c>
      <c r="B83" s="8" t="s">
        <v>1477</v>
      </c>
      <c r="C83" s="8" t="s">
        <v>318</v>
      </c>
      <c r="D83" s="8" t="s">
        <v>1310</v>
      </c>
      <c r="E83" s="8" t="s">
        <v>1308</v>
      </c>
      <c r="F83" s="8" t="s">
        <v>1309</v>
      </c>
      <c r="G83" s="8" t="s">
        <v>1232</v>
      </c>
      <c r="H83" t="s">
        <v>452</v>
      </c>
    </row>
    <row r="84" spans="1:8" hidden="1" x14ac:dyDescent="0.2">
      <c r="A84" s="7">
        <v>17756</v>
      </c>
      <c r="B84" s="7" t="s">
        <v>1478</v>
      </c>
      <c r="C84" s="7" t="s">
        <v>1479</v>
      </c>
      <c r="D84" s="7" t="s">
        <v>1288</v>
      </c>
      <c r="E84" s="7" t="s">
        <v>1273</v>
      </c>
      <c r="F84" s="7" t="s">
        <v>1291</v>
      </c>
      <c r="G84" s="7" t="s">
        <v>1232</v>
      </c>
      <c r="H84" t="s">
        <v>1932</v>
      </c>
    </row>
    <row r="85" spans="1:8" hidden="1" x14ac:dyDescent="0.2">
      <c r="A85" s="8">
        <v>23899</v>
      </c>
      <c r="B85" s="8" t="s">
        <v>1480</v>
      </c>
      <c r="C85" s="8" t="s">
        <v>40</v>
      </c>
      <c r="D85" s="8" t="s">
        <v>1481</v>
      </c>
      <c r="E85" s="8" t="s">
        <v>1266</v>
      </c>
      <c r="F85" s="8" t="s">
        <v>1482</v>
      </c>
      <c r="G85" s="8" t="s">
        <v>1232</v>
      </c>
      <c r="H85" t="s">
        <v>1932</v>
      </c>
    </row>
    <row r="86" spans="1:8" hidden="1" x14ac:dyDescent="0.2">
      <c r="A86" s="7">
        <v>23914</v>
      </c>
      <c r="B86" s="7" t="s">
        <v>1483</v>
      </c>
      <c r="C86" s="7" t="s">
        <v>757</v>
      </c>
      <c r="D86" s="7" t="s">
        <v>1241</v>
      </c>
      <c r="E86" s="7" t="s">
        <v>1229</v>
      </c>
      <c r="F86" s="7" t="s">
        <v>1230</v>
      </c>
      <c r="G86" s="7" t="s">
        <v>1232</v>
      </c>
      <c r="H86" t="s">
        <v>1932</v>
      </c>
    </row>
    <row r="87" spans="1:8" hidden="1" x14ac:dyDescent="0.2">
      <c r="A87" s="8">
        <v>18575</v>
      </c>
      <c r="B87" s="8" t="s">
        <v>1484</v>
      </c>
      <c r="C87" s="8" t="s">
        <v>761</v>
      </c>
      <c r="D87" s="8" t="s">
        <v>1241</v>
      </c>
      <c r="E87" s="8" t="s">
        <v>1229</v>
      </c>
      <c r="F87" s="8" t="s">
        <v>1230</v>
      </c>
      <c r="G87" s="8" t="s">
        <v>1232</v>
      </c>
      <c r="H87" t="s">
        <v>1932</v>
      </c>
    </row>
    <row r="88" spans="1:8" hidden="1" x14ac:dyDescent="0.2">
      <c r="A88" s="7">
        <v>19371</v>
      </c>
      <c r="B88" s="7" t="s">
        <v>1299</v>
      </c>
      <c r="C88" s="7" t="s">
        <v>346</v>
      </c>
      <c r="D88" s="7" t="s">
        <v>1272</v>
      </c>
      <c r="E88" s="7" t="s">
        <v>1266</v>
      </c>
      <c r="F88" s="7" t="s">
        <v>1298</v>
      </c>
      <c r="G88" s="7" t="s">
        <v>1232</v>
      </c>
      <c r="H88" t="s">
        <v>1932</v>
      </c>
    </row>
    <row r="89" spans="1:8" hidden="1" x14ac:dyDescent="0.2">
      <c r="A89" s="8">
        <v>20130</v>
      </c>
      <c r="B89" s="8" t="s">
        <v>1485</v>
      </c>
      <c r="C89" s="8" t="s">
        <v>634</v>
      </c>
      <c r="D89" s="8" t="s">
        <v>1241</v>
      </c>
      <c r="E89" s="8" t="s">
        <v>1229</v>
      </c>
      <c r="F89" s="8" t="s">
        <v>1230</v>
      </c>
      <c r="G89" s="8" t="s">
        <v>1232</v>
      </c>
      <c r="H89" t="s">
        <v>1932</v>
      </c>
    </row>
    <row r="90" spans="1:8" hidden="1" x14ac:dyDescent="0.2">
      <c r="A90" s="7">
        <v>24025</v>
      </c>
      <c r="B90" s="7" t="s">
        <v>1486</v>
      </c>
      <c r="C90" s="7" t="s">
        <v>878</v>
      </c>
      <c r="D90" s="7" t="s">
        <v>1241</v>
      </c>
      <c r="E90" s="7" t="s">
        <v>1229</v>
      </c>
      <c r="F90" s="7" t="s">
        <v>1230</v>
      </c>
      <c r="G90" s="7" t="s">
        <v>1232</v>
      </c>
      <c r="H90" t="s">
        <v>1932</v>
      </c>
    </row>
    <row r="91" spans="1:8" hidden="1" x14ac:dyDescent="0.2">
      <c r="A91" s="8">
        <v>19823</v>
      </c>
      <c r="B91" s="8" t="s">
        <v>1487</v>
      </c>
      <c r="C91" s="8" t="s">
        <v>1488</v>
      </c>
      <c r="D91" s="8" t="s">
        <v>1235</v>
      </c>
      <c r="E91" s="8" t="s">
        <v>1229</v>
      </c>
      <c r="F91" s="8" t="s">
        <v>1230</v>
      </c>
      <c r="G91" s="8" t="s">
        <v>1232</v>
      </c>
      <c r="H91" t="s">
        <v>1932</v>
      </c>
    </row>
    <row r="92" spans="1:8" x14ac:dyDescent="0.2">
      <c r="A92" s="7">
        <v>20055</v>
      </c>
      <c r="B92" s="7" t="s">
        <v>1253</v>
      </c>
      <c r="C92" s="7" t="s">
        <v>568</v>
      </c>
      <c r="D92" s="7" t="s">
        <v>1259</v>
      </c>
      <c r="E92" s="7" t="s">
        <v>1249</v>
      </c>
      <c r="F92" s="7" t="s">
        <v>1252</v>
      </c>
      <c r="G92" s="7" t="s">
        <v>1232</v>
      </c>
      <c r="H92" t="s">
        <v>452</v>
      </c>
    </row>
    <row r="93" spans="1:8" hidden="1" x14ac:dyDescent="0.2">
      <c r="A93" s="8">
        <v>28375</v>
      </c>
      <c r="B93" s="8" t="s">
        <v>1489</v>
      </c>
      <c r="C93" s="8" t="s">
        <v>1490</v>
      </c>
      <c r="D93" s="8" t="s">
        <v>1413</v>
      </c>
      <c r="E93" s="8" t="s">
        <v>1266</v>
      </c>
      <c r="F93" s="8" t="s">
        <v>1271</v>
      </c>
      <c r="G93" s="8" t="s">
        <v>1232</v>
      </c>
      <c r="H93" t="s">
        <v>1932</v>
      </c>
    </row>
    <row r="94" spans="1:8" hidden="1" x14ac:dyDescent="0.2">
      <c r="A94" s="7">
        <v>20508</v>
      </c>
      <c r="B94" s="7" t="s">
        <v>1491</v>
      </c>
      <c r="C94" s="7" t="s">
        <v>639</v>
      </c>
      <c r="D94" s="7" t="s">
        <v>1241</v>
      </c>
      <c r="E94" s="7" t="s">
        <v>1229</v>
      </c>
      <c r="F94" s="7" t="s">
        <v>1230</v>
      </c>
      <c r="G94" s="7" t="s">
        <v>1232</v>
      </c>
      <c r="H94" t="s">
        <v>1932</v>
      </c>
    </row>
    <row r="95" spans="1:8" hidden="1" x14ac:dyDescent="0.2">
      <c r="A95" s="8">
        <v>19872</v>
      </c>
      <c r="B95" s="8" t="s">
        <v>1492</v>
      </c>
      <c r="C95" s="8" t="s">
        <v>922</v>
      </c>
      <c r="D95" s="8" t="s">
        <v>1240</v>
      </c>
      <c r="E95" s="8" t="s">
        <v>1229</v>
      </c>
      <c r="F95" s="8" t="s">
        <v>1230</v>
      </c>
      <c r="G95" s="8" t="s">
        <v>1232</v>
      </c>
      <c r="H95" t="s">
        <v>1932</v>
      </c>
    </row>
    <row r="96" spans="1:8" hidden="1" x14ac:dyDescent="0.2">
      <c r="A96" s="7">
        <v>21088</v>
      </c>
      <c r="B96" s="7" t="s">
        <v>1493</v>
      </c>
      <c r="C96" s="7" t="s">
        <v>804</v>
      </c>
      <c r="D96" s="7" t="s">
        <v>1244</v>
      </c>
      <c r="E96" s="7" t="s">
        <v>1229</v>
      </c>
      <c r="F96" s="7" t="s">
        <v>1230</v>
      </c>
      <c r="G96" s="7" t="s">
        <v>1232</v>
      </c>
      <c r="H96" t="s">
        <v>1932</v>
      </c>
    </row>
    <row r="97" spans="1:8" x14ac:dyDescent="0.2">
      <c r="A97" s="8">
        <v>21208</v>
      </c>
      <c r="B97" s="8" t="s">
        <v>1494</v>
      </c>
      <c r="C97" s="8" t="s">
        <v>720</v>
      </c>
      <c r="D97" s="8" t="s">
        <v>1241</v>
      </c>
      <c r="E97" s="8" t="s">
        <v>1229</v>
      </c>
      <c r="F97" s="8" t="s">
        <v>1230</v>
      </c>
      <c r="G97" s="8" t="s">
        <v>1232</v>
      </c>
      <c r="H97" t="s">
        <v>452</v>
      </c>
    </row>
    <row r="98" spans="1:8" hidden="1" x14ac:dyDescent="0.2">
      <c r="A98" s="7">
        <v>21470</v>
      </c>
      <c r="B98" s="7" t="s">
        <v>1495</v>
      </c>
      <c r="C98" s="7" t="s">
        <v>1496</v>
      </c>
      <c r="D98" s="7" t="s">
        <v>1233</v>
      </c>
      <c r="E98" s="7" t="s">
        <v>1229</v>
      </c>
      <c r="F98" s="7" t="s">
        <v>1230</v>
      </c>
      <c r="G98" s="7" t="s">
        <v>1232</v>
      </c>
      <c r="H98" t="s">
        <v>1932</v>
      </c>
    </row>
    <row r="99" spans="1:8" x14ac:dyDescent="0.2">
      <c r="A99" s="8">
        <v>21719</v>
      </c>
      <c r="B99" s="8" t="s">
        <v>1289</v>
      </c>
      <c r="C99" s="8" t="s">
        <v>409</v>
      </c>
      <c r="D99" s="8" t="s">
        <v>1288</v>
      </c>
      <c r="E99" s="8" t="s">
        <v>1273</v>
      </c>
      <c r="F99" s="8" t="s">
        <v>1274</v>
      </c>
      <c r="G99" s="8" t="s">
        <v>1232</v>
      </c>
      <c r="H99" t="s">
        <v>452</v>
      </c>
    </row>
    <row r="100" spans="1:8" x14ac:dyDescent="0.2">
      <c r="A100" s="7">
        <v>20058</v>
      </c>
      <c r="B100" s="7" t="s">
        <v>1497</v>
      </c>
      <c r="C100" s="7" t="s">
        <v>314</v>
      </c>
      <c r="D100" s="7" t="s">
        <v>1310</v>
      </c>
      <c r="E100" s="7" t="s">
        <v>1308</v>
      </c>
      <c r="F100" s="7" t="s">
        <v>1309</v>
      </c>
      <c r="G100" s="7" t="s">
        <v>1232</v>
      </c>
      <c r="H100" t="s">
        <v>452</v>
      </c>
    </row>
    <row r="101" spans="1:8" hidden="1" x14ac:dyDescent="0.2">
      <c r="A101" s="8">
        <v>20648</v>
      </c>
      <c r="B101" s="8" t="s">
        <v>1498</v>
      </c>
      <c r="C101" s="8" t="s">
        <v>1048</v>
      </c>
      <c r="D101" s="8" t="s">
        <v>1236</v>
      </c>
      <c r="E101" s="8" t="s">
        <v>1229</v>
      </c>
      <c r="F101" s="8" t="s">
        <v>1230</v>
      </c>
      <c r="G101" s="8" t="s">
        <v>1232</v>
      </c>
      <c r="H101" t="s">
        <v>1932</v>
      </c>
    </row>
    <row r="102" spans="1:8" hidden="1" x14ac:dyDescent="0.2">
      <c r="A102" s="7">
        <v>28649</v>
      </c>
      <c r="B102" s="7" t="s">
        <v>1499</v>
      </c>
      <c r="C102" s="7" t="s">
        <v>704</v>
      </c>
      <c r="D102" s="7" t="s">
        <v>1246</v>
      </c>
      <c r="E102" s="7" t="s">
        <v>1229</v>
      </c>
      <c r="F102" s="7" t="s">
        <v>1230</v>
      </c>
      <c r="G102" s="7" t="s">
        <v>1232</v>
      </c>
      <c r="H102" t="s">
        <v>1932</v>
      </c>
    </row>
    <row r="103" spans="1:8" x14ac:dyDescent="0.2">
      <c r="A103" s="8">
        <v>21362</v>
      </c>
      <c r="B103" s="8" t="s">
        <v>1300</v>
      </c>
      <c r="C103" s="8" t="s">
        <v>280</v>
      </c>
      <c r="D103" s="8" t="s">
        <v>1312</v>
      </c>
      <c r="E103" s="8" t="s">
        <v>1229</v>
      </c>
      <c r="F103" s="8" t="s">
        <v>1263</v>
      </c>
      <c r="G103" s="8" t="s">
        <v>1232</v>
      </c>
      <c r="H103" t="s">
        <v>452</v>
      </c>
    </row>
    <row r="104" spans="1:8" hidden="1" x14ac:dyDescent="0.2">
      <c r="A104" s="7">
        <v>37888</v>
      </c>
      <c r="B104" s="7" t="s">
        <v>1500</v>
      </c>
      <c r="C104" s="7" t="s">
        <v>1077</v>
      </c>
      <c r="D104" s="7" t="s">
        <v>516</v>
      </c>
      <c r="E104" s="7" t="s">
        <v>1229</v>
      </c>
      <c r="F104" s="7" t="s">
        <v>1230</v>
      </c>
      <c r="G104" s="7" t="s">
        <v>1232</v>
      </c>
      <c r="H104" t="s">
        <v>1932</v>
      </c>
    </row>
    <row r="105" spans="1:8" x14ac:dyDescent="0.2">
      <c r="A105" s="8">
        <v>20691</v>
      </c>
      <c r="B105" s="8" t="s">
        <v>1501</v>
      </c>
      <c r="C105" s="8" t="s">
        <v>1502</v>
      </c>
      <c r="D105" s="8" t="s">
        <v>447</v>
      </c>
      <c r="E105" s="8" t="s">
        <v>1273</v>
      </c>
      <c r="F105" s="8" t="s">
        <v>1279</v>
      </c>
      <c r="G105" s="8" t="s">
        <v>1232</v>
      </c>
      <c r="H105" t="s">
        <v>452</v>
      </c>
    </row>
    <row r="106" spans="1:8" x14ac:dyDescent="0.2">
      <c r="A106" s="7">
        <v>21134</v>
      </c>
      <c r="B106" s="7" t="s">
        <v>1503</v>
      </c>
      <c r="C106" s="7" t="s">
        <v>90</v>
      </c>
      <c r="D106" s="7" t="s">
        <v>1284</v>
      </c>
      <c r="E106" s="7" t="s">
        <v>1273</v>
      </c>
      <c r="F106" s="7" t="s">
        <v>1274</v>
      </c>
      <c r="G106" s="7" t="s">
        <v>1232</v>
      </c>
      <c r="H106" t="s">
        <v>452</v>
      </c>
    </row>
    <row r="107" spans="1:8" hidden="1" x14ac:dyDescent="0.2">
      <c r="A107" s="8">
        <v>22543</v>
      </c>
      <c r="B107" s="8" t="s">
        <v>1242</v>
      </c>
      <c r="C107" s="8" t="s">
        <v>41</v>
      </c>
      <c r="D107" s="8" t="s">
        <v>1304</v>
      </c>
      <c r="E107" s="8" t="s">
        <v>1229</v>
      </c>
      <c r="F107" s="8" t="s">
        <v>1262</v>
      </c>
      <c r="G107" s="8" t="s">
        <v>1232</v>
      </c>
      <c r="H107" t="s">
        <v>1932</v>
      </c>
    </row>
    <row r="108" spans="1:8" x14ac:dyDescent="0.2">
      <c r="A108" s="7">
        <v>25240</v>
      </c>
      <c r="B108" s="7" t="s">
        <v>1504</v>
      </c>
      <c r="C108" s="7" t="s">
        <v>865</v>
      </c>
      <c r="D108" s="7" t="s">
        <v>1241</v>
      </c>
      <c r="E108" s="7" t="s">
        <v>1229</v>
      </c>
      <c r="F108" s="7" t="s">
        <v>1230</v>
      </c>
      <c r="G108" s="7" t="s">
        <v>1232</v>
      </c>
      <c r="H108" t="s">
        <v>452</v>
      </c>
    </row>
    <row r="109" spans="1:8" hidden="1" x14ac:dyDescent="0.2">
      <c r="A109" s="8">
        <v>24274</v>
      </c>
      <c r="B109" s="8" t="s">
        <v>1505</v>
      </c>
      <c r="C109" s="8" t="s">
        <v>46</v>
      </c>
      <c r="D109" s="8" t="s">
        <v>1426</v>
      </c>
      <c r="E109" s="8" t="s">
        <v>1427</v>
      </c>
      <c r="F109" s="8" t="s">
        <v>1428</v>
      </c>
      <c r="G109" s="8" t="s">
        <v>1232</v>
      </c>
      <c r="H109" t="s">
        <v>1932</v>
      </c>
    </row>
    <row r="110" spans="1:8" hidden="1" x14ac:dyDescent="0.2">
      <c r="A110" s="7">
        <v>21223</v>
      </c>
      <c r="B110" s="7" t="s">
        <v>1506</v>
      </c>
      <c r="C110" s="7" t="s">
        <v>34</v>
      </c>
      <c r="D110" s="7" t="s">
        <v>1243</v>
      </c>
      <c r="E110" s="7" t="s">
        <v>1229</v>
      </c>
      <c r="F110" s="7" t="s">
        <v>1230</v>
      </c>
      <c r="G110" s="7" t="s">
        <v>1232</v>
      </c>
      <c r="H110" t="s">
        <v>1932</v>
      </c>
    </row>
    <row r="111" spans="1:8" hidden="1" x14ac:dyDescent="0.2">
      <c r="A111" s="8">
        <v>21226</v>
      </c>
      <c r="B111" s="8" t="s">
        <v>1507</v>
      </c>
      <c r="C111" s="8" t="s">
        <v>608</v>
      </c>
      <c r="D111" s="8" t="s">
        <v>1241</v>
      </c>
      <c r="E111" s="8" t="s">
        <v>1229</v>
      </c>
      <c r="F111" s="8" t="s">
        <v>1230</v>
      </c>
      <c r="G111" s="8" t="s">
        <v>1232</v>
      </c>
      <c r="H111" t="s">
        <v>1932</v>
      </c>
    </row>
    <row r="112" spans="1:8" hidden="1" x14ac:dyDescent="0.2">
      <c r="A112" s="7">
        <v>28376</v>
      </c>
      <c r="B112" s="7" t="s">
        <v>1508</v>
      </c>
      <c r="C112" s="7" t="s">
        <v>1509</v>
      </c>
      <c r="D112" s="7" t="s">
        <v>1246</v>
      </c>
      <c r="E112" s="7" t="s">
        <v>1229</v>
      </c>
      <c r="F112" s="7" t="s">
        <v>1230</v>
      </c>
      <c r="G112" s="7" t="s">
        <v>1232</v>
      </c>
      <c r="H112" t="s">
        <v>1932</v>
      </c>
    </row>
    <row r="113" spans="1:8" hidden="1" x14ac:dyDescent="0.2">
      <c r="A113" s="8">
        <v>21983</v>
      </c>
      <c r="B113" s="8" t="s">
        <v>1510</v>
      </c>
      <c r="C113" s="8" t="s">
        <v>1186</v>
      </c>
      <c r="D113" s="8" t="s">
        <v>1231</v>
      </c>
      <c r="E113" s="8" t="s">
        <v>1229</v>
      </c>
      <c r="F113" s="8" t="s">
        <v>1230</v>
      </c>
      <c r="G113" s="8" t="s">
        <v>1232</v>
      </c>
      <c r="H113" t="s">
        <v>1932</v>
      </c>
    </row>
    <row r="114" spans="1:8" hidden="1" x14ac:dyDescent="0.2">
      <c r="A114" s="7">
        <v>27961</v>
      </c>
      <c r="B114" s="7" t="s">
        <v>1511</v>
      </c>
      <c r="C114" s="7" t="s">
        <v>1512</v>
      </c>
      <c r="D114" s="7" t="s">
        <v>1233</v>
      </c>
      <c r="E114" s="7" t="s">
        <v>1229</v>
      </c>
      <c r="F114" s="7" t="s">
        <v>1230</v>
      </c>
      <c r="G114" s="7" t="s">
        <v>1232</v>
      </c>
      <c r="H114" t="s">
        <v>1932</v>
      </c>
    </row>
    <row r="115" spans="1:8" x14ac:dyDescent="0.2">
      <c r="A115" s="8">
        <v>31231</v>
      </c>
      <c r="B115" s="8" t="s">
        <v>1513</v>
      </c>
      <c r="C115" s="8" t="s">
        <v>1514</v>
      </c>
      <c r="D115" s="8" t="s">
        <v>1282</v>
      </c>
      <c r="E115" s="8" t="s">
        <v>1273</v>
      </c>
      <c r="F115" s="8" t="s">
        <v>1281</v>
      </c>
      <c r="G115" s="8" t="s">
        <v>1232</v>
      </c>
      <c r="H115" t="s">
        <v>452</v>
      </c>
    </row>
    <row r="116" spans="1:8" hidden="1" x14ac:dyDescent="0.2">
      <c r="A116" s="7">
        <v>21487</v>
      </c>
      <c r="B116" s="7" t="s">
        <v>1515</v>
      </c>
      <c r="C116" s="7" t="s">
        <v>1516</v>
      </c>
      <c r="D116" s="7" t="s">
        <v>1430</v>
      </c>
      <c r="E116" s="7" t="s">
        <v>1229</v>
      </c>
      <c r="F116" s="7" t="s">
        <v>1230</v>
      </c>
      <c r="G116" s="7" t="s">
        <v>1232</v>
      </c>
      <c r="H116" t="s">
        <v>1932</v>
      </c>
    </row>
    <row r="117" spans="1:8" hidden="1" x14ac:dyDescent="0.2">
      <c r="A117" s="8">
        <v>27694</v>
      </c>
      <c r="B117" s="8" t="s">
        <v>1517</v>
      </c>
      <c r="C117" s="8" t="s">
        <v>696</v>
      </c>
      <c r="D117" s="8" t="s">
        <v>1235</v>
      </c>
      <c r="E117" s="8" t="s">
        <v>1229</v>
      </c>
      <c r="F117" s="8" t="s">
        <v>1230</v>
      </c>
      <c r="G117" s="8" t="s">
        <v>1232</v>
      </c>
      <c r="H117" t="s">
        <v>1932</v>
      </c>
    </row>
    <row r="118" spans="1:8" x14ac:dyDescent="0.2">
      <c r="A118" s="7">
        <v>28389</v>
      </c>
      <c r="B118" s="7" t="s">
        <v>1518</v>
      </c>
      <c r="C118" s="7" t="s">
        <v>1519</v>
      </c>
      <c r="D118" s="7" t="s">
        <v>1241</v>
      </c>
      <c r="E118" s="7" t="s">
        <v>1229</v>
      </c>
      <c r="F118" s="7" t="s">
        <v>1230</v>
      </c>
      <c r="G118" s="7" t="s">
        <v>1232</v>
      </c>
      <c r="H118" t="s">
        <v>452</v>
      </c>
    </row>
    <row r="119" spans="1:8" x14ac:dyDescent="0.2">
      <c r="A119" s="8">
        <v>27767</v>
      </c>
      <c r="B119" s="8" t="s">
        <v>1520</v>
      </c>
      <c r="C119" s="8" t="s">
        <v>1521</v>
      </c>
      <c r="D119" s="8" t="s">
        <v>1286</v>
      </c>
      <c r="E119" s="8" t="s">
        <v>1273</v>
      </c>
      <c r="F119" s="8" t="s">
        <v>1274</v>
      </c>
      <c r="G119" s="8" t="s">
        <v>1232</v>
      </c>
      <c r="H119" t="s">
        <v>452</v>
      </c>
    </row>
    <row r="120" spans="1:8" hidden="1" x14ac:dyDescent="0.2">
      <c r="A120" s="7">
        <v>20958</v>
      </c>
      <c r="B120" s="7" t="s">
        <v>1522</v>
      </c>
      <c r="C120" s="7" t="s">
        <v>820</v>
      </c>
      <c r="D120" s="7" t="s">
        <v>1243</v>
      </c>
      <c r="E120" s="7" t="s">
        <v>1229</v>
      </c>
      <c r="F120" s="7" t="s">
        <v>1230</v>
      </c>
      <c r="G120" s="7" t="s">
        <v>1232</v>
      </c>
      <c r="H120" t="s">
        <v>1932</v>
      </c>
    </row>
    <row r="121" spans="1:8" hidden="1" x14ac:dyDescent="0.2">
      <c r="A121" s="8">
        <v>23605</v>
      </c>
      <c r="B121" s="8" t="s">
        <v>1523</v>
      </c>
      <c r="C121" s="8" t="s">
        <v>772</v>
      </c>
      <c r="D121" s="8" t="s">
        <v>1243</v>
      </c>
      <c r="E121" s="8" t="s">
        <v>1229</v>
      </c>
      <c r="F121" s="8" t="s">
        <v>1230</v>
      </c>
      <c r="G121" s="8" t="s">
        <v>1232</v>
      </c>
      <c r="H121" t="s">
        <v>1932</v>
      </c>
    </row>
    <row r="122" spans="1:8" hidden="1" x14ac:dyDescent="0.2">
      <c r="A122" s="7">
        <v>24067</v>
      </c>
      <c r="B122" s="7" t="s">
        <v>1524</v>
      </c>
      <c r="C122" s="7" t="s">
        <v>1525</v>
      </c>
      <c r="D122" s="7" t="s">
        <v>1331</v>
      </c>
      <c r="E122" s="7" t="s">
        <v>1266</v>
      </c>
      <c r="F122" s="7" t="s">
        <v>1271</v>
      </c>
      <c r="G122" s="7" t="s">
        <v>1232</v>
      </c>
      <c r="H122" t="s">
        <v>1932</v>
      </c>
    </row>
    <row r="123" spans="1:8" hidden="1" x14ac:dyDescent="0.2">
      <c r="A123" s="8">
        <v>28590</v>
      </c>
      <c r="B123" s="8" t="s">
        <v>1526</v>
      </c>
      <c r="C123" s="8" t="s">
        <v>1527</v>
      </c>
      <c r="D123" s="8" t="s">
        <v>1331</v>
      </c>
      <c r="E123" s="8" t="s">
        <v>1266</v>
      </c>
      <c r="F123" s="8" t="s">
        <v>1271</v>
      </c>
      <c r="G123" s="8" t="s">
        <v>1232</v>
      </c>
      <c r="H123" t="s">
        <v>1932</v>
      </c>
    </row>
    <row r="124" spans="1:8" x14ac:dyDescent="0.2">
      <c r="A124" s="7">
        <v>21878</v>
      </c>
      <c r="B124" s="7" t="s">
        <v>1528</v>
      </c>
      <c r="C124" s="7" t="s">
        <v>1529</v>
      </c>
      <c r="D124" s="7" t="s">
        <v>1246</v>
      </c>
      <c r="E124" s="7" t="s">
        <v>1229</v>
      </c>
      <c r="F124" s="7" t="s">
        <v>1230</v>
      </c>
      <c r="G124" s="7" t="s">
        <v>1232</v>
      </c>
      <c r="H124" t="s">
        <v>452</v>
      </c>
    </row>
    <row r="125" spans="1:8" x14ac:dyDescent="0.2">
      <c r="A125" s="8">
        <v>23807</v>
      </c>
      <c r="B125" s="8" t="s">
        <v>1530</v>
      </c>
      <c r="C125" s="8" t="s">
        <v>204</v>
      </c>
      <c r="D125" s="8" t="s">
        <v>1323</v>
      </c>
      <c r="E125" s="8" t="s">
        <v>1266</v>
      </c>
      <c r="F125" s="8" t="s">
        <v>1324</v>
      </c>
      <c r="G125" s="8" t="s">
        <v>1232</v>
      </c>
      <c r="H125" t="s">
        <v>452</v>
      </c>
    </row>
    <row r="126" spans="1:8" hidden="1" x14ac:dyDescent="0.2">
      <c r="A126" s="7">
        <v>23968</v>
      </c>
      <c r="B126" s="7" t="s">
        <v>1531</v>
      </c>
      <c r="C126" s="7" t="s">
        <v>35</v>
      </c>
      <c r="D126" s="7" t="s">
        <v>1241</v>
      </c>
      <c r="E126" s="7" t="s">
        <v>1229</v>
      </c>
      <c r="F126" s="7" t="s">
        <v>1230</v>
      </c>
      <c r="G126" s="7" t="s">
        <v>1232</v>
      </c>
      <c r="H126" t="s">
        <v>1932</v>
      </c>
    </row>
    <row r="127" spans="1:8" x14ac:dyDescent="0.2">
      <c r="A127" s="8">
        <v>30828</v>
      </c>
      <c r="B127" s="8" t="s">
        <v>1313</v>
      </c>
      <c r="C127" s="8" t="s">
        <v>294</v>
      </c>
      <c r="D127" s="8" t="s">
        <v>1312</v>
      </c>
      <c r="E127" s="8" t="s">
        <v>1229</v>
      </c>
      <c r="F127" s="8" t="s">
        <v>1263</v>
      </c>
      <c r="G127" s="8" t="s">
        <v>1232</v>
      </c>
      <c r="H127" t="s">
        <v>452</v>
      </c>
    </row>
    <row r="128" spans="1:8" x14ac:dyDescent="0.2">
      <c r="A128" s="7">
        <v>26822</v>
      </c>
      <c r="B128" s="7" t="s">
        <v>1532</v>
      </c>
      <c r="C128" s="7" t="s">
        <v>33</v>
      </c>
      <c r="D128" s="7" t="s">
        <v>1289</v>
      </c>
      <c r="E128" s="7" t="s">
        <v>1273</v>
      </c>
      <c r="F128" s="7" t="s">
        <v>1274</v>
      </c>
      <c r="G128" s="7" t="s">
        <v>1232</v>
      </c>
      <c r="H128" t="s">
        <v>452</v>
      </c>
    </row>
    <row r="129" spans="1:8" x14ac:dyDescent="0.2">
      <c r="A129" s="8">
        <v>24489</v>
      </c>
      <c r="B129" s="8" t="s">
        <v>1533</v>
      </c>
      <c r="C129" s="8" t="s">
        <v>1534</v>
      </c>
      <c r="D129" s="8" t="s">
        <v>1241</v>
      </c>
      <c r="E129" s="8" t="s">
        <v>1229</v>
      </c>
      <c r="F129" s="8" t="s">
        <v>1230</v>
      </c>
      <c r="G129" s="8" t="s">
        <v>1232</v>
      </c>
      <c r="H129" t="s">
        <v>452</v>
      </c>
    </row>
    <row r="130" spans="1:8" hidden="1" x14ac:dyDescent="0.2">
      <c r="A130" s="7">
        <v>25167</v>
      </c>
      <c r="B130" s="7" t="s">
        <v>1535</v>
      </c>
      <c r="C130" s="7" t="s">
        <v>153</v>
      </c>
      <c r="D130" s="7" t="s">
        <v>1334</v>
      </c>
      <c r="E130" s="7" t="s">
        <v>1266</v>
      </c>
      <c r="F130" s="7" t="s">
        <v>1271</v>
      </c>
      <c r="G130" s="7" t="s">
        <v>1232</v>
      </c>
      <c r="H130" t="s">
        <v>1932</v>
      </c>
    </row>
    <row r="131" spans="1:8" x14ac:dyDescent="0.2">
      <c r="A131" s="8">
        <v>24940</v>
      </c>
      <c r="B131" s="8" t="s">
        <v>1536</v>
      </c>
      <c r="C131" s="8" t="s">
        <v>1537</v>
      </c>
      <c r="D131" s="8" t="s">
        <v>1299</v>
      </c>
      <c r="E131" s="8" t="s">
        <v>1266</v>
      </c>
      <c r="F131" s="8" t="s">
        <v>1324</v>
      </c>
      <c r="G131" s="8" t="s">
        <v>1232</v>
      </c>
      <c r="H131" t="s">
        <v>452</v>
      </c>
    </row>
    <row r="132" spans="1:8" x14ac:dyDescent="0.2">
      <c r="A132" s="7">
        <v>24299</v>
      </c>
      <c r="B132" s="7" t="s">
        <v>1538</v>
      </c>
      <c r="C132" s="7" t="s">
        <v>230</v>
      </c>
      <c r="D132" s="7" t="s">
        <v>1325</v>
      </c>
      <c r="E132" s="7" t="s">
        <v>1266</v>
      </c>
      <c r="F132" s="7" t="s">
        <v>1324</v>
      </c>
      <c r="G132" s="7" t="s">
        <v>1232</v>
      </c>
      <c r="H132" t="s">
        <v>452</v>
      </c>
    </row>
    <row r="133" spans="1:8" x14ac:dyDescent="0.2">
      <c r="A133" s="8">
        <v>25360</v>
      </c>
      <c r="B133" s="8" t="s">
        <v>1539</v>
      </c>
      <c r="C133" s="8" t="s">
        <v>27</v>
      </c>
      <c r="D133" s="8" t="s">
        <v>1326</v>
      </c>
      <c r="E133" s="8" t="s">
        <v>1266</v>
      </c>
      <c r="F133" s="8" t="s">
        <v>1298</v>
      </c>
      <c r="G133" s="8" t="s">
        <v>1232</v>
      </c>
      <c r="H133" t="s">
        <v>452</v>
      </c>
    </row>
    <row r="134" spans="1:8" x14ac:dyDescent="0.2">
      <c r="A134" s="7">
        <v>23002</v>
      </c>
      <c r="B134" s="7" t="s">
        <v>1540</v>
      </c>
      <c r="C134" s="7" t="s">
        <v>724</v>
      </c>
      <c r="D134" s="7" t="s">
        <v>1241</v>
      </c>
      <c r="E134" s="7" t="s">
        <v>1229</v>
      </c>
      <c r="F134" s="7" t="s">
        <v>1230</v>
      </c>
      <c r="G134" s="7" t="s">
        <v>1232</v>
      </c>
      <c r="H134" t="s">
        <v>452</v>
      </c>
    </row>
    <row r="135" spans="1:8" hidden="1" x14ac:dyDescent="0.2">
      <c r="A135" s="8">
        <v>23604</v>
      </c>
      <c r="B135" s="8" t="s">
        <v>1541</v>
      </c>
      <c r="C135" s="8" t="s">
        <v>1122</v>
      </c>
      <c r="D135" s="8" t="s">
        <v>1233</v>
      </c>
      <c r="E135" s="8" t="s">
        <v>1229</v>
      </c>
      <c r="F135" s="8" t="s">
        <v>1230</v>
      </c>
      <c r="G135" s="8" t="s">
        <v>1232</v>
      </c>
      <c r="H135" t="s">
        <v>1932</v>
      </c>
    </row>
    <row r="136" spans="1:8" hidden="1" x14ac:dyDescent="0.2">
      <c r="A136" s="7">
        <v>23702</v>
      </c>
      <c r="B136" s="7" t="s">
        <v>1542</v>
      </c>
      <c r="C136" s="7" t="s">
        <v>157</v>
      </c>
      <c r="D136" s="7" t="s">
        <v>1334</v>
      </c>
      <c r="E136" s="7" t="s">
        <v>1266</v>
      </c>
      <c r="F136" s="7" t="s">
        <v>1271</v>
      </c>
      <c r="G136" s="7" t="s">
        <v>1232</v>
      </c>
      <c r="H136" t="s">
        <v>1932</v>
      </c>
    </row>
    <row r="137" spans="1:8" hidden="1" x14ac:dyDescent="0.2">
      <c r="A137" s="8">
        <v>24746</v>
      </c>
      <c r="B137" s="8" t="s">
        <v>1543</v>
      </c>
      <c r="C137" s="8" t="s">
        <v>1544</v>
      </c>
      <c r="D137" s="8" t="s">
        <v>1413</v>
      </c>
      <c r="E137" s="8" t="s">
        <v>1266</v>
      </c>
      <c r="F137" s="8" t="s">
        <v>1271</v>
      </c>
      <c r="G137" s="8" t="s">
        <v>1232</v>
      </c>
      <c r="H137" t="s">
        <v>1932</v>
      </c>
    </row>
    <row r="138" spans="1:8" x14ac:dyDescent="0.2">
      <c r="A138" s="7">
        <v>29186</v>
      </c>
      <c r="B138" s="7" t="s">
        <v>1233</v>
      </c>
      <c r="C138" s="7" t="s">
        <v>556</v>
      </c>
      <c r="D138" s="7" t="s">
        <v>1246</v>
      </c>
      <c r="E138" s="7" t="s">
        <v>1229</v>
      </c>
      <c r="F138" s="7" t="s">
        <v>1247</v>
      </c>
      <c r="G138" s="7" t="s">
        <v>1232</v>
      </c>
      <c r="H138" t="s">
        <v>452</v>
      </c>
    </row>
    <row r="139" spans="1:8" hidden="1" x14ac:dyDescent="0.2">
      <c r="A139" s="8">
        <v>35119</v>
      </c>
      <c r="B139" s="8" t="s">
        <v>1545</v>
      </c>
      <c r="C139" s="8" t="s">
        <v>898</v>
      </c>
      <c r="D139" s="8" t="s">
        <v>1241</v>
      </c>
      <c r="E139" s="8" t="s">
        <v>1229</v>
      </c>
      <c r="F139" s="8" t="s">
        <v>1230</v>
      </c>
      <c r="G139" s="8" t="s">
        <v>1232</v>
      </c>
      <c r="H139" t="s">
        <v>1932</v>
      </c>
    </row>
    <row r="140" spans="1:8" hidden="1" x14ac:dyDescent="0.2">
      <c r="A140" s="7">
        <v>28598</v>
      </c>
      <c r="B140" s="7" t="s">
        <v>1546</v>
      </c>
      <c r="C140" s="7" t="s">
        <v>47</v>
      </c>
      <c r="D140" s="7" t="s">
        <v>1287</v>
      </c>
      <c r="E140" s="7" t="s">
        <v>1273</v>
      </c>
      <c r="F140" s="7" t="s">
        <v>1274</v>
      </c>
      <c r="G140" s="7" t="s">
        <v>1232</v>
      </c>
      <c r="H140" t="s">
        <v>1932</v>
      </c>
    </row>
    <row r="141" spans="1:8" hidden="1" x14ac:dyDescent="0.2">
      <c r="A141" s="8">
        <v>25839</v>
      </c>
      <c r="B141" s="8" t="s">
        <v>1547</v>
      </c>
      <c r="C141" s="8" t="s">
        <v>69</v>
      </c>
      <c r="D141" s="8" t="s">
        <v>1241</v>
      </c>
      <c r="E141" s="8" t="s">
        <v>1229</v>
      </c>
      <c r="F141" s="8" t="s">
        <v>1230</v>
      </c>
      <c r="G141" s="8" t="s">
        <v>1232</v>
      </c>
      <c r="H141" t="s">
        <v>1932</v>
      </c>
    </row>
    <row r="142" spans="1:8" hidden="1" x14ac:dyDescent="0.2">
      <c r="A142" s="7">
        <v>34743</v>
      </c>
      <c r="B142" s="7" t="s">
        <v>1548</v>
      </c>
      <c r="C142" s="7" t="s">
        <v>1028</v>
      </c>
      <c r="D142" s="7" t="s">
        <v>1238</v>
      </c>
      <c r="E142" s="7" t="s">
        <v>1229</v>
      </c>
      <c r="F142" s="7" t="s">
        <v>1230</v>
      </c>
      <c r="G142" s="7" t="s">
        <v>1232</v>
      </c>
      <c r="H142" t="s">
        <v>1932</v>
      </c>
    </row>
    <row r="143" spans="1:8" hidden="1" x14ac:dyDescent="0.2">
      <c r="A143" s="8">
        <v>24093</v>
      </c>
      <c r="B143" s="8" t="s">
        <v>1326</v>
      </c>
      <c r="C143" s="8" t="s">
        <v>1549</v>
      </c>
      <c r="D143" s="8" t="s">
        <v>1272</v>
      </c>
      <c r="E143" s="8" t="s">
        <v>1266</v>
      </c>
      <c r="F143" s="8" t="s">
        <v>1298</v>
      </c>
      <c r="G143" s="8" t="s">
        <v>1232</v>
      </c>
      <c r="H143" t="s">
        <v>1932</v>
      </c>
    </row>
    <row r="144" spans="1:8" hidden="1" x14ac:dyDescent="0.2">
      <c r="A144" s="7">
        <v>23863</v>
      </c>
      <c r="B144" s="7" t="s">
        <v>1550</v>
      </c>
      <c r="C144" s="7" t="s">
        <v>31</v>
      </c>
      <c r="D144" s="7" t="s">
        <v>1240</v>
      </c>
      <c r="E144" s="7" t="s">
        <v>1229</v>
      </c>
      <c r="F144" s="7" t="s">
        <v>1230</v>
      </c>
      <c r="G144" s="7" t="s">
        <v>1232</v>
      </c>
      <c r="H144" t="s">
        <v>1932</v>
      </c>
    </row>
    <row r="145" spans="1:8" x14ac:dyDescent="0.2">
      <c r="A145" s="8">
        <v>25473</v>
      </c>
      <c r="B145" s="8" t="s">
        <v>1551</v>
      </c>
      <c r="C145" s="8" t="s">
        <v>255</v>
      </c>
      <c r="D145" s="8" t="s">
        <v>1302</v>
      </c>
      <c r="E145" s="8" t="s">
        <v>1266</v>
      </c>
      <c r="F145" s="8" t="s">
        <v>1301</v>
      </c>
      <c r="G145" s="8" t="s">
        <v>1232</v>
      </c>
      <c r="H145" t="s">
        <v>452</v>
      </c>
    </row>
    <row r="146" spans="1:8" hidden="1" x14ac:dyDescent="0.2">
      <c r="A146" s="7">
        <v>37846</v>
      </c>
      <c r="B146" s="7" t="s">
        <v>1552</v>
      </c>
      <c r="C146" s="7" t="s">
        <v>1553</v>
      </c>
      <c r="D146" s="7" t="s">
        <v>1238</v>
      </c>
      <c r="E146" s="7" t="s">
        <v>1229</v>
      </c>
      <c r="F146" s="7" t="s">
        <v>1230</v>
      </c>
      <c r="G146" s="7" t="s">
        <v>1232</v>
      </c>
      <c r="H146" t="s">
        <v>1932</v>
      </c>
    </row>
    <row r="147" spans="1:8" x14ac:dyDescent="0.2">
      <c r="A147" s="8">
        <v>25651</v>
      </c>
      <c r="B147" s="8" t="s">
        <v>1554</v>
      </c>
      <c r="C147" s="8" t="s">
        <v>1555</v>
      </c>
      <c r="D147" s="8" t="s">
        <v>1326</v>
      </c>
      <c r="E147" s="8" t="s">
        <v>1266</v>
      </c>
      <c r="F147" s="8" t="s">
        <v>1298</v>
      </c>
      <c r="G147" s="8" t="s">
        <v>1232</v>
      </c>
      <c r="H147" t="s">
        <v>452</v>
      </c>
    </row>
    <row r="148" spans="1:8" hidden="1" x14ac:dyDescent="0.2">
      <c r="A148" s="7">
        <v>25706</v>
      </c>
      <c r="B148" s="7" t="s">
        <v>1556</v>
      </c>
      <c r="C148" s="7" t="s">
        <v>334</v>
      </c>
      <c r="D148" s="7" t="s">
        <v>1303</v>
      </c>
      <c r="E148" s="7" t="s">
        <v>1266</v>
      </c>
      <c r="F148" s="7" t="s">
        <v>1269</v>
      </c>
      <c r="G148" s="7" t="s">
        <v>1232</v>
      </c>
      <c r="H148" t="s">
        <v>1932</v>
      </c>
    </row>
    <row r="149" spans="1:8" x14ac:dyDescent="0.2">
      <c r="A149" s="8">
        <v>36114</v>
      </c>
      <c r="B149" s="8" t="s">
        <v>1557</v>
      </c>
      <c r="C149" s="8" t="s">
        <v>732</v>
      </c>
      <c r="D149" s="8" t="s">
        <v>1241</v>
      </c>
      <c r="E149" s="8" t="s">
        <v>1229</v>
      </c>
      <c r="F149" s="8" t="s">
        <v>1230</v>
      </c>
      <c r="G149" s="8" t="s">
        <v>1232</v>
      </c>
      <c r="H149" t="s">
        <v>452</v>
      </c>
    </row>
    <row r="150" spans="1:8" hidden="1" x14ac:dyDescent="0.2">
      <c r="A150" s="7">
        <v>23966</v>
      </c>
      <c r="B150" s="7" t="s">
        <v>1558</v>
      </c>
      <c r="C150" s="7" t="s">
        <v>52</v>
      </c>
      <c r="D150" s="7" t="s">
        <v>1243</v>
      </c>
      <c r="E150" s="7" t="s">
        <v>1229</v>
      </c>
      <c r="F150" s="7" t="s">
        <v>1230</v>
      </c>
      <c r="G150" s="7" t="s">
        <v>1232</v>
      </c>
      <c r="H150" t="s">
        <v>1932</v>
      </c>
    </row>
    <row r="151" spans="1:8" hidden="1" x14ac:dyDescent="0.2">
      <c r="A151" s="8">
        <v>26577</v>
      </c>
      <c r="B151" s="8" t="s">
        <v>1559</v>
      </c>
      <c r="C151" s="8" t="s">
        <v>396</v>
      </c>
      <c r="D151" s="8" t="s">
        <v>451</v>
      </c>
      <c r="E151" s="8" t="s">
        <v>1273</v>
      </c>
      <c r="F151" s="8" t="s">
        <v>1283</v>
      </c>
      <c r="G151" s="8" t="s">
        <v>1232</v>
      </c>
      <c r="H151" t="s">
        <v>1932</v>
      </c>
    </row>
    <row r="152" spans="1:8" hidden="1" x14ac:dyDescent="0.2">
      <c r="A152" s="7">
        <v>26453</v>
      </c>
      <c r="B152" s="7" t="s">
        <v>1560</v>
      </c>
      <c r="C152" s="7" t="s">
        <v>1561</v>
      </c>
      <c r="D152" s="7" t="s">
        <v>1286</v>
      </c>
      <c r="E152" s="7" t="s">
        <v>1273</v>
      </c>
      <c r="F152" s="7" t="s">
        <v>1274</v>
      </c>
      <c r="G152" s="7" t="s">
        <v>1232</v>
      </c>
      <c r="H152" t="s">
        <v>1932</v>
      </c>
    </row>
    <row r="153" spans="1:8" hidden="1" x14ac:dyDescent="0.2">
      <c r="A153" s="8">
        <v>26440</v>
      </c>
      <c r="B153" s="8" t="s">
        <v>1562</v>
      </c>
      <c r="C153" s="8" t="s">
        <v>692</v>
      </c>
      <c r="D153" s="8" t="s">
        <v>1235</v>
      </c>
      <c r="E153" s="8" t="s">
        <v>1229</v>
      </c>
      <c r="F153" s="8" t="s">
        <v>1230</v>
      </c>
      <c r="G153" s="8" t="s">
        <v>1232</v>
      </c>
      <c r="H153" t="s">
        <v>1932</v>
      </c>
    </row>
    <row r="154" spans="1:8" hidden="1" x14ac:dyDescent="0.2">
      <c r="A154" s="7">
        <v>24657</v>
      </c>
      <c r="B154" s="7" t="s">
        <v>1563</v>
      </c>
      <c r="C154" s="7" t="s">
        <v>1564</v>
      </c>
      <c r="D154" s="7" t="s">
        <v>1243</v>
      </c>
      <c r="E154" s="7" t="s">
        <v>1229</v>
      </c>
      <c r="F154" s="7" t="s">
        <v>1230</v>
      </c>
      <c r="G154" s="7" t="s">
        <v>1232</v>
      </c>
      <c r="H154" t="s">
        <v>1932</v>
      </c>
    </row>
    <row r="155" spans="1:8" hidden="1" x14ac:dyDescent="0.2">
      <c r="A155" s="8">
        <v>24802</v>
      </c>
      <c r="B155" s="8" t="s">
        <v>1565</v>
      </c>
      <c r="C155" s="8" t="s">
        <v>1566</v>
      </c>
      <c r="D155" s="8" t="s">
        <v>1243</v>
      </c>
      <c r="E155" s="8" t="s">
        <v>1229</v>
      </c>
      <c r="F155" s="8" t="s">
        <v>1230</v>
      </c>
      <c r="G155" s="8" t="s">
        <v>1232</v>
      </c>
      <c r="H155" t="s">
        <v>1932</v>
      </c>
    </row>
    <row r="156" spans="1:8" hidden="1" x14ac:dyDescent="0.2">
      <c r="A156" s="7">
        <v>24904</v>
      </c>
      <c r="B156" s="7" t="s">
        <v>1567</v>
      </c>
      <c r="C156" s="7" t="s">
        <v>1568</v>
      </c>
      <c r="D156" s="7" t="s">
        <v>1272</v>
      </c>
      <c r="E156" s="7" t="s">
        <v>1266</v>
      </c>
      <c r="F156" s="7" t="s">
        <v>1271</v>
      </c>
      <c r="G156" s="7" t="s">
        <v>1232</v>
      </c>
      <c r="H156" t="s">
        <v>1932</v>
      </c>
    </row>
    <row r="157" spans="1:8" x14ac:dyDescent="0.2">
      <c r="A157" s="8">
        <v>36984</v>
      </c>
      <c r="B157" s="8" t="s">
        <v>1569</v>
      </c>
      <c r="C157" s="8" t="s">
        <v>494</v>
      </c>
      <c r="D157" s="8" t="s">
        <v>1275</v>
      </c>
      <c r="E157" s="8" t="s">
        <v>1273</v>
      </c>
      <c r="F157" s="8" t="s">
        <v>1274</v>
      </c>
      <c r="G157" s="8" t="s">
        <v>1232</v>
      </c>
      <c r="H157" t="s">
        <v>452</v>
      </c>
    </row>
    <row r="158" spans="1:8" hidden="1" x14ac:dyDescent="0.2">
      <c r="A158" s="7">
        <v>25276</v>
      </c>
      <c r="B158" s="7" t="s">
        <v>1570</v>
      </c>
      <c r="C158" s="7" t="s">
        <v>1571</v>
      </c>
      <c r="D158" s="7" t="s">
        <v>1331</v>
      </c>
      <c r="E158" s="7" t="s">
        <v>1266</v>
      </c>
      <c r="F158" s="7" t="s">
        <v>1271</v>
      </c>
      <c r="G158" s="7" t="s">
        <v>1232</v>
      </c>
      <c r="H158" t="s">
        <v>1932</v>
      </c>
    </row>
    <row r="159" spans="1:8" hidden="1" x14ac:dyDescent="0.2">
      <c r="A159" s="8">
        <v>26604</v>
      </c>
      <c r="B159" s="8" t="s">
        <v>1572</v>
      </c>
      <c r="C159" s="8" t="s">
        <v>120</v>
      </c>
      <c r="D159" s="8" t="s">
        <v>1329</v>
      </c>
      <c r="E159" s="8" t="s">
        <v>1266</v>
      </c>
      <c r="F159" s="8" t="s">
        <v>1271</v>
      </c>
      <c r="G159" s="8" t="s">
        <v>1232</v>
      </c>
      <c r="H159" t="s">
        <v>1932</v>
      </c>
    </row>
    <row r="160" spans="1:8" hidden="1" x14ac:dyDescent="0.2">
      <c r="A160" s="7">
        <v>26871</v>
      </c>
      <c r="B160" s="7" t="s">
        <v>1573</v>
      </c>
      <c r="C160" s="7" t="s">
        <v>171</v>
      </c>
      <c r="D160" s="7" t="s">
        <v>1328</v>
      </c>
      <c r="E160" s="7" t="s">
        <v>1266</v>
      </c>
      <c r="F160" s="7" t="s">
        <v>1271</v>
      </c>
      <c r="G160" s="7" t="s">
        <v>1232</v>
      </c>
      <c r="H160" t="s">
        <v>1932</v>
      </c>
    </row>
    <row r="161" spans="1:8" hidden="1" x14ac:dyDescent="0.2">
      <c r="A161" s="8">
        <v>26852</v>
      </c>
      <c r="B161" s="8" t="s">
        <v>1574</v>
      </c>
      <c r="C161" s="8" t="s">
        <v>1575</v>
      </c>
      <c r="D161" s="8" t="s">
        <v>1243</v>
      </c>
      <c r="E161" s="8" t="s">
        <v>1229</v>
      </c>
      <c r="F161" s="8" t="s">
        <v>1230</v>
      </c>
      <c r="G161" s="8" t="s">
        <v>1232</v>
      </c>
      <c r="H161" t="s">
        <v>1932</v>
      </c>
    </row>
    <row r="162" spans="1:8" x14ac:dyDescent="0.2">
      <c r="A162" s="7">
        <v>26794</v>
      </c>
      <c r="B162" s="7" t="s">
        <v>1576</v>
      </c>
      <c r="C162" s="7" t="s">
        <v>263</v>
      </c>
      <c r="D162" s="7" t="s">
        <v>1320</v>
      </c>
      <c r="E162" s="7" t="s">
        <v>1318</v>
      </c>
      <c r="F162" s="7" t="s">
        <v>1319</v>
      </c>
      <c r="G162" s="7" t="s">
        <v>1232</v>
      </c>
      <c r="H162" t="s">
        <v>452</v>
      </c>
    </row>
    <row r="163" spans="1:8" x14ac:dyDescent="0.2">
      <c r="A163" s="8">
        <v>26634</v>
      </c>
      <c r="B163" s="8" t="s">
        <v>1577</v>
      </c>
      <c r="C163" s="8" t="s">
        <v>251</v>
      </c>
      <c r="D163" s="8" t="s">
        <v>1299</v>
      </c>
      <c r="E163" s="8" t="s">
        <v>1266</v>
      </c>
      <c r="F163" s="8" t="s">
        <v>1322</v>
      </c>
      <c r="G163" s="8" t="s">
        <v>1232</v>
      </c>
      <c r="H163" t="s">
        <v>452</v>
      </c>
    </row>
    <row r="164" spans="1:8" hidden="1" x14ac:dyDescent="0.2">
      <c r="A164" s="7">
        <v>26699</v>
      </c>
      <c r="B164" s="7" t="s">
        <v>1578</v>
      </c>
      <c r="C164" s="7" t="s">
        <v>680</v>
      </c>
      <c r="D164" s="7" t="s">
        <v>1235</v>
      </c>
      <c r="E164" s="7" t="s">
        <v>1229</v>
      </c>
      <c r="F164" s="7" t="s">
        <v>1230</v>
      </c>
      <c r="G164" s="7" t="s">
        <v>1232</v>
      </c>
      <c r="H164" t="s">
        <v>1932</v>
      </c>
    </row>
    <row r="165" spans="1:8" hidden="1" x14ac:dyDescent="0.2">
      <c r="A165" s="8">
        <v>34675</v>
      </c>
      <c r="B165" s="8" t="s">
        <v>1579</v>
      </c>
      <c r="C165" s="8" t="s">
        <v>1089</v>
      </c>
      <c r="D165" s="8" t="s">
        <v>516</v>
      </c>
      <c r="E165" s="8" t="s">
        <v>1229</v>
      </c>
      <c r="F165" s="8" t="s">
        <v>1230</v>
      </c>
      <c r="G165" s="8" t="s">
        <v>1232</v>
      </c>
      <c r="H165" t="s">
        <v>1932</v>
      </c>
    </row>
    <row r="166" spans="1:8" x14ac:dyDescent="0.2">
      <c r="A166" s="7">
        <v>36300</v>
      </c>
      <c r="B166" s="7" t="s">
        <v>1580</v>
      </c>
      <c r="C166" s="7" t="s">
        <v>259</v>
      </c>
      <c r="D166" s="7" t="s">
        <v>1307</v>
      </c>
      <c r="E166" s="7" t="s">
        <v>1305</v>
      </c>
      <c r="F166" s="7" t="s">
        <v>1306</v>
      </c>
      <c r="G166" s="7" t="s">
        <v>1232</v>
      </c>
      <c r="H166" t="s">
        <v>452</v>
      </c>
    </row>
    <row r="167" spans="1:8" x14ac:dyDescent="0.2">
      <c r="A167" s="8">
        <v>25621</v>
      </c>
      <c r="B167" s="8" t="s">
        <v>1581</v>
      </c>
      <c r="C167" s="8" t="s">
        <v>404</v>
      </c>
      <c r="D167" s="8" t="s">
        <v>1290</v>
      </c>
      <c r="E167" s="8" t="s">
        <v>1273</v>
      </c>
      <c r="F167" s="8" t="s">
        <v>1274</v>
      </c>
      <c r="G167" s="8" t="s">
        <v>1232</v>
      </c>
      <c r="H167" t="s">
        <v>452</v>
      </c>
    </row>
    <row r="168" spans="1:8" hidden="1" x14ac:dyDescent="0.2">
      <c r="A168" s="7">
        <v>26721</v>
      </c>
      <c r="B168" s="7" t="s">
        <v>1582</v>
      </c>
      <c r="C168" s="7" t="s">
        <v>1044</v>
      </c>
      <c r="D168" s="7" t="s">
        <v>1236</v>
      </c>
      <c r="E168" s="7" t="s">
        <v>1229</v>
      </c>
      <c r="F168" s="7" t="s">
        <v>1230</v>
      </c>
      <c r="G168" s="7" t="s">
        <v>1232</v>
      </c>
      <c r="H168" t="s">
        <v>1932</v>
      </c>
    </row>
    <row r="169" spans="1:8" hidden="1" x14ac:dyDescent="0.2">
      <c r="A169" s="8">
        <v>27174</v>
      </c>
      <c r="B169" s="8" t="s">
        <v>1583</v>
      </c>
      <c r="C169" s="8" t="s">
        <v>1178</v>
      </c>
      <c r="D169" s="8" t="s">
        <v>1231</v>
      </c>
      <c r="E169" s="8" t="s">
        <v>1229</v>
      </c>
      <c r="F169" s="8" t="s">
        <v>1230</v>
      </c>
      <c r="G169" s="8" t="s">
        <v>1232</v>
      </c>
      <c r="H169" t="s">
        <v>1932</v>
      </c>
    </row>
    <row r="170" spans="1:8" hidden="1" x14ac:dyDescent="0.2">
      <c r="A170" s="7">
        <v>36014</v>
      </c>
      <c r="B170" s="7" t="s">
        <v>1584</v>
      </c>
      <c r="C170" s="7" t="s">
        <v>1085</v>
      </c>
      <c r="D170" s="7" t="s">
        <v>1233</v>
      </c>
      <c r="E170" s="7" t="s">
        <v>1229</v>
      </c>
      <c r="F170" s="7" t="s">
        <v>1230</v>
      </c>
      <c r="G170" s="7" t="s">
        <v>1232</v>
      </c>
      <c r="H170" t="s">
        <v>1932</v>
      </c>
    </row>
    <row r="171" spans="1:8" x14ac:dyDescent="0.2">
      <c r="A171" s="8">
        <v>37148</v>
      </c>
      <c r="B171" s="8" t="s">
        <v>1585</v>
      </c>
      <c r="C171" s="8" t="s">
        <v>942</v>
      </c>
      <c r="D171" s="8" t="s">
        <v>1238</v>
      </c>
      <c r="E171" s="8" t="s">
        <v>1229</v>
      </c>
      <c r="F171" s="8" t="s">
        <v>1230</v>
      </c>
      <c r="G171" s="8" t="s">
        <v>1232</v>
      </c>
      <c r="H171" t="s">
        <v>452</v>
      </c>
    </row>
    <row r="172" spans="1:8" hidden="1" x14ac:dyDescent="0.2">
      <c r="A172" s="7">
        <v>27683</v>
      </c>
      <c r="B172" s="7" t="s">
        <v>1586</v>
      </c>
      <c r="C172" s="7" t="s">
        <v>62</v>
      </c>
      <c r="D172" s="7" t="s">
        <v>1280</v>
      </c>
      <c r="E172" s="7" t="s">
        <v>1273</v>
      </c>
      <c r="F172" s="7" t="s">
        <v>1274</v>
      </c>
      <c r="G172" s="7" t="s">
        <v>1232</v>
      </c>
      <c r="H172" t="s">
        <v>1932</v>
      </c>
    </row>
    <row r="173" spans="1:8" hidden="1" x14ac:dyDescent="0.2">
      <c r="A173" s="8">
        <v>21951</v>
      </c>
      <c r="B173" s="8" t="s">
        <v>1587</v>
      </c>
      <c r="C173" s="8" t="s">
        <v>764</v>
      </c>
      <c r="D173" s="8" t="s">
        <v>1241</v>
      </c>
      <c r="E173" s="8" t="s">
        <v>1229</v>
      </c>
      <c r="F173" s="8" t="s">
        <v>1230</v>
      </c>
      <c r="G173" s="8" t="s">
        <v>1232</v>
      </c>
      <c r="H173" t="s">
        <v>1932</v>
      </c>
    </row>
    <row r="174" spans="1:8" hidden="1" x14ac:dyDescent="0.2">
      <c r="A174" s="7">
        <v>27585</v>
      </c>
      <c r="B174" s="7" t="s">
        <v>1235</v>
      </c>
      <c r="C174" s="7" t="s">
        <v>53</v>
      </c>
      <c r="D174" s="7" t="s">
        <v>1239</v>
      </c>
      <c r="E174" s="7" t="s">
        <v>1229</v>
      </c>
      <c r="F174" s="7" t="s">
        <v>1230</v>
      </c>
      <c r="G174" s="7" t="s">
        <v>1232</v>
      </c>
      <c r="H174" t="s">
        <v>1932</v>
      </c>
    </row>
    <row r="175" spans="1:8" hidden="1" x14ac:dyDescent="0.2">
      <c r="A175" s="8">
        <v>28944</v>
      </c>
      <c r="B175" s="8" t="s">
        <v>1588</v>
      </c>
      <c r="C175" s="8" t="s">
        <v>25</v>
      </c>
      <c r="D175" s="8" t="s">
        <v>1463</v>
      </c>
      <c r="E175" s="8" t="s">
        <v>1266</v>
      </c>
      <c r="F175" s="8" t="s">
        <v>1465</v>
      </c>
      <c r="G175" s="8" t="s">
        <v>1237</v>
      </c>
      <c r="H175" t="s">
        <v>1932</v>
      </c>
    </row>
    <row r="176" spans="1:8" hidden="1" x14ac:dyDescent="0.2">
      <c r="A176" s="7">
        <v>28038</v>
      </c>
      <c r="B176" s="7" t="s">
        <v>1589</v>
      </c>
      <c r="C176" s="7" t="s">
        <v>1590</v>
      </c>
      <c r="D176" s="7" t="s">
        <v>1295</v>
      </c>
      <c r="E176" s="7" t="s">
        <v>1273</v>
      </c>
      <c r="F176" s="7" t="s">
        <v>1274</v>
      </c>
      <c r="G176" s="7" t="s">
        <v>1232</v>
      </c>
      <c r="H176" t="s">
        <v>1932</v>
      </c>
    </row>
    <row r="177" spans="1:8" hidden="1" x14ac:dyDescent="0.2">
      <c r="A177" s="8">
        <v>26442</v>
      </c>
      <c r="B177" s="8" t="s">
        <v>1331</v>
      </c>
      <c r="C177" s="8" t="s">
        <v>502</v>
      </c>
      <c r="D177" s="8" t="s">
        <v>1272</v>
      </c>
      <c r="E177" s="8" t="s">
        <v>1266</v>
      </c>
      <c r="F177" s="8" t="s">
        <v>1271</v>
      </c>
      <c r="G177" s="8" t="s">
        <v>1232</v>
      </c>
      <c r="H177" t="s">
        <v>1932</v>
      </c>
    </row>
    <row r="178" spans="1:8" hidden="1" x14ac:dyDescent="0.2">
      <c r="A178" s="7">
        <v>26249</v>
      </c>
      <c r="B178" s="7" t="s">
        <v>1591</v>
      </c>
      <c r="C178" s="7" t="s">
        <v>1592</v>
      </c>
      <c r="D178" s="7" t="s">
        <v>1331</v>
      </c>
      <c r="E178" s="7" t="s">
        <v>1266</v>
      </c>
      <c r="F178" s="7" t="s">
        <v>1271</v>
      </c>
      <c r="G178" s="7" t="s">
        <v>1232</v>
      </c>
      <c r="H178" t="s">
        <v>1932</v>
      </c>
    </row>
    <row r="179" spans="1:8" hidden="1" x14ac:dyDescent="0.2">
      <c r="A179" s="8">
        <v>26684</v>
      </c>
      <c r="B179" s="8" t="s">
        <v>1593</v>
      </c>
      <c r="C179" s="8" t="s">
        <v>926</v>
      </c>
      <c r="D179" s="8" t="s">
        <v>1240</v>
      </c>
      <c r="E179" s="8" t="s">
        <v>1229</v>
      </c>
      <c r="F179" s="8" t="s">
        <v>1230</v>
      </c>
      <c r="G179" s="8" t="s">
        <v>1232</v>
      </c>
      <c r="H179" t="s">
        <v>1932</v>
      </c>
    </row>
    <row r="180" spans="1:8" hidden="1" x14ac:dyDescent="0.2">
      <c r="A180" s="7">
        <v>26875</v>
      </c>
      <c r="B180" s="7" t="s">
        <v>1594</v>
      </c>
      <c r="C180" s="7" t="s">
        <v>1595</v>
      </c>
      <c r="D180" s="7" t="s">
        <v>1244</v>
      </c>
      <c r="E180" s="7" t="s">
        <v>1229</v>
      </c>
      <c r="F180" s="7" t="s">
        <v>1230</v>
      </c>
      <c r="G180" s="7" t="s">
        <v>1237</v>
      </c>
      <c r="H180" t="s">
        <v>1932</v>
      </c>
    </row>
    <row r="181" spans="1:8" hidden="1" x14ac:dyDescent="0.2">
      <c r="A181" s="8">
        <v>27948</v>
      </c>
      <c r="B181" s="8" t="s">
        <v>1596</v>
      </c>
      <c r="C181" s="8" t="s">
        <v>36</v>
      </c>
      <c r="D181" s="8" t="s">
        <v>1235</v>
      </c>
      <c r="E181" s="8" t="s">
        <v>1229</v>
      </c>
      <c r="F181" s="8" t="s">
        <v>1230</v>
      </c>
      <c r="G181" s="8" t="s">
        <v>1232</v>
      </c>
      <c r="H181" t="s">
        <v>1932</v>
      </c>
    </row>
    <row r="182" spans="1:8" hidden="1" x14ac:dyDescent="0.2">
      <c r="A182" s="7">
        <v>22203</v>
      </c>
      <c r="B182" s="7" t="s">
        <v>1597</v>
      </c>
      <c r="C182" s="7" t="s">
        <v>1598</v>
      </c>
      <c r="D182" s="7" t="s">
        <v>1599</v>
      </c>
      <c r="E182" s="7" t="s">
        <v>1427</v>
      </c>
      <c r="F182" s="7" t="s">
        <v>1428</v>
      </c>
      <c r="G182" s="7" t="s">
        <v>1232</v>
      </c>
      <c r="H182" t="s">
        <v>1932</v>
      </c>
    </row>
    <row r="183" spans="1:8" hidden="1" x14ac:dyDescent="0.2">
      <c r="A183" s="8">
        <v>22254</v>
      </c>
      <c r="B183" s="8" t="s">
        <v>1600</v>
      </c>
      <c r="C183" s="8" t="s">
        <v>1142</v>
      </c>
      <c r="D183" s="8" t="s">
        <v>1231</v>
      </c>
      <c r="E183" s="8" t="s">
        <v>1229</v>
      </c>
      <c r="F183" s="8" t="s">
        <v>1230</v>
      </c>
      <c r="G183" s="8" t="s">
        <v>1232</v>
      </c>
      <c r="H183" t="s">
        <v>1932</v>
      </c>
    </row>
    <row r="184" spans="1:8" hidden="1" x14ac:dyDescent="0.2">
      <c r="A184" s="7">
        <v>31778</v>
      </c>
      <c r="B184" s="7" t="s">
        <v>1601</v>
      </c>
      <c r="C184" s="7" t="s">
        <v>918</v>
      </c>
      <c r="D184" s="7" t="s">
        <v>1240</v>
      </c>
      <c r="E184" s="7" t="s">
        <v>1229</v>
      </c>
      <c r="F184" s="7" t="s">
        <v>1230</v>
      </c>
      <c r="G184" s="7" t="s">
        <v>1232</v>
      </c>
      <c r="H184" t="s">
        <v>1932</v>
      </c>
    </row>
    <row r="185" spans="1:8" hidden="1" x14ac:dyDescent="0.2">
      <c r="A185" s="8">
        <v>23461</v>
      </c>
      <c r="B185" s="8" t="s">
        <v>1602</v>
      </c>
      <c r="C185" s="8" t="s">
        <v>1130</v>
      </c>
      <c r="D185" s="8" t="s">
        <v>1233</v>
      </c>
      <c r="E185" s="8" t="s">
        <v>1229</v>
      </c>
      <c r="F185" s="8" t="s">
        <v>1230</v>
      </c>
      <c r="G185" s="8" t="s">
        <v>1232</v>
      </c>
      <c r="H185" t="s">
        <v>1932</v>
      </c>
    </row>
    <row r="186" spans="1:8" x14ac:dyDescent="0.2">
      <c r="A186" s="7">
        <v>34998</v>
      </c>
      <c r="B186" s="7" t="s">
        <v>1603</v>
      </c>
      <c r="C186" s="7" t="s">
        <v>32</v>
      </c>
      <c r="D186" s="7" t="s">
        <v>1238</v>
      </c>
      <c r="E186" s="7" t="s">
        <v>1229</v>
      </c>
      <c r="F186" s="7" t="s">
        <v>1230</v>
      </c>
      <c r="G186" s="7" t="s">
        <v>1232</v>
      </c>
      <c r="H186" t="s">
        <v>452</v>
      </c>
    </row>
    <row r="187" spans="1:8" x14ac:dyDescent="0.2">
      <c r="A187" s="8">
        <v>32389</v>
      </c>
      <c r="B187" s="8" t="s">
        <v>1604</v>
      </c>
      <c r="C187" s="8" t="s">
        <v>1605</v>
      </c>
      <c r="D187" s="8" t="s">
        <v>447</v>
      </c>
      <c r="E187" s="8" t="s">
        <v>1273</v>
      </c>
      <c r="F187" s="8" t="s">
        <v>1279</v>
      </c>
      <c r="G187" s="8" t="s">
        <v>1237</v>
      </c>
      <c r="H187" t="s">
        <v>452</v>
      </c>
    </row>
    <row r="188" spans="1:8" hidden="1" x14ac:dyDescent="0.2">
      <c r="A188" s="7">
        <v>29218</v>
      </c>
      <c r="B188" s="7" t="s">
        <v>1606</v>
      </c>
      <c r="C188" s="7" t="s">
        <v>604</v>
      </c>
      <c r="D188" s="7" t="s">
        <v>1251</v>
      </c>
      <c r="E188" s="7" t="s">
        <v>1249</v>
      </c>
      <c r="F188" s="7" t="s">
        <v>1250</v>
      </c>
      <c r="G188" s="7" t="s">
        <v>1232</v>
      </c>
      <c r="H188" t="s">
        <v>1932</v>
      </c>
    </row>
    <row r="189" spans="1:8" x14ac:dyDescent="0.2">
      <c r="A189" s="8">
        <v>28299</v>
      </c>
      <c r="B189" s="8" t="s">
        <v>1607</v>
      </c>
      <c r="C189" s="8" t="s">
        <v>1608</v>
      </c>
      <c r="D189" s="8" t="s">
        <v>1609</v>
      </c>
      <c r="E189" s="8" t="s">
        <v>1273</v>
      </c>
      <c r="F189" s="8" t="s">
        <v>1274</v>
      </c>
      <c r="G189" s="8" t="s">
        <v>1232</v>
      </c>
      <c r="H189" t="s">
        <v>452</v>
      </c>
    </row>
    <row r="190" spans="1:8" x14ac:dyDescent="0.2">
      <c r="A190" s="7">
        <v>28423</v>
      </c>
      <c r="B190" s="7" t="s">
        <v>1610</v>
      </c>
      <c r="C190" s="7" t="s">
        <v>239</v>
      </c>
      <c r="D190" s="7" t="s">
        <v>1272</v>
      </c>
      <c r="E190" s="7" t="s">
        <v>1266</v>
      </c>
      <c r="F190" s="7" t="s">
        <v>1298</v>
      </c>
      <c r="G190" s="7" t="s">
        <v>1232</v>
      </c>
      <c r="H190" t="s">
        <v>452</v>
      </c>
    </row>
    <row r="191" spans="1:8" x14ac:dyDescent="0.2">
      <c r="A191" s="8">
        <v>28600</v>
      </c>
      <c r="B191" s="8" t="s">
        <v>1611</v>
      </c>
      <c r="C191" s="8" t="s">
        <v>457</v>
      </c>
      <c r="D191" s="8" t="s">
        <v>451</v>
      </c>
      <c r="E191" s="8" t="s">
        <v>1273</v>
      </c>
      <c r="F191" s="8" t="s">
        <v>1283</v>
      </c>
      <c r="G191" s="8" t="s">
        <v>1232</v>
      </c>
      <c r="H191" t="s">
        <v>452</v>
      </c>
    </row>
    <row r="192" spans="1:8" hidden="1" x14ac:dyDescent="0.2">
      <c r="A192" s="7">
        <v>29263</v>
      </c>
      <c r="B192" s="7" t="s">
        <v>1612</v>
      </c>
      <c r="C192" s="7" t="s">
        <v>338</v>
      </c>
      <c r="D192" s="7" t="s">
        <v>1302</v>
      </c>
      <c r="E192" s="7" t="s">
        <v>1266</v>
      </c>
      <c r="F192" s="7" t="s">
        <v>1301</v>
      </c>
      <c r="G192" s="7" t="s">
        <v>1232</v>
      </c>
      <c r="H192" t="s">
        <v>1932</v>
      </c>
    </row>
    <row r="193" spans="1:8" hidden="1" x14ac:dyDescent="0.2">
      <c r="A193" s="8">
        <v>28874</v>
      </c>
      <c r="B193" s="8" t="s">
        <v>1613</v>
      </c>
      <c r="C193" s="8" t="s">
        <v>68</v>
      </c>
      <c r="D193" s="8" t="s">
        <v>1243</v>
      </c>
      <c r="E193" s="8" t="s">
        <v>1229</v>
      </c>
      <c r="F193" s="8" t="s">
        <v>1230</v>
      </c>
      <c r="G193" s="8" t="s">
        <v>1232</v>
      </c>
      <c r="H193" t="s">
        <v>1932</v>
      </c>
    </row>
    <row r="194" spans="1:8" hidden="1" x14ac:dyDescent="0.2">
      <c r="A194" s="7">
        <v>31326</v>
      </c>
      <c r="B194" s="7" t="s">
        <v>1614</v>
      </c>
      <c r="C194" s="7" t="s">
        <v>688</v>
      </c>
      <c r="D194" s="7" t="s">
        <v>1235</v>
      </c>
      <c r="E194" s="7" t="s">
        <v>1229</v>
      </c>
      <c r="F194" s="7" t="s">
        <v>1230</v>
      </c>
      <c r="G194" s="7" t="s">
        <v>1232</v>
      </c>
      <c r="H194" t="s">
        <v>1932</v>
      </c>
    </row>
    <row r="195" spans="1:8" hidden="1" x14ac:dyDescent="0.2">
      <c r="A195" s="8">
        <v>27571</v>
      </c>
      <c r="B195" s="8" t="s">
        <v>1615</v>
      </c>
      <c r="C195" s="8" t="s">
        <v>1616</v>
      </c>
      <c r="D195" s="8" t="s">
        <v>1331</v>
      </c>
      <c r="E195" s="8" t="s">
        <v>1266</v>
      </c>
      <c r="F195" s="8" t="s">
        <v>1271</v>
      </c>
      <c r="G195" s="8" t="s">
        <v>1232</v>
      </c>
      <c r="H195" t="s">
        <v>1932</v>
      </c>
    </row>
    <row r="196" spans="1:8" hidden="1" x14ac:dyDescent="0.2">
      <c r="A196" s="7">
        <v>34788</v>
      </c>
      <c r="B196" s="7" t="s">
        <v>1617</v>
      </c>
      <c r="C196" s="7" t="s">
        <v>776</v>
      </c>
      <c r="D196" s="7" t="s">
        <v>1241</v>
      </c>
      <c r="E196" s="7" t="s">
        <v>1229</v>
      </c>
      <c r="F196" s="7" t="s">
        <v>1230</v>
      </c>
      <c r="G196" s="7" t="s">
        <v>1232</v>
      </c>
      <c r="H196" t="s">
        <v>1932</v>
      </c>
    </row>
    <row r="197" spans="1:8" x14ac:dyDescent="0.2">
      <c r="A197" s="8">
        <v>30656</v>
      </c>
      <c r="B197" s="8" t="s">
        <v>1618</v>
      </c>
      <c r="C197" s="8" t="s">
        <v>535</v>
      </c>
      <c r="D197" s="8" t="s">
        <v>1243</v>
      </c>
      <c r="E197" s="8" t="s">
        <v>1229</v>
      </c>
      <c r="F197" s="8" t="s">
        <v>1247</v>
      </c>
      <c r="G197" s="8" t="s">
        <v>1232</v>
      </c>
      <c r="H197" t="s">
        <v>452</v>
      </c>
    </row>
    <row r="198" spans="1:8" hidden="1" x14ac:dyDescent="0.2">
      <c r="A198" s="7">
        <v>29173</v>
      </c>
      <c r="B198" s="7" t="s">
        <v>1619</v>
      </c>
      <c r="C198" s="7" t="s">
        <v>1134</v>
      </c>
      <c r="D198" s="7" t="s">
        <v>1233</v>
      </c>
      <c r="E198" s="7" t="s">
        <v>1229</v>
      </c>
      <c r="F198" s="7" t="s">
        <v>1230</v>
      </c>
      <c r="G198" s="7" t="s">
        <v>1232</v>
      </c>
      <c r="H198" t="s">
        <v>1932</v>
      </c>
    </row>
    <row r="199" spans="1:8" x14ac:dyDescent="0.2">
      <c r="A199" s="8">
        <v>37088</v>
      </c>
      <c r="B199" s="8" t="s">
        <v>1620</v>
      </c>
      <c r="C199" s="8" t="s">
        <v>1621</v>
      </c>
      <c r="D199" s="8" t="s">
        <v>1233</v>
      </c>
      <c r="E199" s="8" t="s">
        <v>1229</v>
      </c>
      <c r="F199" s="8" t="s">
        <v>1230</v>
      </c>
      <c r="G199" s="8" t="s">
        <v>1232</v>
      </c>
      <c r="H199" t="s">
        <v>452</v>
      </c>
    </row>
    <row r="200" spans="1:8" hidden="1" x14ac:dyDescent="0.2">
      <c r="A200" s="7">
        <v>30835</v>
      </c>
      <c r="B200" s="7" t="s">
        <v>1622</v>
      </c>
      <c r="C200" s="7" t="s">
        <v>600</v>
      </c>
      <c r="D200" s="7" t="s">
        <v>1251</v>
      </c>
      <c r="E200" s="7" t="s">
        <v>1249</v>
      </c>
      <c r="F200" s="7" t="s">
        <v>1250</v>
      </c>
      <c r="G200" s="7" t="s">
        <v>1232</v>
      </c>
      <c r="H200" t="s">
        <v>1932</v>
      </c>
    </row>
    <row r="201" spans="1:8" x14ac:dyDescent="0.2">
      <c r="A201" s="8">
        <v>30105</v>
      </c>
      <c r="B201" s="8" t="s">
        <v>1231</v>
      </c>
      <c r="C201" s="8" t="s">
        <v>531</v>
      </c>
      <c r="D201" s="8" t="s">
        <v>1246</v>
      </c>
      <c r="E201" s="8" t="s">
        <v>1229</v>
      </c>
      <c r="F201" s="8" t="s">
        <v>1247</v>
      </c>
      <c r="G201" s="8" t="s">
        <v>1232</v>
      </c>
      <c r="H201" t="s">
        <v>452</v>
      </c>
    </row>
    <row r="202" spans="1:8" hidden="1" x14ac:dyDescent="0.2">
      <c r="A202" s="7">
        <v>22769</v>
      </c>
      <c r="B202" s="7" t="s">
        <v>1623</v>
      </c>
      <c r="C202" s="7" t="s">
        <v>1624</v>
      </c>
      <c r="D202" s="7" t="s">
        <v>1244</v>
      </c>
      <c r="E202" s="7" t="s">
        <v>1229</v>
      </c>
      <c r="F202" s="7" t="s">
        <v>1230</v>
      </c>
      <c r="G202" s="7" t="s">
        <v>1232</v>
      </c>
      <c r="H202" t="s">
        <v>1932</v>
      </c>
    </row>
    <row r="203" spans="1:8" hidden="1" x14ac:dyDescent="0.2">
      <c r="A203" s="8">
        <v>27553</v>
      </c>
      <c r="B203" s="8" t="s">
        <v>1625</v>
      </c>
      <c r="C203" s="8" t="s">
        <v>1626</v>
      </c>
      <c r="D203" s="8" t="s">
        <v>1236</v>
      </c>
      <c r="E203" s="8" t="s">
        <v>1229</v>
      </c>
      <c r="F203" s="8" t="s">
        <v>1230</v>
      </c>
      <c r="G203" s="8" t="s">
        <v>1232</v>
      </c>
      <c r="H203" t="s">
        <v>1932</v>
      </c>
    </row>
    <row r="204" spans="1:8" hidden="1" x14ac:dyDescent="0.2">
      <c r="A204" s="7">
        <v>29009</v>
      </c>
      <c r="B204" s="7" t="s">
        <v>1627</v>
      </c>
      <c r="C204" s="7" t="s">
        <v>894</v>
      </c>
      <c r="D204" s="7" t="s">
        <v>1241</v>
      </c>
      <c r="E204" s="7" t="s">
        <v>1229</v>
      </c>
      <c r="F204" s="7" t="s">
        <v>1230</v>
      </c>
      <c r="G204" s="7" t="s">
        <v>1232</v>
      </c>
      <c r="H204" t="s">
        <v>1932</v>
      </c>
    </row>
    <row r="205" spans="1:8" x14ac:dyDescent="0.2">
      <c r="A205" s="8">
        <v>28025</v>
      </c>
      <c r="B205" s="8" t="s">
        <v>1628</v>
      </c>
      <c r="C205" s="8" t="s">
        <v>70</v>
      </c>
      <c r="D205" s="8" t="s">
        <v>1299</v>
      </c>
      <c r="E205" s="8" t="s">
        <v>1266</v>
      </c>
      <c r="F205" s="8" t="s">
        <v>1324</v>
      </c>
      <c r="G205" s="8" t="s">
        <v>1232</v>
      </c>
      <c r="H205" t="s">
        <v>452</v>
      </c>
    </row>
    <row r="206" spans="1:8" hidden="1" x14ac:dyDescent="0.2">
      <c r="A206" s="7">
        <v>28312</v>
      </c>
      <c r="B206" s="7" t="s">
        <v>1629</v>
      </c>
      <c r="C206" s="7" t="s">
        <v>342</v>
      </c>
      <c r="D206" s="7" t="s">
        <v>1268</v>
      </c>
      <c r="E206" s="7" t="s">
        <v>1266</v>
      </c>
      <c r="F206" s="7" t="s">
        <v>1267</v>
      </c>
      <c r="G206" s="7" t="s">
        <v>1232</v>
      </c>
      <c r="H206" t="s">
        <v>1932</v>
      </c>
    </row>
    <row r="207" spans="1:8" hidden="1" x14ac:dyDescent="0.2">
      <c r="A207" s="8">
        <v>30996</v>
      </c>
      <c r="B207" s="8" t="s">
        <v>1630</v>
      </c>
      <c r="C207" s="8" t="s">
        <v>1118</v>
      </c>
      <c r="D207" s="8" t="s">
        <v>1233</v>
      </c>
      <c r="E207" s="8" t="s">
        <v>1229</v>
      </c>
      <c r="F207" s="8" t="s">
        <v>1230</v>
      </c>
      <c r="G207" s="8" t="s">
        <v>1232</v>
      </c>
      <c r="H207" t="s">
        <v>1932</v>
      </c>
    </row>
    <row r="208" spans="1:8" x14ac:dyDescent="0.2">
      <c r="A208" s="7">
        <v>31372</v>
      </c>
      <c r="B208" s="7" t="s">
        <v>1631</v>
      </c>
      <c r="C208" s="7" t="s">
        <v>438</v>
      </c>
      <c r="D208" s="7" t="s">
        <v>1286</v>
      </c>
      <c r="E208" s="7" t="s">
        <v>1273</v>
      </c>
      <c r="F208" s="7" t="s">
        <v>1274</v>
      </c>
      <c r="G208" s="7" t="s">
        <v>1232</v>
      </c>
      <c r="H208" t="s">
        <v>452</v>
      </c>
    </row>
    <row r="209" spans="1:8" x14ac:dyDescent="0.2">
      <c r="A209" s="8">
        <v>30128</v>
      </c>
      <c r="B209" s="8" t="s">
        <v>1632</v>
      </c>
      <c r="C209" s="8" t="s">
        <v>453</v>
      </c>
      <c r="D209" s="8" t="s">
        <v>451</v>
      </c>
      <c r="E209" s="8" t="s">
        <v>1273</v>
      </c>
      <c r="F209" s="8" t="s">
        <v>1283</v>
      </c>
      <c r="G209" s="8" t="s">
        <v>1232</v>
      </c>
      <c r="H209" t="s">
        <v>452</v>
      </c>
    </row>
    <row r="210" spans="1:8" x14ac:dyDescent="0.2">
      <c r="A210" s="7">
        <v>35385</v>
      </c>
      <c r="B210" s="7" t="s">
        <v>1633</v>
      </c>
      <c r="C210" s="7" t="s">
        <v>849</v>
      </c>
      <c r="D210" s="7" t="s">
        <v>1231</v>
      </c>
      <c r="E210" s="7" t="s">
        <v>1229</v>
      </c>
      <c r="F210" s="7" t="s">
        <v>1230</v>
      </c>
      <c r="G210" s="7" t="s">
        <v>1232</v>
      </c>
      <c r="H210" t="s">
        <v>452</v>
      </c>
    </row>
    <row r="211" spans="1:8" hidden="1" x14ac:dyDescent="0.2">
      <c r="A211" s="8">
        <v>34444</v>
      </c>
      <c r="B211" s="8" t="s">
        <v>1634</v>
      </c>
      <c r="C211" s="8" t="s">
        <v>56</v>
      </c>
      <c r="D211" s="8" t="s">
        <v>1238</v>
      </c>
      <c r="E211" s="8" t="s">
        <v>1229</v>
      </c>
      <c r="F211" s="8" t="s">
        <v>1230</v>
      </c>
      <c r="G211" s="8" t="s">
        <v>1232</v>
      </c>
      <c r="H211" t="s">
        <v>1932</v>
      </c>
    </row>
    <row r="212" spans="1:8" x14ac:dyDescent="0.2">
      <c r="A212" s="7">
        <v>30559</v>
      </c>
      <c r="B212" s="7" t="s">
        <v>1635</v>
      </c>
      <c r="C212" s="7" t="s">
        <v>577</v>
      </c>
      <c r="D212" s="7" t="s">
        <v>1256</v>
      </c>
      <c r="E212" s="7" t="s">
        <v>1249</v>
      </c>
      <c r="F212" s="7" t="s">
        <v>1252</v>
      </c>
      <c r="G212" s="7" t="s">
        <v>1232</v>
      </c>
      <c r="H212" t="s">
        <v>452</v>
      </c>
    </row>
    <row r="213" spans="1:8" x14ac:dyDescent="0.2">
      <c r="A213" s="8">
        <v>31805</v>
      </c>
      <c r="B213" s="8" t="s">
        <v>1241</v>
      </c>
      <c r="C213" s="8" t="s">
        <v>728</v>
      </c>
      <c r="D213" s="8" t="s">
        <v>1239</v>
      </c>
      <c r="E213" s="8" t="s">
        <v>1229</v>
      </c>
      <c r="F213" s="8" t="s">
        <v>1262</v>
      </c>
      <c r="G213" s="8" t="s">
        <v>1232</v>
      </c>
      <c r="H213" t="s">
        <v>452</v>
      </c>
    </row>
    <row r="214" spans="1:8" hidden="1" x14ac:dyDescent="0.2">
      <c r="A214" s="7">
        <v>31277</v>
      </c>
      <c r="B214" s="7" t="s">
        <v>1636</v>
      </c>
      <c r="C214" s="7" t="s">
        <v>45</v>
      </c>
      <c r="D214" s="7" t="s">
        <v>1243</v>
      </c>
      <c r="E214" s="7" t="s">
        <v>1229</v>
      </c>
      <c r="F214" s="7" t="s">
        <v>1230</v>
      </c>
      <c r="G214" s="7" t="s">
        <v>1232</v>
      </c>
      <c r="H214" t="s">
        <v>1932</v>
      </c>
    </row>
    <row r="215" spans="1:8" hidden="1" x14ac:dyDescent="0.2">
      <c r="A215" s="8">
        <v>33865</v>
      </c>
      <c r="B215" s="8" t="s">
        <v>1637</v>
      </c>
      <c r="C215" s="8" t="s">
        <v>1638</v>
      </c>
      <c r="D215" s="8" t="s">
        <v>1293</v>
      </c>
      <c r="E215" s="8" t="s">
        <v>1273</v>
      </c>
      <c r="F215" s="8" t="s">
        <v>1283</v>
      </c>
      <c r="G215" s="8" t="s">
        <v>1232</v>
      </c>
      <c r="H215" t="s">
        <v>1932</v>
      </c>
    </row>
    <row r="216" spans="1:8" x14ac:dyDescent="0.2">
      <c r="A216" s="7">
        <v>31710</v>
      </c>
      <c r="B216" s="7" t="s">
        <v>1639</v>
      </c>
      <c r="C216" s="7" t="s">
        <v>573</v>
      </c>
      <c r="D216" s="7" t="s">
        <v>1251</v>
      </c>
      <c r="E216" s="7" t="s">
        <v>1249</v>
      </c>
      <c r="F216" s="7" t="s">
        <v>1250</v>
      </c>
      <c r="G216" s="7" t="s">
        <v>1232</v>
      </c>
      <c r="H216" t="s">
        <v>452</v>
      </c>
    </row>
    <row r="217" spans="1:8" hidden="1" x14ac:dyDescent="0.2">
      <c r="A217" s="8">
        <v>29137</v>
      </c>
      <c r="B217" s="8" t="s">
        <v>1640</v>
      </c>
      <c r="C217" s="8" t="s">
        <v>1102</v>
      </c>
      <c r="D217" s="8" t="s">
        <v>1233</v>
      </c>
      <c r="E217" s="8" t="s">
        <v>1229</v>
      </c>
      <c r="F217" s="8" t="s">
        <v>1230</v>
      </c>
      <c r="G217" s="8" t="s">
        <v>1232</v>
      </c>
      <c r="H217" t="s">
        <v>1932</v>
      </c>
    </row>
    <row r="218" spans="1:8" hidden="1" x14ac:dyDescent="0.2">
      <c r="A218" s="7">
        <v>32435</v>
      </c>
      <c r="B218" s="7" t="s">
        <v>750</v>
      </c>
      <c r="C218" s="7" t="s">
        <v>749</v>
      </c>
      <c r="D218" s="7" t="s">
        <v>1241</v>
      </c>
      <c r="E218" s="7" t="s">
        <v>1229</v>
      </c>
      <c r="F218" s="7" t="s">
        <v>1230</v>
      </c>
      <c r="G218" s="7" t="s">
        <v>1232</v>
      </c>
      <c r="H218" t="s">
        <v>1932</v>
      </c>
    </row>
    <row r="219" spans="1:8" hidden="1" x14ac:dyDescent="0.2">
      <c r="A219" s="8">
        <v>33672</v>
      </c>
      <c r="B219" s="8" t="s">
        <v>1641</v>
      </c>
      <c r="C219" s="8" t="s">
        <v>1642</v>
      </c>
      <c r="D219" s="8" t="s">
        <v>1289</v>
      </c>
      <c r="E219" s="8" t="s">
        <v>1273</v>
      </c>
      <c r="F219" s="8" t="s">
        <v>1274</v>
      </c>
      <c r="G219" s="8" t="s">
        <v>1237</v>
      </c>
      <c r="H219" t="s">
        <v>1932</v>
      </c>
    </row>
    <row r="220" spans="1:8" hidden="1" x14ac:dyDescent="0.2">
      <c r="A220" s="7">
        <v>31327</v>
      </c>
      <c r="B220" s="7" t="s">
        <v>1643</v>
      </c>
      <c r="C220" s="7" t="s">
        <v>1644</v>
      </c>
      <c r="D220" s="7" t="s">
        <v>1240</v>
      </c>
      <c r="E220" s="7" t="s">
        <v>1229</v>
      </c>
      <c r="F220" s="7" t="s">
        <v>1230</v>
      </c>
      <c r="G220" s="7" t="s">
        <v>1232</v>
      </c>
      <c r="H220" t="s">
        <v>1932</v>
      </c>
    </row>
    <row r="221" spans="1:8" x14ac:dyDescent="0.2">
      <c r="A221" s="8">
        <v>31366</v>
      </c>
      <c r="B221" s="8" t="s">
        <v>1645</v>
      </c>
      <c r="C221" s="8" t="s">
        <v>86</v>
      </c>
      <c r="D221" s="8" t="s">
        <v>1236</v>
      </c>
      <c r="E221" s="8" t="s">
        <v>1229</v>
      </c>
      <c r="F221" s="8" t="s">
        <v>1230</v>
      </c>
      <c r="G221" s="8" t="s">
        <v>1232</v>
      </c>
      <c r="H221" t="s">
        <v>452</v>
      </c>
    </row>
    <row r="222" spans="1:8" hidden="1" x14ac:dyDescent="0.2">
      <c r="A222" s="7">
        <v>33357</v>
      </c>
      <c r="B222" s="7" t="s">
        <v>1646</v>
      </c>
      <c r="C222" s="7" t="s">
        <v>1647</v>
      </c>
      <c r="D222" s="7" t="s">
        <v>1334</v>
      </c>
      <c r="E222" s="7" t="s">
        <v>1266</v>
      </c>
      <c r="F222" s="7" t="s">
        <v>1271</v>
      </c>
      <c r="G222" s="7" t="s">
        <v>1232</v>
      </c>
      <c r="H222" t="s">
        <v>1932</v>
      </c>
    </row>
    <row r="223" spans="1:8" hidden="1" x14ac:dyDescent="0.2">
      <c r="A223" s="8">
        <v>35788</v>
      </c>
      <c r="B223" s="8" t="s">
        <v>1648</v>
      </c>
      <c r="C223" s="8" t="s">
        <v>591</v>
      </c>
      <c r="D223" s="8" t="s">
        <v>1251</v>
      </c>
      <c r="E223" s="8" t="s">
        <v>1249</v>
      </c>
      <c r="F223" s="8" t="s">
        <v>1250</v>
      </c>
      <c r="G223" s="8" t="s">
        <v>1232</v>
      </c>
      <c r="H223" t="s">
        <v>1932</v>
      </c>
    </row>
    <row r="224" spans="1:8" hidden="1" x14ac:dyDescent="0.2">
      <c r="A224" s="7">
        <v>31627</v>
      </c>
      <c r="B224" s="7" t="s">
        <v>1649</v>
      </c>
      <c r="C224" s="7" t="s">
        <v>1069</v>
      </c>
      <c r="D224" s="7" t="s">
        <v>1236</v>
      </c>
      <c r="E224" s="7" t="s">
        <v>1229</v>
      </c>
      <c r="F224" s="7" t="s">
        <v>1230</v>
      </c>
      <c r="G224" s="7" t="s">
        <v>1232</v>
      </c>
      <c r="H224" t="s">
        <v>1932</v>
      </c>
    </row>
    <row r="225" spans="1:8" x14ac:dyDescent="0.2">
      <c r="A225" s="8">
        <v>32008</v>
      </c>
      <c r="B225" s="8" t="s">
        <v>1650</v>
      </c>
      <c r="C225" s="8" t="s">
        <v>195</v>
      </c>
      <c r="D225" s="8" t="s">
        <v>1272</v>
      </c>
      <c r="E225" s="8" t="s">
        <v>1266</v>
      </c>
      <c r="F225" s="8" t="s">
        <v>1324</v>
      </c>
      <c r="G225" s="8" t="s">
        <v>1232</v>
      </c>
      <c r="H225" t="s">
        <v>452</v>
      </c>
    </row>
    <row r="226" spans="1:8" x14ac:dyDescent="0.2">
      <c r="A226" s="7">
        <v>31568</v>
      </c>
      <c r="B226" s="7" t="s">
        <v>1651</v>
      </c>
      <c r="C226" s="7" t="s">
        <v>1652</v>
      </c>
      <c r="D226" s="7" t="s">
        <v>1323</v>
      </c>
      <c r="E226" s="7" t="s">
        <v>1266</v>
      </c>
      <c r="F226" s="7" t="s">
        <v>1324</v>
      </c>
      <c r="G226" s="7" t="s">
        <v>1232</v>
      </c>
      <c r="H226" t="s">
        <v>452</v>
      </c>
    </row>
    <row r="227" spans="1:8" x14ac:dyDescent="0.2">
      <c r="A227" s="8">
        <v>31634</v>
      </c>
      <c r="B227" s="8" t="s">
        <v>1653</v>
      </c>
      <c r="C227" s="8" t="s">
        <v>243</v>
      </c>
      <c r="D227" s="8" t="s">
        <v>1323</v>
      </c>
      <c r="E227" s="8" t="s">
        <v>1266</v>
      </c>
      <c r="F227" s="8" t="s">
        <v>1298</v>
      </c>
      <c r="G227" s="8" t="s">
        <v>1232</v>
      </c>
      <c r="H227" t="s">
        <v>452</v>
      </c>
    </row>
    <row r="228" spans="1:8" hidden="1" x14ac:dyDescent="0.2">
      <c r="A228" s="7">
        <v>33347</v>
      </c>
      <c r="B228" s="7" t="s">
        <v>1654</v>
      </c>
      <c r="C228" s="7" t="s">
        <v>191</v>
      </c>
      <c r="D228" s="7" t="s">
        <v>1331</v>
      </c>
      <c r="E228" s="7" t="s">
        <v>1266</v>
      </c>
      <c r="F228" s="7" t="s">
        <v>1271</v>
      </c>
      <c r="G228" s="7" t="s">
        <v>1232</v>
      </c>
      <c r="H228" t="s">
        <v>1932</v>
      </c>
    </row>
    <row r="229" spans="1:8" hidden="1" x14ac:dyDescent="0.2">
      <c r="A229" s="8">
        <v>32006</v>
      </c>
      <c r="B229" s="8" t="s">
        <v>1655</v>
      </c>
      <c r="C229" s="8" t="s">
        <v>1656</v>
      </c>
      <c r="D229" s="8" t="s">
        <v>1272</v>
      </c>
      <c r="E229" s="8" t="s">
        <v>1266</v>
      </c>
      <c r="F229" s="8" t="s">
        <v>1271</v>
      </c>
      <c r="G229" s="8" t="s">
        <v>1232</v>
      </c>
      <c r="H229" t="s">
        <v>1932</v>
      </c>
    </row>
    <row r="230" spans="1:8" x14ac:dyDescent="0.2">
      <c r="A230" s="7">
        <v>32047</v>
      </c>
      <c r="B230" s="7" t="s">
        <v>1657</v>
      </c>
      <c r="C230" s="7" t="s">
        <v>276</v>
      </c>
      <c r="D230" s="7" t="s">
        <v>1317</v>
      </c>
      <c r="E230" s="7" t="s">
        <v>1314</v>
      </c>
      <c r="F230" s="7" t="s">
        <v>1315</v>
      </c>
      <c r="G230" s="7" t="s">
        <v>1232</v>
      </c>
      <c r="H230" t="s">
        <v>452</v>
      </c>
    </row>
    <row r="231" spans="1:8" hidden="1" x14ac:dyDescent="0.2">
      <c r="A231" s="8">
        <v>32215</v>
      </c>
      <c r="B231" s="8" t="s">
        <v>1658</v>
      </c>
      <c r="C231" s="8" t="s">
        <v>1659</v>
      </c>
      <c r="D231" s="8" t="s">
        <v>1241</v>
      </c>
      <c r="E231" s="8" t="s">
        <v>1229</v>
      </c>
      <c r="F231" s="8" t="s">
        <v>1230</v>
      </c>
      <c r="G231" s="8" t="s">
        <v>1232</v>
      </c>
      <c r="H231" t="s">
        <v>1932</v>
      </c>
    </row>
    <row r="232" spans="1:8" hidden="1" x14ac:dyDescent="0.2">
      <c r="A232" s="7">
        <v>24001</v>
      </c>
      <c r="B232" s="7" t="s">
        <v>1660</v>
      </c>
      <c r="C232" s="7" t="s">
        <v>1110</v>
      </c>
      <c r="D232" s="7" t="s">
        <v>1233</v>
      </c>
      <c r="E232" s="7" t="s">
        <v>1229</v>
      </c>
      <c r="F232" s="7" t="s">
        <v>1230</v>
      </c>
      <c r="G232" s="7" t="s">
        <v>1232</v>
      </c>
      <c r="H232" t="s">
        <v>1932</v>
      </c>
    </row>
    <row r="233" spans="1:8" hidden="1" x14ac:dyDescent="0.2">
      <c r="A233" s="8">
        <v>37509</v>
      </c>
      <c r="B233" s="8" t="s">
        <v>1661</v>
      </c>
      <c r="C233" s="8" t="s">
        <v>1008</v>
      </c>
      <c r="D233" s="8" t="s">
        <v>1238</v>
      </c>
      <c r="E233" s="8" t="s">
        <v>1229</v>
      </c>
      <c r="F233" s="8" t="s">
        <v>1230</v>
      </c>
      <c r="G233" s="8" t="s">
        <v>1232</v>
      </c>
      <c r="H233" t="s">
        <v>1932</v>
      </c>
    </row>
    <row r="234" spans="1:8" x14ac:dyDescent="0.2">
      <c r="A234" s="7">
        <v>33343</v>
      </c>
      <c r="B234" s="7" t="s">
        <v>1662</v>
      </c>
      <c r="C234" s="7" t="s">
        <v>55</v>
      </c>
      <c r="D234" s="7" t="s">
        <v>1558</v>
      </c>
      <c r="E234" s="7" t="s">
        <v>1229</v>
      </c>
      <c r="F234" s="7" t="s">
        <v>1230</v>
      </c>
      <c r="G234" s="7" t="s">
        <v>1232</v>
      </c>
      <c r="H234" t="s">
        <v>452</v>
      </c>
    </row>
    <row r="235" spans="1:8" hidden="1" x14ac:dyDescent="0.2">
      <c r="A235" s="8">
        <v>35789</v>
      </c>
      <c r="B235" s="8" t="s">
        <v>1663</v>
      </c>
      <c r="C235" s="8" t="s">
        <v>1664</v>
      </c>
      <c r="D235" s="8" t="s">
        <v>1238</v>
      </c>
      <c r="E235" s="8" t="s">
        <v>1229</v>
      </c>
      <c r="F235" s="8" t="s">
        <v>1230</v>
      </c>
      <c r="G235" s="8" t="s">
        <v>1237</v>
      </c>
      <c r="H235" t="s">
        <v>1932</v>
      </c>
    </row>
    <row r="236" spans="1:8" hidden="1" x14ac:dyDescent="0.2">
      <c r="A236" s="7">
        <v>33807</v>
      </c>
      <c r="B236" s="7" t="s">
        <v>1665</v>
      </c>
      <c r="C236" s="7" t="s">
        <v>1666</v>
      </c>
      <c r="D236" s="7" t="s">
        <v>1233</v>
      </c>
      <c r="E236" s="7" t="s">
        <v>1229</v>
      </c>
      <c r="F236" s="7" t="s">
        <v>1230</v>
      </c>
      <c r="G236" s="7" t="s">
        <v>1232</v>
      </c>
      <c r="H236" t="s">
        <v>1932</v>
      </c>
    </row>
    <row r="237" spans="1:8" hidden="1" x14ac:dyDescent="0.2">
      <c r="A237" s="8">
        <v>31752</v>
      </c>
      <c r="B237" s="8" t="s">
        <v>1667</v>
      </c>
      <c r="C237" s="8" t="s">
        <v>81</v>
      </c>
      <c r="D237" s="8" t="s">
        <v>1242</v>
      </c>
      <c r="E237" s="8" t="s">
        <v>1229</v>
      </c>
      <c r="F237" s="8" t="s">
        <v>1230</v>
      </c>
      <c r="G237" s="8" t="s">
        <v>1232</v>
      </c>
      <c r="H237" t="s">
        <v>1932</v>
      </c>
    </row>
    <row r="238" spans="1:8" x14ac:dyDescent="0.2">
      <c r="A238" s="7">
        <v>35900</v>
      </c>
      <c r="B238" s="7" t="s">
        <v>1238</v>
      </c>
      <c r="C238" s="7" t="s">
        <v>548</v>
      </c>
      <c r="D238" s="7" t="s">
        <v>1239</v>
      </c>
      <c r="E238" s="7" t="s">
        <v>1229</v>
      </c>
      <c r="F238" s="7" t="s">
        <v>1262</v>
      </c>
      <c r="G238" s="7" t="s">
        <v>1232</v>
      </c>
      <c r="H238" t="s">
        <v>452</v>
      </c>
    </row>
    <row r="239" spans="1:8" x14ac:dyDescent="0.2">
      <c r="A239" s="8">
        <v>29436</v>
      </c>
      <c r="B239" s="8" t="s">
        <v>1317</v>
      </c>
      <c r="C239" s="8" t="s">
        <v>272</v>
      </c>
      <c r="D239" s="8" t="s">
        <v>1316</v>
      </c>
      <c r="E239" s="8" t="s">
        <v>1314</v>
      </c>
      <c r="F239" s="8" t="s">
        <v>1315</v>
      </c>
      <c r="G239" s="8" t="s">
        <v>1232</v>
      </c>
      <c r="H239" t="s">
        <v>452</v>
      </c>
    </row>
    <row r="240" spans="1:8" x14ac:dyDescent="0.2">
      <c r="A240" s="7">
        <v>29693</v>
      </c>
      <c r="B240" s="7" t="s">
        <v>1668</v>
      </c>
      <c r="C240" s="7" t="s">
        <v>1669</v>
      </c>
      <c r="D240" s="7" t="s">
        <v>1426</v>
      </c>
      <c r="E240" s="7" t="s">
        <v>1427</v>
      </c>
      <c r="F240" s="7" t="s">
        <v>1428</v>
      </c>
      <c r="G240" s="7" t="s">
        <v>1232</v>
      </c>
      <c r="H240" t="s">
        <v>452</v>
      </c>
    </row>
    <row r="241" spans="1:8" hidden="1" x14ac:dyDescent="0.2">
      <c r="A241" s="8">
        <v>37601</v>
      </c>
      <c r="B241" s="8" t="s">
        <v>1670</v>
      </c>
      <c r="C241" s="8" t="s">
        <v>996</v>
      </c>
      <c r="D241" s="8" t="s">
        <v>1238</v>
      </c>
      <c r="E241" s="8" t="s">
        <v>1229</v>
      </c>
      <c r="F241" s="8" t="s">
        <v>1230</v>
      </c>
      <c r="G241" s="8" t="s">
        <v>1232</v>
      </c>
      <c r="H241" t="s">
        <v>1932</v>
      </c>
    </row>
    <row r="242" spans="1:8" hidden="1" x14ac:dyDescent="0.2">
      <c r="A242" s="7">
        <v>34583</v>
      </c>
      <c r="B242" s="7" t="s">
        <v>1671</v>
      </c>
      <c r="C242" s="7" t="s">
        <v>816</v>
      </c>
      <c r="D242" s="7" t="s">
        <v>1244</v>
      </c>
      <c r="E242" s="7" t="s">
        <v>1229</v>
      </c>
      <c r="F242" s="7" t="s">
        <v>1230</v>
      </c>
      <c r="G242" s="7" t="s">
        <v>1232</v>
      </c>
      <c r="H242" t="s">
        <v>1932</v>
      </c>
    </row>
    <row r="243" spans="1:8" x14ac:dyDescent="0.2">
      <c r="A243" s="8">
        <v>32673</v>
      </c>
      <c r="B243" s="8" t="s">
        <v>1672</v>
      </c>
      <c r="C243" s="8" t="s">
        <v>1673</v>
      </c>
      <c r="D243" s="8" t="s">
        <v>1287</v>
      </c>
      <c r="E243" s="8" t="s">
        <v>1273</v>
      </c>
      <c r="F243" s="8" t="s">
        <v>1274</v>
      </c>
      <c r="G243" s="8" t="s">
        <v>1232</v>
      </c>
      <c r="H243" t="s">
        <v>452</v>
      </c>
    </row>
    <row r="244" spans="1:8" hidden="1" x14ac:dyDescent="0.2">
      <c r="A244" s="7">
        <v>32733</v>
      </c>
      <c r="B244" s="7" t="s">
        <v>1674</v>
      </c>
      <c r="C244" s="7" t="s">
        <v>43</v>
      </c>
      <c r="D244" s="7" t="s">
        <v>1233</v>
      </c>
      <c r="E244" s="7" t="s">
        <v>1229</v>
      </c>
      <c r="F244" s="7" t="s">
        <v>1230</v>
      </c>
      <c r="G244" s="7" t="s">
        <v>1232</v>
      </c>
      <c r="H244" t="s">
        <v>1932</v>
      </c>
    </row>
    <row r="245" spans="1:8" hidden="1" x14ac:dyDescent="0.2">
      <c r="A245" s="8">
        <v>34937</v>
      </c>
      <c r="B245" s="8" t="s">
        <v>1675</v>
      </c>
      <c r="C245" s="8" t="s">
        <v>841</v>
      </c>
      <c r="D245" s="8" t="s">
        <v>1242</v>
      </c>
      <c r="E245" s="8" t="s">
        <v>1229</v>
      </c>
      <c r="F245" s="8" t="s">
        <v>1230</v>
      </c>
      <c r="G245" s="8" t="s">
        <v>1232</v>
      </c>
      <c r="H245" t="s">
        <v>1932</v>
      </c>
    </row>
    <row r="246" spans="1:8" hidden="1" x14ac:dyDescent="0.2">
      <c r="A246" s="7">
        <v>34337</v>
      </c>
      <c r="B246" s="7" t="s">
        <v>1676</v>
      </c>
      <c r="C246" s="7" t="s">
        <v>104</v>
      </c>
      <c r="D246" s="7" t="s">
        <v>1329</v>
      </c>
      <c r="E246" s="7" t="s">
        <v>1266</v>
      </c>
      <c r="F246" s="7" t="s">
        <v>1271</v>
      </c>
      <c r="G246" s="7" t="s">
        <v>1232</v>
      </c>
      <c r="H246" t="s">
        <v>1932</v>
      </c>
    </row>
    <row r="247" spans="1:8" hidden="1" x14ac:dyDescent="0.2">
      <c r="A247" s="8">
        <v>37887</v>
      </c>
      <c r="B247" s="8" t="s">
        <v>1677</v>
      </c>
      <c r="C247" s="8" t="s">
        <v>59</v>
      </c>
      <c r="D247" s="8" t="s">
        <v>1238</v>
      </c>
      <c r="E247" s="8" t="s">
        <v>1229</v>
      </c>
      <c r="F247" s="8" t="s">
        <v>1230</v>
      </c>
      <c r="G247" s="8" t="s">
        <v>1232</v>
      </c>
      <c r="H247" t="s">
        <v>1932</v>
      </c>
    </row>
    <row r="248" spans="1:8" hidden="1" x14ac:dyDescent="0.2">
      <c r="A248" s="7">
        <v>33344</v>
      </c>
      <c r="B248" s="7" t="s">
        <v>1678</v>
      </c>
      <c r="C248" s="7" t="s">
        <v>54</v>
      </c>
      <c r="D248" s="7" t="s">
        <v>1558</v>
      </c>
      <c r="E248" s="7" t="s">
        <v>1229</v>
      </c>
      <c r="F248" s="7" t="s">
        <v>1230</v>
      </c>
      <c r="G248" s="7" t="s">
        <v>1232</v>
      </c>
      <c r="H248" t="s">
        <v>1932</v>
      </c>
    </row>
    <row r="249" spans="1:8" hidden="1" x14ac:dyDescent="0.2">
      <c r="A249" s="8">
        <v>35480</v>
      </c>
      <c r="B249" s="8" t="s">
        <v>1679</v>
      </c>
      <c r="C249" s="8" t="s">
        <v>992</v>
      </c>
      <c r="D249" s="8" t="s">
        <v>1238</v>
      </c>
      <c r="E249" s="8" t="s">
        <v>1229</v>
      </c>
      <c r="F249" s="8" t="s">
        <v>1230</v>
      </c>
      <c r="G249" s="8" t="s">
        <v>1232</v>
      </c>
      <c r="H249" t="s">
        <v>1932</v>
      </c>
    </row>
    <row r="250" spans="1:8" x14ac:dyDescent="0.2">
      <c r="A250" s="7">
        <v>33727</v>
      </c>
      <c r="B250" s="7" t="s">
        <v>1680</v>
      </c>
      <c r="C250" s="7" t="s">
        <v>1681</v>
      </c>
      <c r="D250" s="7" t="s">
        <v>1416</v>
      </c>
      <c r="E250" s="7" t="s">
        <v>1427</v>
      </c>
      <c r="F250" s="7" t="s">
        <v>1682</v>
      </c>
      <c r="G250" s="7" t="s">
        <v>1232</v>
      </c>
      <c r="H250" t="s">
        <v>452</v>
      </c>
    </row>
    <row r="251" spans="1:8" x14ac:dyDescent="0.2">
      <c r="A251" s="8">
        <v>33492</v>
      </c>
      <c r="B251" s="8" t="s">
        <v>1683</v>
      </c>
      <c r="C251" s="8" t="s">
        <v>422</v>
      </c>
      <c r="D251" s="8" t="s">
        <v>1286</v>
      </c>
      <c r="E251" s="8" t="s">
        <v>1273</v>
      </c>
      <c r="F251" s="8" t="s">
        <v>1274</v>
      </c>
      <c r="G251" s="8" t="s">
        <v>1232</v>
      </c>
      <c r="H251" t="s">
        <v>452</v>
      </c>
    </row>
    <row r="252" spans="1:8" x14ac:dyDescent="0.2">
      <c r="A252" s="7">
        <v>37772</v>
      </c>
      <c r="B252" s="7" t="s">
        <v>1684</v>
      </c>
      <c r="C252" s="7" t="s">
        <v>477</v>
      </c>
      <c r="D252" s="7" t="s">
        <v>1280</v>
      </c>
      <c r="E252" s="7" t="s">
        <v>1273</v>
      </c>
      <c r="F252" s="7" t="s">
        <v>1274</v>
      </c>
      <c r="G252" s="7" t="s">
        <v>1232</v>
      </c>
      <c r="H252" t="s">
        <v>452</v>
      </c>
    </row>
    <row r="253" spans="1:8" hidden="1" x14ac:dyDescent="0.2">
      <c r="A253" s="8">
        <v>24130</v>
      </c>
      <c r="B253" s="8" t="s">
        <v>1685</v>
      </c>
      <c r="C253" s="8" t="s">
        <v>1686</v>
      </c>
      <c r="D253" s="8" t="s">
        <v>1328</v>
      </c>
      <c r="E253" s="8" t="s">
        <v>1266</v>
      </c>
      <c r="F253" s="8" t="s">
        <v>1271</v>
      </c>
      <c r="G253" s="8" t="s">
        <v>1232</v>
      </c>
      <c r="H253" t="s">
        <v>1932</v>
      </c>
    </row>
    <row r="254" spans="1:8" hidden="1" x14ac:dyDescent="0.2">
      <c r="A254" s="7">
        <v>37422</v>
      </c>
      <c r="B254" s="7" t="s">
        <v>1687</v>
      </c>
      <c r="C254" s="7" t="s">
        <v>812</v>
      </c>
      <c r="D254" s="7" t="s">
        <v>1244</v>
      </c>
      <c r="E254" s="7" t="s">
        <v>1229</v>
      </c>
      <c r="F254" s="7" t="s">
        <v>1230</v>
      </c>
      <c r="G254" s="7" t="s">
        <v>1232</v>
      </c>
      <c r="H254" t="s">
        <v>1932</v>
      </c>
    </row>
    <row r="255" spans="1:8" hidden="1" x14ac:dyDescent="0.2">
      <c r="A255" s="8">
        <v>32038</v>
      </c>
      <c r="B255" s="8" t="s">
        <v>1688</v>
      </c>
      <c r="C255" s="8" t="s">
        <v>42</v>
      </c>
      <c r="D255" s="8" t="s">
        <v>1233</v>
      </c>
      <c r="E255" s="8" t="s">
        <v>1229</v>
      </c>
      <c r="F255" s="8" t="s">
        <v>1230</v>
      </c>
      <c r="G255" s="8" t="s">
        <v>1232</v>
      </c>
      <c r="H255" t="s">
        <v>1932</v>
      </c>
    </row>
    <row r="256" spans="1:8" hidden="1" x14ac:dyDescent="0.2">
      <c r="A256" s="7">
        <v>31982</v>
      </c>
      <c r="B256" s="7" t="s">
        <v>1689</v>
      </c>
      <c r="C256" s="7" t="s">
        <v>1166</v>
      </c>
      <c r="D256" s="7" t="s">
        <v>1231</v>
      </c>
      <c r="E256" s="7" t="s">
        <v>1229</v>
      </c>
      <c r="F256" s="7" t="s">
        <v>1230</v>
      </c>
      <c r="G256" s="7" t="s">
        <v>1232</v>
      </c>
      <c r="H256" t="s">
        <v>1932</v>
      </c>
    </row>
    <row r="257" spans="1:8" hidden="1" x14ac:dyDescent="0.2">
      <c r="A257" s="8">
        <v>35394</v>
      </c>
      <c r="B257" s="8" t="s">
        <v>1690</v>
      </c>
      <c r="C257" s="8" t="s">
        <v>1691</v>
      </c>
      <c r="D257" s="8" t="s">
        <v>1243</v>
      </c>
      <c r="E257" s="8" t="s">
        <v>1229</v>
      </c>
      <c r="F257" s="8" t="s">
        <v>1230</v>
      </c>
      <c r="G257" s="8" t="s">
        <v>1232</v>
      </c>
      <c r="H257" t="s">
        <v>1932</v>
      </c>
    </row>
    <row r="258" spans="1:8" x14ac:dyDescent="0.2">
      <c r="A258" s="7">
        <v>32426</v>
      </c>
      <c r="B258" s="7" t="s">
        <v>1692</v>
      </c>
      <c r="C258" s="7" t="s">
        <v>77</v>
      </c>
      <c r="D258" s="7" t="s">
        <v>1293</v>
      </c>
      <c r="E258" s="7" t="s">
        <v>1273</v>
      </c>
      <c r="F258" s="7" t="s">
        <v>1283</v>
      </c>
      <c r="G258" s="7" t="s">
        <v>1232</v>
      </c>
      <c r="H258" t="s">
        <v>452</v>
      </c>
    </row>
    <row r="259" spans="1:8" x14ac:dyDescent="0.2">
      <c r="A259" s="8">
        <v>33542</v>
      </c>
      <c r="B259" s="8" t="s">
        <v>1693</v>
      </c>
      <c r="C259" s="8" t="s">
        <v>426</v>
      </c>
      <c r="D259" s="8" t="s">
        <v>1275</v>
      </c>
      <c r="E259" s="8" t="s">
        <v>1273</v>
      </c>
      <c r="F259" s="8" t="s">
        <v>1274</v>
      </c>
      <c r="G259" s="8" t="s">
        <v>1232</v>
      </c>
      <c r="H259" t="s">
        <v>452</v>
      </c>
    </row>
    <row r="260" spans="1:8" hidden="1" x14ac:dyDescent="0.2">
      <c r="A260" s="7">
        <v>37843</v>
      </c>
      <c r="B260" s="7" t="s">
        <v>84</v>
      </c>
      <c r="C260" s="7" t="s">
        <v>83</v>
      </c>
      <c r="D260" s="7" t="s">
        <v>1238</v>
      </c>
      <c r="E260" s="7" t="s">
        <v>1229</v>
      </c>
      <c r="F260" s="7" t="s">
        <v>1230</v>
      </c>
      <c r="G260" s="7" t="s">
        <v>1232</v>
      </c>
      <c r="H260" t="s">
        <v>1932</v>
      </c>
    </row>
    <row r="261" spans="1:8" x14ac:dyDescent="0.2">
      <c r="A261" s="8">
        <v>36024</v>
      </c>
      <c r="B261" s="8" t="s">
        <v>1694</v>
      </c>
      <c r="C261" s="8" t="s">
        <v>57</v>
      </c>
      <c r="D261" s="8" t="s">
        <v>1287</v>
      </c>
      <c r="E261" s="8" t="s">
        <v>1273</v>
      </c>
      <c r="F261" s="8" t="s">
        <v>1274</v>
      </c>
      <c r="G261" s="8" t="s">
        <v>1232</v>
      </c>
      <c r="H261" t="s">
        <v>452</v>
      </c>
    </row>
    <row r="262" spans="1:8" hidden="1" x14ac:dyDescent="0.2">
      <c r="A262" s="7">
        <v>37354</v>
      </c>
      <c r="B262" s="7" t="s">
        <v>1695</v>
      </c>
      <c r="C262" s="7" t="s">
        <v>882</v>
      </c>
      <c r="D262" s="7" t="s">
        <v>1241</v>
      </c>
      <c r="E262" s="7" t="s">
        <v>1229</v>
      </c>
      <c r="F262" s="7" t="s">
        <v>1230</v>
      </c>
      <c r="G262" s="7" t="s">
        <v>1232</v>
      </c>
      <c r="H262" t="s">
        <v>1932</v>
      </c>
    </row>
    <row r="263" spans="1:8" hidden="1" x14ac:dyDescent="0.2">
      <c r="A263" s="8">
        <v>34245</v>
      </c>
      <c r="B263" s="8" t="s">
        <v>1696</v>
      </c>
      <c r="C263" s="8" t="s">
        <v>708</v>
      </c>
      <c r="D263" s="8" t="s">
        <v>1246</v>
      </c>
      <c r="E263" s="8" t="s">
        <v>1229</v>
      </c>
      <c r="F263" s="8" t="s">
        <v>1230</v>
      </c>
      <c r="G263" s="8" t="s">
        <v>1232</v>
      </c>
      <c r="H263" t="s">
        <v>1932</v>
      </c>
    </row>
    <row r="264" spans="1:8" x14ac:dyDescent="0.2">
      <c r="A264" s="7">
        <v>34275</v>
      </c>
      <c r="B264" s="7" t="s">
        <v>1697</v>
      </c>
      <c r="C264" s="7" t="s">
        <v>1191</v>
      </c>
      <c r="D264" s="7" t="s">
        <v>1233</v>
      </c>
      <c r="E264" s="7" t="s">
        <v>1229</v>
      </c>
      <c r="F264" s="7" t="s">
        <v>1230</v>
      </c>
      <c r="G264" s="7" t="s">
        <v>1232</v>
      </c>
      <c r="H264" t="s">
        <v>452</v>
      </c>
    </row>
    <row r="265" spans="1:8" x14ac:dyDescent="0.2">
      <c r="A265" s="8">
        <v>35651</v>
      </c>
      <c r="B265" s="8" t="s">
        <v>1698</v>
      </c>
      <c r="C265" s="8" t="s">
        <v>1699</v>
      </c>
      <c r="D265" s="8" t="s">
        <v>1700</v>
      </c>
      <c r="E265" s="8" t="s">
        <v>1273</v>
      </c>
      <c r="F265" s="8" t="s">
        <v>1274</v>
      </c>
      <c r="G265" s="8" t="s">
        <v>1232</v>
      </c>
      <c r="H265" t="s">
        <v>452</v>
      </c>
    </row>
    <row r="266" spans="1:8" hidden="1" x14ac:dyDescent="0.2">
      <c r="A266" s="7">
        <v>33413</v>
      </c>
      <c r="B266" s="7" t="s">
        <v>1701</v>
      </c>
      <c r="C266" s="7" t="s">
        <v>745</v>
      </c>
      <c r="D266" s="7" t="s">
        <v>1241</v>
      </c>
      <c r="E266" s="7" t="s">
        <v>1229</v>
      </c>
      <c r="F266" s="7" t="s">
        <v>1230</v>
      </c>
      <c r="G266" s="7" t="s">
        <v>1232</v>
      </c>
      <c r="H266" t="s">
        <v>1932</v>
      </c>
    </row>
    <row r="267" spans="1:8" hidden="1" x14ac:dyDescent="0.2">
      <c r="A267" s="8">
        <v>34522</v>
      </c>
      <c r="B267" s="8" t="s">
        <v>1702</v>
      </c>
      <c r="C267" s="8" t="s">
        <v>1703</v>
      </c>
      <c r="D267" s="8" t="s">
        <v>1328</v>
      </c>
      <c r="E267" s="8" t="s">
        <v>1266</v>
      </c>
      <c r="F267" s="8" t="s">
        <v>1271</v>
      </c>
      <c r="G267" s="8" t="s">
        <v>1232</v>
      </c>
      <c r="H267" t="s">
        <v>1932</v>
      </c>
    </row>
    <row r="268" spans="1:8" x14ac:dyDescent="0.2">
      <c r="A268" s="7">
        <v>34087</v>
      </c>
      <c r="B268" s="7" t="s">
        <v>1704</v>
      </c>
      <c r="C268" s="7" t="s">
        <v>564</v>
      </c>
      <c r="D268" s="7" t="s">
        <v>1258</v>
      </c>
      <c r="E268" s="7" t="s">
        <v>1249</v>
      </c>
      <c r="F268" s="7" t="s">
        <v>1257</v>
      </c>
      <c r="G268" s="7" t="s">
        <v>1232</v>
      </c>
      <c r="H268" t="s">
        <v>452</v>
      </c>
    </row>
    <row r="269" spans="1:8" x14ac:dyDescent="0.2">
      <c r="A269" s="8">
        <v>37766</v>
      </c>
      <c r="B269" s="8" t="s">
        <v>1705</v>
      </c>
      <c r="C269" s="8" t="s">
        <v>461</v>
      </c>
      <c r="D269" s="8" t="s">
        <v>1280</v>
      </c>
      <c r="E269" s="8" t="s">
        <v>1273</v>
      </c>
      <c r="F269" s="8" t="s">
        <v>1274</v>
      </c>
      <c r="G269" s="8" t="s">
        <v>1232</v>
      </c>
      <c r="H269" t="s">
        <v>452</v>
      </c>
    </row>
    <row r="270" spans="1:8" hidden="1" x14ac:dyDescent="0.2">
      <c r="A270" s="7">
        <v>36187</v>
      </c>
      <c r="B270" s="7" t="s">
        <v>1706</v>
      </c>
      <c r="C270" s="7" t="s">
        <v>1012</v>
      </c>
      <c r="D270" s="7" t="s">
        <v>1238</v>
      </c>
      <c r="E270" s="7" t="s">
        <v>1229</v>
      </c>
      <c r="F270" s="7" t="s">
        <v>1230</v>
      </c>
      <c r="G270" s="7" t="s">
        <v>1232</v>
      </c>
      <c r="H270" t="s">
        <v>1932</v>
      </c>
    </row>
    <row r="271" spans="1:8" x14ac:dyDescent="0.2">
      <c r="A271" s="8">
        <v>33689</v>
      </c>
      <c r="B271" s="8" t="s">
        <v>1707</v>
      </c>
      <c r="C271" s="8" t="s">
        <v>306</v>
      </c>
      <c r="D271" s="8" t="s">
        <v>1300</v>
      </c>
      <c r="E271" s="8" t="s">
        <v>1229</v>
      </c>
      <c r="F271" s="8" t="s">
        <v>1263</v>
      </c>
      <c r="G271" s="8" t="s">
        <v>1232</v>
      </c>
      <c r="H271" t="s">
        <v>452</v>
      </c>
    </row>
    <row r="272" spans="1:8" hidden="1" x14ac:dyDescent="0.2">
      <c r="A272" s="7">
        <v>33744</v>
      </c>
      <c r="B272" s="7" t="s">
        <v>1708</v>
      </c>
      <c r="C272" s="7" t="s">
        <v>716</v>
      </c>
      <c r="D272" s="7" t="s">
        <v>1246</v>
      </c>
      <c r="E272" s="7" t="s">
        <v>1229</v>
      </c>
      <c r="F272" s="7" t="s">
        <v>1230</v>
      </c>
      <c r="G272" s="7" t="s">
        <v>1232</v>
      </c>
      <c r="H272" t="s">
        <v>1932</v>
      </c>
    </row>
    <row r="273" spans="1:8" x14ac:dyDescent="0.2">
      <c r="A273" s="8">
        <v>31230</v>
      </c>
      <c r="B273" s="8" t="s">
        <v>1709</v>
      </c>
      <c r="C273" s="8" t="s">
        <v>853</v>
      </c>
      <c r="D273" s="8" t="s">
        <v>1240</v>
      </c>
      <c r="E273" s="8" t="s">
        <v>1229</v>
      </c>
      <c r="F273" s="8" t="s">
        <v>1230</v>
      </c>
      <c r="G273" s="8" t="s">
        <v>1232</v>
      </c>
      <c r="H273" t="s">
        <v>452</v>
      </c>
    </row>
    <row r="274" spans="1:8" hidden="1" x14ac:dyDescent="0.2">
      <c r="A274" s="7">
        <v>24805</v>
      </c>
      <c r="B274" s="7" t="s">
        <v>1303</v>
      </c>
      <c r="C274" s="7" t="s">
        <v>511</v>
      </c>
      <c r="D274" s="7" t="s">
        <v>1270</v>
      </c>
      <c r="E274" s="7" t="s">
        <v>1266</v>
      </c>
      <c r="F274" s="7" t="s">
        <v>1269</v>
      </c>
      <c r="G274" s="7" t="s">
        <v>1232</v>
      </c>
      <c r="H274" t="s">
        <v>1932</v>
      </c>
    </row>
    <row r="275" spans="1:8" hidden="1" x14ac:dyDescent="0.2">
      <c r="A275" s="8">
        <v>36219</v>
      </c>
      <c r="B275" s="8" t="s">
        <v>1710</v>
      </c>
      <c r="C275" s="8" t="s">
        <v>44</v>
      </c>
      <c r="D275" s="8" t="s">
        <v>1243</v>
      </c>
      <c r="E275" s="8" t="s">
        <v>1229</v>
      </c>
      <c r="F275" s="8" t="s">
        <v>1230</v>
      </c>
      <c r="G275" s="8" t="s">
        <v>1232</v>
      </c>
      <c r="H275" t="s">
        <v>1932</v>
      </c>
    </row>
    <row r="276" spans="1:8" hidden="1" x14ac:dyDescent="0.2">
      <c r="A276" s="7">
        <v>25091</v>
      </c>
      <c r="B276" s="7" t="s">
        <v>1711</v>
      </c>
      <c r="C276" s="7" t="s">
        <v>1126</v>
      </c>
      <c r="D276" s="7" t="s">
        <v>1233</v>
      </c>
      <c r="E276" s="7" t="s">
        <v>1229</v>
      </c>
      <c r="F276" s="7" t="s">
        <v>1230</v>
      </c>
      <c r="G276" s="7" t="s">
        <v>1232</v>
      </c>
      <c r="H276" t="s">
        <v>1932</v>
      </c>
    </row>
    <row r="277" spans="1:8" hidden="1" x14ac:dyDescent="0.2">
      <c r="A277" s="8">
        <v>32818</v>
      </c>
      <c r="B277" s="8" t="s">
        <v>1712</v>
      </c>
      <c r="C277" s="8" t="s">
        <v>1713</v>
      </c>
      <c r="D277" s="8" t="s">
        <v>1231</v>
      </c>
      <c r="E277" s="8" t="s">
        <v>1229</v>
      </c>
      <c r="F277" s="8" t="s">
        <v>1230</v>
      </c>
      <c r="G277" s="8" t="s">
        <v>1232</v>
      </c>
      <c r="H277" t="s">
        <v>1932</v>
      </c>
    </row>
    <row r="278" spans="1:8" x14ac:dyDescent="0.2">
      <c r="A278" s="7">
        <v>34274</v>
      </c>
      <c r="B278" s="7" t="s">
        <v>1714</v>
      </c>
      <c r="C278" s="7" t="s">
        <v>861</v>
      </c>
      <c r="D278" s="7" t="s">
        <v>1241</v>
      </c>
      <c r="E278" s="7" t="s">
        <v>1229</v>
      </c>
      <c r="F278" s="7" t="s">
        <v>1230</v>
      </c>
      <c r="G278" s="7" t="s">
        <v>1232</v>
      </c>
      <c r="H278" t="s">
        <v>452</v>
      </c>
    </row>
    <row r="279" spans="1:8" hidden="1" x14ac:dyDescent="0.2">
      <c r="A279" s="8">
        <v>34520</v>
      </c>
      <c r="B279" s="8" t="s">
        <v>1715</v>
      </c>
      <c r="C279" s="8" t="s">
        <v>1716</v>
      </c>
      <c r="D279" s="8" t="s">
        <v>1241</v>
      </c>
      <c r="E279" s="8" t="s">
        <v>1229</v>
      </c>
      <c r="F279" s="8" t="s">
        <v>1230</v>
      </c>
      <c r="G279" s="8" t="s">
        <v>1232</v>
      </c>
      <c r="H279" t="s">
        <v>1932</v>
      </c>
    </row>
    <row r="280" spans="1:8" hidden="1" x14ac:dyDescent="0.2">
      <c r="A280" s="7">
        <v>34685</v>
      </c>
      <c r="B280" s="7" t="s">
        <v>1717</v>
      </c>
      <c r="C280" s="7" t="s">
        <v>1718</v>
      </c>
      <c r="D280" s="7" t="s">
        <v>1241</v>
      </c>
      <c r="E280" s="7" t="s">
        <v>1229</v>
      </c>
      <c r="F280" s="7" t="s">
        <v>1230</v>
      </c>
      <c r="G280" s="7" t="s">
        <v>1232</v>
      </c>
      <c r="H280" t="s">
        <v>1932</v>
      </c>
    </row>
    <row r="281" spans="1:8" hidden="1" x14ac:dyDescent="0.2">
      <c r="A281" s="8">
        <v>34886</v>
      </c>
      <c r="B281" s="8" t="s">
        <v>1719</v>
      </c>
      <c r="C281" s="8" t="s">
        <v>175</v>
      </c>
      <c r="D281" s="8" t="s">
        <v>1328</v>
      </c>
      <c r="E281" s="8" t="s">
        <v>1266</v>
      </c>
      <c r="F281" s="8" t="s">
        <v>1271</v>
      </c>
      <c r="G281" s="8" t="s">
        <v>1232</v>
      </c>
      <c r="H281" t="s">
        <v>1932</v>
      </c>
    </row>
    <row r="282" spans="1:8" hidden="1" x14ac:dyDescent="0.2">
      <c r="A282" s="7">
        <v>33701</v>
      </c>
      <c r="B282" s="7" t="s">
        <v>1720</v>
      </c>
      <c r="C282" s="7" t="s">
        <v>1170</v>
      </c>
      <c r="D282" s="7" t="s">
        <v>1231</v>
      </c>
      <c r="E282" s="7" t="s">
        <v>1229</v>
      </c>
      <c r="F282" s="7" t="s">
        <v>1230</v>
      </c>
      <c r="G282" s="7" t="s">
        <v>1232</v>
      </c>
      <c r="H282" t="s">
        <v>1932</v>
      </c>
    </row>
    <row r="283" spans="1:8" hidden="1" x14ac:dyDescent="0.2">
      <c r="A283" s="8">
        <v>34192</v>
      </c>
      <c r="B283" s="8" t="s">
        <v>1304</v>
      </c>
      <c r="C283" s="8" t="s">
        <v>519</v>
      </c>
      <c r="D283" s="8" t="s">
        <v>1265</v>
      </c>
      <c r="E283" s="8" t="s">
        <v>1229</v>
      </c>
      <c r="F283" s="8" t="s">
        <v>1262</v>
      </c>
      <c r="G283" s="8" t="s">
        <v>1232</v>
      </c>
      <c r="H283" t="s">
        <v>1932</v>
      </c>
    </row>
    <row r="284" spans="1:8" hidden="1" x14ac:dyDescent="0.2">
      <c r="A284" s="7">
        <v>37594</v>
      </c>
      <c r="B284" s="7" t="s">
        <v>1721</v>
      </c>
      <c r="C284" s="7" t="s">
        <v>1073</v>
      </c>
      <c r="D284" s="7" t="s">
        <v>1238</v>
      </c>
      <c r="E284" s="7" t="s">
        <v>1229</v>
      </c>
      <c r="F284" s="7" t="s">
        <v>1230</v>
      </c>
      <c r="G284" s="7" t="s">
        <v>1232</v>
      </c>
      <c r="H284" t="s">
        <v>1932</v>
      </c>
    </row>
    <row r="285" spans="1:8" hidden="1" x14ac:dyDescent="0.2">
      <c r="A285" s="8">
        <v>34293</v>
      </c>
      <c r="B285" s="8" t="s">
        <v>1722</v>
      </c>
      <c r="C285" s="8" t="s">
        <v>910</v>
      </c>
      <c r="D285" s="8" t="s">
        <v>1241</v>
      </c>
      <c r="E285" s="8" t="s">
        <v>1229</v>
      </c>
      <c r="F285" s="8" t="s">
        <v>1230</v>
      </c>
      <c r="G285" s="8" t="s">
        <v>1232</v>
      </c>
      <c r="H285" t="s">
        <v>1932</v>
      </c>
    </row>
    <row r="286" spans="1:8" hidden="1" x14ac:dyDescent="0.2">
      <c r="A286" s="7">
        <v>34640</v>
      </c>
      <c r="B286" s="7" t="s">
        <v>1723</v>
      </c>
      <c r="C286" s="7" t="s">
        <v>616</v>
      </c>
      <c r="D286" s="7" t="s">
        <v>1235</v>
      </c>
      <c r="E286" s="7" t="s">
        <v>1229</v>
      </c>
      <c r="F286" s="7" t="s">
        <v>1230</v>
      </c>
      <c r="G286" s="7" t="s">
        <v>1232</v>
      </c>
      <c r="H286" t="s">
        <v>1932</v>
      </c>
    </row>
    <row r="287" spans="1:8" x14ac:dyDescent="0.2">
      <c r="A287" s="8">
        <v>31374</v>
      </c>
      <c r="B287" s="8" t="s">
        <v>1724</v>
      </c>
      <c r="C287" s="8" t="s">
        <v>434</v>
      </c>
      <c r="D287" s="8" t="s">
        <v>1287</v>
      </c>
      <c r="E287" s="8" t="s">
        <v>1273</v>
      </c>
      <c r="F287" s="8" t="s">
        <v>1274</v>
      </c>
      <c r="G287" s="8" t="s">
        <v>1232</v>
      </c>
      <c r="H287" t="s">
        <v>452</v>
      </c>
    </row>
    <row r="288" spans="1:8" hidden="1" x14ac:dyDescent="0.2">
      <c r="A288" s="7">
        <v>31753</v>
      </c>
      <c r="B288" s="7" t="s">
        <v>1725</v>
      </c>
      <c r="C288" s="7" t="s">
        <v>837</v>
      </c>
      <c r="D288" s="7" t="s">
        <v>1242</v>
      </c>
      <c r="E288" s="7" t="s">
        <v>1229</v>
      </c>
      <c r="F288" s="7" t="s">
        <v>1230</v>
      </c>
      <c r="G288" s="7" t="s">
        <v>1232</v>
      </c>
      <c r="H288" t="s">
        <v>1932</v>
      </c>
    </row>
    <row r="289" spans="1:8" x14ac:dyDescent="0.2">
      <c r="A289" s="8">
        <v>37520</v>
      </c>
      <c r="B289" s="8" t="s">
        <v>1726</v>
      </c>
      <c r="C289" s="8" t="s">
        <v>1727</v>
      </c>
      <c r="D289" s="8" t="s">
        <v>1325</v>
      </c>
      <c r="E289" s="8" t="s">
        <v>1266</v>
      </c>
      <c r="F289" s="8" t="s">
        <v>1298</v>
      </c>
      <c r="G289" s="8" t="s">
        <v>1232</v>
      </c>
      <c r="H289" t="s">
        <v>452</v>
      </c>
    </row>
    <row r="290" spans="1:8" hidden="1" x14ac:dyDescent="0.2">
      <c r="A290" s="7">
        <v>35069</v>
      </c>
      <c r="B290" s="7" t="s">
        <v>1728</v>
      </c>
      <c r="C290" s="7" t="s">
        <v>1729</v>
      </c>
      <c r="D290" s="7" t="s">
        <v>1238</v>
      </c>
      <c r="E290" s="7" t="s">
        <v>1229</v>
      </c>
      <c r="F290" s="7" t="s">
        <v>1230</v>
      </c>
      <c r="G290" s="7" t="s">
        <v>1232</v>
      </c>
      <c r="H290" t="s">
        <v>1932</v>
      </c>
    </row>
    <row r="291" spans="1:8" hidden="1" x14ac:dyDescent="0.2">
      <c r="A291" s="8">
        <v>36477</v>
      </c>
      <c r="B291" s="8" t="s">
        <v>1730</v>
      </c>
      <c r="C291" s="8" t="s">
        <v>1146</v>
      </c>
      <c r="D291" s="8" t="s">
        <v>1233</v>
      </c>
      <c r="E291" s="8" t="s">
        <v>1229</v>
      </c>
      <c r="F291" s="8" t="s">
        <v>1230</v>
      </c>
      <c r="G291" s="8" t="s">
        <v>1232</v>
      </c>
      <c r="H291" t="s">
        <v>1932</v>
      </c>
    </row>
    <row r="292" spans="1:8" x14ac:dyDescent="0.2">
      <c r="A292" s="7">
        <v>35659</v>
      </c>
      <c r="B292" s="7" t="s">
        <v>1731</v>
      </c>
      <c r="C292" s="7" t="s">
        <v>938</v>
      </c>
      <c r="D292" s="7" t="s">
        <v>1238</v>
      </c>
      <c r="E292" s="7" t="s">
        <v>1229</v>
      </c>
      <c r="F292" s="7" t="s">
        <v>1230</v>
      </c>
      <c r="G292" s="7" t="s">
        <v>1232</v>
      </c>
      <c r="H292" t="s">
        <v>452</v>
      </c>
    </row>
    <row r="293" spans="1:8" x14ac:dyDescent="0.2">
      <c r="A293" s="8">
        <v>35370</v>
      </c>
      <c r="B293" s="8" t="s">
        <v>1732</v>
      </c>
      <c r="C293" s="8" t="s">
        <v>30</v>
      </c>
      <c r="D293" s="8" t="s">
        <v>1238</v>
      </c>
      <c r="E293" s="8" t="s">
        <v>1229</v>
      </c>
      <c r="F293" s="8" t="s">
        <v>1230</v>
      </c>
      <c r="G293" s="8" t="s">
        <v>1232</v>
      </c>
      <c r="H293" t="s">
        <v>452</v>
      </c>
    </row>
    <row r="294" spans="1:8" x14ac:dyDescent="0.2">
      <c r="A294" s="7">
        <v>35106</v>
      </c>
      <c r="B294" s="7" t="s">
        <v>1733</v>
      </c>
      <c r="C294" s="7" t="s">
        <v>857</v>
      </c>
      <c r="D294" s="7" t="s">
        <v>1241</v>
      </c>
      <c r="E294" s="7" t="s">
        <v>1229</v>
      </c>
      <c r="F294" s="7" t="s">
        <v>1230</v>
      </c>
      <c r="G294" s="7" t="s">
        <v>1232</v>
      </c>
      <c r="H294" t="s">
        <v>452</v>
      </c>
    </row>
    <row r="295" spans="1:8" x14ac:dyDescent="0.2">
      <c r="A295" s="8">
        <v>34794</v>
      </c>
      <c r="B295" s="8" t="s">
        <v>1734</v>
      </c>
      <c r="C295" s="8" t="s">
        <v>950</v>
      </c>
      <c r="D295" s="8" t="s">
        <v>1238</v>
      </c>
      <c r="E295" s="8" t="s">
        <v>1229</v>
      </c>
      <c r="F295" s="8" t="s">
        <v>1230</v>
      </c>
      <c r="G295" s="8" t="s">
        <v>1232</v>
      </c>
      <c r="H295" t="s">
        <v>452</v>
      </c>
    </row>
    <row r="296" spans="1:8" hidden="1" x14ac:dyDescent="0.2">
      <c r="A296" s="7">
        <v>35011</v>
      </c>
      <c r="B296" s="7" t="s">
        <v>1735</v>
      </c>
      <c r="C296" s="7" t="s">
        <v>1736</v>
      </c>
      <c r="D296" s="7" t="s">
        <v>1241</v>
      </c>
      <c r="E296" s="7" t="s">
        <v>1229</v>
      </c>
      <c r="F296" s="7" t="s">
        <v>1230</v>
      </c>
      <c r="G296" s="7" t="s">
        <v>1232</v>
      </c>
      <c r="H296" t="s">
        <v>1932</v>
      </c>
    </row>
    <row r="297" spans="1:8" hidden="1" x14ac:dyDescent="0.2">
      <c r="A297" s="8">
        <v>35580</v>
      </c>
      <c r="B297" s="8" t="s">
        <v>1737</v>
      </c>
      <c r="C297" s="8" t="s">
        <v>1738</v>
      </c>
      <c r="D297" s="8" t="s">
        <v>1238</v>
      </c>
      <c r="E297" s="8" t="s">
        <v>1229</v>
      </c>
      <c r="F297" s="8" t="s">
        <v>1230</v>
      </c>
      <c r="G297" s="8" t="s">
        <v>1232</v>
      </c>
      <c r="H297" t="s">
        <v>1932</v>
      </c>
    </row>
    <row r="298" spans="1:8" hidden="1" x14ac:dyDescent="0.2">
      <c r="A298" s="7">
        <v>35969</v>
      </c>
      <c r="B298" s="7" t="s">
        <v>1739</v>
      </c>
      <c r="C298" s="7" t="s">
        <v>1065</v>
      </c>
      <c r="D298" s="7" t="s">
        <v>1238</v>
      </c>
      <c r="E298" s="7" t="s">
        <v>1229</v>
      </c>
      <c r="F298" s="7" t="s">
        <v>1230</v>
      </c>
      <c r="G298" s="7" t="s">
        <v>1232</v>
      </c>
      <c r="H298" t="s">
        <v>1932</v>
      </c>
    </row>
    <row r="299" spans="1:8" hidden="1" x14ac:dyDescent="0.2">
      <c r="A299" s="8">
        <v>35286</v>
      </c>
      <c r="B299" s="8" t="s">
        <v>1740</v>
      </c>
      <c r="C299" s="8" t="s">
        <v>1741</v>
      </c>
      <c r="D299" s="8" t="s">
        <v>1238</v>
      </c>
      <c r="E299" s="8" t="s">
        <v>1229</v>
      </c>
      <c r="F299" s="8" t="s">
        <v>1230</v>
      </c>
      <c r="G299" s="8" t="s">
        <v>1232</v>
      </c>
      <c r="H299" t="s">
        <v>1932</v>
      </c>
    </row>
    <row r="300" spans="1:8" hidden="1" x14ac:dyDescent="0.2">
      <c r="A300" s="7">
        <v>35810</v>
      </c>
      <c r="B300" s="7" t="s">
        <v>1742</v>
      </c>
      <c r="C300" s="7" t="s">
        <v>39</v>
      </c>
      <c r="D300" s="7" t="s">
        <v>1241</v>
      </c>
      <c r="E300" s="7" t="s">
        <v>1229</v>
      </c>
      <c r="F300" s="7" t="s">
        <v>1230</v>
      </c>
      <c r="G300" s="7" t="s">
        <v>1232</v>
      </c>
      <c r="H300" t="s">
        <v>1932</v>
      </c>
    </row>
    <row r="301" spans="1:8" hidden="1" x14ac:dyDescent="0.2">
      <c r="A301" s="8">
        <v>37635</v>
      </c>
      <c r="B301" s="8" t="s">
        <v>1743</v>
      </c>
      <c r="C301" s="8" t="s">
        <v>1744</v>
      </c>
      <c r="D301" s="8" t="s">
        <v>1233</v>
      </c>
      <c r="E301" s="8" t="s">
        <v>1229</v>
      </c>
      <c r="F301" s="8" t="s">
        <v>1230</v>
      </c>
      <c r="G301" s="8" t="s">
        <v>1232</v>
      </c>
      <c r="H301" t="s">
        <v>1932</v>
      </c>
    </row>
    <row r="302" spans="1:8" hidden="1" x14ac:dyDescent="0.2">
      <c r="A302" s="7">
        <v>36118</v>
      </c>
      <c r="B302" s="7" t="s">
        <v>1745</v>
      </c>
      <c r="C302" s="7" t="s">
        <v>1746</v>
      </c>
      <c r="D302" s="7" t="s">
        <v>1272</v>
      </c>
      <c r="E302" s="7" t="s">
        <v>1266</v>
      </c>
      <c r="F302" s="7" t="s">
        <v>1298</v>
      </c>
      <c r="G302" s="7" t="s">
        <v>1232</v>
      </c>
      <c r="H302" t="s">
        <v>1932</v>
      </c>
    </row>
    <row r="303" spans="1:8" x14ac:dyDescent="0.2">
      <c r="A303" s="8">
        <v>35965</v>
      </c>
      <c r="B303" s="8" t="s">
        <v>665</v>
      </c>
      <c r="C303" s="8" t="s">
        <v>664</v>
      </c>
      <c r="D303" s="8" t="s">
        <v>1241</v>
      </c>
      <c r="E303" s="8" t="s">
        <v>1229</v>
      </c>
      <c r="F303" s="8" t="s">
        <v>1230</v>
      </c>
      <c r="G303" s="8" t="s">
        <v>1232</v>
      </c>
      <c r="H303" t="s">
        <v>452</v>
      </c>
    </row>
    <row r="304" spans="1:8" hidden="1" x14ac:dyDescent="0.2">
      <c r="A304" s="7">
        <v>35979</v>
      </c>
      <c r="B304" s="7" t="s">
        <v>1747</v>
      </c>
      <c r="C304" s="7" t="s">
        <v>1174</v>
      </c>
      <c r="D304" s="7" t="s">
        <v>1231</v>
      </c>
      <c r="E304" s="7" t="s">
        <v>1229</v>
      </c>
      <c r="F304" s="7" t="s">
        <v>1230</v>
      </c>
      <c r="G304" s="7" t="s">
        <v>1232</v>
      </c>
      <c r="H304" t="s">
        <v>1932</v>
      </c>
    </row>
    <row r="305" spans="1:8" x14ac:dyDescent="0.2">
      <c r="A305" s="8">
        <v>37097</v>
      </c>
      <c r="B305" s="8" t="s">
        <v>1244</v>
      </c>
      <c r="C305" s="8" t="s">
        <v>552</v>
      </c>
      <c r="D305" s="8" t="s">
        <v>1243</v>
      </c>
      <c r="E305" s="8" t="s">
        <v>1229</v>
      </c>
      <c r="F305" s="8" t="s">
        <v>1247</v>
      </c>
      <c r="G305" s="8" t="s">
        <v>1232</v>
      </c>
      <c r="H305" t="s">
        <v>452</v>
      </c>
    </row>
    <row r="306" spans="1:8" hidden="1" x14ac:dyDescent="0.2">
      <c r="A306" s="7">
        <v>36677</v>
      </c>
      <c r="B306" s="7" t="s">
        <v>1748</v>
      </c>
      <c r="C306" s="7" t="s">
        <v>914</v>
      </c>
      <c r="D306" s="7" t="s">
        <v>1241</v>
      </c>
      <c r="E306" s="7" t="s">
        <v>1229</v>
      </c>
      <c r="F306" s="7" t="s">
        <v>1230</v>
      </c>
      <c r="G306" s="7" t="s">
        <v>1232</v>
      </c>
      <c r="H306" t="s">
        <v>1932</v>
      </c>
    </row>
    <row r="307" spans="1:8" hidden="1" x14ac:dyDescent="0.2">
      <c r="A307" s="8">
        <v>34319</v>
      </c>
      <c r="B307" s="8" t="s">
        <v>1749</v>
      </c>
      <c r="C307" s="8" t="s">
        <v>1162</v>
      </c>
      <c r="D307" s="8" t="s">
        <v>1231</v>
      </c>
      <c r="E307" s="8" t="s">
        <v>1229</v>
      </c>
      <c r="F307" s="8" t="s">
        <v>1230</v>
      </c>
      <c r="G307" s="8" t="s">
        <v>1232</v>
      </c>
      <c r="H307" t="s">
        <v>1932</v>
      </c>
    </row>
    <row r="308" spans="1:8" hidden="1" x14ac:dyDescent="0.2">
      <c r="A308" s="7">
        <v>32912</v>
      </c>
      <c r="B308" s="7" t="s">
        <v>1750</v>
      </c>
      <c r="C308" s="7" t="s">
        <v>902</v>
      </c>
      <c r="D308" s="7" t="s">
        <v>1241</v>
      </c>
      <c r="E308" s="7" t="s">
        <v>1229</v>
      </c>
      <c r="F308" s="7" t="s">
        <v>1230</v>
      </c>
      <c r="G308" s="7" t="s">
        <v>1232</v>
      </c>
      <c r="H308" t="s">
        <v>1932</v>
      </c>
    </row>
    <row r="309" spans="1:8" hidden="1" x14ac:dyDescent="0.2">
      <c r="A309" s="8">
        <v>32833</v>
      </c>
      <c r="B309" s="8" t="s">
        <v>1751</v>
      </c>
      <c r="C309" s="8" t="s">
        <v>1056</v>
      </c>
      <c r="D309" s="8" t="s">
        <v>1238</v>
      </c>
      <c r="E309" s="8" t="s">
        <v>1229</v>
      </c>
      <c r="F309" s="8" t="s">
        <v>1230</v>
      </c>
      <c r="G309" s="8" t="s">
        <v>1232</v>
      </c>
      <c r="H309" t="s">
        <v>1932</v>
      </c>
    </row>
    <row r="310" spans="1:8" hidden="1" x14ac:dyDescent="0.2">
      <c r="A310" s="7">
        <v>36109</v>
      </c>
      <c r="B310" s="7" t="s">
        <v>1752</v>
      </c>
      <c r="C310" s="7" t="s">
        <v>1753</v>
      </c>
      <c r="D310" s="7" t="s">
        <v>1238</v>
      </c>
      <c r="E310" s="7" t="s">
        <v>1229</v>
      </c>
      <c r="F310" s="7" t="s">
        <v>1230</v>
      </c>
      <c r="G310" s="7" t="s">
        <v>1232</v>
      </c>
      <c r="H310" t="s">
        <v>1932</v>
      </c>
    </row>
    <row r="311" spans="1:8" hidden="1" x14ac:dyDescent="0.2">
      <c r="A311" s="8">
        <v>37851</v>
      </c>
      <c r="B311" s="8" t="s">
        <v>1754</v>
      </c>
      <c r="C311" s="8" t="s">
        <v>73</v>
      </c>
      <c r="D311" s="8" t="s">
        <v>1238</v>
      </c>
      <c r="E311" s="8" t="s">
        <v>1229</v>
      </c>
      <c r="F311" s="8" t="s">
        <v>1230</v>
      </c>
      <c r="G311" s="8" t="s">
        <v>1232</v>
      </c>
      <c r="H311" t="s">
        <v>1932</v>
      </c>
    </row>
    <row r="312" spans="1:8" hidden="1" x14ac:dyDescent="0.2">
      <c r="A312" s="7">
        <v>33345</v>
      </c>
      <c r="B312" s="7" t="s">
        <v>1755</v>
      </c>
      <c r="C312" s="7" t="s">
        <v>1756</v>
      </c>
      <c r="D312" s="7" t="s">
        <v>1757</v>
      </c>
      <c r="E312" s="7" t="s">
        <v>1273</v>
      </c>
      <c r="F312" s="7" t="s">
        <v>1274</v>
      </c>
      <c r="G312" s="7" t="s">
        <v>1232</v>
      </c>
      <c r="H312" t="s">
        <v>1932</v>
      </c>
    </row>
    <row r="313" spans="1:8" hidden="1" x14ac:dyDescent="0.2">
      <c r="A313" s="8">
        <v>37660</v>
      </c>
      <c r="B313" s="8" t="s">
        <v>1758</v>
      </c>
      <c r="C313" s="8" t="s">
        <v>1158</v>
      </c>
      <c r="D313" s="8" t="s">
        <v>1231</v>
      </c>
      <c r="E313" s="8" t="s">
        <v>1229</v>
      </c>
      <c r="F313" s="8" t="s">
        <v>1230</v>
      </c>
      <c r="G313" s="8" t="s">
        <v>1232</v>
      </c>
      <c r="H313" t="s">
        <v>1932</v>
      </c>
    </row>
    <row r="314" spans="1:8" x14ac:dyDescent="0.2">
      <c r="A314" s="7">
        <v>36992</v>
      </c>
      <c r="B314" s="7" t="s">
        <v>1759</v>
      </c>
      <c r="C314" s="7" t="s">
        <v>946</v>
      </c>
      <c r="D314" s="7" t="s">
        <v>1238</v>
      </c>
      <c r="E314" s="7" t="s">
        <v>1229</v>
      </c>
      <c r="F314" s="7" t="s">
        <v>1230</v>
      </c>
      <c r="G314" s="7" t="s">
        <v>1232</v>
      </c>
      <c r="H314" t="s">
        <v>452</v>
      </c>
    </row>
    <row r="315" spans="1:8" hidden="1" x14ac:dyDescent="0.2">
      <c r="A315" s="8">
        <v>37306</v>
      </c>
      <c r="B315" s="8" t="s">
        <v>1760</v>
      </c>
      <c r="C315" s="8" t="s">
        <v>63</v>
      </c>
      <c r="D315" s="8" t="s">
        <v>1238</v>
      </c>
      <c r="E315" s="8" t="s">
        <v>1229</v>
      </c>
      <c r="F315" s="8" t="s">
        <v>1230</v>
      </c>
      <c r="G315" s="8" t="s">
        <v>1232</v>
      </c>
      <c r="H315" t="s">
        <v>1932</v>
      </c>
    </row>
    <row r="316" spans="1:8" hidden="1" x14ac:dyDescent="0.2">
      <c r="A316" s="7">
        <v>37442</v>
      </c>
      <c r="B316" s="7" t="s">
        <v>1761</v>
      </c>
      <c r="C316" s="7" t="s">
        <v>906</v>
      </c>
      <c r="D316" s="7" t="s">
        <v>1241</v>
      </c>
      <c r="E316" s="7" t="s">
        <v>1229</v>
      </c>
      <c r="F316" s="7" t="s">
        <v>1230</v>
      </c>
      <c r="G316" s="7" t="s">
        <v>1232</v>
      </c>
      <c r="H316" t="s">
        <v>1932</v>
      </c>
    </row>
    <row r="317" spans="1:8" hidden="1" x14ac:dyDescent="0.2">
      <c r="A317" s="8">
        <v>37709</v>
      </c>
      <c r="B317" s="8" t="s">
        <v>1762</v>
      </c>
      <c r="C317" s="8" t="s">
        <v>833</v>
      </c>
      <c r="D317" s="8" t="s">
        <v>1242</v>
      </c>
      <c r="E317" s="8" t="s">
        <v>1229</v>
      </c>
      <c r="F317" s="8" t="s">
        <v>1230</v>
      </c>
      <c r="G317" s="8" t="s">
        <v>1232</v>
      </c>
      <c r="H317" t="s">
        <v>1932</v>
      </c>
    </row>
    <row r="318" spans="1:8" x14ac:dyDescent="0.2">
      <c r="A318" s="7">
        <v>37796</v>
      </c>
      <c r="B318" s="7" t="s">
        <v>1763</v>
      </c>
      <c r="C318" s="7" t="s">
        <v>310</v>
      </c>
      <c r="D318" s="7" t="s">
        <v>1300</v>
      </c>
      <c r="E318" s="7" t="s">
        <v>1229</v>
      </c>
      <c r="F318" s="7" t="s">
        <v>1263</v>
      </c>
      <c r="G318" s="7" t="s">
        <v>1232</v>
      </c>
      <c r="H318" t="s">
        <v>452</v>
      </c>
    </row>
    <row r="319" spans="1:8" x14ac:dyDescent="0.2">
      <c r="A319" s="8">
        <v>37767</v>
      </c>
      <c r="B319" s="8" t="s">
        <v>1764</v>
      </c>
      <c r="C319" s="8" t="s">
        <v>469</v>
      </c>
      <c r="D319" s="8" t="s">
        <v>1280</v>
      </c>
      <c r="E319" s="8" t="s">
        <v>1273</v>
      </c>
      <c r="F319" s="8" t="s">
        <v>1274</v>
      </c>
      <c r="G319" s="8" t="s">
        <v>1232</v>
      </c>
      <c r="H319" t="s">
        <v>452</v>
      </c>
    </row>
    <row r="320" spans="1:8" hidden="1" x14ac:dyDescent="0.2">
      <c r="A320" s="7">
        <v>35560</v>
      </c>
      <c r="B320" s="7" t="s">
        <v>1765</v>
      </c>
      <c r="C320" s="7" t="s">
        <v>1032</v>
      </c>
      <c r="D320" s="7" t="s">
        <v>1238</v>
      </c>
      <c r="E320" s="7" t="s">
        <v>1229</v>
      </c>
      <c r="F320" s="7" t="s">
        <v>1230</v>
      </c>
      <c r="G320" s="7" t="s">
        <v>1232</v>
      </c>
      <c r="H320" t="s">
        <v>1932</v>
      </c>
    </row>
    <row r="321" spans="1:8" hidden="1" x14ac:dyDescent="0.2">
      <c r="A321" s="8">
        <v>35824</v>
      </c>
      <c r="B321" s="8" t="s">
        <v>1766</v>
      </c>
      <c r="C321" s="8" t="s">
        <v>358</v>
      </c>
      <c r="D321" s="8" t="s">
        <v>1300</v>
      </c>
      <c r="E321" s="8" t="s">
        <v>1229</v>
      </c>
      <c r="F321" s="8" t="s">
        <v>1263</v>
      </c>
      <c r="G321" s="8" t="s">
        <v>1232</v>
      </c>
      <c r="H321" t="s">
        <v>1932</v>
      </c>
    </row>
    <row r="322" spans="1:8" hidden="1" x14ac:dyDescent="0.2">
      <c r="A322" s="7">
        <v>35569</v>
      </c>
      <c r="B322" s="7" t="s">
        <v>1272</v>
      </c>
      <c r="C322" s="7" t="s">
        <v>136</v>
      </c>
      <c r="D322" s="7" t="s">
        <v>1336</v>
      </c>
      <c r="E322" s="7" t="s">
        <v>1266</v>
      </c>
      <c r="F322" s="7" t="s">
        <v>1335</v>
      </c>
      <c r="G322" s="7" t="s">
        <v>1232</v>
      </c>
      <c r="H322" t="s">
        <v>1932</v>
      </c>
    </row>
    <row r="323" spans="1:8" hidden="1" x14ac:dyDescent="0.2">
      <c r="A323" s="8">
        <v>35959</v>
      </c>
      <c r="B323" s="8" t="s">
        <v>1767</v>
      </c>
      <c r="C323" s="8" t="s">
        <v>1768</v>
      </c>
      <c r="D323" s="8" t="s">
        <v>1244</v>
      </c>
      <c r="E323" s="8" t="s">
        <v>1229</v>
      </c>
      <c r="F323" s="8" t="s">
        <v>1230</v>
      </c>
      <c r="G323" s="8" t="s">
        <v>1232</v>
      </c>
      <c r="H323" t="s">
        <v>1932</v>
      </c>
    </row>
    <row r="324" spans="1:8" hidden="1" x14ac:dyDescent="0.2">
      <c r="A324" s="7">
        <v>36651</v>
      </c>
      <c r="B324" s="7" t="s">
        <v>1769</v>
      </c>
      <c r="C324" s="7" t="s">
        <v>973</v>
      </c>
      <c r="D324" s="7" t="s">
        <v>1238</v>
      </c>
      <c r="E324" s="7" t="s">
        <v>1229</v>
      </c>
      <c r="F324" s="7" t="s">
        <v>1230</v>
      </c>
      <c r="G324" s="7" t="s">
        <v>1232</v>
      </c>
      <c r="H324" t="s">
        <v>1932</v>
      </c>
    </row>
    <row r="325" spans="1:8" hidden="1" x14ac:dyDescent="0.2">
      <c r="A325" s="8">
        <v>36249</v>
      </c>
      <c r="B325" s="8" t="s">
        <v>1770</v>
      </c>
      <c r="C325" s="8" t="s">
        <v>1771</v>
      </c>
      <c r="D325" s="8" t="s">
        <v>1243</v>
      </c>
      <c r="E325" s="8" t="s">
        <v>1229</v>
      </c>
      <c r="F325" s="8" t="s">
        <v>1230</v>
      </c>
      <c r="G325" s="8" t="s">
        <v>1232</v>
      </c>
      <c r="H325" t="s">
        <v>1932</v>
      </c>
    </row>
    <row r="326" spans="1:8" hidden="1" x14ac:dyDescent="0.2">
      <c r="A326" s="7">
        <v>36853</v>
      </c>
      <c r="B326" s="7" t="s">
        <v>1772</v>
      </c>
      <c r="C326" s="7" t="s">
        <v>796</v>
      </c>
      <c r="D326" s="7" t="s">
        <v>1244</v>
      </c>
      <c r="E326" s="7" t="s">
        <v>1229</v>
      </c>
      <c r="F326" s="7" t="s">
        <v>1230</v>
      </c>
      <c r="G326" s="7" t="s">
        <v>1232</v>
      </c>
      <c r="H326" t="s">
        <v>1932</v>
      </c>
    </row>
    <row r="327" spans="1:8" hidden="1" x14ac:dyDescent="0.2">
      <c r="A327" s="8">
        <v>33832</v>
      </c>
      <c r="B327" s="8" t="s">
        <v>1773</v>
      </c>
      <c r="C327" s="8" t="s">
        <v>61</v>
      </c>
      <c r="D327" s="8" t="s">
        <v>1284</v>
      </c>
      <c r="E327" s="8" t="s">
        <v>1273</v>
      </c>
      <c r="F327" s="8" t="s">
        <v>1274</v>
      </c>
      <c r="G327" s="8" t="s">
        <v>1232</v>
      </c>
      <c r="H327" t="s">
        <v>1932</v>
      </c>
    </row>
    <row r="328" spans="1:8" hidden="1" x14ac:dyDescent="0.2">
      <c r="A328" s="7">
        <v>37508</v>
      </c>
      <c r="B328" s="7" t="s">
        <v>1774</v>
      </c>
      <c r="C328" s="7" t="s">
        <v>1004</v>
      </c>
      <c r="D328" s="7" t="s">
        <v>1238</v>
      </c>
      <c r="E328" s="7" t="s">
        <v>1229</v>
      </c>
      <c r="F328" s="7" t="s">
        <v>1230</v>
      </c>
      <c r="G328" s="7" t="s">
        <v>1232</v>
      </c>
      <c r="H328" t="s">
        <v>1932</v>
      </c>
    </row>
    <row r="329" spans="1:8" hidden="1" x14ac:dyDescent="0.2">
      <c r="A329" s="8">
        <v>33665</v>
      </c>
      <c r="B329" s="8" t="s">
        <v>1775</v>
      </c>
      <c r="C329" s="8" t="s">
        <v>1776</v>
      </c>
      <c r="D329" s="8" t="s">
        <v>1238</v>
      </c>
      <c r="E329" s="8" t="s">
        <v>1229</v>
      </c>
      <c r="F329" s="8" t="s">
        <v>1230</v>
      </c>
      <c r="G329" s="8" t="s">
        <v>1232</v>
      </c>
      <c r="H329" t="s">
        <v>1932</v>
      </c>
    </row>
    <row r="330" spans="1:8" hidden="1" x14ac:dyDescent="0.2">
      <c r="A330" s="7">
        <v>37623</v>
      </c>
      <c r="B330" s="7" t="s">
        <v>1777</v>
      </c>
      <c r="C330" s="7" t="s">
        <v>60</v>
      </c>
      <c r="D330" s="7" t="s">
        <v>1233</v>
      </c>
      <c r="E330" s="7" t="s">
        <v>1229</v>
      </c>
      <c r="F330" s="7" t="s">
        <v>1230</v>
      </c>
      <c r="G330" s="7" t="s">
        <v>1232</v>
      </c>
      <c r="H330" t="s">
        <v>1932</v>
      </c>
    </row>
    <row r="331" spans="1:8" x14ac:dyDescent="0.2">
      <c r="A331" s="8">
        <v>34839</v>
      </c>
      <c r="B331" s="8" t="s">
        <v>1778</v>
      </c>
      <c r="C331" s="8" t="s">
        <v>212</v>
      </c>
      <c r="D331" s="8" t="s">
        <v>1326</v>
      </c>
      <c r="E331" s="8" t="s">
        <v>1266</v>
      </c>
      <c r="F331" s="8" t="s">
        <v>1324</v>
      </c>
      <c r="G331" s="8" t="s">
        <v>1232</v>
      </c>
      <c r="H331" t="s">
        <v>452</v>
      </c>
    </row>
    <row r="332" spans="1:8" hidden="1" x14ac:dyDescent="0.2">
      <c r="A332" s="7">
        <v>37668</v>
      </c>
      <c r="B332" s="7" t="s">
        <v>1779</v>
      </c>
      <c r="C332" s="7" t="s">
        <v>1780</v>
      </c>
      <c r="D332" s="7" t="s">
        <v>1238</v>
      </c>
      <c r="E332" s="7" t="s">
        <v>1229</v>
      </c>
      <c r="F332" s="7" t="s">
        <v>1230</v>
      </c>
      <c r="G332" s="7" t="s">
        <v>1232</v>
      </c>
      <c r="H332" t="s">
        <v>1932</v>
      </c>
    </row>
    <row r="333" spans="1:8" hidden="1" x14ac:dyDescent="0.2">
      <c r="A333" s="8">
        <v>36382</v>
      </c>
      <c r="B333" s="8" t="s">
        <v>1781</v>
      </c>
      <c r="C333" s="8" t="s">
        <v>1782</v>
      </c>
      <c r="D333" s="8" t="s">
        <v>1241</v>
      </c>
      <c r="E333" s="8" t="s">
        <v>1229</v>
      </c>
      <c r="F333" s="8" t="s">
        <v>1230</v>
      </c>
      <c r="G333" s="8" t="s">
        <v>1232</v>
      </c>
      <c r="H333" t="s">
        <v>1932</v>
      </c>
    </row>
    <row r="334" spans="1:8" hidden="1" x14ac:dyDescent="0.2">
      <c r="A334" s="7">
        <v>37249</v>
      </c>
      <c r="B334" s="7" t="s">
        <v>1783</v>
      </c>
      <c r="C334" s="7" t="s">
        <v>886</v>
      </c>
      <c r="D334" s="7" t="s">
        <v>1241</v>
      </c>
      <c r="E334" s="7" t="s">
        <v>1229</v>
      </c>
      <c r="F334" s="7" t="s">
        <v>1230</v>
      </c>
      <c r="G334" s="7" t="s">
        <v>1232</v>
      </c>
      <c r="H334" t="s">
        <v>1932</v>
      </c>
    </row>
    <row r="335" spans="1:8" hidden="1" x14ac:dyDescent="0.2">
      <c r="A335" s="8">
        <v>37352</v>
      </c>
      <c r="B335" s="8" t="s">
        <v>1784</v>
      </c>
      <c r="C335" s="8" t="s">
        <v>74</v>
      </c>
      <c r="D335" s="8" t="s">
        <v>1241</v>
      </c>
      <c r="E335" s="8" t="s">
        <v>1229</v>
      </c>
      <c r="F335" s="8" t="s">
        <v>1230</v>
      </c>
      <c r="G335" s="8" t="s">
        <v>1232</v>
      </c>
      <c r="H335" t="s">
        <v>1932</v>
      </c>
    </row>
    <row r="336" spans="1:8" x14ac:dyDescent="0.2">
      <c r="A336" s="7">
        <v>36627</v>
      </c>
      <c r="B336" s="7" t="s">
        <v>1785</v>
      </c>
      <c r="C336" s="7" t="s">
        <v>1786</v>
      </c>
      <c r="D336" s="7" t="s">
        <v>1238</v>
      </c>
      <c r="E336" s="7" t="s">
        <v>1229</v>
      </c>
      <c r="F336" s="7" t="s">
        <v>1230</v>
      </c>
      <c r="G336" s="7" t="s">
        <v>1232</v>
      </c>
      <c r="H336" t="s">
        <v>452</v>
      </c>
    </row>
    <row r="337" spans="1:8" hidden="1" x14ac:dyDescent="0.2">
      <c r="A337" s="8">
        <v>36924</v>
      </c>
      <c r="B337" s="8" t="s">
        <v>1787</v>
      </c>
      <c r="C337" s="8" t="s">
        <v>187</v>
      </c>
      <c r="D337" s="8" t="s">
        <v>1331</v>
      </c>
      <c r="E337" s="8" t="s">
        <v>1266</v>
      </c>
      <c r="F337" s="8" t="s">
        <v>1271</v>
      </c>
      <c r="G337" s="8" t="s">
        <v>1232</v>
      </c>
      <c r="H337" t="s">
        <v>1932</v>
      </c>
    </row>
    <row r="338" spans="1:8" hidden="1" x14ac:dyDescent="0.2">
      <c r="A338" s="7">
        <v>37383</v>
      </c>
      <c r="B338" s="7" t="s">
        <v>1788</v>
      </c>
      <c r="C338" s="7" t="s">
        <v>800</v>
      </c>
      <c r="D338" s="7" t="s">
        <v>1244</v>
      </c>
      <c r="E338" s="7" t="s">
        <v>1229</v>
      </c>
      <c r="F338" s="7" t="s">
        <v>1230</v>
      </c>
      <c r="G338" s="7" t="s">
        <v>1232</v>
      </c>
      <c r="H338" t="s">
        <v>1932</v>
      </c>
    </row>
    <row r="339" spans="1:8" x14ac:dyDescent="0.2">
      <c r="A339" s="8">
        <v>37382</v>
      </c>
      <c r="B339" s="8" t="s">
        <v>1789</v>
      </c>
      <c r="C339" s="8" t="s">
        <v>1790</v>
      </c>
      <c r="D339" s="8" t="s">
        <v>1244</v>
      </c>
      <c r="E339" s="8" t="s">
        <v>1229</v>
      </c>
      <c r="F339" s="8" t="s">
        <v>1230</v>
      </c>
      <c r="G339" s="8" t="s">
        <v>1232</v>
      </c>
      <c r="H339" t="s">
        <v>452</v>
      </c>
    </row>
    <row r="340" spans="1:8" x14ac:dyDescent="0.2">
      <c r="A340" s="7">
        <v>37077</v>
      </c>
      <c r="B340" s="7" t="s">
        <v>1791</v>
      </c>
      <c r="C340" s="7" t="s">
        <v>1792</v>
      </c>
      <c r="D340" s="7" t="s">
        <v>1243</v>
      </c>
      <c r="E340" s="7" t="s">
        <v>1229</v>
      </c>
      <c r="F340" s="7" t="s">
        <v>1230</v>
      </c>
      <c r="G340" s="7" t="s">
        <v>1232</v>
      </c>
      <c r="H340" t="s">
        <v>452</v>
      </c>
    </row>
    <row r="341" spans="1:8" hidden="1" x14ac:dyDescent="0.2">
      <c r="A341" s="8">
        <v>37593</v>
      </c>
      <c r="B341" s="8" t="s">
        <v>1793</v>
      </c>
      <c r="C341" s="8" t="s">
        <v>1052</v>
      </c>
      <c r="D341" s="8" t="s">
        <v>1238</v>
      </c>
      <c r="E341" s="8" t="s">
        <v>1229</v>
      </c>
      <c r="F341" s="8" t="s">
        <v>1230</v>
      </c>
      <c r="G341" s="8" t="s">
        <v>1232</v>
      </c>
      <c r="H341" t="s">
        <v>1932</v>
      </c>
    </row>
    <row r="342" spans="1:8" hidden="1" x14ac:dyDescent="0.2">
      <c r="A342" s="7">
        <v>37145</v>
      </c>
      <c r="B342" s="7" t="s">
        <v>1794</v>
      </c>
      <c r="C342" s="7" t="s">
        <v>330</v>
      </c>
      <c r="D342" s="7" t="s">
        <v>1303</v>
      </c>
      <c r="E342" s="7" t="s">
        <v>1266</v>
      </c>
      <c r="F342" s="7" t="s">
        <v>1269</v>
      </c>
      <c r="G342" s="7" t="s">
        <v>1232</v>
      </c>
      <c r="H342" t="s">
        <v>1932</v>
      </c>
    </row>
    <row r="343" spans="1:8" hidden="1" x14ac:dyDescent="0.2">
      <c r="A343" s="8">
        <v>37355</v>
      </c>
      <c r="B343" s="8" t="s">
        <v>1795</v>
      </c>
      <c r="C343" s="8" t="s">
        <v>1796</v>
      </c>
      <c r="D343" s="8" t="s">
        <v>1241</v>
      </c>
      <c r="E343" s="8" t="s">
        <v>1229</v>
      </c>
      <c r="F343" s="8" t="s">
        <v>1230</v>
      </c>
      <c r="G343" s="8" t="s">
        <v>1232</v>
      </c>
      <c r="H343" t="s">
        <v>1932</v>
      </c>
    </row>
    <row r="344" spans="1:8" x14ac:dyDescent="0.2">
      <c r="A344" s="7">
        <v>37304</v>
      </c>
      <c r="B344" s="7" t="s">
        <v>1797</v>
      </c>
      <c r="C344" s="7" t="s">
        <v>934</v>
      </c>
      <c r="D344" s="7" t="s">
        <v>1238</v>
      </c>
      <c r="E344" s="7" t="s">
        <v>1229</v>
      </c>
      <c r="F344" s="7" t="s">
        <v>1230</v>
      </c>
      <c r="G344" s="7" t="s">
        <v>1232</v>
      </c>
      <c r="H344" t="s">
        <v>452</v>
      </c>
    </row>
    <row r="345" spans="1:8" x14ac:dyDescent="0.2">
      <c r="A345" s="8">
        <v>37420</v>
      </c>
      <c r="B345" s="8" t="s">
        <v>1798</v>
      </c>
      <c r="C345" s="8" t="s">
        <v>1799</v>
      </c>
      <c r="D345" s="8" t="s">
        <v>1238</v>
      </c>
      <c r="E345" s="8" t="s">
        <v>1229</v>
      </c>
      <c r="F345" s="8" t="s">
        <v>1230</v>
      </c>
      <c r="G345" s="8" t="s">
        <v>1232</v>
      </c>
      <c r="H345" t="s">
        <v>452</v>
      </c>
    </row>
    <row r="346" spans="1:8" hidden="1" x14ac:dyDescent="0.2">
      <c r="A346" s="7">
        <v>37519</v>
      </c>
      <c r="B346" s="7" t="s">
        <v>1800</v>
      </c>
      <c r="C346" s="7" t="s">
        <v>354</v>
      </c>
      <c r="D346" s="7" t="s">
        <v>1299</v>
      </c>
      <c r="E346" s="7" t="s">
        <v>1266</v>
      </c>
      <c r="F346" s="7" t="s">
        <v>1298</v>
      </c>
      <c r="G346" s="7" t="s">
        <v>1232</v>
      </c>
      <c r="H346" t="s">
        <v>1932</v>
      </c>
    </row>
    <row r="347" spans="1:8" hidden="1" x14ac:dyDescent="0.2">
      <c r="A347" s="8">
        <v>37624</v>
      </c>
      <c r="B347" s="8" t="s">
        <v>1801</v>
      </c>
      <c r="C347" s="8" t="s">
        <v>1106</v>
      </c>
      <c r="D347" s="8" t="s">
        <v>1233</v>
      </c>
      <c r="E347" s="8" t="s">
        <v>1229</v>
      </c>
      <c r="F347" s="8" t="s">
        <v>1230</v>
      </c>
      <c r="G347" s="8" t="s">
        <v>1232</v>
      </c>
      <c r="H347" t="s">
        <v>1932</v>
      </c>
    </row>
    <row r="348" spans="1:8" x14ac:dyDescent="0.2">
      <c r="A348" s="7">
        <v>37852</v>
      </c>
      <c r="B348" s="7" t="s">
        <v>1802</v>
      </c>
      <c r="C348" s="7" t="s">
        <v>482</v>
      </c>
      <c r="D348" s="7" t="s">
        <v>1282</v>
      </c>
      <c r="E348" s="7" t="s">
        <v>1273</v>
      </c>
      <c r="F348" s="7" t="s">
        <v>1281</v>
      </c>
      <c r="G348" s="7" t="s">
        <v>1232</v>
      </c>
      <c r="H348" t="s">
        <v>452</v>
      </c>
    </row>
    <row r="349" spans="1:8" x14ac:dyDescent="0.2">
      <c r="A349" s="8">
        <v>37798</v>
      </c>
      <c r="B349" s="8" t="s">
        <v>1803</v>
      </c>
      <c r="C349" s="8" t="s">
        <v>490</v>
      </c>
      <c r="D349" s="8" t="s">
        <v>447</v>
      </c>
      <c r="E349" s="8" t="s">
        <v>1273</v>
      </c>
      <c r="F349" s="8" t="s">
        <v>1279</v>
      </c>
      <c r="G349" s="8" t="s">
        <v>1232</v>
      </c>
      <c r="H349" t="s">
        <v>452</v>
      </c>
    </row>
    <row r="350" spans="1:8" hidden="1" x14ac:dyDescent="0.2">
      <c r="A350" s="7">
        <v>37856</v>
      </c>
      <c r="B350" s="7" t="s">
        <v>1804</v>
      </c>
      <c r="C350" s="7" t="s">
        <v>988</v>
      </c>
      <c r="D350" s="7" t="s">
        <v>1238</v>
      </c>
      <c r="E350" s="7" t="s">
        <v>1229</v>
      </c>
      <c r="F350" s="7" t="s">
        <v>1230</v>
      </c>
      <c r="G350" s="7" t="s">
        <v>1232</v>
      </c>
      <c r="H350" t="s">
        <v>1932</v>
      </c>
    </row>
    <row r="351" spans="1:8" hidden="1" x14ac:dyDescent="0.2">
      <c r="A351" s="8">
        <v>34340</v>
      </c>
      <c r="B351" s="8" t="s">
        <v>1805</v>
      </c>
      <c r="C351" s="8" t="s">
        <v>108</v>
      </c>
      <c r="D351" s="8" t="s">
        <v>1329</v>
      </c>
      <c r="E351" s="8" t="s">
        <v>1266</v>
      </c>
      <c r="F351" s="8" t="s">
        <v>1271</v>
      </c>
      <c r="G351" s="8" t="s">
        <v>1232</v>
      </c>
      <c r="H351" t="s">
        <v>1932</v>
      </c>
    </row>
    <row r="352" spans="1:8" hidden="1" x14ac:dyDescent="0.2">
      <c r="A352" s="7">
        <v>34411</v>
      </c>
      <c r="B352" s="7" t="s">
        <v>1806</v>
      </c>
      <c r="C352" s="7" t="s">
        <v>612</v>
      </c>
      <c r="D352" s="7" t="s">
        <v>1241</v>
      </c>
      <c r="E352" s="7" t="s">
        <v>1229</v>
      </c>
      <c r="F352" s="7" t="s">
        <v>1230</v>
      </c>
      <c r="G352" s="7" t="s">
        <v>1232</v>
      </c>
      <c r="H352" t="s">
        <v>1932</v>
      </c>
    </row>
    <row r="353" spans="1:8" hidden="1" x14ac:dyDescent="0.2">
      <c r="A353" s="8">
        <v>34885</v>
      </c>
      <c r="B353" s="8" t="s">
        <v>1807</v>
      </c>
      <c r="C353" s="8" t="s">
        <v>183</v>
      </c>
      <c r="D353" s="8" t="s">
        <v>1328</v>
      </c>
      <c r="E353" s="8" t="s">
        <v>1266</v>
      </c>
      <c r="F353" s="8" t="s">
        <v>1271</v>
      </c>
      <c r="G353" s="8" t="s">
        <v>1232</v>
      </c>
      <c r="H353" t="s">
        <v>1932</v>
      </c>
    </row>
    <row r="354" spans="1:8" hidden="1" x14ac:dyDescent="0.2">
      <c r="A354" s="7">
        <v>34840</v>
      </c>
      <c r="B354" s="7" t="s">
        <v>1808</v>
      </c>
      <c r="C354" s="7" t="s">
        <v>132</v>
      </c>
      <c r="D354" s="7" t="s">
        <v>1323</v>
      </c>
      <c r="E354" s="7" t="s">
        <v>1266</v>
      </c>
      <c r="F354" s="7" t="s">
        <v>1324</v>
      </c>
      <c r="G354" s="7" t="s">
        <v>1232</v>
      </c>
      <c r="H354" t="s">
        <v>1932</v>
      </c>
    </row>
    <row r="355" spans="1:8" hidden="1" x14ac:dyDescent="0.2">
      <c r="A355" s="8">
        <v>35022</v>
      </c>
      <c r="B355" s="8" t="s">
        <v>1809</v>
      </c>
      <c r="C355" s="8" t="s">
        <v>1810</v>
      </c>
      <c r="D355" s="8" t="s">
        <v>1238</v>
      </c>
      <c r="E355" s="8" t="s">
        <v>1229</v>
      </c>
      <c r="F355" s="8" t="s">
        <v>1230</v>
      </c>
      <c r="G355" s="8" t="s">
        <v>1232</v>
      </c>
      <c r="H355" t="s">
        <v>1932</v>
      </c>
    </row>
    <row r="356" spans="1:8" hidden="1" x14ac:dyDescent="0.2">
      <c r="A356" s="7">
        <v>36384</v>
      </c>
      <c r="B356" s="7" t="s">
        <v>1811</v>
      </c>
      <c r="C356" s="7" t="s">
        <v>700</v>
      </c>
      <c r="D356" s="7" t="s">
        <v>1246</v>
      </c>
      <c r="E356" s="7" t="s">
        <v>1229</v>
      </c>
      <c r="F356" s="7" t="s">
        <v>1230</v>
      </c>
      <c r="G356" s="7" t="s">
        <v>1232</v>
      </c>
      <c r="H356" t="s">
        <v>1932</v>
      </c>
    </row>
    <row r="357" spans="1:8" hidden="1" x14ac:dyDescent="0.2">
      <c r="A357" s="8">
        <v>36242</v>
      </c>
      <c r="B357" s="8" t="s">
        <v>1812</v>
      </c>
      <c r="C357" s="8" t="s">
        <v>620</v>
      </c>
      <c r="D357" s="8" t="s">
        <v>1238</v>
      </c>
      <c r="E357" s="8" t="s">
        <v>1229</v>
      </c>
      <c r="F357" s="8" t="s">
        <v>1230</v>
      </c>
      <c r="G357" s="8" t="s">
        <v>1232</v>
      </c>
      <c r="H357" t="s">
        <v>1932</v>
      </c>
    </row>
    <row r="358" spans="1:8" hidden="1" x14ac:dyDescent="0.2">
      <c r="A358" s="7">
        <v>37361</v>
      </c>
      <c r="B358" s="7" t="s">
        <v>1813</v>
      </c>
      <c r="C358" s="7" t="s">
        <v>845</v>
      </c>
      <c r="D358" s="7" t="s">
        <v>1242</v>
      </c>
      <c r="E358" s="7" t="s">
        <v>1229</v>
      </c>
      <c r="F358" s="7" t="s">
        <v>1230</v>
      </c>
      <c r="G358" s="7" t="s">
        <v>1232</v>
      </c>
      <c r="H358" t="s">
        <v>1932</v>
      </c>
    </row>
    <row r="359" spans="1:8" hidden="1" x14ac:dyDescent="0.2">
      <c r="A359" s="8">
        <v>36789</v>
      </c>
      <c r="B359" s="8" t="s">
        <v>1814</v>
      </c>
      <c r="C359" s="8" t="s">
        <v>1114</v>
      </c>
      <c r="D359" s="8" t="s">
        <v>1233</v>
      </c>
      <c r="E359" s="8" t="s">
        <v>1229</v>
      </c>
      <c r="F359" s="8" t="s">
        <v>1230</v>
      </c>
      <c r="G359" s="8" t="s">
        <v>1232</v>
      </c>
      <c r="H359" t="s">
        <v>1932</v>
      </c>
    </row>
    <row r="360" spans="1:8" hidden="1" x14ac:dyDescent="0.2">
      <c r="A360" s="7">
        <v>36626</v>
      </c>
      <c r="B360" s="7" t="s">
        <v>1815</v>
      </c>
      <c r="C360" s="7" t="s">
        <v>1016</v>
      </c>
      <c r="D360" s="7" t="s">
        <v>1238</v>
      </c>
      <c r="E360" s="7" t="s">
        <v>1229</v>
      </c>
      <c r="F360" s="7" t="s">
        <v>1230</v>
      </c>
      <c r="G360" s="7" t="s">
        <v>1232</v>
      </c>
      <c r="H360" t="s">
        <v>1932</v>
      </c>
    </row>
    <row r="361" spans="1:8" hidden="1" x14ac:dyDescent="0.2">
      <c r="A361" s="8">
        <v>37058</v>
      </c>
      <c r="B361" s="8" t="s">
        <v>1816</v>
      </c>
      <c r="C361" s="8" t="s">
        <v>1182</v>
      </c>
      <c r="D361" s="8" t="s">
        <v>1231</v>
      </c>
      <c r="E361" s="8" t="s">
        <v>1229</v>
      </c>
      <c r="F361" s="8" t="s">
        <v>1230</v>
      </c>
      <c r="G361" s="8" t="s">
        <v>1232</v>
      </c>
      <c r="H361" t="s">
        <v>1932</v>
      </c>
    </row>
    <row r="362" spans="1:8" hidden="1" x14ac:dyDescent="0.2">
      <c r="A362" s="7">
        <v>36988</v>
      </c>
      <c r="B362" s="7" t="s">
        <v>1817</v>
      </c>
      <c r="C362" s="7" t="s">
        <v>1040</v>
      </c>
      <c r="D362" s="7" t="s">
        <v>1238</v>
      </c>
      <c r="E362" s="7" t="s">
        <v>1229</v>
      </c>
      <c r="F362" s="7" t="s">
        <v>1230</v>
      </c>
      <c r="G362" s="7" t="s">
        <v>1232</v>
      </c>
      <c r="H362" t="s">
        <v>1932</v>
      </c>
    </row>
    <row r="363" spans="1:8" x14ac:dyDescent="0.2">
      <c r="A363" s="8">
        <v>37298</v>
      </c>
      <c r="B363" s="8" t="s">
        <v>1818</v>
      </c>
      <c r="C363" s="8" t="s">
        <v>1204</v>
      </c>
      <c r="D363" s="8" t="s">
        <v>1241</v>
      </c>
      <c r="E363" s="8" t="s">
        <v>1229</v>
      </c>
      <c r="F363" s="8" t="s">
        <v>1230</v>
      </c>
      <c r="G363" s="8" t="s">
        <v>1232</v>
      </c>
      <c r="H363" t="s">
        <v>452</v>
      </c>
    </row>
    <row r="364" spans="1:8" hidden="1" x14ac:dyDescent="0.2">
      <c r="A364" s="7">
        <v>37094</v>
      </c>
      <c r="B364" s="7" t="s">
        <v>516</v>
      </c>
      <c r="C364" s="7" t="s">
        <v>515</v>
      </c>
      <c r="D364" s="7" t="s">
        <v>1246</v>
      </c>
      <c r="E364" s="7" t="s">
        <v>1229</v>
      </c>
      <c r="F364" s="7" t="s">
        <v>1247</v>
      </c>
      <c r="G364" s="7" t="s">
        <v>1232</v>
      </c>
      <c r="H364" t="s">
        <v>1932</v>
      </c>
    </row>
    <row r="365" spans="1:8" hidden="1" x14ac:dyDescent="0.2">
      <c r="A365" s="8">
        <v>37510</v>
      </c>
      <c r="B365" s="8" t="s">
        <v>1819</v>
      </c>
      <c r="C365" s="8" t="s">
        <v>1061</v>
      </c>
      <c r="D365" s="8" t="s">
        <v>1238</v>
      </c>
      <c r="E365" s="8" t="s">
        <v>1229</v>
      </c>
      <c r="F365" s="8" t="s">
        <v>1230</v>
      </c>
      <c r="G365" s="8" t="s">
        <v>1232</v>
      </c>
      <c r="H365" t="s">
        <v>1932</v>
      </c>
    </row>
    <row r="366" spans="1:8" x14ac:dyDescent="0.2">
      <c r="A366" s="7">
        <v>37507</v>
      </c>
      <c r="B366" s="7" t="s">
        <v>1820</v>
      </c>
      <c r="C366" s="7" t="s">
        <v>216</v>
      </c>
      <c r="D366" s="7" t="s">
        <v>1328</v>
      </c>
      <c r="E366" s="7" t="s">
        <v>1266</v>
      </c>
      <c r="F366" s="7" t="s">
        <v>1271</v>
      </c>
      <c r="G366" s="7" t="s">
        <v>1232</v>
      </c>
      <c r="H366" t="s">
        <v>452</v>
      </c>
    </row>
    <row r="367" spans="1:8" x14ac:dyDescent="0.2">
      <c r="A367" s="8">
        <v>37815</v>
      </c>
      <c r="B367" s="8" t="s">
        <v>1821</v>
      </c>
      <c r="C367" s="8" t="s">
        <v>498</v>
      </c>
      <c r="D367" s="8" t="s">
        <v>1276</v>
      </c>
      <c r="E367" s="8" t="s">
        <v>1273</v>
      </c>
      <c r="F367" s="8" t="s">
        <v>1274</v>
      </c>
      <c r="G367" s="8" t="s">
        <v>1232</v>
      </c>
      <c r="H367" t="s">
        <v>452</v>
      </c>
    </row>
    <row r="368" spans="1:8" x14ac:dyDescent="0.2">
      <c r="A368" s="7">
        <v>37797</v>
      </c>
      <c r="B368" s="7" t="s">
        <v>1822</v>
      </c>
      <c r="C368" s="7" t="s">
        <v>290</v>
      </c>
      <c r="D368" s="7" t="s">
        <v>1313</v>
      </c>
      <c r="E368" s="7" t="s">
        <v>1229</v>
      </c>
      <c r="F368" s="7" t="s">
        <v>1263</v>
      </c>
      <c r="G368" s="7" t="s">
        <v>1232</v>
      </c>
      <c r="H368" t="s">
        <v>452</v>
      </c>
    </row>
    <row r="369" spans="1:8" hidden="1" x14ac:dyDescent="0.2">
      <c r="A369" s="8">
        <v>25741</v>
      </c>
      <c r="B369" s="8" t="s">
        <v>1823</v>
      </c>
      <c r="C369" s="8" t="s">
        <v>392</v>
      </c>
      <c r="D369" s="8" t="s">
        <v>447</v>
      </c>
      <c r="E369" s="8" t="s">
        <v>1273</v>
      </c>
      <c r="F369" s="8" t="s">
        <v>1279</v>
      </c>
      <c r="G369" s="8" t="s">
        <v>1232</v>
      </c>
      <c r="H369" t="s">
        <v>1932</v>
      </c>
    </row>
    <row r="370" spans="1:8" hidden="1" x14ac:dyDescent="0.2">
      <c r="A370" s="7">
        <v>33572</v>
      </c>
      <c r="B370" s="7" t="s">
        <v>1824</v>
      </c>
      <c r="C370" s="7" t="s">
        <v>67</v>
      </c>
      <c r="D370" s="7" t="s">
        <v>1241</v>
      </c>
      <c r="E370" s="7" t="s">
        <v>1229</v>
      </c>
      <c r="F370" s="7" t="s">
        <v>1230</v>
      </c>
      <c r="G370" s="7" t="s">
        <v>1232</v>
      </c>
      <c r="H370" t="s">
        <v>1932</v>
      </c>
    </row>
    <row r="371" spans="1:8" hidden="1" x14ac:dyDescent="0.2">
      <c r="A371" s="8">
        <v>35398</v>
      </c>
      <c r="B371" s="8" t="s">
        <v>1825</v>
      </c>
      <c r="C371" s="8" t="s">
        <v>64</v>
      </c>
      <c r="D371" s="8" t="s">
        <v>1242</v>
      </c>
      <c r="E371" s="8" t="s">
        <v>1229</v>
      </c>
      <c r="F371" s="8" t="s">
        <v>1230</v>
      </c>
      <c r="G371" s="8" t="s">
        <v>1232</v>
      </c>
      <c r="H371" t="s">
        <v>1932</v>
      </c>
    </row>
    <row r="372" spans="1:8" x14ac:dyDescent="0.2">
      <c r="A372" s="7">
        <v>27791</v>
      </c>
      <c r="B372" s="7" t="s">
        <v>1826</v>
      </c>
      <c r="C372" s="7" t="s">
        <v>1827</v>
      </c>
      <c r="D372" s="7" t="s">
        <v>1285</v>
      </c>
      <c r="E372" s="7" t="s">
        <v>1273</v>
      </c>
      <c r="F372" s="7" t="s">
        <v>1828</v>
      </c>
      <c r="G372" s="7" t="s">
        <v>1232</v>
      </c>
      <c r="H372" t="s">
        <v>452</v>
      </c>
    </row>
    <row r="373" spans="1:8" hidden="1" x14ac:dyDescent="0.2">
      <c r="A373" s="8">
        <v>34652</v>
      </c>
      <c r="B373" s="8" t="s">
        <v>1829</v>
      </c>
      <c r="C373" s="8" t="s">
        <v>161</v>
      </c>
      <c r="D373" s="8" t="s">
        <v>1299</v>
      </c>
      <c r="E373" s="8" t="s">
        <v>1266</v>
      </c>
      <c r="F373" s="8" t="s">
        <v>1330</v>
      </c>
      <c r="G373" s="8" t="s">
        <v>1232</v>
      </c>
      <c r="H373" t="s">
        <v>1932</v>
      </c>
    </row>
    <row r="374" spans="1:8" hidden="1" x14ac:dyDescent="0.2">
      <c r="A374" s="7">
        <v>36035</v>
      </c>
      <c r="B374" s="7" t="s">
        <v>1830</v>
      </c>
      <c r="C374" s="7" t="s">
        <v>38</v>
      </c>
      <c r="D374" s="7" t="s">
        <v>1241</v>
      </c>
      <c r="E374" s="7" t="s">
        <v>1229</v>
      </c>
      <c r="F374" s="7" t="s">
        <v>1230</v>
      </c>
      <c r="G374" s="7" t="s">
        <v>1232</v>
      </c>
      <c r="H374" t="s">
        <v>1932</v>
      </c>
    </row>
    <row r="375" spans="1:8" hidden="1" x14ac:dyDescent="0.2">
      <c r="A375" s="8">
        <v>26611</v>
      </c>
      <c r="B375" s="8" t="s">
        <v>1831</v>
      </c>
      <c r="C375" s="8" t="s">
        <v>1832</v>
      </c>
      <c r="D375" s="8" t="s">
        <v>1331</v>
      </c>
      <c r="E375" s="8" t="s">
        <v>1266</v>
      </c>
      <c r="F375" s="8" t="s">
        <v>1271</v>
      </c>
      <c r="G375" s="8" t="s">
        <v>1232</v>
      </c>
      <c r="H375" t="s">
        <v>1932</v>
      </c>
    </row>
    <row r="376" spans="1:8" hidden="1" x14ac:dyDescent="0.2">
      <c r="A376" s="7">
        <v>28152</v>
      </c>
      <c r="B376" s="7" t="s">
        <v>1833</v>
      </c>
      <c r="C376" s="7" t="s">
        <v>1834</v>
      </c>
      <c r="D376" s="7" t="s">
        <v>1331</v>
      </c>
      <c r="E376" s="7" t="s">
        <v>1266</v>
      </c>
      <c r="F376" s="7" t="s">
        <v>1271</v>
      </c>
      <c r="G376" s="7" t="s">
        <v>1232</v>
      </c>
      <c r="H376" t="s">
        <v>1932</v>
      </c>
    </row>
    <row r="377" spans="1:8" hidden="1" x14ac:dyDescent="0.2">
      <c r="A377" s="8">
        <v>27435</v>
      </c>
      <c r="B377" s="8" t="s">
        <v>1835</v>
      </c>
      <c r="C377" s="8" t="s">
        <v>788</v>
      </c>
      <c r="D377" s="8" t="s">
        <v>1244</v>
      </c>
      <c r="E377" s="8" t="s">
        <v>1229</v>
      </c>
      <c r="F377" s="8" t="s">
        <v>1230</v>
      </c>
      <c r="G377" s="8" t="s">
        <v>1232</v>
      </c>
      <c r="H377" t="s">
        <v>1932</v>
      </c>
    </row>
    <row r="378" spans="1:8" x14ac:dyDescent="0.2">
      <c r="A378" s="7">
        <v>27335</v>
      </c>
      <c r="B378" s="7" t="s">
        <v>1836</v>
      </c>
      <c r="C378" s="7" t="s">
        <v>29</v>
      </c>
      <c r="D378" s="7" t="s">
        <v>1326</v>
      </c>
      <c r="E378" s="7" t="s">
        <v>1266</v>
      </c>
      <c r="F378" s="7" t="s">
        <v>1324</v>
      </c>
      <c r="G378" s="7" t="s">
        <v>1232</v>
      </c>
      <c r="H378" t="s">
        <v>452</v>
      </c>
    </row>
    <row r="379" spans="1:8" hidden="1" x14ac:dyDescent="0.2">
      <c r="A379" s="8">
        <v>27493</v>
      </c>
      <c r="B379" s="8" t="s">
        <v>1837</v>
      </c>
      <c r="C379" s="8" t="s">
        <v>1098</v>
      </c>
      <c r="D379" s="8" t="s">
        <v>1233</v>
      </c>
      <c r="E379" s="8" t="s">
        <v>1229</v>
      </c>
      <c r="F379" s="8" t="s">
        <v>1230</v>
      </c>
      <c r="G379" s="8" t="s">
        <v>1232</v>
      </c>
      <c r="H379" t="s">
        <v>1932</v>
      </c>
    </row>
    <row r="380" spans="1:8" x14ac:dyDescent="0.2">
      <c r="A380" s="7">
        <v>32004</v>
      </c>
      <c r="B380" s="7" t="s">
        <v>1838</v>
      </c>
      <c r="C380" s="7" t="s">
        <v>302</v>
      </c>
      <c r="D380" s="7" t="s">
        <v>1312</v>
      </c>
      <c r="E380" s="7" t="s">
        <v>1229</v>
      </c>
      <c r="F380" s="7" t="s">
        <v>1263</v>
      </c>
      <c r="G380" s="7" t="s">
        <v>1232</v>
      </c>
      <c r="H380" t="s">
        <v>452</v>
      </c>
    </row>
    <row r="381" spans="1:8" x14ac:dyDescent="0.2">
      <c r="A381" s="8">
        <v>28080</v>
      </c>
      <c r="B381" s="8" t="s">
        <v>1839</v>
      </c>
      <c r="C381" s="8" t="s">
        <v>582</v>
      </c>
      <c r="D381" s="8" t="s">
        <v>1255</v>
      </c>
      <c r="E381" s="8" t="s">
        <v>1249</v>
      </c>
      <c r="F381" s="8" t="s">
        <v>1254</v>
      </c>
      <c r="G381" s="8" t="s">
        <v>1232</v>
      </c>
      <c r="H381" t="s">
        <v>452</v>
      </c>
    </row>
    <row r="382" spans="1:8" hidden="1" x14ac:dyDescent="0.2">
      <c r="A382" s="7">
        <v>37445</v>
      </c>
      <c r="B382" s="7" t="s">
        <v>1840</v>
      </c>
      <c r="C382" s="7" t="s">
        <v>1841</v>
      </c>
      <c r="D382" s="7" t="s">
        <v>1238</v>
      </c>
      <c r="E382" s="7" t="s">
        <v>1229</v>
      </c>
      <c r="F382" s="7" t="s">
        <v>1230</v>
      </c>
      <c r="G382" s="7" t="s">
        <v>1232</v>
      </c>
      <c r="H382" t="s">
        <v>1932</v>
      </c>
    </row>
    <row r="383" spans="1:8" hidden="1" x14ac:dyDescent="0.2">
      <c r="A383" s="8">
        <v>28782</v>
      </c>
      <c r="B383" s="8" t="s">
        <v>1842</v>
      </c>
      <c r="C383" s="8" t="s">
        <v>684</v>
      </c>
      <c r="D383" s="8" t="s">
        <v>1235</v>
      </c>
      <c r="E383" s="8" t="s">
        <v>1229</v>
      </c>
      <c r="F383" s="8" t="s">
        <v>1230</v>
      </c>
      <c r="G383" s="8" t="s">
        <v>1237</v>
      </c>
      <c r="H383" t="s">
        <v>1932</v>
      </c>
    </row>
    <row r="384" spans="1:8" hidden="1" x14ac:dyDescent="0.2">
      <c r="A384" s="7">
        <v>35117</v>
      </c>
      <c r="B384" s="7" t="s">
        <v>1843</v>
      </c>
      <c r="C384" s="7" t="s">
        <v>1036</v>
      </c>
      <c r="D384" s="7" t="s">
        <v>1238</v>
      </c>
      <c r="E384" s="7" t="s">
        <v>1229</v>
      </c>
      <c r="F384" s="7" t="s">
        <v>1230</v>
      </c>
      <c r="G384" s="7" t="s">
        <v>1232</v>
      </c>
      <c r="H384" t="s">
        <v>1932</v>
      </c>
    </row>
    <row r="385" spans="1:8" hidden="1" x14ac:dyDescent="0.2">
      <c r="A385" s="8">
        <v>28560</v>
      </c>
      <c r="B385" s="8" t="s">
        <v>1844</v>
      </c>
      <c r="C385" s="8" t="s">
        <v>808</v>
      </c>
      <c r="D385" s="8" t="s">
        <v>1244</v>
      </c>
      <c r="E385" s="8" t="s">
        <v>1229</v>
      </c>
      <c r="F385" s="8" t="s">
        <v>1230</v>
      </c>
      <c r="G385" s="8" t="s">
        <v>1232</v>
      </c>
      <c r="H385" t="s">
        <v>1932</v>
      </c>
    </row>
    <row r="386" spans="1:8" x14ac:dyDescent="0.2">
      <c r="A386" s="7">
        <v>28892</v>
      </c>
      <c r="B386" s="7" t="s">
        <v>1845</v>
      </c>
      <c r="C386" s="7" t="s">
        <v>587</v>
      </c>
      <c r="D386" s="7" t="s">
        <v>1256</v>
      </c>
      <c r="E386" s="7" t="s">
        <v>1249</v>
      </c>
      <c r="F386" s="7" t="s">
        <v>1252</v>
      </c>
      <c r="G386" s="7" t="s">
        <v>1232</v>
      </c>
      <c r="H386" t="s">
        <v>452</v>
      </c>
    </row>
    <row r="387" spans="1:8" hidden="1" x14ac:dyDescent="0.2">
      <c r="A387" s="8">
        <v>37281</v>
      </c>
      <c r="B387" s="8" t="s">
        <v>1846</v>
      </c>
      <c r="C387" s="8" t="s">
        <v>1847</v>
      </c>
      <c r="D387" s="8" t="s">
        <v>1244</v>
      </c>
      <c r="E387" s="8" t="s">
        <v>1229</v>
      </c>
      <c r="F387" s="8" t="s">
        <v>1230</v>
      </c>
      <c r="G387" s="8" t="s">
        <v>1232</v>
      </c>
      <c r="H387" t="s">
        <v>1932</v>
      </c>
    </row>
    <row r="388" spans="1:8" x14ac:dyDescent="0.2">
      <c r="A388" s="7">
        <v>36381</v>
      </c>
      <c r="B388" s="7" t="s">
        <v>1848</v>
      </c>
      <c r="C388" s="7" t="s">
        <v>1849</v>
      </c>
      <c r="D388" s="7" t="s">
        <v>1241</v>
      </c>
      <c r="E388" s="7" t="s">
        <v>1229</v>
      </c>
      <c r="F388" s="7" t="s">
        <v>1230</v>
      </c>
      <c r="G388" s="7" t="s">
        <v>1232</v>
      </c>
      <c r="H388" t="s">
        <v>452</v>
      </c>
    </row>
    <row r="389" spans="1:8" hidden="1" x14ac:dyDescent="0.2">
      <c r="A389" s="8">
        <v>35937</v>
      </c>
      <c r="B389" s="8" t="s">
        <v>1850</v>
      </c>
      <c r="C389" s="8" t="s">
        <v>1851</v>
      </c>
      <c r="D389" s="8" t="s">
        <v>1334</v>
      </c>
      <c r="E389" s="8" t="s">
        <v>1266</v>
      </c>
      <c r="F389" s="8" t="s">
        <v>1271</v>
      </c>
      <c r="G389" s="8" t="s">
        <v>1232</v>
      </c>
      <c r="H389" t="s">
        <v>1932</v>
      </c>
    </row>
    <row r="390" spans="1:8" hidden="1" x14ac:dyDescent="0.2">
      <c r="A390" s="7">
        <v>29558</v>
      </c>
      <c r="B390" s="7" t="s">
        <v>1852</v>
      </c>
      <c r="C390" s="7" t="s">
        <v>712</v>
      </c>
      <c r="D390" s="7" t="s">
        <v>1246</v>
      </c>
      <c r="E390" s="7" t="s">
        <v>1229</v>
      </c>
      <c r="F390" s="7" t="s">
        <v>1230</v>
      </c>
      <c r="G390" s="7" t="s">
        <v>1232</v>
      </c>
      <c r="H390" t="s">
        <v>1932</v>
      </c>
    </row>
    <row r="391" spans="1:8" x14ac:dyDescent="0.2">
      <c r="A391" s="8">
        <v>29656</v>
      </c>
      <c r="B391" s="8" t="s">
        <v>1853</v>
      </c>
      <c r="C391" s="8" t="s">
        <v>736</v>
      </c>
      <c r="D391" s="8" t="s">
        <v>1244</v>
      </c>
      <c r="E391" s="8" t="s">
        <v>1229</v>
      </c>
      <c r="F391" s="8" t="s">
        <v>1230</v>
      </c>
      <c r="G391" s="8" t="s">
        <v>1232</v>
      </c>
      <c r="H391" t="s">
        <v>452</v>
      </c>
    </row>
    <row r="392" spans="1:8" hidden="1" x14ac:dyDescent="0.2">
      <c r="A392" s="7">
        <v>37889</v>
      </c>
      <c r="B392" s="7" t="s">
        <v>1854</v>
      </c>
      <c r="C392" s="7" t="s">
        <v>1081</v>
      </c>
      <c r="D392" s="7" t="s">
        <v>516</v>
      </c>
      <c r="E392" s="7" t="s">
        <v>1229</v>
      </c>
      <c r="F392" s="7" t="s">
        <v>1230</v>
      </c>
      <c r="G392" s="7" t="s">
        <v>1232</v>
      </c>
      <c r="H392" t="s">
        <v>1932</v>
      </c>
    </row>
    <row r="393" spans="1:8" x14ac:dyDescent="0.2">
      <c r="A393" s="8">
        <v>36629</v>
      </c>
      <c r="B393" s="8" t="s">
        <v>1264</v>
      </c>
      <c r="C393" s="8" t="s">
        <v>285</v>
      </c>
      <c r="D393" s="8" t="s">
        <v>1312</v>
      </c>
      <c r="E393" s="8" t="s">
        <v>1229</v>
      </c>
      <c r="F393" s="8" t="s">
        <v>1263</v>
      </c>
      <c r="G393" s="8" t="s">
        <v>1232</v>
      </c>
      <c r="H393" t="s">
        <v>452</v>
      </c>
    </row>
    <row r="394" spans="1:8" hidden="1" x14ac:dyDescent="0.2">
      <c r="A394" s="7">
        <v>34165</v>
      </c>
      <c r="B394" s="7" t="s">
        <v>1855</v>
      </c>
      <c r="C394" s="7" t="s">
        <v>1856</v>
      </c>
      <c r="D394" s="7" t="s">
        <v>1328</v>
      </c>
      <c r="E394" s="7" t="s">
        <v>1266</v>
      </c>
      <c r="F394" s="7" t="s">
        <v>1271</v>
      </c>
      <c r="G394" s="7" t="s">
        <v>1232</v>
      </c>
      <c r="H394" t="s">
        <v>1932</v>
      </c>
    </row>
    <row r="395" spans="1:8" hidden="1" x14ac:dyDescent="0.2">
      <c r="A395" s="8">
        <v>33003</v>
      </c>
      <c r="B395" s="8" t="s">
        <v>1857</v>
      </c>
      <c r="C395" s="8" t="s">
        <v>1138</v>
      </c>
      <c r="D395" s="8" t="s">
        <v>1233</v>
      </c>
      <c r="E395" s="8" t="s">
        <v>1229</v>
      </c>
      <c r="F395" s="8" t="s">
        <v>1230</v>
      </c>
      <c r="G395" s="8" t="s">
        <v>1232</v>
      </c>
      <c r="H395" t="s">
        <v>1932</v>
      </c>
    </row>
    <row r="396" spans="1:8" hidden="1" x14ac:dyDescent="0.2">
      <c r="A396" s="7">
        <v>34584</v>
      </c>
      <c r="B396" s="7" t="s">
        <v>1858</v>
      </c>
      <c r="C396" s="7" t="s">
        <v>1859</v>
      </c>
      <c r="D396" s="7" t="s">
        <v>1233</v>
      </c>
      <c r="E396" s="7" t="s">
        <v>1229</v>
      </c>
      <c r="F396" s="7" t="s">
        <v>1230</v>
      </c>
      <c r="G396" s="7" t="s">
        <v>1232</v>
      </c>
      <c r="H396" t="s">
        <v>1932</v>
      </c>
    </row>
    <row r="397" spans="1:8" x14ac:dyDescent="0.2">
      <c r="A397" s="8">
        <v>31377</v>
      </c>
      <c r="B397" s="8" t="s">
        <v>1860</v>
      </c>
      <c r="C397" s="8" t="s">
        <v>442</v>
      </c>
      <c r="D397" s="8" t="s">
        <v>1276</v>
      </c>
      <c r="E397" s="8" t="s">
        <v>1273</v>
      </c>
      <c r="F397" s="8" t="s">
        <v>1274</v>
      </c>
      <c r="G397" s="8" t="s">
        <v>1232</v>
      </c>
      <c r="H397" t="s">
        <v>452</v>
      </c>
    </row>
    <row r="398" spans="1:8" x14ac:dyDescent="0.2">
      <c r="A398" s="7">
        <v>33781</v>
      </c>
      <c r="B398" s="7" t="s">
        <v>1861</v>
      </c>
      <c r="C398" s="7" t="s">
        <v>58</v>
      </c>
      <c r="D398" s="7" t="s">
        <v>1275</v>
      </c>
      <c r="E398" s="7" t="s">
        <v>1273</v>
      </c>
      <c r="F398" s="7" t="s">
        <v>1274</v>
      </c>
      <c r="G398" s="7" t="s">
        <v>1232</v>
      </c>
      <c r="H398" t="s">
        <v>452</v>
      </c>
    </row>
    <row r="399" spans="1:8" x14ac:dyDescent="0.2">
      <c r="A399" s="8">
        <v>31375</v>
      </c>
      <c r="B399" s="8" t="s">
        <v>1862</v>
      </c>
      <c r="C399" s="8" t="s">
        <v>430</v>
      </c>
      <c r="D399" s="8" t="s">
        <v>1276</v>
      </c>
      <c r="E399" s="8" t="s">
        <v>1273</v>
      </c>
      <c r="F399" s="8" t="s">
        <v>1274</v>
      </c>
      <c r="G399" s="8" t="s">
        <v>1232</v>
      </c>
      <c r="H399" t="s">
        <v>452</v>
      </c>
    </row>
    <row r="400" spans="1:8" hidden="1" x14ac:dyDescent="0.2">
      <c r="A400" s="7">
        <v>34933</v>
      </c>
      <c r="B400" s="7" t="s">
        <v>1863</v>
      </c>
      <c r="C400" s="7" t="s">
        <v>780</v>
      </c>
      <c r="D400" s="7" t="s">
        <v>1241</v>
      </c>
      <c r="E400" s="7" t="s">
        <v>1229</v>
      </c>
      <c r="F400" s="7" t="s">
        <v>1230</v>
      </c>
      <c r="G400" s="7" t="s">
        <v>1232</v>
      </c>
      <c r="H400" t="s">
        <v>1932</v>
      </c>
    </row>
    <row r="401" spans="1:8" x14ac:dyDescent="0.2">
      <c r="A401" s="8">
        <v>32007</v>
      </c>
      <c r="B401" s="8" t="s">
        <v>1864</v>
      </c>
      <c r="C401" s="8" t="s">
        <v>208</v>
      </c>
      <c r="D401" s="8" t="s">
        <v>1329</v>
      </c>
      <c r="E401" s="8" t="s">
        <v>1266</v>
      </c>
      <c r="F401" s="8" t="s">
        <v>1271</v>
      </c>
      <c r="G401" s="8" t="s">
        <v>1232</v>
      </c>
      <c r="H401" t="s">
        <v>452</v>
      </c>
    </row>
    <row r="402" spans="1:8" hidden="1" x14ac:dyDescent="0.2">
      <c r="A402" s="7">
        <v>35574</v>
      </c>
      <c r="B402" s="7" t="s">
        <v>1865</v>
      </c>
      <c r="C402" s="7" t="s">
        <v>1000</v>
      </c>
      <c r="D402" s="7" t="s">
        <v>1238</v>
      </c>
      <c r="E402" s="7" t="s">
        <v>1229</v>
      </c>
      <c r="F402" s="7" t="s">
        <v>1230</v>
      </c>
      <c r="G402" s="7" t="s">
        <v>1232</v>
      </c>
      <c r="H402" t="s">
        <v>1932</v>
      </c>
    </row>
    <row r="403" spans="1:8" hidden="1" x14ac:dyDescent="0.2">
      <c r="A403" s="8">
        <v>34364</v>
      </c>
      <c r="B403" s="8" t="s">
        <v>1866</v>
      </c>
      <c r="C403" s="8" t="s">
        <v>128</v>
      </c>
      <c r="D403" s="8" t="s">
        <v>1272</v>
      </c>
      <c r="E403" s="8" t="s">
        <v>1266</v>
      </c>
      <c r="F403" s="8" t="s">
        <v>1271</v>
      </c>
      <c r="G403" s="8" t="s">
        <v>1232</v>
      </c>
      <c r="H403" t="s">
        <v>1932</v>
      </c>
    </row>
    <row r="404" spans="1:8" hidden="1" x14ac:dyDescent="0.2">
      <c r="A404" s="7">
        <v>32762</v>
      </c>
      <c r="B404" s="7" t="s">
        <v>1867</v>
      </c>
      <c r="C404" s="7" t="s">
        <v>1868</v>
      </c>
      <c r="D404" s="7" t="s">
        <v>1231</v>
      </c>
      <c r="E404" s="7" t="s">
        <v>1229</v>
      </c>
      <c r="F404" s="7" t="s">
        <v>1230</v>
      </c>
      <c r="G404" s="7" t="s">
        <v>1232</v>
      </c>
      <c r="H404" t="s">
        <v>1932</v>
      </c>
    </row>
    <row r="405" spans="1:8" hidden="1" x14ac:dyDescent="0.2">
      <c r="A405" s="8">
        <v>37497</v>
      </c>
      <c r="B405" s="8" t="s">
        <v>1869</v>
      </c>
      <c r="C405" s="8" t="s">
        <v>76</v>
      </c>
      <c r="D405" s="8" t="s">
        <v>1241</v>
      </c>
      <c r="E405" s="8" t="s">
        <v>1229</v>
      </c>
      <c r="F405" s="8" t="s">
        <v>1230</v>
      </c>
      <c r="G405" s="8" t="s">
        <v>1232</v>
      </c>
      <c r="H405" t="s">
        <v>1932</v>
      </c>
    </row>
    <row r="406" spans="1:8" x14ac:dyDescent="0.2">
      <c r="A406" s="7">
        <v>33432</v>
      </c>
      <c r="B406" s="7" t="s">
        <v>1870</v>
      </c>
      <c r="C406" s="7" t="s">
        <v>199</v>
      </c>
      <c r="D406" s="7" t="s">
        <v>1323</v>
      </c>
      <c r="E406" s="7" t="s">
        <v>1266</v>
      </c>
      <c r="F406" s="7" t="s">
        <v>1330</v>
      </c>
      <c r="G406" s="7" t="s">
        <v>1232</v>
      </c>
      <c r="H406" t="s">
        <v>452</v>
      </c>
    </row>
    <row r="407" spans="1:8" x14ac:dyDescent="0.2">
      <c r="A407" s="8">
        <v>33490</v>
      </c>
      <c r="B407" s="8" t="s">
        <v>1871</v>
      </c>
      <c r="C407" s="8" t="s">
        <v>1195</v>
      </c>
      <c r="D407" s="8" t="s">
        <v>1233</v>
      </c>
      <c r="E407" s="8" t="s">
        <v>1229</v>
      </c>
      <c r="F407" s="8" t="s">
        <v>1230</v>
      </c>
      <c r="G407" s="8" t="s">
        <v>1232</v>
      </c>
      <c r="H407" t="s">
        <v>452</v>
      </c>
    </row>
    <row r="408" spans="1:8" hidden="1" x14ac:dyDescent="0.2">
      <c r="A408" s="7">
        <v>33568</v>
      </c>
      <c r="B408" s="7" t="s">
        <v>1872</v>
      </c>
      <c r="C408" s="7" t="s">
        <v>1873</v>
      </c>
      <c r="D408" s="7" t="s">
        <v>1241</v>
      </c>
      <c r="E408" s="7" t="s">
        <v>1229</v>
      </c>
      <c r="F408" s="7" t="s">
        <v>1230</v>
      </c>
      <c r="G408" s="7" t="s">
        <v>1232</v>
      </c>
      <c r="H408" t="s">
        <v>1932</v>
      </c>
    </row>
    <row r="409" spans="1:8" hidden="1" x14ac:dyDescent="0.2">
      <c r="A409" s="8">
        <v>33785</v>
      </c>
      <c r="B409" s="8" t="s">
        <v>1874</v>
      </c>
      <c r="C409" s="8" t="s">
        <v>1875</v>
      </c>
      <c r="D409" s="8" t="s">
        <v>447</v>
      </c>
      <c r="E409" s="8" t="s">
        <v>1273</v>
      </c>
      <c r="F409" s="8" t="s">
        <v>1279</v>
      </c>
      <c r="G409" s="8" t="s">
        <v>1232</v>
      </c>
      <c r="H409" t="s">
        <v>1932</v>
      </c>
    </row>
    <row r="410" spans="1:8" hidden="1" x14ac:dyDescent="0.2">
      <c r="A410" s="7">
        <v>33784</v>
      </c>
      <c r="B410" s="7" t="s">
        <v>1876</v>
      </c>
      <c r="C410" s="7" t="s">
        <v>1877</v>
      </c>
      <c r="D410" s="7" t="s">
        <v>1289</v>
      </c>
      <c r="E410" s="7" t="s">
        <v>1273</v>
      </c>
      <c r="F410" s="7" t="s">
        <v>1274</v>
      </c>
      <c r="G410" s="7" t="s">
        <v>1232</v>
      </c>
      <c r="H410" t="s">
        <v>1932</v>
      </c>
    </row>
    <row r="411" spans="1:8" hidden="1" x14ac:dyDescent="0.2">
      <c r="A411" s="8">
        <v>34246</v>
      </c>
      <c r="B411" s="8" t="s">
        <v>1878</v>
      </c>
      <c r="C411" s="8" t="s">
        <v>1879</v>
      </c>
      <c r="D411" s="8" t="s">
        <v>1246</v>
      </c>
      <c r="E411" s="8" t="s">
        <v>1229</v>
      </c>
      <c r="F411" s="8" t="s">
        <v>1230</v>
      </c>
      <c r="G411" s="8" t="s">
        <v>1232</v>
      </c>
      <c r="H411" t="s">
        <v>1932</v>
      </c>
    </row>
    <row r="412" spans="1:8" x14ac:dyDescent="0.2">
      <c r="A412" s="7">
        <v>34432</v>
      </c>
      <c r="B412" s="7" t="s">
        <v>1880</v>
      </c>
      <c r="C412" s="7" t="s">
        <v>523</v>
      </c>
      <c r="D412" s="7" t="s">
        <v>1242</v>
      </c>
      <c r="E412" s="7" t="s">
        <v>1229</v>
      </c>
      <c r="F412" s="7" t="s">
        <v>1230</v>
      </c>
      <c r="G412" s="7" t="s">
        <v>1232</v>
      </c>
      <c r="H412" t="s">
        <v>452</v>
      </c>
    </row>
    <row r="413" spans="1:8" hidden="1" x14ac:dyDescent="0.2">
      <c r="A413" s="8">
        <v>37688</v>
      </c>
      <c r="B413" s="8" t="s">
        <v>1881</v>
      </c>
      <c r="C413" s="8" t="s">
        <v>322</v>
      </c>
      <c r="D413" s="8" t="s">
        <v>1304</v>
      </c>
      <c r="E413" s="8" t="s">
        <v>1229</v>
      </c>
      <c r="F413" s="8" t="s">
        <v>1262</v>
      </c>
      <c r="G413" s="8" t="s">
        <v>1232</v>
      </c>
      <c r="H413" t="s">
        <v>1932</v>
      </c>
    </row>
    <row r="414" spans="1:8" hidden="1" x14ac:dyDescent="0.2">
      <c r="A414" s="7">
        <v>35446</v>
      </c>
      <c r="B414" s="7" t="s">
        <v>1882</v>
      </c>
      <c r="C414" s="7" t="s">
        <v>1883</v>
      </c>
      <c r="D414" s="7" t="s">
        <v>1246</v>
      </c>
      <c r="E414" s="7" t="s">
        <v>1229</v>
      </c>
      <c r="F414" s="7" t="s">
        <v>1230</v>
      </c>
      <c r="G414" s="7" t="s">
        <v>1232</v>
      </c>
      <c r="H414" t="s">
        <v>1932</v>
      </c>
    </row>
    <row r="415" spans="1:8" hidden="1" x14ac:dyDescent="0.2">
      <c r="A415" s="8">
        <v>34815</v>
      </c>
      <c r="B415" s="8" t="s">
        <v>1884</v>
      </c>
      <c r="C415" s="8" t="s">
        <v>890</v>
      </c>
      <c r="D415" s="8" t="s">
        <v>1241</v>
      </c>
      <c r="E415" s="8" t="s">
        <v>1229</v>
      </c>
      <c r="F415" s="8" t="s">
        <v>1230</v>
      </c>
      <c r="G415" s="8" t="s">
        <v>1232</v>
      </c>
      <c r="H415" t="s">
        <v>1932</v>
      </c>
    </row>
    <row r="416" spans="1:8" hidden="1" x14ac:dyDescent="0.2">
      <c r="A416" s="7">
        <v>34380</v>
      </c>
      <c r="B416" s="7" t="s">
        <v>1885</v>
      </c>
      <c r="C416" s="7" t="s">
        <v>1020</v>
      </c>
      <c r="D416" s="7" t="s">
        <v>1238</v>
      </c>
      <c r="E416" s="7" t="s">
        <v>1229</v>
      </c>
      <c r="F416" s="7" t="s">
        <v>1230</v>
      </c>
      <c r="G416" s="7" t="s">
        <v>1232</v>
      </c>
      <c r="H416" t="s">
        <v>1932</v>
      </c>
    </row>
    <row r="417" spans="1:8" hidden="1" x14ac:dyDescent="0.2">
      <c r="A417" s="8">
        <v>37131</v>
      </c>
      <c r="B417" s="8" t="s">
        <v>1886</v>
      </c>
      <c r="C417" s="8" t="s">
        <v>792</v>
      </c>
      <c r="D417" s="8" t="s">
        <v>1244</v>
      </c>
      <c r="E417" s="8" t="s">
        <v>1229</v>
      </c>
      <c r="F417" s="8" t="s">
        <v>1230</v>
      </c>
      <c r="G417" s="8" t="s">
        <v>1232</v>
      </c>
      <c r="H417" t="s">
        <v>1932</v>
      </c>
    </row>
    <row r="418" spans="1:8" x14ac:dyDescent="0.2">
      <c r="A418" s="7">
        <v>34814</v>
      </c>
      <c r="B418" s="7" t="s">
        <v>1887</v>
      </c>
      <c r="C418" s="7" t="s">
        <v>75</v>
      </c>
      <c r="D418" s="7" t="s">
        <v>1241</v>
      </c>
      <c r="E418" s="7" t="s">
        <v>1229</v>
      </c>
      <c r="F418" s="7" t="s">
        <v>1230</v>
      </c>
      <c r="G418" s="7" t="s">
        <v>1232</v>
      </c>
      <c r="H418" t="s">
        <v>452</v>
      </c>
    </row>
    <row r="419" spans="1:8" x14ac:dyDescent="0.2">
      <c r="A419" s="8">
        <v>35287</v>
      </c>
      <c r="B419" s="8" t="s">
        <v>1888</v>
      </c>
      <c r="C419" s="8" t="s">
        <v>954</v>
      </c>
      <c r="D419" s="8" t="s">
        <v>1238</v>
      </c>
      <c r="E419" s="8" t="s">
        <v>1229</v>
      </c>
      <c r="F419" s="8" t="s">
        <v>1230</v>
      </c>
      <c r="G419" s="8" t="s">
        <v>1232</v>
      </c>
      <c r="H419" t="s">
        <v>452</v>
      </c>
    </row>
    <row r="420" spans="1:8" hidden="1" x14ac:dyDescent="0.2">
      <c r="A420" s="7">
        <v>34559</v>
      </c>
      <c r="B420" s="7" t="s">
        <v>1889</v>
      </c>
      <c r="C420" s="7" t="s">
        <v>977</v>
      </c>
      <c r="D420" s="7" t="s">
        <v>1238</v>
      </c>
      <c r="E420" s="7" t="s">
        <v>1229</v>
      </c>
      <c r="F420" s="7" t="s">
        <v>1230</v>
      </c>
      <c r="G420" s="7" t="s">
        <v>1232</v>
      </c>
      <c r="H420" t="s">
        <v>1932</v>
      </c>
    </row>
    <row r="421" spans="1:8" hidden="1" x14ac:dyDescent="0.2">
      <c r="A421" s="8">
        <v>34616</v>
      </c>
      <c r="B421" s="8" t="s">
        <v>1287</v>
      </c>
      <c r="C421" s="8" t="s">
        <v>1890</v>
      </c>
      <c r="D421" s="8" t="s">
        <v>1891</v>
      </c>
      <c r="E421" s="8" t="s">
        <v>1273</v>
      </c>
      <c r="F421" s="8" t="s">
        <v>1274</v>
      </c>
      <c r="G421" s="8" t="s">
        <v>1232</v>
      </c>
      <c r="H421" t="s">
        <v>1932</v>
      </c>
    </row>
    <row r="422" spans="1:8" hidden="1" x14ac:dyDescent="0.2">
      <c r="A422" s="7">
        <v>34816</v>
      </c>
      <c r="B422" s="7" t="s">
        <v>1892</v>
      </c>
      <c r="C422" s="7" t="s">
        <v>649</v>
      </c>
      <c r="D422" s="7" t="s">
        <v>1241</v>
      </c>
      <c r="E422" s="7" t="s">
        <v>1229</v>
      </c>
      <c r="F422" s="7" t="s">
        <v>1230</v>
      </c>
      <c r="G422" s="7" t="s">
        <v>1232</v>
      </c>
      <c r="H422" t="s">
        <v>1932</v>
      </c>
    </row>
    <row r="423" spans="1:8" x14ac:dyDescent="0.2">
      <c r="A423" s="8">
        <v>34686</v>
      </c>
      <c r="B423" s="8" t="s">
        <v>1893</v>
      </c>
      <c r="C423" s="8" t="s">
        <v>668</v>
      </c>
      <c r="D423" s="8" t="s">
        <v>1241</v>
      </c>
      <c r="E423" s="8" t="s">
        <v>1229</v>
      </c>
      <c r="F423" s="8" t="s">
        <v>1230</v>
      </c>
      <c r="G423" s="8" t="s">
        <v>1232</v>
      </c>
      <c r="H423" t="s">
        <v>452</v>
      </c>
    </row>
    <row r="424" spans="1:8" x14ac:dyDescent="0.2">
      <c r="A424" s="7">
        <v>35145</v>
      </c>
      <c r="B424" s="7" t="s">
        <v>1894</v>
      </c>
      <c r="C424" s="7" t="s">
        <v>235</v>
      </c>
      <c r="D424" s="7" t="s">
        <v>1323</v>
      </c>
      <c r="E424" s="7" t="s">
        <v>1266</v>
      </c>
      <c r="F424" s="7" t="s">
        <v>1298</v>
      </c>
      <c r="G424" s="7" t="s">
        <v>1232</v>
      </c>
      <c r="H424" t="s">
        <v>452</v>
      </c>
    </row>
    <row r="425" spans="1:8" hidden="1" x14ac:dyDescent="0.2">
      <c r="A425" s="8">
        <v>35331</v>
      </c>
      <c r="B425" s="8" t="s">
        <v>1895</v>
      </c>
      <c r="C425" s="8" t="s">
        <v>825</v>
      </c>
      <c r="D425" s="8" t="s">
        <v>1242</v>
      </c>
      <c r="E425" s="8" t="s">
        <v>1229</v>
      </c>
      <c r="F425" s="8" t="s">
        <v>1230</v>
      </c>
      <c r="G425" s="8" t="s">
        <v>1232</v>
      </c>
      <c r="H425" t="s">
        <v>1932</v>
      </c>
    </row>
    <row r="426" spans="1:8" hidden="1" x14ac:dyDescent="0.2">
      <c r="A426" s="7">
        <v>35733</v>
      </c>
      <c r="B426" s="7" t="s">
        <v>965</v>
      </c>
      <c r="C426" s="7" t="s">
        <v>964</v>
      </c>
      <c r="D426" s="7" t="s">
        <v>1238</v>
      </c>
      <c r="E426" s="7" t="s">
        <v>1229</v>
      </c>
      <c r="F426" s="7" t="s">
        <v>1230</v>
      </c>
      <c r="G426" s="7" t="s">
        <v>1232</v>
      </c>
      <c r="H426" t="s">
        <v>1932</v>
      </c>
    </row>
    <row r="427" spans="1:8" x14ac:dyDescent="0.2">
      <c r="A427" s="8">
        <v>35488</v>
      </c>
      <c r="B427" s="8" t="s">
        <v>1896</v>
      </c>
      <c r="C427" s="8" t="s">
        <v>1897</v>
      </c>
      <c r="D427" s="8" t="s">
        <v>1321</v>
      </c>
      <c r="E427" s="8" t="s">
        <v>1229</v>
      </c>
      <c r="F427" s="8" t="s">
        <v>1230</v>
      </c>
      <c r="G427" s="8" t="s">
        <v>1232</v>
      </c>
      <c r="H427" t="s">
        <v>452</v>
      </c>
    </row>
    <row r="428" spans="1:8" x14ac:dyDescent="0.2">
      <c r="A428" s="7">
        <v>36243</v>
      </c>
      <c r="B428" s="7" t="s">
        <v>1898</v>
      </c>
      <c r="C428" s="7" t="s">
        <v>958</v>
      </c>
      <c r="D428" s="7" t="s">
        <v>1238</v>
      </c>
      <c r="E428" s="7" t="s">
        <v>1229</v>
      </c>
      <c r="F428" s="7" t="s">
        <v>1230</v>
      </c>
      <c r="G428" s="7" t="s">
        <v>1232</v>
      </c>
      <c r="H428" t="s">
        <v>452</v>
      </c>
    </row>
    <row r="429" spans="1:8" hidden="1" x14ac:dyDescent="0.2">
      <c r="A429" s="8">
        <v>37466</v>
      </c>
      <c r="B429" s="8" t="s">
        <v>1899</v>
      </c>
      <c r="C429" s="8" t="s">
        <v>624</v>
      </c>
      <c r="D429" s="8" t="s">
        <v>1241</v>
      </c>
      <c r="E429" s="8" t="s">
        <v>1229</v>
      </c>
      <c r="F429" s="8" t="s">
        <v>1230</v>
      </c>
      <c r="G429" s="8" t="s">
        <v>1232</v>
      </c>
      <c r="H429" t="s">
        <v>1932</v>
      </c>
    </row>
    <row r="430" spans="1:8" x14ac:dyDescent="0.2">
      <c r="A430" s="7">
        <v>36630</v>
      </c>
      <c r="B430" s="7" t="s">
        <v>1900</v>
      </c>
      <c r="C430" s="7" t="s">
        <v>527</v>
      </c>
      <c r="D430" s="7" t="s">
        <v>1264</v>
      </c>
      <c r="E430" s="7" t="s">
        <v>1229</v>
      </c>
      <c r="F430" s="7" t="s">
        <v>1263</v>
      </c>
      <c r="G430" s="7" t="s">
        <v>1232</v>
      </c>
      <c r="H430" t="s">
        <v>452</v>
      </c>
    </row>
    <row r="431" spans="1:8" hidden="1" x14ac:dyDescent="0.2">
      <c r="A431" s="8">
        <v>36843</v>
      </c>
      <c r="B431" s="8" t="s">
        <v>1901</v>
      </c>
      <c r="C431" s="8" t="s">
        <v>1902</v>
      </c>
      <c r="D431" s="8" t="s">
        <v>1903</v>
      </c>
      <c r="E431" s="8" t="s">
        <v>1273</v>
      </c>
      <c r="F431" s="8" t="s">
        <v>1904</v>
      </c>
      <c r="G431" s="8" t="s">
        <v>1232</v>
      </c>
      <c r="H431" t="s">
        <v>1932</v>
      </c>
    </row>
    <row r="432" spans="1:8" hidden="1" x14ac:dyDescent="0.2">
      <c r="A432" s="7">
        <v>37640</v>
      </c>
      <c r="B432" s="7" t="s">
        <v>1905</v>
      </c>
      <c r="C432" s="7" t="s">
        <v>829</v>
      </c>
      <c r="D432" s="7" t="s">
        <v>1242</v>
      </c>
      <c r="E432" s="7" t="s">
        <v>1229</v>
      </c>
      <c r="F432" s="7" t="s">
        <v>1230</v>
      </c>
      <c r="G432" s="7" t="s">
        <v>1232</v>
      </c>
      <c r="H432" t="s">
        <v>1932</v>
      </c>
    </row>
    <row r="433" spans="1:8" hidden="1" x14ac:dyDescent="0.2">
      <c r="A433" s="8">
        <v>37598</v>
      </c>
      <c r="B433" s="8" t="s">
        <v>1906</v>
      </c>
      <c r="C433" s="8" t="s">
        <v>768</v>
      </c>
      <c r="D433" s="8" t="s">
        <v>1244</v>
      </c>
      <c r="E433" s="8" t="s">
        <v>1229</v>
      </c>
      <c r="F433" s="8" t="s">
        <v>1230</v>
      </c>
      <c r="G433" s="8" t="s">
        <v>1232</v>
      </c>
      <c r="H433" t="s">
        <v>1932</v>
      </c>
    </row>
    <row r="434" spans="1:8" x14ac:dyDescent="0.2">
      <c r="A434" s="7">
        <v>37289</v>
      </c>
      <c r="B434" s="7" t="s">
        <v>1907</v>
      </c>
      <c r="C434" s="7" t="s">
        <v>486</v>
      </c>
      <c r="D434" s="7" t="s">
        <v>1239</v>
      </c>
      <c r="E434" s="7" t="s">
        <v>1277</v>
      </c>
      <c r="F434" s="7" t="s">
        <v>1278</v>
      </c>
      <c r="G434" s="7" t="s">
        <v>1232</v>
      </c>
      <c r="H434" t="s">
        <v>452</v>
      </c>
    </row>
    <row r="435" spans="1:8" x14ac:dyDescent="0.2">
      <c r="A435" s="8">
        <v>37305</v>
      </c>
      <c r="B435" s="8" t="s">
        <v>1908</v>
      </c>
      <c r="C435" s="8" t="s">
        <v>1909</v>
      </c>
      <c r="D435" s="8" t="s">
        <v>1238</v>
      </c>
      <c r="E435" s="8" t="s">
        <v>1229</v>
      </c>
      <c r="F435" s="8" t="s">
        <v>1230</v>
      </c>
      <c r="G435" s="8" t="s">
        <v>1232</v>
      </c>
      <c r="H435" t="s">
        <v>452</v>
      </c>
    </row>
    <row r="436" spans="1:8" x14ac:dyDescent="0.2">
      <c r="A436" s="7">
        <v>37419</v>
      </c>
      <c r="B436" s="7" t="s">
        <v>1910</v>
      </c>
      <c r="C436" s="7" t="s">
        <v>1911</v>
      </c>
      <c r="D436" s="7" t="s">
        <v>1238</v>
      </c>
      <c r="E436" s="7" t="s">
        <v>1229</v>
      </c>
      <c r="F436" s="7" t="s">
        <v>1230</v>
      </c>
      <c r="G436" s="7" t="s">
        <v>1232</v>
      </c>
      <c r="H436" t="s">
        <v>452</v>
      </c>
    </row>
    <row r="437" spans="1:8" hidden="1" x14ac:dyDescent="0.2">
      <c r="A437" s="8">
        <v>37555</v>
      </c>
      <c r="B437" s="8" t="s">
        <v>1912</v>
      </c>
      <c r="C437" s="8" t="s">
        <v>65</v>
      </c>
      <c r="D437" s="8" t="s">
        <v>1242</v>
      </c>
      <c r="E437" s="8" t="s">
        <v>1229</v>
      </c>
      <c r="F437" s="8" t="s">
        <v>1230</v>
      </c>
      <c r="G437" s="8" t="s">
        <v>1232</v>
      </c>
      <c r="H437" t="s">
        <v>1932</v>
      </c>
    </row>
    <row r="438" spans="1:8" hidden="1" x14ac:dyDescent="0.2">
      <c r="A438" s="7">
        <v>37477</v>
      </c>
      <c r="B438" s="7" t="s">
        <v>1913</v>
      </c>
      <c r="C438" s="7" t="s">
        <v>1914</v>
      </c>
      <c r="D438" s="7" t="s">
        <v>1244</v>
      </c>
      <c r="E438" s="7" t="s">
        <v>1229</v>
      </c>
      <c r="F438" s="7" t="s">
        <v>1230</v>
      </c>
      <c r="G438" s="7" t="s">
        <v>1232</v>
      </c>
      <c r="H438" t="s">
        <v>1932</v>
      </c>
    </row>
    <row r="439" spans="1:8" x14ac:dyDescent="0.2">
      <c r="A439" s="8">
        <v>37768</v>
      </c>
      <c r="B439" s="8" t="s">
        <v>1915</v>
      </c>
      <c r="C439" s="8" t="s">
        <v>465</v>
      </c>
      <c r="D439" s="8" t="s">
        <v>1280</v>
      </c>
      <c r="E439" s="8" t="s">
        <v>1273</v>
      </c>
      <c r="F439" s="8" t="s">
        <v>1274</v>
      </c>
      <c r="G439" s="8" t="s">
        <v>1232</v>
      </c>
      <c r="H439" t="s">
        <v>452</v>
      </c>
    </row>
    <row r="440" spans="1:8" hidden="1" x14ac:dyDescent="0.2">
      <c r="A440" s="7">
        <v>37771</v>
      </c>
      <c r="B440" s="7" t="s">
        <v>1916</v>
      </c>
      <c r="C440" s="7" t="s">
        <v>371</v>
      </c>
      <c r="D440" s="7" t="s">
        <v>1280</v>
      </c>
      <c r="E440" s="7" t="s">
        <v>1273</v>
      </c>
      <c r="F440" s="7" t="s">
        <v>1274</v>
      </c>
      <c r="G440" s="7" t="s">
        <v>1232</v>
      </c>
      <c r="H440" t="s">
        <v>1932</v>
      </c>
    </row>
    <row r="441" spans="1:8" x14ac:dyDescent="0.2">
      <c r="A441" s="8">
        <v>37769</v>
      </c>
      <c r="B441" s="8" t="s">
        <v>1917</v>
      </c>
      <c r="C441" s="8" t="s">
        <v>473</v>
      </c>
      <c r="D441" s="8" t="s">
        <v>1280</v>
      </c>
      <c r="E441" s="8" t="s">
        <v>1273</v>
      </c>
      <c r="F441" s="8" t="s">
        <v>1274</v>
      </c>
      <c r="G441" s="8" t="s">
        <v>1232</v>
      </c>
      <c r="H441" t="s">
        <v>452</v>
      </c>
    </row>
    <row r="442" spans="1:8" hidden="1" x14ac:dyDescent="0.2">
      <c r="A442" s="7">
        <v>37799</v>
      </c>
      <c r="B442" s="7" t="s">
        <v>1918</v>
      </c>
      <c r="C442" s="7" t="s">
        <v>376</v>
      </c>
      <c r="D442" s="7" t="s">
        <v>451</v>
      </c>
      <c r="E442" s="7" t="s">
        <v>1273</v>
      </c>
      <c r="F442" s="7" t="s">
        <v>1274</v>
      </c>
      <c r="G442" s="7" t="s">
        <v>1232</v>
      </c>
      <c r="H442" t="s">
        <v>1932</v>
      </c>
    </row>
    <row r="443" spans="1:8" x14ac:dyDescent="0.2">
      <c r="A443" s="8">
        <v>37711</v>
      </c>
      <c r="B443" s="8" t="s">
        <v>1919</v>
      </c>
      <c r="C443" s="8" t="s">
        <v>37</v>
      </c>
      <c r="D443" s="8" t="s">
        <v>1920</v>
      </c>
      <c r="E443" s="8" t="s">
        <v>1229</v>
      </c>
      <c r="F443" s="8" t="s">
        <v>1230</v>
      </c>
      <c r="G443" s="8" t="s">
        <v>1232</v>
      </c>
      <c r="H443" t="s">
        <v>452</v>
      </c>
    </row>
    <row r="444" spans="1:8" hidden="1" x14ac:dyDescent="0.2">
      <c r="A444" s="7">
        <v>16775</v>
      </c>
      <c r="B444" s="7" t="s">
        <v>1921</v>
      </c>
      <c r="C444" s="7" t="s">
        <v>1922</v>
      </c>
      <c r="D444" s="7" t="s">
        <v>1241</v>
      </c>
      <c r="E444" s="7" t="s">
        <v>1229</v>
      </c>
      <c r="F444" s="7" t="s">
        <v>1230</v>
      </c>
      <c r="G444" s="7" t="s">
        <v>1923</v>
      </c>
      <c r="H444" t="s">
        <v>1932</v>
      </c>
    </row>
    <row r="445" spans="1:8" hidden="1" x14ac:dyDescent="0.2">
      <c r="A445" s="8">
        <v>23770</v>
      </c>
      <c r="B445" s="8" t="s">
        <v>1924</v>
      </c>
      <c r="C445" s="8" t="s">
        <v>1925</v>
      </c>
      <c r="D445" s="8" t="s">
        <v>1329</v>
      </c>
      <c r="E445" s="8" t="s">
        <v>1266</v>
      </c>
      <c r="F445" s="8" t="s">
        <v>1271</v>
      </c>
      <c r="G445" s="8" t="s">
        <v>1923</v>
      </c>
      <c r="H445" t="s">
        <v>1932</v>
      </c>
    </row>
    <row r="446" spans="1:8" hidden="1" x14ac:dyDescent="0.2">
      <c r="A446" s="7">
        <v>33782</v>
      </c>
      <c r="B446" s="7" t="s">
        <v>1926</v>
      </c>
      <c r="C446" s="7" t="s">
        <v>1927</v>
      </c>
      <c r="D446" s="7" t="s">
        <v>1286</v>
      </c>
      <c r="E446" s="7" t="s">
        <v>1273</v>
      </c>
      <c r="F446" s="7" t="s">
        <v>1274</v>
      </c>
      <c r="G446" s="7" t="s">
        <v>1923</v>
      </c>
      <c r="H446" t="s">
        <v>1932</v>
      </c>
    </row>
    <row r="447" spans="1:8" x14ac:dyDescent="0.2">
      <c r="A447" s="8">
        <v>34261</v>
      </c>
      <c r="B447" s="8" t="s">
        <v>1928</v>
      </c>
      <c r="C447" s="8" t="s">
        <v>1929</v>
      </c>
      <c r="D447" s="8" t="s">
        <v>1238</v>
      </c>
      <c r="E447" s="8" t="s">
        <v>1229</v>
      </c>
      <c r="F447" s="8" t="s">
        <v>1230</v>
      </c>
      <c r="G447" s="8" t="s">
        <v>1923</v>
      </c>
      <c r="H447" t="s">
        <v>452</v>
      </c>
    </row>
    <row r="448" spans="1:8" x14ac:dyDescent="0.2">
      <c r="A448" s="24"/>
      <c r="B448" s="24" t="s">
        <v>544</v>
      </c>
      <c r="C448" s="24" t="s">
        <v>543</v>
      </c>
      <c r="D448" s="24" t="s">
        <v>1241</v>
      </c>
      <c r="E448" s="8" t="s">
        <v>1229</v>
      </c>
      <c r="F448" s="8" t="s">
        <v>1230</v>
      </c>
      <c r="G448" s="24" t="s">
        <v>1232</v>
      </c>
      <c r="H448" t="s">
        <v>452</v>
      </c>
    </row>
    <row r="449" spans="1:8" hidden="1" x14ac:dyDescent="0.2">
      <c r="A449" s="24"/>
      <c r="B449" s="24" t="s">
        <v>982</v>
      </c>
      <c r="C449" s="24" t="s">
        <v>981</v>
      </c>
      <c r="D449" s="24" t="s">
        <v>1238</v>
      </c>
      <c r="E449" s="7" t="s">
        <v>1229</v>
      </c>
      <c r="F449" s="7" t="s">
        <v>1230</v>
      </c>
      <c r="G449" s="7" t="s">
        <v>1232</v>
      </c>
      <c r="H449" t="s">
        <v>1932</v>
      </c>
    </row>
    <row r="450" spans="1:8" hidden="1" x14ac:dyDescent="0.2">
      <c r="A450" s="24"/>
      <c r="B450" s="24" t="s">
        <v>1151</v>
      </c>
      <c r="C450" s="24" t="s">
        <v>1150</v>
      </c>
      <c r="D450" s="24" t="s">
        <v>1231</v>
      </c>
      <c r="E450" s="7" t="s">
        <v>1229</v>
      </c>
      <c r="F450" s="7" t="s">
        <v>1230</v>
      </c>
      <c r="G450" s="7" t="s">
        <v>1232</v>
      </c>
      <c r="H450" t="s">
        <v>1932</v>
      </c>
    </row>
    <row r="451" spans="1:8" hidden="1" x14ac:dyDescent="0.2">
      <c r="A451" s="24"/>
      <c r="B451" s="24" t="s">
        <v>986</v>
      </c>
      <c r="C451" s="24" t="s">
        <v>985</v>
      </c>
      <c r="D451" s="24" t="s">
        <v>1238</v>
      </c>
      <c r="E451" s="7" t="s">
        <v>1229</v>
      </c>
      <c r="F451" s="7" t="s">
        <v>1230</v>
      </c>
      <c r="G451" s="7" t="s">
        <v>1232</v>
      </c>
      <c r="H451" t="s">
        <v>1932</v>
      </c>
    </row>
    <row r="452" spans="1:8" hidden="1" x14ac:dyDescent="0.2">
      <c r="A452" s="24"/>
      <c r="B452" s="24" t="s">
        <v>327</v>
      </c>
      <c r="C452" s="24" t="s">
        <v>326</v>
      </c>
      <c r="D452" s="7" t="s">
        <v>1307</v>
      </c>
      <c r="E452" s="7" t="s">
        <v>1305</v>
      </c>
      <c r="F452" s="7" t="s">
        <v>1306</v>
      </c>
      <c r="G452" s="7" t="s">
        <v>1232</v>
      </c>
      <c r="H452" t="s">
        <v>1932</v>
      </c>
    </row>
    <row r="453" spans="1:8" hidden="1" x14ac:dyDescent="0.2">
      <c r="A453" s="24"/>
      <c r="B453" s="24" t="s">
        <v>1155</v>
      </c>
      <c r="C453" s="24" t="s">
        <v>1154</v>
      </c>
      <c r="D453" s="24" t="s">
        <v>1231</v>
      </c>
      <c r="E453" s="7" t="s">
        <v>1229</v>
      </c>
      <c r="F453" s="7" t="s">
        <v>1230</v>
      </c>
      <c r="G453" s="7" t="s">
        <v>1232</v>
      </c>
      <c r="H453" t="s">
        <v>1932</v>
      </c>
    </row>
    <row r="454" spans="1:8" hidden="1" x14ac:dyDescent="0.2">
      <c r="A454" s="24"/>
      <c r="B454" s="24" t="s">
        <v>1930</v>
      </c>
      <c r="C454" s="24" t="s">
        <v>1208</v>
      </c>
      <c r="D454" s="24" t="s">
        <v>1243</v>
      </c>
      <c r="E454" s="7" t="s">
        <v>1229</v>
      </c>
      <c r="F454" s="7" t="s">
        <v>1230</v>
      </c>
      <c r="G454" s="7" t="s">
        <v>1232</v>
      </c>
      <c r="H454" t="s">
        <v>1932</v>
      </c>
    </row>
    <row r="455" spans="1:8" x14ac:dyDescent="0.2">
      <c r="A455" s="24"/>
      <c r="B455" s="24" t="s">
        <v>1931</v>
      </c>
      <c r="C455" s="24" t="s">
        <v>225</v>
      </c>
      <c r="D455" s="24" t="s">
        <v>1327</v>
      </c>
      <c r="E455" s="7" t="s">
        <v>1229</v>
      </c>
      <c r="F455" s="24" t="s">
        <v>1296</v>
      </c>
      <c r="G455" s="7" t="s">
        <v>1232</v>
      </c>
      <c r="H455" t="s">
        <v>452</v>
      </c>
    </row>
    <row r="456" spans="1:8" hidden="1" x14ac:dyDescent="0.2">
      <c r="A456" s="72"/>
      <c r="B456" s="73" t="s">
        <v>963</v>
      </c>
      <c r="C456" s="74" t="s">
        <v>962</v>
      </c>
      <c r="D456" s="72"/>
      <c r="E456" s="7" t="s">
        <v>1229</v>
      </c>
      <c r="F456" s="8" t="s">
        <v>1230</v>
      </c>
      <c r="G456" s="72"/>
    </row>
    <row r="457" spans="1:8" hidden="1" x14ac:dyDescent="0.2">
      <c r="A457" s="72"/>
      <c r="B457" s="75" t="s">
        <v>1227</v>
      </c>
      <c r="C457" s="75" t="s">
        <v>1226</v>
      </c>
      <c r="D457" s="75" t="s">
        <v>1242</v>
      </c>
      <c r="E457" s="7" t="s">
        <v>1229</v>
      </c>
      <c r="F457" s="8" t="s">
        <v>1230</v>
      </c>
      <c r="G457" s="7" t="s">
        <v>1232</v>
      </c>
      <c r="H457" t="s">
        <v>1932</v>
      </c>
    </row>
  </sheetData>
  <conditionalFormatting sqref="B457">
    <cfRule type="duplicateValues" dxfId="3" priority="1"/>
  </conditionalFormatting>
  <conditionalFormatting sqref="C457">
    <cfRule type="duplicateValues" dxfId="2" priority="2"/>
  </conditionalFormatting>
  <conditionalFormatting sqref="D457">
    <cfRule type="duplicateValues" dxfId="1" priority="3"/>
  </conditionalFormatting>
  <hyperlinks>
    <hyperlink ref="C456" r:id="rId1" xr:uid="{CD2984E6-5368-4FD8-9A00-275613EE927B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7B98-3E6C-4B24-B58B-5D31E70D1926}">
  <dimension ref="A1:P70"/>
  <sheetViews>
    <sheetView workbookViewId="0">
      <selection activeCell="M1" sqref="M1"/>
    </sheetView>
  </sheetViews>
  <sheetFormatPr baseColWidth="10" defaultColWidth="8.83203125" defaultRowHeight="15" x14ac:dyDescent="0.2"/>
  <cols>
    <col min="1" max="1" width="39.83203125" bestFit="1" customWidth="1"/>
    <col min="2" max="2" width="16.6640625" bestFit="1" customWidth="1"/>
    <col min="4" max="4" width="35.5" bestFit="1" customWidth="1"/>
  </cols>
  <sheetData>
    <row r="1" spans="1:16" x14ac:dyDescent="0.2">
      <c r="A1" t="s">
        <v>1933</v>
      </c>
      <c r="B1" t="s">
        <v>1934</v>
      </c>
      <c r="D1" t="s">
        <v>85</v>
      </c>
      <c r="F1" t="s">
        <v>1935</v>
      </c>
      <c r="K1" t="s">
        <v>2217</v>
      </c>
      <c r="L1" s="1" t="s">
        <v>2218</v>
      </c>
      <c r="M1" t="str">
        <f>$K$1&amp;L1</f>
        <v>TWN01</v>
      </c>
      <c r="O1" t="s">
        <v>2227</v>
      </c>
      <c r="P1">
        <v>71</v>
      </c>
    </row>
    <row r="2" spans="1:16" x14ac:dyDescent="0.2">
      <c r="A2" t="s">
        <v>1936</v>
      </c>
      <c r="D2" t="s">
        <v>22</v>
      </c>
      <c r="F2" t="s">
        <v>1937</v>
      </c>
      <c r="L2" s="1" t="s">
        <v>2219</v>
      </c>
      <c r="M2" t="str">
        <f t="shared" ref="M2:M65" si="0">$K$1&amp;L2</f>
        <v>TWN02</v>
      </c>
      <c r="P2">
        <v>71</v>
      </c>
    </row>
    <row r="3" spans="1:16" x14ac:dyDescent="0.2">
      <c r="A3" t="s">
        <v>1938</v>
      </c>
      <c r="L3" s="1" t="s">
        <v>2220</v>
      </c>
      <c r="M3" t="str">
        <f t="shared" si="0"/>
        <v>TWN03</v>
      </c>
    </row>
    <row r="4" spans="1:16" x14ac:dyDescent="0.2">
      <c r="A4" s="10" t="s">
        <v>78</v>
      </c>
      <c r="B4" t="s">
        <v>1939</v>
      </c>
      <c r="F4" t="s">
        <v>1940</v>
      </c>
      <c r="L4" s="1" t="s">
        <v>2221</v>
      </c>
      <c r="M4" t="str">
        <f t="shared" si="0"/>
        <v>TWN04</v>
      </c>
    </row>
    <row r="5" spans="1:16" x14ac:dyDescent="0.2">
      <c r="F5" t="s">
        <v>1941</v>
      </c>
      <c r="L5" s="1" t="s">
        <v>2222</v>
      </c>
      <c r="M5" t="str">
        <f t="shared" si="0"/>
        <v>TWN05</v>
      </c>
    </row>
    <row r="6" spans="1:16" x14ac:dyDescent="0.2">
      <c r="L6" s="1" t="s">
        <v>2223</v>
      </c>
      <c r="M6" t="str">
        <f t="shared" si="0"/>
        <v>TWN06</v>
      </c>
    </row>
    <row r="7" spans="1:16" x14ac:dyDescent="0.2">
      <c r="L7" s="1" t="s">
        <v>2224</v>
      </c>
      <c r="M7" t="str">
        <f t="shared" si="0"/>
        <v>TWN07</v>
      </c>
    </row>
    <row r="8" spans="1:16" x14ac:dyDescent="0.2">
      <c r="L8" s="1" t="s">
        <v>2225</v>
      </c>
      <c r="M8" t="str">
        <f t="shared" si="0"/>
        <v>TWN08</v>
      </c>
    </row>
    <row r="9" spans="1:16" x14ac:dyDescent="0.2">
      <c r="L9" s="1" t="s">
        <v>2226</v>
      </c>
      <c r="M9" t="str">
        <f t="shared" si="0"/>
        <v>TWN09</v>
      </c>
    </row>
    <row r="10" spans="1:16" x14ac:dyDescent="0.2">
      <c r="L10">
        <v>10</v>
      </c>
      <c r="M10" t="str">
        <f t="shared" si="0"/>
        <v>TWN10</v>
      </c>
    </row>
    <row r="11" spans="1:16" x14ac:dyDescent="0.2">
      <c r="L11">
        <v>11</v>
      </c>
      <c r="M11" t="str">
        <f t="shared" si="0"/>
        <v>TWN11</v>
      </c>
    </row>
    <row r="12" spans="1:16" x14ac:dyDescent="0.2">
      <c r="G12" s="4"/>
      <c r="L12">
        <v>12</v>
      </c>
      <c r="M12" t="str">
        <f t="shared" si="0"/>
        <v>TWN12</v>
      </c>
    </row>
    <row r="13" spans="1:16" x14ac:dyDescent="0.2">
      <c r="G13" s="4"/>
      <c r="L13">
        <v>13</v>
      </c>
      <c r="M13" t="str">
        <f t="shared" si="0"/>
        <v>TWN13</v>
      </c>
    </row>
    <row r="14" spans="1:16" x14ac:dyDescent="0.2">
      <c r="G14" s="4"/>
      <c r="L14">
        <v>14</v>
      </c>
      <c r="M14" t="str">
        <f t="shared" si="0"/>
        <v>TWN14</v>
      </c>
    </row>
    <row r="15" spans="1:16" x14ac:dyDescent="0.2">
      <c r="G15" s="4"/>
      <c r="L15">
        <v>15</v>
      </c>
      <c r="M15" t="str">
        <f t="shared" si="0"/>
        <v>TWN15</v>
      </c>
    </row>
    <row r="16" spans="1:16" ht="15" customHeight="1" x14ac:dyDescent="0.2">
      <c r="G16" s="4"/>
      <c r="L16">
        <v>16</v>
      </c>
      <c r="M16" t="str">
        <f t="shared" si="0"/>
        <v>TWN16</v>
      </c>
    </row>
    <row r="17" spans="7:13" ht="15" customHeight="1" x14ac:dyDescent="0.2">
      <c r="G17" s="4"/>
      <c r="L17">
        <v>17</v>
      </c>
      <c r="M17" t="str">
        <f t="shared" si="0"/>
        <v>TWN17</v>
      </c>
    </row>
    <row r="18" spans="7:13" x14ac:dyDescent="0.2">
      <c r="G18" s="4"/>
      <c r="L18">
        <v>18</v>
      </c>
      <c r="M18" t="str">
        <f t="shared" si="0"/>
        <v>TWN18</v>
      </c>
    </row>
    <row r="19" spans="7:13" x14ac:dyDescent="0.2">
      <c r="G19" s="4"/>
      <c r="L19">
        <v>19</v>
      </c>
      <c r="M19" t="str">
        <f t="shared" si="0"/>
        <v>TWN19</v>
      </c>
    </row>
    <row r="20" spans="7:13" x14ac:dyDescent="0.2">
      <c r="G20" s="4"/>
      <c r="L20">
        <v>20</v>
      </c>
      <c r="M20" t="str">
        <f t="shared" si="0"/>
        <v>TWN20</v>
      </c>
    </row>
    <row r="21" spans="7:13" x14ac:dyDescent="0.2">
      <c r="G21" s="4"/>
      <c r="L21">
        <v>21</v>
      </c>
      <c r="M21" t="str">
        <f t="shared" si="0"/>
        <v>TWN21</v>
      </c>
    </row>
    <row r="22" spans="7:13" x14ac:dyDescent="0.2">
      <c r="G22" s="4"/>
      <c r="L22">
        <v>22</v>
      </c>
      <c r="M22" t="str">
        <f t="shared" si="0"/>
        <v>TWN22</v>
      </c>
    </row>
    <row r="23" spans="7:13" x14ac:dyDescent="0.2">
      <c r="G23" s="4"/>
      <c r="L23">
        <v>23</v>
      </c>
      <c r="M23" t="str">
        <f t="shared" si="0"/>
        <v>TWN23</v>
      </c>
    </row>
    <row r="24" spans="7:13" x14ac:dyDescent="0.2">
      <c r="G24" s="4"/>
      <c r="L24">
        <v>24</v>
      </c>
      <c r="M24" t="str">
        <f t="shared" si="0"/>
        <v>TWN24</v>
      </c>
    </row>
    <row r="25" spans="7:13" x14ac:dyDescent="0.2">
      <c r="G25" s="4"/>
      <c r="L25">
        <v>25</v>
      </c>
      <c r="M25" t="str">
        <f t="shared" si="0"/>
        <v>TWN25</v>
      </c>
    </row>
    <row r="26" spans="7:13" x14ac:dyDescent="0.2">
      <c r="G26" s="4"/>
      <c r="L26">
        <v>26</v>
      </c>
      <c r="M26" t="str">
        <f t="shared" si="0"/>
        <v>TWN26</v>
      </c>
    </row>
    <row r="27" spans="7:13" x14ac:dyDescent="0.2">
      <c r="G27" s="4"/>
      <c r="L27">
        <v>27</v>
      </c>
      <c r="M27" t="str">
        <f t="shared" si="0"/>
        <v>TWN27</v>
      </c>
    </row>
    <row r="28" spans="7:13" x14ac:dyDescent="0.2">
      <c r="G28" s="4"/>
      <c r="L28">
        <v>28</v>
      </c>
      <c r="M28" t="str">
        <f t="shared" si="0"/>
        <v>TWN28</v>
      </c>
    </row>
    <row r="29" spans="7:13" x14ac:dyDescent="0.2">
      <c r="G29" s="4"/>
      <c r="L29">
        <v>29</v>
      </c>
      <c r="M29" t="str">
        <f t="shared" si="0"/>
        <v>TWN29</v>
      </c>
    </row>
    <row r="30" spans="7:13" x14ac:dyDescent="0.2">
      <c r="G30" s="4"/>
      <c r="L30">
        <v>30</v>
      </c>
      <c r="M30" t="str">
        <f t="shared" si="0"/>
        <v>TWN30</v>
      </c>
    </row>
    <row r="31" spans="7:13" x14ac:dyDescent="0.2">
      <c r="G31" s="4"/>
      <c r="L31">
        <v>31</v>
      </c>
      <c r="M31" t="str">
        <f t="shared" si="0"/>
        <v>TWN31</v>
      </c>
    </row>
    <row r="32" spans="7:13" x14ac:dyDescent="0.2">
      <c r="G32" s="4"/>
      <c r="L32">
        <v>32</v>
      </c>
      <c r="M32" t="str">
        <f t="shared" si="0"/>
        <v>TWN32</v>
      </c>
    </row>
    <row r="33" spans="7:13" x14ac:dyDescent="0.2">
      <c r="G33" s="4"/>
      <c r="L33">
        <v>33</v>
      </c>
      <c r="M33" t="str">
        <f t="shared" si="0"/>
        <v>TWN33</v>
      </c>
    </row>
    <row r="34" spans="7:13" x14ac:dyDescent="0.2">
      <c r="G34" s="4"/>
      <c r="L34">
        <v>34</v>
      </c>
      <c r="M34" t="str">
        <f t="shared" si="0"/>
        <v>TWN34</v>
      </c>
    </row>
    <row r="35" spans="7:13" x14ac:dyDescent="0.2">
      <c r="G35" s="4"/>
      <c r="L35">
        <v>35</v>
      </c>
      <c r="M35" t="str">
        <f t="shared" si="0"/>
        <v>TWN35</v>
      </c>
    </row>
    <row r="36" spans="7:13" x14ac:dyDescent="0.2">
      <c r="G36" s="4"/>
      <c r="L36">
        <v>36</v>
      </c>
      <c r="M36" t="str">
        <f t="shared" si="0"/>
        <v>TWN36</v>
      </c>
    </row>
    <row r="37" spans="7:13" x14ac:dyDescent="0.2">
      <c r="G37" s="4"/>
      <c r="L37">
        <v>37</v>
      </c>
      <c r="M37" t="str">
        <f t="shared" si="0"/>
        <v>TWN37</v>
      </c>
    </row>
    <row r="38" spans="7:13" x14ac:dyDescent="0.2">
      <c r="G38" s="4"/>
      <c r="L38">
        <v>38</v>
      </c>
      <c r="M38" t="str">
        <f t="shared" si="0"/>
        <v>TWN38</v>
      </c>
    </row>
    <row r="39" spans="7:13" x14ac:dyDescent="0.2">
      <c r="G39" s="4"/>
      <c r="L39">
        <v>39</v>
      </c>
      <c r="M39" t="str">
        <f t="shared" si="0"/>
        <v>TWN39</v>
      </c>
    </row>
    <row r="40" spans="7:13" x14ac:dyDescent="0.2">
      <c r="G40" s="4"/>
      <c r="L40">
        <v>40</v>
      </c>
      <c r="M40" t="str">
        <f t="shared" si="0"/>
        <v>TWN40</v>
      </c>
    </row>
    <row r="41" spans="7:13" x14ac:dyDescent="0.2">
      <c r="G41" s="4"/>
      <c r="L41">
        <v>41</v>
      </c>
      <c r="M41" t="str">
        <f t="shared" si="0"/>
        <v>TWN41</v>
      </c>
    </row>
    <row r="42" spans="7:13" x14ac:dyDescent="0.2">
      <c r="G42" s="4"/>
      <c r="L42">
        <v>42</v>
      </c>
      <c r="M42" t="str">
        <f t="shared" si="0"/>
        <v>TWN42</v>
      </c>
    </row>
    <row r="43" spans="7:13" x14ac:dyDescent="0.2">
      <c r="G43" s="4"/>
      <c r="L43">
        <v>43</v>
      </c>
      <c r="M43" t="str">
        <f t="shared" si="0"/>
        <v>TWN43</v>
      </c>
    </row>
    <row r="44" spans="7:13" x14ac:dyDescent="0.2">
      <c r="G44" s="4"/>
      <c r="L44">
        <v>44</v>
      </c>
      <c r="M44" t="str">
        <f t="shared" si="0"/>
        <v>TWN44</v>
      </c>
    </row>
    <row r="45" spans="7:13" x14ac:dyDescent="0.2">
      <c r="G45" s="4"/>
      <c r="L45">
        <v>45</v>
      </c>
      <c r="M45" t="str">
        <f t="shared" si="0"/>
        <v>TWN45</v>
      </c>
    </row>
    <row r="46" spans="7:13" x14ac:dyDescent="0.2">
      <c r="G46" s="4"/>
      <c r="L46">
        <v>46</v>
      </c>
      <c r="M46" t="str">
        <f t="shared" si="0"/>
        <v>TWN46</v>
      </c>
    </row>
    <row r="47" spans="7:13" x14ac:dyDescent="0.2">
      <c r="G47" s="4"/>
      <c r="L47">
        <v>47</v>
      </c>
      <c r="M47" t="str">
        <f t="shared" si="0"/>
        <v>TWN47</v>
      </c>
    </row>
    <row r="48" spans="7:13" x14ac:dyDescent="0.2">
      <c r="L48">
        <v>48</v>
      </c>
      <c r="M48" t="str">
        <f t="shared" si="0"/>
        <v>TWN48</v>
      </c>
    </row>
    <row r="49" spans="12:13" x14ac:dyDescent="0.2">
      <c r="L49">
        <v>49</v>
      </c>
      <c r="M49" t="str">
        <f t="shared" si="0"/>
        <v>TWN49</v>
      </c>
    </row>
    <row r="50" spans="12:13" x14ac:dyDescent="0.2">
      <c r="L50">
        <v>50</v>
      </c>
      <c r="M50" t="str">
        <f t="shared" si="0"/>
        <v>TWN50</v>
      </c>
    </row>
    <row r="51" spans="12:13" x14ac:dyDescent="0.2">
      <c r="L51">
        <v>51</v>
      </c>
      <c r="M51" t="str">
        <f t="shared" si="0"/>
        <v>TWN51</v>
      </c>
    </row>
    <row r="52" spans="12:13" x14ac:dyDescent="0.2">
      <c r="L52">
        <v>52</v>
      </c>
      <c r="M52" t="str">
        <f t="shared" si="0"/>
        <v>TWN52</v>
      </c>
    </row>
    <row r="53" spans="12:13" x14ac:dyDescent="0.2">
      <c r="L53">
        <v>53</v>
      </c>
      <c r="M53" t="str">
        <f t="shared" si="0"/>
        <v>TWN53</v>
      </c>
    </row>
    <row r="54" spans="12:13" x14ac:dyDescent="0.2">
      <c r="L54">
        <v>54</v>
      </c>
      <c r="M54" t="str">
        <f t="shared" si="0"/>
        <v>TWN54</v>
      </c>
    </row>
    <row r="55" spans="12:13" x14ac:dyDescent="0.2">
      <c r="L55">
        <v>55</v>
      </c>
      <c r="M55" t="str">
        <f t="shared" si="0"/>
        <v>TWN55</v>
      </c>
    </row>
    <row r="56" spans="12:13" x14ac:dyDescent="0.2">
      <c r="L56">
        <v>56</v>
      </c>
      <c r="M56" t="str">
        <f t="shared" si="0"/>
        <v>TWN56</v>
      </c>
    </row>
    <row r="57" spans="12:13" x14ac:dyDescent="0.2">
      <c r="L57">
        <v>57</v>
      </c>
      <c r="M57" t="str">
        <f t="shared" si="0"/>
        <v>TWN57</v>
      </c>
    </row>
    <row r="58" spans="12:13" x14ac:dyDescent="0.2">
      <c r="L58">
        <v>58</v>
      </c>
      <c r="M58" t="str">
        <f t="shared" si="0"/>
        <v>TWN58</v>
      </c>
    </row>
    <row r="59" spans="12:13" x14ac:dyDescent="0.2">
      <c r="L59">
        <v>59</v>
      </c>
      <c r="M59" t="str">
        <f t="shared" si="0"/>
        <v>TWN59</v>
      </c>
    </row>
    <row r="60" spans="12:13" x14ac:dyDescent="0.2">
      <c r="L60">
        <v>60</v>
      </c>
      <c r="M60" t="str">
        <f t="shared" si="0"/>
        <v>TWN60</v>
      </c>
    </row>
    <row r="61" spans="12:13" x14ac:dyDescent="0.2">
      <c r="L61">
        <v>61</v>
      </c>
      <c r="M61" t="str">
        <f t="shared" si="0"/>
        <v>TWN61</v>
      </c>
    </row>
    <row r="62" spans="12:13" x14ac:dyDescent="0.2">
      <c r="L62">
        <v>62</v>
      </c>
      <c r="M62" t="str">
        <f t="shared" si="0"/>
        <v>TWN62</v>
      </c>
    </row>
    <row r="63" spans="12:13" x14ac:dyDescent="0.2">
      <c r="L63">
        <v>63</v>
      </c>
      <c r="M63" t="str">
        <f t="shared" si="0"/>
        <v>TWN63</v>
      </c>
    </row>
    <row r="64" spans="12:13" x14ac:dyDescent="0.2">
      <c r="L64">
        <v>64</v>
      </c>
      <c r="M64" t="str">
        <f t="shared" si="0"/>
        <v>TWN64</v>
      </c>
    </row>
    <row r="65" spans="12:13" x14ac:dyDescent="0.2">
      <c r="L65">
        <v>65</v>
      </c>
      <c r="M65" t="str">
        <f t="shared" si="0"/>
        <v>TWN65</v>
      </c>
    </row>
    <row r="66" spans="12:13" x14ac:dyDescent="0.2">
      <c r="L66">
        <v>66</v>
      </c>
      <c r="M66" t="str">
        <f t="shared" ref="M66:M70" si="1">$K$1&amp;L66</f>
        <v>TWN66</v>
      </c>
    </row>
    <row r="67" spans="12:13" x14ac:dyDescent="0.2">
      <c r="L67">
        <v>67</v>
      </c>
      <c r="M67" t="str">
        <f t="shared" si="1"/>
        <v>TWN67</v>
      </c>
    </row>
    <row r="68" spans="12:13" x14ac:dyDescent="0.2">
      <c r="L68">
        <v>68</v>
      </c>
      <c r="M68" t="str">
        <f t="shared" si="1"/>
        <v>TWN68</v>
      </c>
    </row>
    <row r="69" spans="12:13" x14ac:dyDescent="0.2">
      <c r="L69">
        <v>69</v>
      </c>
      <c r="M69" t="str">
        <f t="shared" si="1"/>
        <v>TWN69</v>
      </c>
    </row>
    <row r="70" spans="12:13" x14ac:dyDescent="0.2">
      <c r="L70">
        <v>70</v>
      </c>
      <c r="M70" t="str">
        <f t="shared" si="1"/>
        <v>TWN70</v>
      </c>
    </row>
  </sheetData>
  <phoneticPr fontId="10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A278-1EA0-46DB-B52C-C4A8917EF017}">
  <dimension ref="A1:I18"/>
  <sheetViews>
    <sheetView topLeftCell="D1" workbookViewId="0">
      <selection activeCell="H1" sqref="H1:I8"/>
    </sheetView>
  </sheetViews>
  <sheetFormatPr baseColWidth="10" defaultColWidth="8.83203125" defaultRowHeight="15" x14ac:dyDescent="0.2"/>
  <cols>
    <col min="1" max="1" width="30.33203125" bestFit="1" customWidth="1"/>
    <col min="2" max="2" width="23.33203125" bestFit="1" customWidth="1"/>
    <col min="3" max="3" width="186.5" bestFit="1" customWidth="1"/>
    <col min="9" max="9" width="11.33203125" customWidth="1"/>
  </cols>
  <sheetData>
    <row r="1" spans="1:9" x14ac:dyDescent="0.2">
      <c r="A1" t="s">
        <v>0</v>
      </c>
      <c r="B1" t="s">
        <v>1</v>
      </c>
      <c r="C1" t="s">
        <v>6</v>
      </c>
      <c r="D1" t="s">
        <v>1942</v>
      </c>
      <c r="H1" t="s">
        <v>1944</v>
      </c>
      <c r="I1" t="s">
        <v>1945</v>
      </c>
    </row>
    <row r="2" spans="1:9" ht="32" x14ac:dyDescent="0.2">
      <c r="A2" t="s">
        <v>644</v>
      </c>
      <c r="B2" t="s">
        <v>645</v>
      </c>
      <c r="C2" s="11" t="s">
        <v>648</v>
      </c>
      <c r="D2">
        <v>2017</v>
      </c>
      <c r="H2">
        <v>2017</v>
      </c>
      <c r="I2">
        <f t="shared" ref="I2:I7" si="0">COUNTIFS(D:D,H2)</f>
        <v>1</v>
      </c>
    </row>
    <row r="3" spans="1:9" ht="45" customHeight="1" x14ac:dyDescent="0.2">
      <c r="A3" s="86" t="s">
        <v>639</v>
      </c>
      <c r="B3" s="86" t="s">
        <v>640</v>
      </c>
      <c r="C3" s="85" t="s">
        <v>643</v>
      </c>
      <c r="D3">
        <v>2022</v>
      </c>
      <c r="H3">
        <v>2021</v>
      </c>
      <c r="I3">
        <f t="shared" si="0"/>
        <v>1</v>
      </c>
    </row>
    <row r="4" spans="1:9" x14ac:dyDescent="0.2">
      <c r="A4" s="86"/>
      <c r="B4" s="86"/>
      <c r="C4" s="85"/>
      <c r="D4">
        <v>2024</v>
      </c>
      <c r="H4">
        <v>2022</v>
      </c>
      <c r="I4">
        <f t="shared" si="0"/>
        <v>1</v>
      </c>
    </row>
    <row r="5" spans="1:9" x14ac:dyDescent="0.2">
      <c r="A5" t="s">
        <v>649</v>
      </c>
      <c r="B5" t="s">
        <v>650</v>
      </c>
      <c r="C5" t="s">
        <v>653</v>
      </c>
      <c r="H5">
        <v>2023</v>
      </c>
      <c r="I5">
        <f t="shared" si="0"/>
        <v>1</v>
      </c>
    </row>
    <row r="6" spans="1:9" ht="45" customHeight="1" x14ac:dyDescent="0.2">
      <c r="A6" s="86" t="s">
        <v>634</v>
      </c>
      <c r="B6" s="86" t="s">
        <v>635</v>
      </c>
      <c r="C6" s="85" t="s">
        <v>638</v>
      </c>
      <c r="D6">
        <v>2021</v>
      </c>
      <c r="H6">
        <v>2024</v>
      </c>
      <c r="I6">
        <f t="shared" si="0"/>
        <v>3</v>
      </c>
    </row>
    <row r="7" spans="1:9" x14ac:dyDescent="0.2">
      <c r="A7" s="86"/>
      <c r="B7" s="86"/>
      <c r="C7" s="85"/>
      <c r="D7">
        <v>2024</v>
      </c>
      <c r="H7">
        <v>2025</v>
      </c>
      <c r="I7">
        <f t="shared" si="0"/>
        <v>1</v>
      </c>
    </row>
    <row r="8" spans="1:9" ht="32" x14ac:dyDescent="0.2">
      <c r="A8" t="s">
        <v>629</v>
      </c>
      <c r="B8" t="s">
        <v>630</v>
      </c>
      <c r="C8" s="11" t="s">
        <v>633</v>
      </c>
      <c r="D8">
        <v>2024</v>
      </c>
      <c r="H8" t="s">
        <v>1943</v>
      </c>
      <c r="I8">
        <f>SUM(I2:I7)</f>
        <v>8</v>
      </c>
    </row>
    <row r="9" spans="1:9" x14ac:dyDescent="0.2">
      <c r="A9" t="s">
        <v>865</v>
      </c>
      <c r="B9" t="s">
        <v>866</v>
      </c>
      <c r="C9" t="s">
        <v>869</v>
      </c>
    </row>
    <row r="10" spans="1:9" x14ac:dyDescent="0.2">
      <c r="A10" t="s">
        <v>654</v>
      </c>
      <c r="B10" t="s">
        <v>655</v>
      </c>
      <c r="C10" t="s">
        <v>658</v>
      </c>
    </row>
    <row r="11" spans="1:9" x14ac:dyDescent="0.2">
      <c r="A11" t="s">
        <v>659</v>
      </c>
      <c r="B11" t="s">
        <v>660</v>
      </c>
      <c r="C11" t="s">
        <v>663</v>
      </c>
    </row>
    <row r="12" spans="1:9" x14ac:dyDescent="0.2">
      <c r="A12" t="s">
        <v>820</v>
      </c>
      <c r="B12" t="s">
        <v>821</v>
      </c>
      <c r="C12" t="s">
        <v>824</v>
      </c>
    </row>
    <row r="13" spans="1:9" x14ac:dyDescent="0.2">
      <c r="A13" t="s">
        <v>404</v>
      </c>
      <c r="B13" t="s">
        <v>405</v>
      </c>
      <c r="C13" t="s">
        <v>408</v>
      </c>
    </row>
    <row r="14" spans="1:9" ht="32" x14ac:dyDescent="0.2">
      <c r="A14" t="s">
        <v>99</v>
      </c>
      <c r="B14" t="s">
        <v>100</v>
      </c>
      <c r="C14" s="11" t="s">
        <v>103</v>
      </c>
      <c r="D14">
        <v>2025</v>
      </c>
    </row>
    <row r="15" spans="1:9" x14ac:dyDescent="0.2">
      <c r="A15" t="s">
        <v>280</v>
      </c>
      <c r="B15" t="s">
        <v>281</v>
      </c>
      <c r="C15" t="s">
        <v>284</v>
      </c>
    </row>
    <row r="16" spans="1:9" x14ac:dyDescent="0.2">
      <c r="A16" t="s">
        <v>285</v>
      </c>
      <c r="B16" t="s">
        <v>286</v>
      </c>
      <c r="C16" t="s">
        <v>289</v>
      </c>
    </row>
    <row r="17" spans="1:4" ht="32" x14ac:dyDescent="0.2">
      <c r="A17" t="s">
        <v>502</v>
      </c>
      <c r="B17" t="s">
        <v>503</v>
      </c>
      <c r="C17" s="11" t="s">
        <v>506</v>
      </c>
      <c r="D17">
        <v>2023</v>
      </c>
    </row>
    <row r="18" spans="1:4" x14ac:dyDescent="0.2">
      <c r="A18" t="s">
        <v>624</v>
      </c>
      <c r="B18" t="s">
        <v>625</v>
      </c>
      <c r="C18" t="s">
        <v>628</v>
      </c>
    </row>
  </sheetData>
  <mergeCells count="6">
    <mergeCell ref="C3:C4"/>
    <mergeCell ref="B3:B4"/>
    <mergeCell ref="A3:A4"/>
    <mergeCell ref="C6:C7"/>
    <mergeCell ref="A6:A7"/>
    <mergeCell ref="B6:B7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858E-0FD6-4229-834D-81895A5956D6}">
  <dimension ref="A1:D272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35.6640625" bestFit="1" customWidth="1"/>
    <col min="2" max="3" width="35.6640625" customWidth="1"/>
  </cols>
  <sheetData>
    <row r="1" spans="1:4" x14ac:dyDescent="0.2">
      <c r="A1" s="14" t="s">
        <v>0</v>
      </c>
      <c r="B1" s="14" t="s">
        <v>1946</v>
      </c>
      <c r="C1" s="14" t="s">
        <v>1947</v>
      </c>
      <c r="D1" s="56" t="s">
        <v>2216</v>
      </c>
    </row>
    <row r="2" spans="1:4" x14ac:dyDescent="0.2">
      <c r="A2" s="10" t="s">
        <v>849</v>
      </c>
      <c r="B2" s="18">
        <f>_xlfn.XLOOKUP(A2,[1]employees!$E:$E,[1]employees!$B:$B)</f>
        <v>35385</v>
      </c>
      <c r="C2" s="18" t="s">
        <v>1950</v>
      </c>
    </row>
    <row r="3" spans="1:4" x14ac:dyDescent="0.2">
      <c r="A3" s="32" t="s">
        <v>1200</v>
      </c>
      <c r="B3" s="18">
        <f>_xlfn.XLOOKUP(A3,[1]employees!$E:$E,[1]employees!$B:$B)</f>
        <v>20350</v>
      </c>
      <c r="C3" s="18" t="s">
        <v>1951</v>
      </c>
    </row>
    <row r="4" spans="1:4" x14ac:dyDescent="0.2">
      <c r="A4" s="10" t="s">
        <v>1191</v>
      </c>
      <c r="B4" s="18">
        <f>_xlfn.XLOOKUP(A4,[1]employees!$E:$E,[1]employees!$B:$B)</f>
        <v>34275</v>
      </c>
      <c r="C4" s="18" t="s">
        <v>1952</v>
      </c>
    </row>
    <row r="5" spans="1:4" x14ac:dyDescent="0.2">
      <c r="A5" s="32" t="s">
        <v>1195</v>
      </c>
      <c r="B5" s="18">
        <f>_xlfn.XLOOKUP(A5,[1]employees!$E:$E,[1]employees!$B:$B)</f>
        <v>33490</v>
      </c>
      <c r="C5" s="18" t="s">
        <v>1953</v>
      </c>
    </row>
    <row r="6" spans="1:4" x14ac:dyDescent="0.2">
      <c r="A6" s="10" t="s">
        <v>556</v>
      </c>
      <c r="B6" s="18">
        <f>_xlfn.XLOOKUP(A6,[1]employees!$E:$E,[1]employees!$B:$B)</f>
        <v>29186</v>
      </c>
      <c r="C6" s="18" t="s">
        <v>1954</v>
      </c>
    </row>
    <row r="7" spans="1:4" x14ac:dyDescent="0.2">
      <c r="A7" s="32" t="s">
        <v>531</v>
      </c>
      <c r="B7" s="18">
        <f>_xlfn.XLOOKUP(A7,[1]employees!$E:$E,[1]employees!$B:$B)</f>
        <v>30105</v>
      </c>
      <c r="C7" s="18" t="s">
        <v>1955</v>
      </c>
    </row>
    <row r="8" spans="1:4" x14ac:dyDescent="0.2">
      <c r="A8" s="10" t="s">
        <v>560</v>
      </c>
      <c r="B8" s="18">
        <f>_xlfn.XLOOKUP(A8,[1]employees!$E:$E,[1]employees!$B:$B)</f>
        <v>10902</v>
      </c>
      <c r="C8" s="18" t="s">
        <v>1956</v>
      </c>
    </row>
    <row r="9" spans="1:4" x14ac:dyDescent="0.2">
      <c r="A9" s="32" t="s">
        <v>1174</v>
      </c>
      <c r="B9" s="18">
        <f>_xlfn.XLOOKUP(A9,[1]employees!$E:$E,[1]employees!$B:$B)</f>
        <v>35979</v>
      </c>
      <c r="C9" s="18" t="s">
        <v>1957</v>
      </c>
    </row>
    <row r="10" spans="1:4" x14ac:dyDescent="0.2">
      <c r="A10" s="10" t="s">
        <v>1178</v>
      </c>
      <c r="B10" s="18">
        <f>_xlfn.XLOOKUP(A10,[1]employees!$E:$E,[1]employees!$B:$B)</f>
        <v>27174</v>
      </c>
      <c r="C10" s="18" t="s">
        <v>1958</v>
      </c>
    </row>
    <row r="11" spans="1:4" x14ac:dyDescent="0.2">
      <c r="A11" s="32" t="s">
        <v>1166</v>
      </c>
      <c r="B11" s="18">
        <f>_xlfn.XLOOKUP(A11,[1]employees!$E:$E,[1]employees!$B:$B)</f>
        <v>31982</v>
      </c>
      <c r="C11" s="18" t="s">
        <v>1959</v>
      </c>
    </row>
    <row r="12" spans="1:4" x14ac:dyDescent="0.2">
      <c r="A12" s="10" t="s">
        <v>1182</v>
      </c>
      <c r="B12" s="18">
        <f>_xlfn.XLOOKUP(A12,[1]employees!$E:$E,[1]employees!$B:$B)</f>
        <v>37058</v>
      </c>
      <c r="C12" s="18" t="s">
        <v>1960</v>
      </c>
    </row>
    <row r="13" spans="1:4" x14ac:dyDescent="0.2">
      <c r="A13" s="32" t="s">
        <v>1186</v>
      </c>
      <c r="B13" s="18">
        <f>_xlfn.XLOOKUP(A13,[1]employees!$E:$E,[1]employees!$B:$B)</f>
        <v>21983</v>
      </c>
      <c r="C13" s="18" t="s">
        <v>1961</v>
      </c>
    </row>
    <row r="14" spans="1:4" x14ac:dyDescent="0.2">
      <c r="A14" s="10" t="s">
        <v>1170</v>
      </c>
      <c r="B14" s="18">
        <f>_xlfn.XLOOKUP(A14,[1]employees!$E:$E,[1]employees!$B:$B)</f>
        <v>33701</v>
      </c>
      <c r="C14" s="18" t="s">
        <v>1962</v>
      </c>
    </row>
    <row r="15" spans="1:4" x14ac:dyDescent="0.2">
      <c r="A15" s="32" t="s">
        <v>1158</v>
      </c>
      <c r="B15" s="18">
        <f>_xlfn.XLOOKUP(A15,[1]employees!$E:$E,[1]employees!$B:$B)</f>
        <v>37660</v>
      </c>
      <c r="C15" s="18" t="s">
        <v>1963</v>
      </c>
    </row>
    <row r="16" spans="1:4" x14ac:dyDescent="0.2">
      <c r="A16" s="43" t="s">
        <v>1150</v>
      </c>
      <c r="B16" s="18">
        <f>_xlfn.XLOOKUP(A16,[1]employees!$E:$E,[1]employees!$B:$B)</f>
        <v>37931</v>
      </c>
      <c r="C16" s="18" t="s">
        <v>1964</v>
      </c>
    </row>
    <row r="17" spans="1:3" x14ac:dyDescent="0.2">
      <c r="A17" s="32" t="s">
        <v>1162</v>
      </c>
      <c r="B17" s="18">
        <f>_xlfn.XLOOKUP(A17,[1]employees!$E:$E,[1]employees!$B:$B)</f>
        <v>34319</v>
      </c>
      <c r="C17" s="18" t="s">
        <v>1965</v>
      </c>
    </row>
    <row r="18" spans="1:3" x14ac:dyDescent="0.2">
      <c r="A18" s="10" t="s">
        <v>1142</v>
      </c>
      <c r="B18" s="18">
        <f>_xlfn.XLOOKUP(A18,[1]employees!$E:$E,[1]employees!$B:$B)</f>
        <v>22254</v>
      </c>
      <c r="C18" s="18" t="s">
        <v>1966</v>
      </c>
    </row>
    <row r="19" spans="1:3" x14ac:dyDescent="0.2">
      <c r="A19" s="43" t="s">
        <v>1154</v>
      </c>
      <c r="B19" s="18">
        <f>_xlfn.XLOOKUP(A19,[1]employees!$E:$E,[1]employees!$B:$B)</f>
        <v>37929</v>
      </c>
      <c r="C19" s="18" t="s">
        <v>1967</v>
      </c>
    </row>
    <row r="20" spans="1:3" x14ac:dyDescent="0.2">
      <c r="A20" s="18" t="s">
        <v>1102</v>
      </c>
      <c r="B20" s="18">
        <f>_xlfn.XLOOKUP(A20,[1]employees!$E:$E,[1]employees!$B:$B)</f>
        <v>29137</v>
      </c>
      <c r="C20" s="18" t="s">
        <v>1968</v>
      </c>
    </row>
    <row r="21" spans="1:3" x14ac:dyDescent="0.2">
      <c r="A21" s="32" t="s">
        <v>1146</v>
      </c>
      <c r="B21" s="18">
        <f>_xlfn.XLOOKUP(A21,[1]employees!$E:$E,[1]employees!$B:$B)</f>
        <v>36477</v>
      </c>
      <c r="C21" s="18" t="s">
        <v>1969</v>
      </c>
    </row>
    <row r="22" spans="1:3" x14ac:dyDescent="0.2">
      <c r="A22" s="10" t="s">
        <v>1134</v>
      </c>
      <c r="B22" s="18">
        <f>_xlfn.XLOOKUP(A22,[1]employees!$E:$E,[1]employees!$B:$B)</f>
        <v>29173</v>
      </c>
      <c r="C22" s="18" t="s">
        <v>1970</v>
      </c>
    </row>
    <row r="23" spans="1:3" x14ac:dyDescent="0.2">
      <c r="A23" s="32" t="s">
        <v>1094</v>
      </c>
      <c r="B23" s="18">
        <f>_xlfn.XLOOKUP(A23,[1]employees!$E:$E,[1]employees!$B:$B)</f>
        <v>17077</v>
      </c>
      <c r="C23" s="18" t="s">
        <v>1971</v>
      </c>
    </row>
    <row r="24" spans="1:3" x14ac:dyDescent="0.2">
      <c r="A24" s="10" t="s">
        <v>1118</v>
      </c>
      <c r="B24" s="18">
        <f>_xlfn.XLOOKUP(A24,[1]employees!$E:$E,[1]employees!$B:$B)</f>
        <v>30996</v>
      </c>
      <c r="C24" s="18" t="s">
        <v>1972</v>
      </c>
    </row>
    <row r="25" spans="1:3" x14ac:dyDescent="0.2">
      <c r="A25" s="32" t="s">
        <v>1110</v>
      </c>
      <c r="B25" s="18">
        <f>_xlfn.XLOOKUP(A25,[1]employees!$E:$E,[1]employees!$B:$B)</f>
        <v>24001</v>
      </c>
      <c r="C25" s="18" t="s">
        <v>1973</v>
      </c>
    </row>
    <row r="26" spans="1:3" x14ac:dyDescent="0.2">
      <c r="A26" s="10" t="s">
        <v>1106</v>
      </c>
      <c r="B26" s="18">
        <f>_xlfn.XLOOKUP(A26,[1]employees!$E:$E,[1]employees!$B:$B)</f>
        <v>37624</v>
      </c>
      <c r="C26" s="18" t="s">
        <v>1974</v>
      </c>
    </row>
    <row r="27" spans="1:3" x14ac:dyDescent="0.2">
      <c r="A27" s="32" t="s">
        <v>1126</v>
      </c>
      <c r="B27" s="18">
        <f>_xlfn.XLOOKUP(A27,[1]employees!$E:$E,[1]employees!$B:$B)</f>
        <v>25091</v>
      </c>
      <c r="C27" s="18" t="s">
        <v>1975</v>
      </c>
    </row>
    <row r="28" spans="1:3" x14ac:dyDescent="0.2">
      <c r="A28" s="10" t="s">
        <v>1138</v>
      </c>
      <c r="B28" s="18">
        <f>_xlfn.XLOOKUP(A28,[1]employees!$E:$E,[1]employees!$B:$B)</f>
        <v>33003</v>
      </c>
      <c r="C28" s="18" t="s">
        <v>1976</v>
      </c>
    </row>
    <row r="29" spans="1:3" x14ac:dyDescent="0.2">
      <c r="A29" s="32" t="s">
        <v>1098</v>
      </c>
      <c r="B29" s="18">
        <f>_xlfn.XLOOKUP(A29,[1]employees!$E:$E,[1]employees!$B:$B)</f>
        <v>27493</v>
      </c>
      <c r="C29" s="18" t="s">
        <v>1977</v>
      </c>
    </row>
    <row r="30" spans="1:3" x14ac:dyDescent="0.2">
      <c r="A30" s="10" t="s">
        <v>1130</v>
      </c>
      <c r="B30" s="18">
        <f>_xlfn.XLOOKUP(A30,[1]employees!$E:$E,[1]employees!$B:$B)</f>
        <v>23461</v>
      </c>
      <c r="C30" s="18" t="s">
        <v>1978</v>
      </c>
    </row>
    <row r="31" spans="1:3" x14ac:dyDescent="0.2">
      <c r="A31" s="76" t="s">
        <v>644</v>
      </c>
      <c r="B31" s="18">
        <f>_xlfn.XLOOKUP(A31,[1]employees!$E:$E,[1]employees!$B:$B)</f>
        <v>13142</v>
      </c>
      <c r="C31" s="18" t="s">
        <v>1979</v>
      </c>
    </row>
    <row r="32" spans="1:3" x14ac:dyDescent="0.2">
      <c r="A32" s="10" t="s">
        <v>1114</v>
      </c>
      <c r="B32" s="18">
        <f>_xlfn.XLOOKUP(A32,[1]employees!$E:$E,[1]employees!$B:$B)</f>
        <v>36789</v>
      </c>
      <c r="C32" s="18" t="s">
        <v>1980</v>
      </c>
    </row>
    <row r="33" spans="1:3" x14ac:dyDescent="0.2">
      <c r="A33" s="32" t="s">
        <v>1085</v>
      </c>
      <c r="B33" s="18">
        <f>_xlfn.XLOOKUP(A33,[1]employees!$E:$E,[1]employees!$B:$B)</f>
        <v>36014</v>
      </c>
      <c r="C33" s="18" t="s">
        <v>1981</v>
      </c>
    </row>
    <row r="34" spans="1:3" x14ac:dyDescent="0.2">
      <c r="A34" s="10" t="s">
        <v>1122</v>
      </c>
      <c r="B34" s="18">
        <f>_xlfn.XLOOKUP(A34,[1]employees!$E:$E,[1]employees!$B:$B)</f>
        <v>23604</v>
      </c>
      <c r="C34" s="18" t="s">
        <v>1982</v>
      </c>
    </row>
    <row r="35" spans="1:3" x14ac:dyDescent="0.2">
      <c r="A35" s="32" t="s">
        <v>515</v>
      </c>
      <c r="B35" s="18">
        <f>_xlfn.XLOOKUP(A35,[1]employees!$E:$E,[1]employees!$B:$B)</f>
        <v>37094</v>
      </c>
      <c r="C35" s="18" t="s">
        <v>1983</v>
      </c>
    </row>
    <row r="36" spans="1:3" x14ac:dyDescent="0.2">
      <c r="A36" s="10" t="s">
        <v>1089</v>
      </c>
      <c r="B36" s="18">
        <f>_xlfn.XLOOKUP(A36,[1]employees!$E:$E,[1]employees!$B:$B)</f>
        <v>34675</v>
      </c>
      <c r="C36" s="18" t="s">
        <v>1984</v>
      </c>
    </row>
    <row r="37" spans="1:3" x14ac:dyDescent="0.2">
      <c r="A37" s="32" t="s">
        <v>1077</v>
      </c>
      <c r="B37" s="18">
        <f>_xlfn.XLOOKUP(A37,[1]employees!$E:$E,[1]employees!$B:$B)</f>
        <v>37888</v>
      </c>
      <c r="C37" s="18" t="s">
        <v>1985</v>
      </c>
    </row>
    <row r="38" spans="1:3" x14ac:dyDescent="0.2">
      <c r="A38" s="10" t="s">
        <v>1081</v>
      </c>
      <c r="B38" s="18">
        <f>_xlfn.XLOOKUP(A38,[1]employees!$E:$E,[1]employees!$B:$B)</f>
        <v>37889</v>
      </c>
      <c r="C38" s="18" t="s">
        <v>1986</v>
      </c>
    </row>
    <row r="39" spans="1:3" x14ac:dyDescent="0.2">
      <c r="A39" s="32" t="s">
        <v>696</v>
      </c>
      <c r="B39" s="18">
        <f>_xlfn.XLOOKUP(A39,[1]employees!$E:$E,[1]employees!$B:$B)</f>
        <v>27694</v>
      </c>
      <c r="C39" s="18" t="s">
        <v>1987</v>
      </c>
    </row>
    <row r="40" spans="1:3" x14ac:dyDescent="0.2">
      <c r="A40" s="10" t="s">
        <v>688</v>
      </c>
      <c r="B40" s="18">
        <f>_xlfn.XLOOKUP(A40,[1]employees!$E:$E,[1]employees!$B:$B)</f>
        <v>31326</v>
      </c>
      <c r="C40" s="18" t="s">
        <v>1988</v>
      </c>
    </row>
    <row r="41" spans="1:3" x14ac:dyDescent="0.2">
      <c r="A41" s="32" t="s">
        <v>692</v>
      </c>
      <c r="B41" s="18">
        <f>_xlfn.XLOOKUP(A41,[1]employees!$E:$E,[1]employees!$B:$B)</f>
        <v>26440</v>
      </c>
      <c r="C41" s="18" t="s">
        <v>1989</v>
      </c>
    </row>
    <row r="42" spans="1:3" x14ac:dyDescent="0.2">
      <c r="A42" s="10" t="s">
        <v>680</v>
      </c>
      <c r="B42" s="18">
        <f>_xlfn.XLOOKUP(A42,[1]employees!$E:$E,[1]employees!$B:$B)</f>
        <v>26699</v>
      </c>
      <c r="C42" s="18" t="s">
        <v>1990</v>
      </c>
    </row>
    <row r="43" spans="1:3" x14ac:dyDescent="0.2">
      <c r="A43" s="43" t="s">
        <v>684</v>
      </c>
      <c r="B43" s="18">
        <f>_xlfn.XLOOKUP(A43,[1]employees!$E:$E,[1]employees!$B:$B)</f>
        <v>28782</v>
      </c>
      <c r="C43" s="18" t="s">
        <v>1991</v>
      </c>
    </row>
    <row r="44" spans="1:3" x14ac:dyDescent="0.2">
      <c r="A44" s="18" t="s">
        <v>1044</v>
      </c>
      <c r="B44" s="18">
        <f>_xlfn.XLOOKUP(A44,[1]employees!$E:$E,[1]employees!$B:$B)</f>
        <v>26721</v>
      </c>
      <c r="C44" s="18" t="s">
        <v>1992</v>
      </c>
    </row>
    <row r="45" spans="1:3" x14ac:dyDescent="0.2">
      <c r="A45" s="32" t="s">
        <v>1069</v>
      </c>
      <c r="B45" s="18">
        <f>_xlfn.XLOOKUP(A45,[1]employees!$E:$E,[1]employees!$B:$B)</f>
        <v>31627</v>
      </c>
      <c r="C45" s="18" t="s">
        <v>1993</v>
      </c>
    </row>
    <row r="46" spans="1:3" x14ac:dyDescent="0.2">
      <c r="A46" s="10" t="s">
        <v>1048</v>
      </c>
      <c r="B46" s="18">
        <f>_xlfn.XLOOKUP(A46,[1]employees!$E:$E,[1]employees!$B:$B)</f>
        <v>20648</v>
      </c>
      <c r="C46" s="18" t="s">
        <v>1994</v>
      </c>
    </row>
    <row r="47" spans="1:3" x14ac:dyDescent="0.2">
      <c r="A47" s="32" t="s">
        <v>86</v>
      </c>
      <c r="B47" s="18">
        <f>_xlfn.XLOOKUP(A47,[1]employees!$E:$E,[1]employees!$B:$B)</f>
        <v>31366</v>
      </c>
      <c r="C47" s="18" t="s">
        <v>1995</v>
      </c>
    </row>
    <row r="48" spans="1:3" x14ac:dyDescent="0.2">
      <c r="A48" s="18" t="s">
        <v>958</v>
      </c>
      <c r="B48" s="18">
        <f>_xlfn.XLOOKUP(A48,[1]employees!$E:$E,[1]employees!$B:$B)</f>
        <v>36243</v>
      </c>
      <c r="C48" s="18" t="s">
        <v>1996</v>
      </c>
    </row>
    <row r="49" spans="1:3" x14ac:dyDescent="0.2">
      <c r="A49" s="15" t="s">
        <v>1036</v>
      </c>
      <c r="B49" s="18">
        <f>_xlfn.XLOOKUP(A49,[1]employees!$E:$E,[1]employees!$B:$B)</f>
        <v>35117</v>
      </c>
      <c r="C49" s="18" t="s">
        <v>1997</v>
      </c>
    </row>
    <row r="50" spans="1:3" x14ac:dyDescent="0.2">
      <c r="A50" s="18" t="s">
        <v>950</v>
      </c>
      <c r="B50" s="18">
        <f>_xlfn.XLOOKUP(A50,[1]employees!$E:$E,[1]employees!$B:$B)</f>
        <v>34794</v>
      </c>
      <c r="C50" s="18" t="s">
        <v>1998</v>
      </c>
    </row>
    <row r="51" spans="1:3" x14ac:dyDescent="0.2">
      <c r="A51" s="15" t="s">
        <v>1040</v>
      </c>
      <c r="B51" s="18">
        <f>_xlfn.XLOOKUP(A51,[1]employees!$E:$E,[1]employees!$B:$B)</f>
        <v>36988</v>
      </c>
      <c r="C51" s="18" t="s">
        <v>1999</v>
      </c>
    </row>
    <row r="52" spans="1:3" x14ac:dyDescent="0.2">
      <c r="A52" s="18" t="s">
        <v>954</v>
      </c>
      <c r="B52" s="18">
        <f>_xlfn.XLOOKUP(A52,[1]employees!$E:$E,[1]employees!$B:$B)</f>
        <v>35287</v>
      </c>
      <c r="C52" s="18" t="s">
        <v>2000</v>
      </c>
    </row>
    <row r="53" spans="1:3" x14ac:dyDescent="0.2">
      <c r="A53" s="15" t="s">
        <v>1028</v>
      </c>
      <c r="B53" s="18">
        <f>_xlfn.XLOOKUP(A53,[1]employees!$E:$E,[1]employees!$B:$B)</f>
        <v>34743</v>
      </c>
      <c r="C53" s="18" t="s">
        <v>2001</v>
      </c>
    </row>
    <row r="54" spans="1:3" x14ac:dyDescent="0.2">
      <c r="A54" s="18" t="s">
        <v>1032</v>
      </c>
      <c r="B54" s="18">
        <f>_xlfn.XLOOKUP(A54,[1]employees!$E:$E,[1]employees!$B:$B)</f>
        <v>35560</v>
      </c>
      <c r="C54" s="18" t="s">
        <v>2002</v>
      </c>
    </row>
    <row r="55" spans="1:3" x14ac:dyDescent="0.2">
      <c r="A55" s="32" t="s">
        <v>1020</v>
      </c>
      <c r="B55" s="18">
        <f>_xlfn.XLOOKUP(A55,[1]employees!$E:$E,[1]employees!$B:$B)</f>
        <v>34380</v>
      </c>
      <c r="C55" s="18" t="s">
        <v>2003</v>
      </c>
    </row>
    <row r="56" spans="1:3" x14ac:dyDescent="0.2">
      <c r="A56" s="10" t="s">
        <v>1024</v>
      </c>
      <c r="B56" s="18">
        <f>_xlfn.XLOOKUP(A56,[1]employees!$E:$E,[1]employees!$B:$B)</f>
        <v>20509</v>
      </c>
      <c r="C56" s="18" t="s">
        <v>2004</v>
      </c>
    </row>
    <row r="57" spans="1:3" x14ac:dyDescent="0.2">
      <c r="A57" s="10" t="s">
        <v>1016</v>
      </c>
      <c r="B57" s="18">
        <f>_xlfn.XLOOKUP(A57,[1]employees!$E:$E,[1]employees!$B:$B)</f>
        <v>36626</v>
      </c>
      <c r="C57" s="18" t="s">
        <v>2005</v>
      </c>
    </row>
    <row r="58" spans="1:3" x14ac:dyDescent="0.2">
      <c r="A58" s="32" t="s">
        <v>1004</v>
      </c>
      <c r="B58" s="18">
        <f>_xlfn.XLOOKUP(A58,[1]employees!$E:$E,[1]employees!$B:$B)</f>
        <v>37508</v>
      </c>
      <c r="C58" s="18" t="s">
        <v>2006</v>
      </c>
    </row>
    <row r="59" spans="1:3" x14ac:dyDescent="0.2">
      <c r="A59" s="10" t="s">
        <v>1008</v>
      </c>
      <c r="B59" s="18">
        <f>_xlfn.XLOOKUP(A59,[1]employees!$E:$E,[1]employees!$B:$B)</f>
        <v>37509</v>
      </c>
      <c r="C59" s="18" t="s">
        <v>2007</v>
      </c>
    </row>
    <row r="60" spans="1:3" x14ac:dyDescent="0.2">
      <c r="A60" s="32" t="s">
        <v>942</v>
      </c>
      <c r="B60" s="18">
        <f>_xlfn.XLOOKUP(A60,[1]employees!$E:$E,[1]employees!$B:$B)</f>
        <v>37148</v>
      </c>
      <c r="C60" s="18" t="s">
        <v>2008</v>
      </c>
    </row>
    <row r="61" spans="1:3" x14ac:dyDescent="0.2">
      <c r="A61" s="10" t="s">
        <v>996</v>
      </c>
      <c r="B61" s="18">
        <f>_xlfn.XLOOKUP(A61,[1]employees!$E:$E,[1]employees!$B:$B)</f>
        <v>37601</v>
      </c>
      <c r="C61" s="18" t="s">
        <v>2009</v>
      </c>
    </row>
    <row r="62" spans="1:3" x14ac:dyDescent="0.2">
      <c r="A62" s="32" t="s">
        <v>934</v>
      </c>
      <c r="B62" s="18">
        <f>_xlfn.XLOOKUP(A62,[1]employees!$E:$E,[1]employees!$B:$B)</f>
        <v>37304</v>
      </c>
      <c r="C62" s="18" t="s">
        <v>2010</v>
      </c>
    </row>
    <row r="63" spans="1:3" x14ac:dyDescent="0.2">
      <c r="A63" s="10" t="s">
        <v>1000</v>
      </c>
      <c r="B63" s="18">
        <f>_xlfn.XLOOKUP(A63,[1]employees!$E:$E,[1]employees!$B:$B)</f>
        <v>35574</v>
      </c>
      <c r="C63" s="18" t="s">
        <v>2011</v>
      </c>
    </row>
    <row r="64" spans="1:3" x14ac:dyDescent="0.2">
      <c r="A64" s="32" t="s">
        <v>988</v>
      </c>
      <c r="B64" s="18">
        <f>_xlfn.XLOOKUP(A64,[1]employees!$E:$E,[1]employees!$B:$B)</f>
        <v>37856</v>
      </c>
      <c r="C64" s="18" t="s">
        <v>2012</v>
      </c>
    </row>
    <row r="65" spans="1:3" x14ac:dyDescent="0.2">
      <c r="A65" s="10" t="s">
        <v>992</v>
      </c>
      <c r="B65" s="18">
        <f>_xlfn.XLOOKUP(A65,[1]employees!$E:$E,[1]employees!$B:$B)</f>
        <v>35480</v>
      </c>
      <c r="C65" s="18" t="s">
        <v>2013</v>
      </c>
    </row>
    <row r="66" spans="1:3" x14ac:dyDescent="0.2">
      <c r="A66" s="32" t="s">
        <v>938</v>
      </c>
      <c r="B66" s="18">
        <f>_xlfn.XLOOKUP(A66,[1]employees!$E:$E,[1]employees!$B:$B)</f>
        <v>35659</v>
      </c>
      <c r="C66" s="18" t="s">
        <v>2014</v>
      </c>
    </row>
    <row r="67" spans="1:3" x14ac:dyDescent="0.2">
      <c r="A67" s="10" t="s">
        <v>981</v>
      </c>
      <c r="B67" s="18">
        <f>_xlfn.XLOOKUP(A67,[1]employees!$E:$E,[1]employees!$B:$B)</f>
        <v>37858</v>
      </c>
      <c r="C67" s="18" t="s">
        <v>2015</v>
      </c>
    </row>
    <row r="68" spans="1:3" x14ac:dyDescent="0.2">
      <c r="A68" s="32" t="s">
        <v>985</v>
      </c>
      <c r="B68" s="18">
        <f>_xlfn.XLOOKUP(A68,[1]employees!$E:$E,[1]employees!$B:$B)</f>
        <v>37857</v>
      </c>
      <c r="C68" s="18" t="s">
        <v>1948</v>
      </c>
    </row>
    <row r="69" spans="1:3" x14ac:dyDescent="0.2">
      <c r="A69" s="10" t="s">
        <v>973</v>
      </c>
      <c r="B69" s="18">
        <f>_xlfn.XLOOKUP(A69,[1]employees!$E:$E,[1]employees!$B:$B)</f>
        <v>36651</v>
      </c>
      <c r="C69" s="18" t="s">
        <v>2016</v>
      </c>
    </row>
    <row r="70" spans="1:3" x14ac:dyDescent="0.2">
      <c r="A70" s="32" t="s">
        <v>946</v>
      </c>
      <c r="B70" s="18">
        <f>_xlfn.XLOOKUP(A70,[1]employees!$E:$E,[1]employees!$B:$B)</f>
        <v>36992</v>
      </c>
      <c r="C70" s="18" t="s">
        <v>2017</v>
      </c>
    </row>
    <row r="71" spans="1:3" x14ac:dyDescent="0.2">
      <c r="A71" s="10" t="s">
        <v>977</v>
      </c>
      <c r="B71" s="18">
        <f>_xlfn.XLOOKUP(A71,[1]employees!$E:$E,[1]employees!$B:$B)</f>
        <v>34559</v>
      </c>
      <c r="C71" s="18" t="s">
        <v>2018</v>
      </c>
    </row>
    <row r="72" spans="1:3" x14ac:dyDescent="0.2">
      <c r="A72" s="77" t="s">
        <v>964</v>
      </c>
      <c r="B72" s="18">
        <f>_xlfn.XLOOKUP(A72,[1]employees!$E:$E,[1]employees!$B:$B)</f>
        <v>35733</v>
      </c>
      <c r="C72" s="18" t="s">
        <v>2019</v>
      </c>
    </row>
    <row r="73" spans="1:3" x14ac:dyDescent="0.2">
      <c r="A73" s="10" t="s">
        <v>968</v>
      </c>
      <c r="B73" s="18">
        <f>_xlfn.XLOOKUP(A73,[1]employees!$E:$E,[1]employees!$B:$B)</f>
        <v>17609</v>
      </c>
      <c r="C73" s="18" t="s">
        <v>2020</v>
      </c>
    </row>
    <row r="74" spans="1:3" x14ac:dyDescent="0.2">
      <c r="A74" s="32" t="s">
        <v>548</v>
      </c>
      <c r="B74" s="18">
        <f>_xlfn.XLOOKUP(A74,[1]employees!$E:$E,[1]employees!$B:$B)</f>
        <v>35900</v>
      </c>
      <c r="C74" s="18" t="s">
        <v>2021</v>
      </c>
    </row>
    <row r="75" spans="1:3" x14ac:dyDescent="0.2">
      <c r="A75" s="18" t="s">
        <v>539</v>
      </c>
      <c r="B75" s="18">
        <f>_xlfn.XLOOKUP(A75,[1]employees!$E:$E,[1]employees!$B:$B)</f>
        <v>13601</v>
      </c>
      <c r="C75" s="18" t="s">
        <v>2022</v>
      </c>
    </row>
    <row r="76" spans="1:3" x14ac:dyDescent="0.2">
      <c r="A76" s="15" t="s">
        <v>853</v>
      </c>
      <c r="B76" s="18">
        <f>_xlfn.XLOOKUP(A76,[1]employees!$E:$E,[1]employees!$B:$B)</f>
        <v>31230</v>
      </c>
      <c r="C76" s="18" t="s">
        <v>2023</v>
      </c>
    </row>
    <row r="77" spans="1:3" x14ac:dyDescent="0.2">
      <c r="A77" s="18" t="s">
        <v>926</v>
      </c>
      <c r="B77" s="18">
        <f>_xlfn.XLOOKUP(A77,[1]employees!$E:$E,[1]employees!$B:$B)</f>
        <v>26684</v>
      </c>
      <c r="C77" s="18" t="s">
        <v>2024</v>
      </c>
    </row>
    <row r="78" spans="1:3" x14ac:dyDescent="0.2">
      <c r="A78" s="32" t="s">
        <v>918</v>
      </c>
      <c r="B78" s="18">
        <f>_xlfn.XLOOKUP(A78,[1]employees!$E:$E,[1]employees!$B:$B)</f>
        <v>31778</v>
      </c>
      <c r="C78" s="18" t="s">
        <v>2025</v>
      </c>
    </row>
    <row r="79" spans="1:3" x14ac:dyDescent="0.2">
      <c r="A79" s="10" t="s">
        <v>922</v>
      </c>
      <c r="B79" s="18">
        <f>_xlfn.XLOOKUP(A79,[1]employees!$E:$E,[1]employees!$B:$B)</f>
        <v>19872</v>
      </c>
      <c r="C79" s="18" t="s">
        <v>2026</v>
      </c>
    </row>
    <row r="80" spans="1:3" x14ac:dyDescent="0.2">
      <c r="A80" s="32" t="s">
        <v>930</v>
      </c>
      <c r="B80" s="18">
        <f>_xlfn.XLOOKUP(A80,[1]employees!$E:$E,[1]employees!$B:$B)</f>
        <v>14054</v>
      </c>
      <c r="C80" s="18" t="s">
        <v>2027</v>
      </c>
    </row>
    <row r="81" spans="1:3" x14ac:dyDescent="0.2">
      <c r="A81" s="10" t="s">
        <v>728</v>
      </c>
      <c r="B81" s="18">
        <f>_xlfn.XLOOKUP(A81,[1]employees!$E:$E,[1]employees!$B:$B)</f>
        <v>31805</v>
      </c>
      <c r="C81" s="18" t="s">
        <v>2028</v>
      </c>
    </row>
    <row r="82" spans="1:3" x14ac:dyDescent="0.2">
      <c r="A82" s="32" t="s">
        <v>910</v>
      </c>
      <c r="B82" s="18">
        <f>_xlfn.XLOOKUP(A82,[1]employees!$E:$E,[1]employees!$B:$B)</f>
        <v>34293</v>
      </c>
      <c r="C82" s="18" t="s">
        <v>2029</v>
      </c>
    </row>
    <row r="83" spans="1:3" x14ac:dyDescent="0.2">
      <c r="A83" s="10" t="s">
        <v>902</v>
      </c>
      <c r="B83" s="18">
        <f>_xlfn.XLOOKUP(A83,[1]employees!$E:$E,[1]employees!$B:$B)</f>
        <v>32912</v>
      </c>
      <c r="C83" s="18" t="s">
        <v>2030</v>
      </c>
    </row>
    <row r="84" spans="1:3" x14ac:dyDescent="0.2">
      <c r="A84" s="32" t="s">
        <v>906</v>
      </c>
      <c r="B84" s="18">
        <f>_xlfn.XLOOKUP(A84,[1]employees!$E:$E,[1]employees!$B:$B)</f>
        <v>37442</v>
      </c>
      <c r="C84" s="18" t="s">
        <v>2031</v>
      </c>
    </row>
    <row r="85" spans="1:3" x14ac:dyDescent="0.2">
      <c r="A85" s="10" t="s">
        <v>1204</v>
      </c>
      <c r="B85" s="18">
        <f>_xlfn.XLOOKUP(A85,[1]employees!$E:$E,[1]employees!$B:$B)</f>
        <v>37298</v>
      </c>
      <c r="C85" s="18" t="s">
        <v>2032</v>
      </c>
    </row>
    <row r="86" spans="1:3" x14ac:dyDescent="0.2">
      <c r="A86" s="32" t="s">
        <v>894</v>
      </c>
      <c r="B86" s="18">
        <f>_xlfn.XLOOKUP(A86,[1]employees!$E:$E,[1]employees!$B:$B)</f>
        <v>29009</v>
      </c>
      <c r="C86" s="18" t="s">
        <v>2033</v>
      </c>
    </row>
    <row r="87" spans="1:3" x14ac:dyDescent="0.2">
      <c r="A87" s="10" t="s">
        <v>898</v>
      </c>
      <c r="B87" s="18">
        <f>_xlfn.XLOOKUP(A87,[1]employees!$E:$E,[1]employees!$B:$B)</f>
        <v>35119</v>
      </c>
      <c r="C87" s="18" t="s">
        <v>2034</v>
      </c>
    </row>
    <row r="88" spans="1:3" x14ac:dyDescent="0.2">
      <c r="A88" s="32" t="s">
        <v>732</v>
      </c>
      <c r="B88" s="18">
        <f>_xlfn.XLOOKUP(A88,[1]employees!$E:$E,[1]employees!$B:$B)</f>
        <v>36114</v>
      </c>
      <c r="C88" s="18" t="s">
        <v>2035</v>
      </c>
    </row>
    <row r="89" spans="1:3" x14ac:dyDescent="0.2">
      <c r="A89" s="10" t="s">
        <v>886</v>
      </c>
      <c r="B89" s="18">
        <f>_xlfn.XLOOKUP(A89,[1]employees!$E:$E,[1]employees!$B:$B)</f>
        <v>37249</v>
      </c>
      <c r="C89" s="18" t="s">
        <v>2036</v>
      </c>
    </row>
    <row r="90" spans="1:3" x14ac:dyDescent="0.2">
      <c r="A90" s="32" t="s">
        <v>639</v>
      </c>
      <c r="B90" s="18">
        <f>_xlfn.XLOOKUP(A90,[1]employees!$E:$E,[1]employees!$B:$B)</f>
        <v>20508</v>
      </c>
      <c r="C90" s="18" t="s">
        <v>2037</v>
      </c>
    </row>
    <row r="91" spans="1:3" x14ac:dyDescent="0.2">
      <c r="A91" s="10" t="s">
        <v>649</v>
      </c>
      <c r="B91" s="18">
        <f>_xlfn.XLOOKUP(A91,[1]employees!$E:$E,[1]employees!$B:$B)</f>
        <v>34816</v>
      </c>
      <c r="C91" s="18" t="s">
        <v>2038</v>
      </c>
    </row>
    <row r="92" spans="1:3" x14ac:dyDescent="0.2">
      <c r="A92" s="32" t="s">
        <v>634</v>
      </c>
      <c r="B92" s="18">
        <f>_xlfn.XLOOKUP(A92,[1]employees!$E:$E,[1]employees!$B:$B)</f>
        <v>20130</v>
      </c>
      <c r="C92" s="18" t="s">
        <v>2039</v>
      </c>
    </row>
    <row r="93" spans="1:3" x14ac:dyDescent="0.2">
      <c r="A93" s="10" t="s">
        <v>878</v>
      </c>
      <c r="B93" s="18">
        <f>_xlfn.XLOOKUP(A93,[1]employees!$E:$E,[1]employees!$B:$B)</f>
        <v>24025</v>
      </c>
      <c r="C93" s="18" t="s">
        <v>2040</v>
      </c>
    </row>
    <row r="94" spans="1:3" x14ac:dyDescent="0.2">
      <c r="A94" s="32" t="s">
        <v>882</v>
      </c>
      <c r="B94" s="18">
        <f>_xlfn.XLOOKUP(A94,[1]employees!$E:$E,[1]employees!$B:$B)</f>
        <v>37354</v>
      </c>
      <c r="C94" s="18" t="s">
        <v>2041</v>
      </c>
    </row>
    <row r="95" spans="1:3" x14ac:dyDescent="0.2">
      <c r="A95" s="10" t="s">
        <v>629</v>
      </c>
      <c r="B95" s="18">
        <f>_xlfn.XLOOKUP(A95,[1]employees!$E:$E,[1]employees!$B:$B)</f>
        <v>21408</v>
      </c>
      <c r="C95" s="18" t="s">
        <v>2042</v>
      </c>
    </row>
    <row r="96" spans="1:3" x14ac:dyDescent="0.2">
      <c r="A96" s="32" t="s">
        <v>870</v>
      </c>
      <c r="B96" s="18">
        <f>_xlfn.XLOOKUP(A96,[1]employees!$E:$E,[1]employees!$B:$B)</f>
        <v>16841</v>
      </c>
      <c r="C96" s="18" t="s">
        <v>2043</v>
      </c>
    </row>
    <row r="97" spans="1:3" x14ac:dyDescent="0.2">
      <c r="A97" s="10" t="s">
        <v>865</v>
      </c>
      <c r="B97" s="18">
        <f>_xlfn.XLOOKUP(A97,[1]employees!$E:$E,[1]employees!$B:$B)</f>
        <v>25240</v>
      </c>
      <c r="C97" s="18" t="s">
        <v>2044</v>
      </c>
    </row>
    <row r="98" spans="1:3" x14ac:dyDescent="0.2">
      <c r="A98" s="32" t="s">
        <v>874</v>
      </c>
      <c r="B98" s="18">
        <f>_xlfn.XLOOKUP(A98,[1]employees!$E:$E,[1]employees!$B:$B)</f>
        <v>16542</v>
      </c>
      <c r="C98" s="18" t="s">
        <v>2045</v>
      </c>
    </row>
    <row r="99" spans="1:3" x14ac:dyDescent="0.2">
      <c r="A99" s="10" t="s">
        <v>654</v>
      </c>
      <c r="B99" s="18">
        <f>_xlfn.XLOOKUP(A99,[1]employees!$E:$E,[1]employees!$B:$B)</f>
        <v>13322</v>
      </c>
      <c r="C99" s="18" t="s">
        <v>2046</v>
      </c>
    </row>
    <row r="100" spans="1:3" x14ac:dyDescent="0.2">
      <c r="A100" s="32" t="s">
        <v>890</v>
      </c>
      <c r="B100" s="18">
        <f>_xlfn.XLOOKUP(A100,[1]employees!$E:$E,[1]employees!$B:$B)</f>
        <v>34815</v>
      </c>
      <c r="C100" s="18" t="s">
        <v>2047</v>
      </c>
    </row>
    <row r="101" spans="1:3" x14ac:dyDescent="0.2">
      <c r="A101" s="10" t="s">
        <v>914</v>
      </c>
      <c r="B101" s="18">
        <f>_xlfn.XLOOKUP(A101,[1]employees!$E:$E,[1]employees!$B:$B)</f>
        <v>36677</v>
      </c>
      <c r="C101" s="18" t="s">
        <v>2048</v>
      </c>
    </row>
    <row r="102" spans="1:3" x14ac:dyDescent="0.2">
      <c r="A102" s="15" t="s">
        <v>753</v>
      </c>
      <c r="B102" s="18">
        <f>_xlfn.XLOOKUP(A102,[1]employees!$E:$E,[1]employees!$B:$B)</f>
        <v>17646</v>
      </c>
      <c r="C102" s="18" t="s">
        <v>2049</v>
      </c>
    </row>
    <row r="103" spans="1:3" x14ac:dyDescent="0.2">
      <c r="A103" s="10" t="s">
        <v>761</v>
      </c>
      <c r="B103" s="18">
        <f>_xlfn.XLOOKUP(A103,[1]employees!$E:$E,[1]employees!$B:$B)</f>
        <v>18575</v>
      </c>
      <c r="C103" s="18" t="s">
        <v>2050</v>
      </c>
    </row>
    <row r="104" spans="1:3" x14ac:dyDescent="0.2">
      <c r="A104" s="32" t="s">
        <v>841</v>
      </c>
      <c r="B104" s="18">
        <f>_xlfn.XLOOKUP(A104,[1]employees!$E:$E,[1]employees!$B:$B)</f>
        <v>34937</v>
      </c>
      <c r="C104" s="18" t="s">
        <v>2051</v>
      </c>
    </row>
    <row r="105" spans="1:3" x14ac:dyDescent="0.2">
      <c r="A105" s="10" t="s">
        <v>845</v>
      </c>
      <c r="B105" s="18">
        <f>_xlfn.XLOOKUP(A105,[1]employees!$E:$E,[1]employees!$B:$B)</f>
        <v>37361</v>
      </c>
      <c r="C105" s="18" t="s">
        <v>2052</v>
      </c>
    </row>
    <row r="106" spans="1:3" x14ac:dyDescent="0.2">
      <c r="A106" s="32" t="s">
        <v>833</v>
      </c>
      <c r="B106" s="18">
        <f>_xlfn.XLOOKUP(A106,[1]employees!$E:$E,[1]employees!$B:$B)</f>
        <v>37709</v>
      </c>
      <c r="C106" s="18" t="s">
        <v>2053</v>
      </c>
    </row>
    <row r="107" spans="1:3" x14ac:dyDescent="0.2">
      <c r="A107" s="10" t="s">
        <v>837</v>
      </c>
      <c r="B107" s="18">
        <f>_xlfn.XLOOKUP(A107,[1]employees!$E:$E,[1]employees!$B:$B)</f>
        <v>31753</v>
      </c>
      <c r="C107" s="18" t="s">
        <v>2054</v>
      </c>
    </row>
    <row r="108" spans="1:3" x14ac:dyDescent="0.2">
      <c r="A108" s="32" t="s">
        <v>825</v>
      </c>
      <c r="B108" s="18">
        <f>_xlfn.XLOOKUP(A108,[1]employees!$E:$E,[1]employees!$B:$B)</f>
        <v>35331</v>
      </c>
      <c r="C108" s="18" t="s">
        <v>2055</v>
      </c>
    </row>
    <row r="109" spans="1:3" x14ac:dyDescent="0.2">
      <c r="A109" s="10" t="s">
        <v>829</v>
      </c>
      <c r="B109" s="18">
        <f>_xlfn.XLOOKUP(A109,[1]employees!$E:$E,[1]employees!$B:$B)</f>
        <v>37640</v>
      </c>
      <c r="C109" s="18" t="s">
        <v>2056</v>
      </c>
    </row>
    <row r="110" spans="1:3" x14ac:dyDescent="0.2">
      <c r="A110" s="32" t="s">
        <v>523</v>
      </c>
      <c r="B110" s="18">
        <f>_xlfn.XLOOKUP(A110,[1]employees!$E:$E,[1]employees!$B:$B)</f>
        <v>34432</v>
      </c>
      <c r="C110" s="18" t="s">
        <v>2057</v>
      </c>
    </row>
    <row r="111" spans="1:3" x14ac:dyDescent="0.2">
      <c r="A111" s="10" t="s">
        <v>552</v>
      </c>
      <c r="B111" s="18">
        <f>_xlfn.XLOOKUP(A111,[1]employees!$E:$E,[1]employees!$B:$B)</f>
        <v>37097</v>
      </c>
      <c r="C111" s="18" t="s">
        <v>2058</v>
      </c>
    </row>
    <row r="112" spans="1:3" x14ac:dyDescent="0.2">
      <c r="A112" s="32" t="s">
        <v>812</v>
      </c>
      <c r="B112" s="18">
        <f>_xlfn.XLOOKUP(A112,[1]employees!$E:$E,[1]employees!$B:$B)</f>
        <v>37422</v>
      </c>
      <c r="C112" s="18" t="s">
        <v>2059</v>
      </c>
    </row>
    <row r="113" spans="1:3" x14ac:dyDescent="0.2">
      <c r="A113" s="10" t="s">
        <v>816</v>
      </c>
      <c r="B113" s="18">
        <f>_xlfn.XLOOKUP(A113,[1]employees!$E:$E,[1]employees!$B:$B)</f>
        <v>34583</v>
      </c>
      <c r="C113" s="18" t="s">
        <v>2060</v>
      </c>
    </row>
    <row r="114" spans="1:3" x14ac:dyDescent="0.2">
      <c r="A114" s="32" t="s">
        <v>804</v>
      </c>
      <c r="B114" s="18">
        <f>_xlfn.XLOOKUP(A114,[1]employees!$E:$E,[1]employees!$B:$B)</f>
        <v>21088</v>
      </c>
      <c r="C114" s="18" t="s">
        <v>2061</v>
      </c>
    </row>
    <row r="115" spans="1:3" x14ac:dyDescent="0.2">
      <c r="A115" s="10" t="s">
        <v>808</v>
      </c>
      <c r="B115" s="18">
        <f>_xlfn.XLOOKUP(A115,[1]employees!$E:$E,[1]employees!$B:$B)</f>
        <v>28560</v>
      </c>
      <c r="C115" s="18" t="s">
        <v>2062</v>
      </c>
    </row>
    <row r="116" spans="1:3" x14ac:dyDescent="0.2">
      <c r="A116" s="32" t="s">
        <v>796</v>
      </c>
      <c r="B116" s="18">
        <f>_xlfn.XLOOKUP(A116,[1]employees!$E:$E,[1]employees!$B:$B)</f>
        <v>36853</v>
      </c>
      <c r="C116" s="18" t="s">
        <v>2063</v>
      </c>
    </row>
    <row r="117" spans="1:3" x14ac:dyDescent="0.2">
      <c r="A117" s="10" t="s">
        <v>800</v>
      </c>
      <c r="B117" s="18">
        <f>_xlfn.XLOOKUP(A117,[1]employees!$E:$E,[1]employees!$B:$B)</f>
        <v>37383</v>
      </c>
      <c r="C117" s="18" t="s">
        <v>2064</v>
      </c>
    </row>
    <row r="118" spans="1:3" x14ac:dyDescent="0.2">
      <c r="A118" s="32" t="s">
        <v>788</v>
      </c>
      <c r="B118" s="18">
        <f>_xlfn.XLOOKUP(A118,[1]employees!$E:$E,[1]employees!$B:$B)</f>
        <v>27435</v>
      </c>
      <c r="C118" s="18" t="s">
        <v>2065</v>
      </c>
    </row>
    <row r="119" spans="1:3" x14ac:dyDescent="0.2">
      <c r="A119" s="10" t="s">
        <v>792</v>
      </c>
      <c r="B119" s="18">
        <f>_xlfn.XLOOKUP(A119,[1]employees!$E:$E,[1]employees!$B:$B)</f>
        <v>37131</v>
      </c>
      <c r="C119" s="18" t="s">
        <v>2029</v>
      </c>
    </row>
    <row r="120" spans="1:3" x14ac:dyDescent="0.2">
      <c r="A120" s="32" t="s">
        <v>768</v>
      </c>
      <c r="B120" s="18">
        <f>_xlfn.XLOOKUP(A120,[1]employees!$E:$E,[1]employees!$B:$B)</f>
        <v>37598</v>
      </c>
      <c r="C120" s="18" t="s">
        <v>2066</v>
      </c>
    </row>
    <row r="121" spans="1:3" x14ac:dyDescent="0.2">
      <c r="A121" s="10" t="s">
        <v>776</v>
      </c>
      <c r="B121" s="18">
        <f>_xlfn.XLOOKUP(A121,[1]employees!$E:$E,[1]employees!$B:$B)</f>
        <v>34788</v>
      </c>
      <c r="C121" s="18" t="s">
        <v>2067</v>
      </c>
    </row>
    <row r="122" spans="1:3" x14ac:dyDescent="0.2">
      <c r="A122" s="32" t="s">
        <v>659</v>
      </c>
      <c r="B122" s="18">
        <f>_xlfn.XLOOKUP(A122,[1]employees!$E:$E,[1]employees!$B:$B)</f>
        <v>17501</v>
      </c>
      <c r="C122" s="18" t="s">
        <v>2068</v>
      </c>
    </row>
    <row r="123" spans="1:3" x14ac:dyDescent="0.2">
      <c r="A123" s="10" t="s">
        <v>720</v>
      </c>
      <c r="B123" s="18">
        <f>_xlfn.XLOOKUP(A123,[1]employees!$E:$E,[1]employees!$B:$B)</f>
        <v>21208</v>
      </c>
      <c r="C123" s="18" t="s">
        <v>2069</v>
      </c>
    </row>
    <row r="124" spans="1:3" x14ac:dyDescent="0.2">
      <c r="A124" s="32" t="s">
        <v>764</v>
      </c>
      <c r="B124" s="18">
        <f>_xlfn.XLOOKUP(A124,[1]employees!$E:$E,[1]employees!$B:$B)</f>
        <v>21951</v>
      </c>
      <c r="C124" s="18" t="s">
        <v>2070</v>
      </c>
    </row>
    <row r="125" spans="1:3" x14ac:dyDescent="0.2">
      <c r="A125" s="10" t="s">
        <v>757</v>
      </c>
      <c r="B125" s="18">
        <f>_xlfn.XLOOKUP(A125,[1]employees!$E:$E,[1]employees!$B:$B)</f>
        <v>23914</v>
      </c>
      <c r="C125" s="18" t="s">
        <v>2071</v>
      </c>
    </row>
    <row r="126" spans="1:3" x14ac:dyDescent="0.2">
      <c r="A126" s="32" t="s">
        <v>745</v>
      </c>
      <c r="B126" s="18">
        <f>_xlfn.XLOOKUP(A126,[1]employees!$E:$E,[1]employees!$B:$B)</f>
        <v>33413</v>
      </c>
      <c r="C126" s="18" t="s">
        <v>2072</v>
      </c>
    </row>
    <row r="127" spans="1:3" x14ac:dyDescent="0.2">
      <c r="A127" s="77" t="s">
        <v>543</v>
      </c>
      <c r="B127" s="18">
        <f>_xlfn.XLOOKUP(A127,[1]employees!$E:$E,[1]employees!$B:$B)</f>
        <v>37920</v>
      </c>
      <c r="C127" s="18" t="s">
        <v>2073</v>
      </c>
    </row>
    <row r="128" spans="1:3" x14ac:dyDescent="0.2">
      <c r="A128" s="43" t="s">
        <v>749</v>
      </c>
      <c r="B128" s="18">
        <f>_xlfn.XLOOKUP(A128,[1]employees!$E:$E,[1]employees!$B:$B)</f>
        <v>32435</v>
      </c>
      <c r="C128" s="18" t="s">
        <v>2074</v>
      </c>
    </row>
    <row r="129" spans="1:3" x14ac:dyDescent="0.2">
      <c r="A129" s="43" t="s">
        <v>664</v>
      </c>
      <c r="B129" s="18">
        <f>_xlfn.XLOOKUP(A129,[1]employees!$E:$E,[1]employees!$B:$B)</f>
        <v>35965</v>
      </c>
      <c r="C129" s="18" t="s">
        <v>2075</v>
      </c>
    </row>
    <row r="130" spans="1:3" x14ac:dyDescent="0.2">
      <c r="A130" s="15" t="s">
        <v>820</v>
      </c>
      <c r="B130" s="18">
        <f>_xlfn.XLOOKUP(A130,[1]employees!$E:$E,[1]employees!$B:$B)</f>
        <v>20958</v>
      </c>
      <c r="C130" s="18" t="s">
        <v>2076</v>
      </c>
    </row>
    <row r="131" spans="1:3" x14ac:dyDescent="0.2">
      <c r="A131" s="10" t="s">
        <v>784</v>
      </c>
      <c r="B131" s="18">
        <f>_xlfn.XLOOKUP(A131,[1]employees!$E:$E,[1]employees!$B:$B)</f>
        <v>23031</v>
      </c>
      <c r="C131" s="18" t="s">
        <v>2077</v>
      </c>
    </row>
    <row r="132" spans="1:3" x14ac:dyDescent="0.2">
      <c r="A132" s="32" t="s">
        <v>772</v>
      </c>
      <c r="B132" s="18">
        <f>_xlfn.XLOOKUP(A132,[1]employees!$E:$E,[1]employees!$B:$B)</f>
        <v>23605</v>
      </c>
      <c r="C132" s="18" t="s">
        <v>2078</v>
      </c>
    </row>
    <row r="133" spans="1:3" x14ac:dyDescent="0.2">
      <c r="A133" s="10" t="s">
        <v>672</v>
      </c>
      <c r="B133" s="18">
        <f>_xlfn.XLOOKUP(A133,[1]employees!$E:$E,[1]employees!$B:$B)</f>
        <v>16127</v>
      </c>
      <c r="C133" s="18" t="s">
        <v>2079</v>
      </c>
    </row>
    <row r="134" spans="1:3" x14ac:dyDescent="0.2">
      <c r="A134" s="32" t="s">
        <v>668</v>
      </c>
      <c r="B134" s="18">
        <f>_xlfn.XLOOKUP(A134,[1]employees!$E:$E,[1]employees!$B:$B)</f>
        <v>34686</v>
      </c>
      <c r="C134" s="18" t="s">
        <v>2080</v>
      </c>
    </row>
    <row r="135" spans="1:3" x14ac:dyDescent="0.2">
      <c r="A135" s="10" t="s">
        <v>724</v>
      </c>
      <c r="B135" s="18">
        <f>_xlfn.XLOOKUP(A135,[1]employees!$E:$E,[1]employees!$B:$B)</f>
        <v>23002</v>
      </c>
      <c r="C135" s="18" t="s">
        <v>2081</v>
      </c>
    </row>
    <row r="136" spans="1:3" x14ac:dyDescent="0.2">
      <c r="A136" s="43" t="s">
        <v>81</v>
      </c>
      <c r="B136" s="18">
        <f>_xlfn.XLOOKUP(A136,[1]employees!$E:$E,[1]employees!$B:$B)</f>
        <v>31752</v>
      </c>
      <c r="C136" s="18" t="s">
        <v>2082</v>
      </c>
    </row>
    <row r="137" spans="1:3" x14ac:dyDescent="0.2">
      <c r="A137" s="10" t="s">
        <v>1226</v>
      </c>
      <c r="B137" s="18">
        <f>_xlfn.XLOOKUP(A137,[1]employees!$E:$E,[1]employees!$B:$B)</f>
        <v>37893</v>
      </c>
      <c r="C137" s="18" t="s">
        <v>2083</v>
      </c>
    </row>
    <row r="138" spans="1:3" x14ac:dyDescent="0.2">
      <c r="A138" s="15" t="s">
        <v>90</v>
      </c>
      <c r="B138" s="18">
        <f>_xlfn.XLOOKUP(A138,[1]employees!$E:$E,[1]employees!$B:$B)</f>
        <v>21134</v>
      </c>
      <c r="C138" s="18" t="s">
        <v>2084</v>
      </c>
    </row>
    <row r="139" spans="1:3" x14ac:dyDescent="0.2">
      <c r="A139" s="10" t="s">
        <v>461</v>
      </c>
      <c r="B139" s="18">
        <f>_xlfn.XLOOKUP(A139,[1]employees!$E:$E,[1]employees!$B:$B)</f>
        <v>37766</v>
      </c>
      <c r="C139" s="18" t="s">
        <v>2085</v>
      </c>
    </row>
    <row r="140" spans="1:3" x14ac:dyDescent="0.2">
      <c r="A140" s="32" t="s">
        <v>371</v>
      </c>
      <c r="B140" s="18">
        <f>_xlfn.XLOOKUP(A140,[1]employees!$E:$E,[1]employees!$B:$B)</f>
        <v>37771</v>
      </c>
      <c r="C140" s="18" t="s">
        <v>2086</v>
      </c>
    </row>
    <row r="141" spans="1:3" x14ac:dyDescent="0.2">
      <c r="A141" s="10" t="s">
        <v>465</v>
      </c>
      <c r="B141" s="18">
        <f>_xlfn.XLOOKUP(A141,[1]employees!$E:$E,[1]employees!$B:$B)</f>
        <v>37768</v>
      </c>
      <c r="C141" s="18" t="s">
        <v>2087</v>
      </c>
    </row>
    <row r="142" spans="1:3" x14ac:dyDescent="0.2">
      <c r="A142" s="32" t="s">
        <v>469</v>
      </c>
      <c r="B142" s="18">
        <f>_xlfn.XLOOKUP(A142,[1]employees!$E:$E,[1]employees!$B:$B)</f>
        <v>37767</v>
      </c>
      <c r="C142" s="18" t="s">
        <v>2088</v>
      </c>
    </row>
    <row r="143" spans="1:3" x14ac:dyDescent="0.2">
      <c r="A143" s="10" t="s">
        <v>473</v>
      </c>
      <c r="B143" s="18">
        <f>_xlfn.XLOOKUP(A143,[1]employees!$E:$E,[1]employees!$B:$B)</f>
        <v>37769</v>
      </c>
      <c r="C143" s="18" t="s">
        <v>2089</v>
      </c>
    </row>
    <row r="144" spans="1:3" x14ac:dyDescent="0.2">
      <c r="A144" s="32" t="s">
        <v>477</v>
      </c>
      <c r="B144" s="18">
        <f>_xlfn.XLOOKUP(A144,[1]employees!$E:$E,[1]employees!$B:$B)</f>
        <v>37772</v>
      </c>
      <c r="C144" s="18" t="s">
        <v>2090</v>
      </c>
    </row>
    <row r="145" spans="1:3" x14ac:dyDescent="0.2">
      <c r="A145" s="18" t="s">
        <v>396</v>
      </c>
      <c r="B145" s="18">
        <f>_xlfn.XLOOKUP(A145,[1]employees!$E:$E,[1]employees!$B:$B)</f>
        <v>26577</v>
      </c>
      <c r="C145" s="18" t="s">
        <v>2091</v>
      </c>
    </row>
    <row r="146" spans="1:3" x14ac:dyDescent="0.2">
      <c r="A146" s="32" t="s">
        <v>453</v>
      </c>
      <c r="B146" s="18">
        <f>_xlfn.XLOOKUP(A146,[1]employees!$E:$E,[1]employees!$B:$B)</f>
        <v>30128</v>
      </c>
      <c r="C146" s="18" t="s">
        <v>2092</v>
      </c>
    </row>
    <row r="147" spans="1:3" x14ac:dyDescent="0.2">
      <c r="A147" s="10" t="s">
        <v>457</v>
      </c>
      <c r="B147" s="18">
        <f>_xlfn.XLOOKUP(A147,[1]employees!$E:$E,[1]employees!$B:$B)</f>
        <v>28600</v>
      </c>
      <c r="C147" s="18" t="s">
        <v>2093</v>
      </c>
    </row>
    <row r="148" spans="1:3" x14ac:dyDescent="0.2">
      <c r="A148" s="32" t="s">
        <v>376</v>
      </c>
      <c r="B148" s="18">
        <f>_xlfn.XLOOKUP(A148,[1]employees!$E:$E,[1]employees!$B:$B)</f>
        <v>37799</v>
      </c>
      <c r="C148" s="18" t="s">
        <v>2094</v>
      </c>
    </row>
    <row r="149" spans="1:3" x14ac:dyDescent="0.2">
      <c r="A149" s="10" t="s">
        <v>388</v>
      </c>
      <c r="B149" s="18">
        <f>_xlfn.XLOOKUP(A149,[1]employees!$E:$E,[1]employees!$B:$B)</f>
        <v>17356</v>
      </c>
      <c r="C149" s="18" t="s">
        <v>2095</v>
      </c>
    </row>
    <row r="150" spans="1:3" x14ac:dyDescent="0.2">
      <c r="A150" s="32" t="s">
        <v>409</v>
      </c>
      <c r="B150" s="18">
        <f>_xlfn.XLOOKUP(A150,[1]employees!$E:$E,[1]employees!$B:$B)</f>
        <v>21719</v>
      </c>
      <c r="C150" s="18" t="s">
        <v>2096</v>
      </c>
    </row>
    <row r="151" spans="1:3" x14ac:dyDescent="0.2">
      <c r="A151" s="10" t="s">
        <v>380</v>
      </c>
      <c r="B151" s="18">
        <f>_xlfn.XLOOKUP(A151,[1]employees!$E:$E,[1]employees!$B:$B)</f>
        <v>11064</v>
      </c>
      <c r="C151" s="18" t="s">
        <v>2097</v>
      </c>
    </row>
    <row r="152" spans="1:3" x14ac:dyDescent="0.2">
      <c r="A152" s="32" t="s">
        <v>482</v>
      </c>
      <c r="B152" s="18">
        <f>_xlfn.XLOOKUP(A152,[1]employees!$E:$E,[1]employees!$B:$B)</f>
        <v>37852</v>
      </c>
      <c r="C152" s="18" t="s">
        <v>2098</v>
      </c>
    </row>
    <row r="153" spans="1:3" x14ac:dyDescent="0.2">
      <c r="A153" s="10" t="s">
        <v>404</v>
      </c>
      <c r="B153" s="18">
        <f>_xlfn.XLOOKUP(A153,[1]employees!$E:$E,[1]employees!$B:$B)</f>
        <v>25621</v>
      </c>
      <c r="C153" s="18" t="s">
        <v>2099</v>
      </c>
    </row>
    <row r="154" spans="1:3" x14ac:dyDescent="0.2">
      <c r="A154" s="32" t="s">
        <v>422</v>
      </c>
      <c r="B154" s="18">
        <f>_xlfn.XLOOKUP(A154,[1]employees!$E:$E,[1]employees!$B:$B)</f>
        <v>33492</v>
      </c>
      <c r="C154" s="18" t="s">
        <v>2100</v>
      </c>
    </row>
    <row r="155" spans="1:3" x14ac:dyDescent="0.2">
      <c r="A155" s="78" t="s">
        <v>486</v>
      </c>
      <c r="B155" s="18">
        <f>_xlfn.XLOOKUP(A155,[1]employees!$E:$E,[1]employees!$B:$B)</f>
        <v>37289</v>
      </c>
      <c r="C155" s="18" t="s">
        <v>2101</v>
      </c>
    </row>
    <row r="156" spans="1:3" x14ac:dyDescent="0.2">
      <c r="A156" s="32" t="s">
        <v>392</v>
      </c>
      <c r="B156" s="18">
        <f>_xlfn.XLOOKUP(A156,[1]employees!$E:$E,[1]employees!$B:$B)</f>
        <v>25741</v>
      </c>
      <c r="C156" s="18" t="s">
        <v>2102</v>
      </c>
    </row>
    <row r="157" spans="1:3" x14ac:dyDescent="0.2">
      <c r="A157" s="10" t="s">
        <v>490</v>
      </c>
      <c r="B157" s="18">
        <f>_xlfn.XLOOKUP(A157,[1]employees!$E:$E,[1]employees!$B:$B)</f>
        <v>37798</v>
      </c>
      <c r="C157" s="18" t="s">
        <v>2103</v>
      </c>
    </row>
    <row r="158" spans="1:3" x14ac:dyDescent="0.2">
      <c r="A158" s="32" t="s">
        <v>446</v>
      </c>
      <c r="B158" s="18">
        <f>_xlfn.XLOOKUP(A158,[1]employees!$E:$E,[1]employees!$B:$B)</f>
        <v>12694</v>
      </c>
      <c r="C158" s="18" t="s">
        <v>2104</v>
      </c>
    </row>
    <row r="159" spans="1:3" x14ac:dyDescent="0.2">
      <c r="A159" s="10" t="s">
        <v>426</v>
      </c>
      <c r="B159" s="18">
        <f>_xlfn.XLOOKUP(A159,[1]employees!$E:$E,[1]employees!$B:$B)</f>
        <v>33542</v>
      </c>
      <c r="C159" s="18" t="s">
        <v>2105</v>
      </c>
    </row>
    <row r="160" spans="1:3" x14ac:dyDescent="0.2">
      <c r="A160" s="32" t="s">
        <v>494</v>
      </c>
      <c r="B160" s="18">
        <f>_xlfn.XLOOKUP(A160,[1]employees!$E:$E,[1]employees!$B:$B)</f>
        <v>36984</v>
      </c>
      <c r="C160" s="18" t="s">
        <v>2106</v>
      </c>
    </row>
    <row r="161" spans="1:3" x14ac:dyDescent="0.2">
      <c r="A161" s="10" t="s">
        <v>430</v>
      </c>
      <c r="B161" s="18">
        <f>_xlfn.XLOOKUP(A161,[1]employees!$E:$E,[1]employees!$B:$B)</f>
        <v>31375</v>
      </c>
      <c r="C161" s="18" t="s">
        <v>2107</v>
      </c>
    </row>
    <row r="162" spans="1:3" x14ac:dyDescent="0.2">
      <c r="A162" s="32" t="s">
        <v>442</v>
      </c>
      <c r="B162" s="18">
        <f>_xlfn.XLOOKUP(A162,[1]employees!$E:$E,[1]employees!$B:$B)</f>
        <v>31377</v>
      </c>
      <c r="C162" s="18" t="s">
        <v>2108</v>
      </c>
    </row>
    <row r="163" spans="1:3" x14ac:dyDescent="0.2">
      <c r="A163" s="10" t="s">
        <v>498</v>
      </c>
      <c r="B163" s="18">
        <f>_xlfn.XLOOKUP(A163,[1]employees!$E:$E,[1]employees!$B:$B)</f>
        <v>37815</v>
      </c>
      <c r="C163" s="18" t="s">
        <v>2109</v>
      </c>
    </row>
    <row r="164" spans="1:3" x14ac:dyDescent="0.2">
      <c r="A164" s="15" t="s">
        <v>400</v>
      </c>
      <c r="B164" s="18">
        <f>_xlfn.XLOOKUP(A164,[1]employees!$E:$E,[1]employees!$B:$B)</f>
        <v>12702</v>
      </c>
      <c r="C164" s="18" t="s">
        <v>2110</v>
      </c>
    </row>
    <row r="165" spans="1:3" x14ac:dyDescent="0.2">
      <c r="A165" s="10" t="s">
        <v>434</v>
      </c>
      <c r="B165" s="18">
        <f>_xlfn.XLOOKUP(A165,[1]employees!$E:$E,[1]employees!$B:$B)</f>
        <v>31374</v>
      </c>
      <c r="C165" s="18" t="s">
        <v>2111</v>
      </c>
    </row>
    <row r="166" spans="1:3" x14ac:dyDescent="0.2">
      <c r="A166" s="32" t="s">
        <v>384</v>
      </c>
      <c r="B166" s="18">
        <f>_xlfn.XLOOKUP(A166,[1]employees!$E:$E,[1]employees!$B:$B)</f>
        <v>11265</v>
      </c>
      <c r="C166" s="18" t="s">
        <v>2112</v>
      </c>
    </row>
    <row r="167" spans="1:3" x14ac:dyDescent="0.2">
      <c r="A167" s="10" t="s">
        <v>450</v>
      </c>
      <c r="B167" s="18">
        <f>_xlfn.XLOOKUP(A167,[1]employees!$E:$E,[1]employees!$B:$B)</f>
        <v>14723</v>
      </c>
      <c r="C167" s="18" t="s">
        <v>2113</v>
      </c>
    </row>
    <row r="168" spans="1:3" x14ac:dyDescent="0.2">
      <c r="A168" s="32" t="s">
        <v>195</v>
      </c>
      <c r="B168" s="18">
        <f>_xlfn.XLOOKUP(A168,[1]employees!$E:$E,[1]employees!$B:$B)</f>
        <v>32008</v>
      </c>
      <c r="C168" s="18" t="s">
        <v>2114</v>
      </c>
    </row>
    <row r="169" spans="1:3" x14ac:dyDescent="0.2">
      <c r="A169" s="10" t="s">
        <v>141</v>
      </c>
      <c r="B169" s="18">
        <f>_xlfn.XLOOKUP(A169,[1]employees!$E:$E,[1]employees!$B:$B)</f>
        <v>8163</v>
      </c>
      <c r="C169" s="18" t="s">
        <v>2115</v>
      </c>
    </row>
    <row r="170" spans="1:3" x14ac:dyDescent="0.2">
      <c r="A170" s="32" t="s">
        <v>128</v>
      </c>
      <c r="B170" s="18">
        <f>_xlfn.XLOOKUP(A170,[1]employees!$E:$E,[1]employees!$B:$B)</f>
        <v>34364</v>
      </c>
      <c r="C170" s="18" t="s">
        <v>2116</v>
      </c>
    </row>
    <row r="171" spans="1:3" x14ac:dyDescent="0.2">
      <c r="A171" s="18" t="s">
        <v>199</v>
      </c>
      <c r="B171" s="18">
        <f>_xlfn.XLOOKUP(A171,[1]employees!$E:$E,[1]employees!$B:$B)</f>
        <v>33432</v>
      </c>
      <c r="C171" s="18" t="s">
        <v>2117</v>
      </c>
    </row>
    <row r="172" spans="1:3" x14ac:dyDescent="0.2">
      <c r="A172" s="32" t="s">
        <v>204</v>
      </c>
      <c r="B172" s="18">
        <f>_xlfn.XLOOKUP(A172,[1]employees!$E:$E,[1]employees!$B:$B)</f>
        <v>23807</v>
      </c>
      <c r="C172" s="18" t="s">
        <v>2118</v>
      </c>
    </row>
    <row r="173" spans="1:3" x14ac:dyDescent="0.2">
      <c r="A173" s="10" t="s">
        <v>132</v>
      </c>
      <c r="B173" s="18">
        <f>_xlfn.XLOOKUP(A173,[1]employees!$E:$E,[1]employees!$B:$B)</f>
        <v>34840</v>
      </c>
      <c r="C173" s="18" t="s">
        <v>2119</v>
      </c>
    </row>
    <row r="174" spans="1:3" x14ac:dyDescent="0.2">
      <c r="A174" s="32" t="s">
        <v>120</v>
      </c>
      <c r="B174" s="18">
        <f>_xlfn.XLOOKUP(A174,[1]employees!$E:$E,[1]employees!$B:$B)</f>
        <v>26604</v>
      </c>
      <c r="C174" s="18" t="s">
        <v>2120</v>
      </c>
    </row>
    <row r="175" spans="1:3" x14ac:dyDescent="0.2">
      <c r="A175" s="10" t="s">
        <v>124</v>
      </c>
      <c r="B175" s="18">
        <f>_xlfn.XLOOKUP(A175,[1]employees!$E:$E,[1]employees!$B:$B)</f>
        <v>7915</v>
      </c>
      <c r="C175" s="18" t="s">
        <v>2121</v>
      </c>
    </row>
    <row r="176" spans="1:3" x14ac:dyDescent="0.2">
      <c r="A176" s="32" t="s">
        <v>112</v>
      </c>
      <c r="B176" s="18">
        <f>_xlfn.XLOOKUP(A176,[1]employees!$E:$E,[1]employees!$B:$B)</f>
        <v>9700</v>
      </c>
      <c r="C176" s="18" t="s">
        <v>2122</v>
      </c>
    </row>
    <row r="177" spans="1:3" x14ac:dyDescent="0.2">
      <c r="A177" s="10" t="s">
        <v>208</v>
      </c>
      <c r="B177" s="18">
        <f>_xlfn.XLOOKUP(A177,[1]employees!$E:$E,[1]employees!$B:$B)</f>
        <v>32007</v>
      </c>
      <c r="C177" s="18" t="s">
        <v>2123</v>
      </c>
    </row>
    <row r="178" spans="1:3" x14ac:dyDescent="0.2">
      <c r="A178" s="32" t="s">
        <v>116</v>
      </c>
      <c r="B178" s="18">
        <f>_xlfn.XLOOKUP(A178,[1]employees!$E:$E,[1]employees!$B:$B)</f>
        <v>13479</v>
      </c>
      <c r="C178" s="18" t="s">
        <v>2124</v>
      </c>
    </row>
    <row r="179" spans="1:3" x14ac:dyDescent="0.2">
      <c r="A179" s="10" t="s">
        <v>104</v>
      </c>
      <c r="B179" s="18">
        <f>_xlfn.XLOOKUP(A179,[1]employees!$E:$E,[1]employees!$B:$B)</f>
        <v>34337</v>
      </c>
      <c r="C179" s="18" t="s">
        <v>2125</v>
      </c>
    </row>
    <row r="180" spans="1:3" x14ac:dyDescent="0.2">
      <c r="A180" s="32" t="s">
        <v>108</v>
      </c>
      <c r="B180" s="18">
        <f>_xlfn.XLOOKUP(A180,[1]employees!$E:$E,[1]employees!$B:$B)</f>
        <v>34340</v>
      </c>
      <c r="C180" s="18" t="s">
        <v>2126</v>
      </c>
    </row>
    <row r="181" spans="1:3" x14ac:dyDescent="0.2">
      <c r="A181" s="10" t="s">
        <v>145</v>
      </c>
      <c r="B181" s="18">
        <f>_xlfn.XLOOKUP(A181,[1]employees!$E:$E,[1]employees!$B:$B)</f>
        <v>7616</v>
      </c>
      <c r="C181" s="18" t="s">
        <v>2127</v>
      </c>
    </row>
    <row r="182" spans="1:3" x14ac:dyDescent="0.2">
      <c r="A182" s="15" t="s">
        <v>149</v>
      </c>
      <c r="B182" s="18">
        <f>_xlfn.XLOOKUP(A182,[1]employees!$E:$E,[1]employees!$B:$B)</f>
        <v>9402</v>
      </c>
      <c r="C182" s="18" t="s">
        <v>2128</v>
      </c>
    </row>
    <row r="183" spans="1:3" x14ac:dyDescent="0.2">
      <c r="A183" s="10" t="s">
        <v>153</v>
      </c>
      <c r="B183" s="18">
        <f>_xlfn.XLOOKUP(A183,[1]employees!$E:$E,[1]employees!$B:$B)</f>
        <v>25167</v>
      </c>
      <c r="C183" s="18" t="s">
        <v>2129</v>
      </c>
    </row>
    <row r="184" spans="1:3" x14ac:dyDescent="0.2">
      <c r="A184" s="32" t="s">
        <v>161</v>
      </c>
      <c r="B184" s="18">
        <f>_xlfn.XLOOKUP(A184,[1]employees!$E:$E,[1]employees!$B:$B)</f>
        <v>34652</v>
      </c>
      <c r="C184" s="18" t="s">
        <v>2130</v>
      </c>
    </row>
    <row r="185" spans="1:3" x14ac:dyDescent="0.2">
      <c r="A185" s="10" t="s">
        <v>99</v>
      </c>
      <c r="B185" s="18">
        <f>_xlfn.XLOOKUP(A185,[1]employees!$E:$E,[1]employees!$B:$B)</f>
        <v>5540</v>
      </c>
      <c r="C185" s="18" t="s">
        <v>2131</v>
      </c>
    </row>
    <row r="186" spans="1:3" x14ac:dyDescent="0.2">
      <c r="A186" s="32" t="s">
        <v>212</v>
      </c>
      <c r="B186" s="18">
        <f>_xlfn.XLOOKUP(A186,[1]employees!$E:$E,[1]employees!$B:$B)</f>
        <v>34839</v>
      </c>
      <c r="C186" s="18" t="s">
        <v>2132</v>
      </c>
    </row>
    <row r="187" spans="1:3" x14ac:dyDescent="0.2">
      <c r="A187" s="10" t="s">
        <v>94</v>
      </c>
      <c r="B187" s="18">
        <f>_xlfn.XLOOKUP(A187,[1]employees!$E:$E,[1]employees!$B:$B)</f>
        <v>14777</v>
      </c>
      <c r="C187" s="18" t="s">
        <v>2133</v>
      </c>
    </row>
    <row r="188" spans="1:3" x14ac:dyDescent="0.2">
      <c r="A188" s="15" t="s">
        <v>171</v>
      </c>
      <c r="B188" s="18">
        <f>_xlfn.XLOOKUP(A188,[1]employees!$E:$E,[1]employees!$B:$B)</f>
        <v>26871</v>
      </c>
      <c r="C188" s="18" t="s">
        <v>2134</v>
      </c>
    </row>
    <row r="189" spans="1:3" x14ac:dyDescent="0.2">
      <c r="A189" s="10" t="s">
        <v>175</v>
      </c>
      <c r="B189" s="18">
        <f>_xlfn.XLOOKUP(A189,[1]employees!$E:$E,[1]employees!$B:$B)</f>
        <v>34886</v>
      </c>
      <c r="C189" s="18" t="s">
        <v>2135</v>
      </c>
    </row>
    <row r="190" spans="1:3" x14ac:dyDescent="0.2">
      <c r="A190" s="32" t="s">
        <v>179</v>
      </c>
      <c r="B190" s="18">
        <f>_xlfn.XLOOKUP(A190,[1]employees!$E:$E,[1]employees!$B:$B)</f>
        <v>26472</v>
      </c>
      <c r="C190" s="18" t="s">
        <v>2136</v>
      </c>
    </row>
    <row r="191" spans="1:3" x14ac:dyDescent="0.2">
      <c r="A191" s="10" t="s">
        <v>216</v>
      </c>
      <c r="B191" s="18">
        <f>_xlfn.XLOOKUP(A191,[1]employees!$E:$E,[1]employees!$B:$B)</f>
        <v>37507</v>
      </c>
      <c r="C191" s="18" t="s">
        <v>2137</v>
      </c>
    </row>
    <row r="192" spans="1:3" x14ac:dyDescent="0.2">
      <c r="A192" s="32" t="s">
        <v>183</v>
      </c>
      <c r="B192" s="18">
        <f>_xlfn.XLOOKUP(A192,[1]employees!$E:$E,[1]employees!$B:$B)</f>
        <v>34885</v>
      </c>
      <c r="C192" s="18" t="s">
        <v>2138</v>
      </c>
    </row>
    <row r="193" spans="1:3" x14ac:dyDescent="0.2">
      <c r="A193" s="18" t="s">
        <v>187</v>
      </c>
      <c r="B193" s="18">
        <f>_xlfn.XLOOKUP(A193,[1]employees!$E:$E,[1]employees!$B:$B)</f>
        <v>36924</v>
      </c>
      <c r="C193" s="18" t="s">
        <v>2139</v>
      </c>
    </row>
    <row r="194" spans="1:3" x14ac:dyDescent="0.2">
      <c r="A194" s="32" t="s">
        <v>191</v>
      </c>
      <c r="B194" s="18">
        <f>_xlfn.XLOOKUP(A194,[1]employees!$E:$E,[1]employees!$B:$B)</f>
        <v>33347</v>
      </c>
      <c r="C194" s="18" t="s">
        <v>2140</v>
      </c>
    </row>
    <row r="195" spans="1:3" x14ac:dyDescent="0.2">
      <c r="A195" s="10" t="s">
        <v>230</v>
      </c>
      <c r="B195" s="18">
        <f>_xlfn.XLOOKUP(A195,[1]employees!$E:$E,[1]employees!$B:$B)</f>
        <v>24299</v>
      </c>
      <c r="C195" s="18" t="s">
        <v>2141</v>
      </c>
    </row>
    <row r="196" spans="1:3" x14ac:dyDescent="0.2">
      <c r="A196" s="32" t="s">
        <v>221</v>
      </c>
      <c r="B196" s="18">
        <f>_xlfn.XLOOKUP(A196,[1]employees!$E:$E,[1]employees!$B:$B)</f>
        <v>9088</v>
      </c>
      <c r="C196" s="18" t="s">
        <v>2142</v>
      </c>
    </row>
    <row r="197" spans="1:3" x14ac:dyDescent="0.2">
      <c r="A197" s="18" t="s">
        <v>346</v>
      </c>
      <c r="B197" s="18">
        <f>_xlfn.XLOOKUP(A197,[1]employees!$E:$E,[1]employees!$B:$B)</f>
        <v>19371</v>
      </c>
      <c r="C197" s="18" t="s">
        <v>2143</v>
      </c>
    </row>
    <row r="198" spans="1:3" x14ac:dyDescent="0.2">
      <c r="A198" s="32" t="s">
        <v>239</v>
      </c>
      <c r="B198" s="18">
        <f>_xlfn.XLOOKUP(A198,[1]employees!$E:$E,[1]employees!$B:$B)</f>
        <v>28423</v>
      </c>
      <c r="C198" s="18" t="s">
        <v>2144</v>
      </c>
    </row>
    <row r="199" spans="1:3" x14ac:dyDescent="0.2">
      <c r="A199" s="10" t="s">
        <v>235</v>
      </c>
      <c r="B199" s="18">
        <f>_xlfn.XLOOKUP(A199,[1]employees!$E:$E,[1]employees!$B:$B)</f>
        <v>35145</v>
      </c>
      <c r="C199" s="18" t="s">
        <v>2145</v>
      </c>
    </row>
    <row r="200" spans="1:3" x14ac:dyDescent="0.2">
      <c r="A200" s="32" t="s">
        <v>243</v>
      </c>
      <c r="B200" s="18">
        <f>_xlfn.XLOOKUP(A200,[1]employees!$E:$E,[1]employees!$B:$B)</f>
        <v>31634</v>
      </c>
      <c r="C200" s="18" t="s">
        <v>2146</v>
      </c>
    </row>
    <row r="201" spans="1:3" x14ac:dyDescent="0.2">
      <c r="A201" s="10" t="s">
        <v>350</v>
      </c>
      <c r="B201" s="18">
        <f>_xlfn.XLOOKUP(A201,[1]employees!$E:$E,[1]employees!$B:$B)</f>
        <v>21608</v>
      </c>
      <c r="C201" s="18" t="s">
        <v>2147</v>
      </c>
    </row>
    <row r="202" spans="1:3" x14ac:dyDescent="0.2">
      <c r="A202" s="32" t="s">
        <v>354</v>
      </c>
      <c r="B202" s="18">
        <f>_xlfn.XLOOKUP(A202,[1]employees!$E:$E,[1]employees!$B:$B)</f>
        <v>37519</v>
      </c>
      <c r="C202" s="18" t="s">
        <v>2148</v>
      </c>
    </row>
    <row r="203" spans="1:3" x14ac:dyDescent="0.2">
      <c r="A203" s="10" t="s">
        <v>857</v>
      </c>
      <c r="B203" s="18">
        <f>_xlfn.XLOOKUP(A203,[1]employees!$E:$E,[1]employees!$B:$B)</f>
        <v>35106</v>
      </c>
      <c r="C203" s="18" t="s">
        <v>2149</v>
      </c>
    </row>
    <row r="204" spans="1:3" x14ac:dyDescent="0.2">
      <c r="A204" s="32" t="s">
        <v>736</v>
      </c>
      <c r="B204" s="18">
        <f>_xlfn.XLOOKUP(A204,[1]employees!$E:$E,[1]employees!$B:$B)</f>
        <v>29656</v>
      </c>
      <c r="C204" s="18" t="s">
        <v>2150</v>
      </c>
    </row>
    <row r="205" spans="1:3" x14ac:dyDescent="0.2">
      <c r="A205" s="10" t="s">
        <v>608</v>
      </c>
      <c r="B205" s="18">
        <f>_xlfn.XLOOKUP(A205,[1]employees!$E:$E,[1]employees!$B:$B)</f>
        <v>21226</v>
      </c>
      <c r="C205" s="18" t="s">
        <v>2151</v>
      </c>
    </row>
    <row r="206" spans="1:3" x14ac:dyDescent="0.2">
      <c r="A206" s="32" t="s">
        <v>612</v>
      </c>
      <c r="B206" s="18">
        <f>_xlfn.XLOOKUP(A206,[1]employees!$E:$E,[1]employees!$B:$B)</f>
        <v>34411</v>
      </c>
      <c r="C206" s="18" t="s">
        <v>2152</v>
      </c>
    </row>
    <row r="207" spans="1:3" x14ac:dyDescent="0.2">
      <c r="A207" s="10" t="s">
        <v>861</v>
      </c>
      <c r="B207" s="18">
        <f>_xlfn.XLOOKUP(A207,[1]employees!$E:$E,[1]employees!$B:$B)</f>
        <v>34274</v>
      </c>
      <c r="C207" s="18" t="s">
        <v>2153</v>
      </c>
    </row>
    <row r="208" spans="1:3" x14ac:dyDescent="0.2">
      <c r="A208" s="15" t="s">
        <v>573</v>
      </c>
      <c r="B208" s="18">
        <f>_xlfn.XLOOKUP(A208,[1]employees!$E:$E,[1]employees!$B:$B)</f>
        <v>31710</v>
      </c>
      <c r="C208" s="18" t="s">
        <v>2154</v>
      </c>
    </row>
    <row r="209" spans="1:3" x14ac:dyDescent="0.2">
      <c r="A209" s="18" t="s">
        <v>600</v>
      </c>
      <c r="B209" s="18">
        <f>_xlfn.XLOOKUP(A209,[1]employees!$E:$E,[1]employees!$B:$B)</f>
        <v>30835</v>
      </c>
      <c r="C209" s="18" t="s">
        <v>2155</v>
      </c>
    </row>
    <row r="210" spans="1:3" x14ac:dyDescent="0.2">
      <c r="A210" s="32" t="s">
        <v>604</v>
      </c>
      <c r="B210" s="18">
        <f>_xlfn.XLOOKUP(A210,[1]employees!$E:$E,[1]employees!$B:$B)</f>
        <v>29218</v>
      </c>
      <c r="C210" s="18" t="s">
        <v>2156</v>
      </c>
    </row>
    <row r="211" spans="1:3" x14ac:dyDescent="0.2">
      <c r="A211" s="10" t="s">
        <v>591</v>
      </c>
      <c r="B211" s="18">
        <f>_xlfn.XLOOKUP(A211,[1]employees!$E:$E,[1]employees!$B:$B)</f>
        <v>35788</v>
      </c>
      <c r="C211" s="18" t="s">
        <v>2157</v>
      </c>
    </row>
    <row r="212" spans="1:3" x14ac:dyDescent="0.2">
      <c r="A212" s="32" t="s">
        <v>595</v>
      </c>
      <c r="B212" s="18">
        <f>_xlfn.XLOOKUP(A212,[1]employees!$E:$E,[1]employees!$B:$B)</f>
        <v>10857</v>
      </c>
      <c r="C212" s="18" t="s">
        <v>2158</v>
      </c>
    </row>
    <row r="213" spans="1:3" x14ac:dyDescent="0.2">
      <c r="A213" s="10" t="s">
        <v>582</v>
      </c>
      <c r="B213" s="18">
        <f>_xlfn.XLOOKUP(A213,[1]employees!$E:$E,[1]employees!$B:$B)</f>
        <v>28080</v>
      </c>
      <c r="C213" s="18" t="s">
        <v>2159</v>
      </c>
    </row>
    <row r="214" spans="1:3" x14ac:dyDescent="0.2">
      <c r="A214" s="32" t="s">
        <v>1052</v>
      </c>
      <c r="B214" s="18">
        <f>_xlfn.XLOOKUP(A214,[1]employees!$E:$E,[1]employees!$B:$B)</f>
        <v>37593</v>
      </c>
      <c r="C214" s="18" t="s">
        <v>2160</v>
      </c>
    </row>
    <row r="215" spans="1:3" x14ac:dyDescent="0.2">
      <c r="A215" s="10" t="s">
        <v>1056</v>
      </c>
      <c r="B215" s="18">
        <f>_xlfn.XLOOKUP(A215,[1]employees!$E:$E,[1]employees!$B:$B)</f>
        <v>32833</v>
      </c>
      <c r="C215" s="18" t="s">
        <v>2161</v>
      </c>
    </row>
    <row r="216" spans="1:3" x14ac:dyDescent="0.2">
      <c r="A216" s="32" t="s">
        <v>1061</v>
      </c>
      <c r="B216" s="18">
        <f>_xlfn.XLOOKUP(A216,[1]employees!$E:$E,[1]employees!$B:$B)</f>
        <v>37510</v>
      </c>
      <c r="C216" s="18" t="s">
        <v>2162</v>
      </c>
    </row>
    <row r="217" spans="1:3" x14ac:dyDescent="0.2">
      <c r="A217" s="10" t="s">
        <v>1065</v>
      </c>
      <c r="B217" s="18">
        <f>_xlfn.XLOOKUP(A217,[1]employees!$E:$E,[1]employees!$B:$B)</f>
        <v>35969</v>
      </c>
      <c r="C217" s="18" t="s">
        <v>2163</v>
      </c>
    </row>
    <row r="218" spans="1:3" x14ac:dyDescent="0.2">
      <c r="A218" s="32" t="s">
        <v>1073</v>
      </c>
      <c r="B218" s="18">
        <f>_xlfn.XLOOKUP(A218,[1]employees!$E:$E,[1]employees!$B:$B)</f>
        <v>37594</v>
      </c>
      <c r="C218" s="18" t="s">
        <v>2164</v>
      </c>
    </row>
    <row r="219" spans="1:3" x14ac:dyDescent="0.2">
      <c r="A219" s="10" t="s">
        <v>535</v>
      </c>
      <c r="B219" s="18">
        <f>_xlfn.XLOOKUP(A219,[1]employees!$E:$E,[1]employees!$B:$B)</f>
        <v>30656</v>
      </c>
      <c r="C219" s="18" t="s">
        <v>2165</v>
      </c>
    </row>
    <row r="220" spans="1:3" x14ac:dyDescent="0.2">
      <c r="A220" s="32" t="s">
        <v>564</v>
      </c>
      <c r="B220" s="18">
        <f>_xlfn.XLOOKUP(A220,[1]employees!$E:$E,[1]employees!$B:$B)</f>
        <v>34087</v>
      </c>
      <c r="C220" s="18" t="s">
        <v>2166</v>
      </c>
    </row>
    <row r="221" spans="1:3" x14ac:dyDescent="0.2">
      <c r="A221" s="18" t="s">
        <v>587</v>
      </c>
      <c r="B221" s="18">
        <f>_xlfn.XLOOKUP(A221,[1]employees!$E:$E,[1]employees!$B:$B)</f>
        <v>28892</v>
      </c>
      <c r="C221" s="18" t="s">
        <v>2167</v>
      </c>
    </row>
    <row r="222" spans="1:3" x14ac:dyDescent="0.2">
      <c r="A222" s="32" t="s">
        <v>577</v>
      </c>
      <c r="B222" s="18">
        <f>_xlfn.XLOOKUP(A222,[1]employees!$E:$E,[1]employees!$B:$B)</f>
        <v>30559</v>
      </c>
      <c r="C222" s="18" t="s">
        <v>2168</v>
      </c>
    </row>
    <row r="223" spans="1:3" x14ac:dyDescent="0.2">
      <c r="A223" s="10" t="s">
        <v>568</v>
      </c>
      <c r="B223" s="18">
        <f>_xlfn.XLOOKUP(A223,[1]employees!$E:$E,[1]employees!$B:$B)</f>
        <v>20055</v>
      </c>
      <c r="C223" s="18" t="s">
        <v>2169</v>
      </c>
    </row>
    <row r="224" spans="1:3" x14ac:dyDescent="0.2">
      <c r="A224" s="32" t="s">
        <v>700</v>
      </c>
      <c r="B224" s="18">
        <f>_xlfn.XLOOKUP(A224,[1]employees!$E:$E,[1]employees!$B:$B)</f>
        <v>36384</v>
      </c>
      <c r="C224" s="18" t="s">
        <v>2170</v>
      </c>
    </row>
    <row r="225" spans="1:3" x14ac:dyDescent="0.2">
      <c r="A225" s="10" t="s">
        <v>704</v>
      </c>
      <c r="B225" s="18">
        <f>_xlfn.XLOOKUP(A225,[1]employees!$E:$E,[1]employees!$B:$B)</f>
        <v>28649</v>
      </c>
      <c r="C225" s="18" t="s">
        <v>2171</v>
      </c>
    </row>
    <row r="226" spans="1:3" x14ac:dyDescent="0.2">
      <c r="A226" s="32" t="s">
        <v>708</v>
      </c>
      <c r="B226" s="18">
        <f>_xlfn.XLOOKUP(A226,[1]employees!$E:$E,[1]employees!$B:$B)</f>
        <v>34245</v>
      </c>
      <c r="C226" s="18" t="s">
        <v>2172</v>
      </c>
    </row>
    <row r="227" spans="1:3" x14ac:dyDescent="0.2">
      <c r="A227" s="10" t="s">
        <v>712</v>
      </c>
      <c r="B227" s="18">
        <f>_xlfn.XLOOKUP(A227,[1]employees!$E:$E,[1]employees!$B:$B)</f>
        <v>29558</v>
      </c>
      <c r="C227" s="18" t="s">
        <v>2173</v>
      </c>
    </row>
    <row r="228" spans="1:3" x14ac:dyDescent="0.2">
      <c r="A228" s="32" t="s">
        <v>740</v>
      </c>
      <c r="B228" s="18">
        <f>_xlfn.XLOOKUP(A228,[1]employees!$E:$E,[1]employees!$B:$B)</f>
        <v>30997</v>
      </c>
      <c r="C228" s="18" t="s">
        <v>2174</v>
      </c>
    </row>
    <row r="229" spans="1:3" x14ac:dyDescent="0.2">
      <c r="A229" s="10" t="s">
        <v>716</v>
      </c>
      <c r="B229" s="18">
        <f>_xlfn.XLOOKUP(A229,[1]employees!$E:$E,[1]employees!$B:$B)</f>
        <v>33744</v>
      </c>
      <c r="C229" s="18" t="s">
        <v>2175</v>
      </c>
    </row>
    <row r="230" spans="1:3" x14ac:dyDescent="0.2">
      <c r="A230" s="32" t="s">
        <v>676</v>
      </c>
      <c r="B230" s="18">
        <f>_xlfn.XLOOKUP(A230,[1]employees!$E:$E,[1]employees!$B:$B)</f>
        <v>18753</v>
      </c>
      <c r="C230" s="18" t="s">
        <v>2176</v>
      </c>
    </row>
    <row r="231" spans="1:3" x14ac:dyDescent="0.2">
      <c r="A231" s="79" t="s">
        <v>83</v>
      </c>
      <c r="B231" s="18">
        <f>_xlfn.XLOOKUP(A231,[1]employees!$E:$E,[1]employees!$B:$B)</f>
        <v>37843</v>
      </c>
      <c r="C231" s="18" t="s">
        <v>2177</v>
      </c>
    </row>
    <row r="232" spans="1:3" x14ac:dyDescent="0.2">
      <c r="A232" s="32" t="s">
        <v>363</v>
      </c>
      <c r="B232" s="18">
        <f>_xlfn.XLOOKUP(A232,[1]employees!$E:$E,[1]employees!$B:$B)</f>
        <v>356</v>
      </c>
      <c r="C232" s="18" t="s">
        <v>1282</v>
      </c>
    </row>
    <row r="233" spans="1:3" x14ac:dyDescent="0.2">
      <c r="A233" s="10" t="s">
        <v>136</v>
      </c>
      <c r="B233" s="18">
        <f>_xlfn.XLOOKUP(A233,[1]employees!$E:$E,[1]employees!$B:$B)</f>
        <v>35569</v>
      </c>
      <c r="C233" s="18" t="s">
        <v>2178</v>
      </c>
    </row>
    <row r="234" spans="1:3" x14ac:dyDescent="0.2">
      <c r="A234" s="43" t="s">
        <v>225</v>
      </c>
      <c r="B234" s="18" t="e">
        <f>_xlfn.XLOOKUP(A234,[1]employees!$E:$E,[1]employees!$B:$B)</f>
        <v>#N/A</v>
      </c>
      <c r="C234" s="18" t="s">
        <v>1949</v>
      </c>
    </row>
    <row r="235" spans="1:3" x14ac:dyDescent="0.2">
      <c r="A235" s="18" t="s">
        <v>322</v>
      </c>
      <c r="B235" s="18">
        <f>_xlfn.XLOOKUP(A235,[1]employees!$E:$E,[1]employees!$B:$B)</f>
        <v>37688</v>
      </c>
      <c r="C235" s="18" t="s">
        <v>2179</v>
      </c>
    </row>
    <row r="236" spans="1:3" x14ac:dyDescent="0.2">
      <c r="A236" s="32" t="s">
        <v>247</v>
      </c>
      <c r="B236" s="18">
        <f>_xlfn.XLOOKUP(A236,[1]employees!$E:$E,[1]employees!$B:$B)</f>
        <v>35401</v>
      </c>
      <c r="C236" s="18" t="s">
        <v>2180</v>
      </c>
    </row>
    <row r="237" spans="1:3" x14ac:dyDescent="0.2">
      <c r="A237" s="10" t="s">
        <v>251</v>
      </c>
      <c r="B237" s="18">
        <f>_xlfn.XLOOKUP(A237,[1]employees!$E:$E,[1]employees!$B:$B)</f>
        <v>26634</v>
      </c>
      <c r="C237" s="18" t="s">
        <v>2181</v>
      </c>
    </row>
    <row r="238" spans="1:3" x14ac:dyDescent="0.2">
      <c r="A238" s="15" t="s">
        <v>255</v>
      </c>
      <c r="B238" s="18">
        <f>_xlfn.XLOOKUP(A238,[1]employees!$E:$E,[1]employees!$B:$B)</f>
        <v>25473</v>
      </c>
      <c r="C238" s="18" t="s">
        <v>2182</v>
      </c>
    </row>
    <row r="239" spans="1:3" x14ac:dyDescent="0.2">
      <c r="A239" s="10" t="s">
        <v>338</v>
      </c>
      <c r="B239" s="18">
        <f>_xlfn.XLOOKUP(A239,[1]employees!$E:$E,[1]employees!$B:$B)</f>
        <v>29263</v>
      </c>
      <c r="C239" s="18" t="s">
        <v>2183</v>
      </c>
    </row>
    <row r="240" spans="1:3" x14ac:dyDescent="0.2">
      <c r="A240" s="32" t="s">
        <v>259</v>
      </c>
      <c r="B240" s="18">
        <f>_xlfn.XLOOKUP(A240,[1]employees!$E:$E,[1]employees!$B:$B)</f>
        <v>36300</v>
      </c>
      <c r="C240" s="18" t="s">
        <v>2184</v>
      </c>
    </row>
    <row r="241" spans="1:3" x14ac:dyDescent="0.2">
      <c r="A241" s="10" t="s">
        <v>326</v>
      </c>
      <c r="B241" s="18">
        <f>_xlfn.XLOOKUP(A241,[1]employees!$E:$E,[1]employees!$B:$B)</f>
        <v>37839</v>
      </c>
      <c r="C241" s="18" t="s">
        <v>2185</v>
      </c>
    </row>
    <row r="242" spans="1:3" x14ac:dyDescent="0.2">
      <c r="A242" s="32" t="s">
        <v>330</v>
      </c>
      <c r="B242" s="18">
        <f>_xlfn.XLOOKUP(A242,[1]employees!$E:$E,[1]employees!$B:$B)</f>
        <v>37145</v>
      </c>
      <c r="C242" s="18" t="s">
        <v>2186</v>
      </c>
    </row>
    <row r="243" spans="1:3" x14ac:dyDescent="0.2">
      <c r="A243" s="10" t="s">
        <v>342</v>
      </c>
      <c r="B243" s="18">
        <f>_xlfn.XLOOKUP(A243,[1]employees!$E:$E,[1]employees!$B:$B)</f>
        <v>28312</v>
      </c>
      <c r="C243" s="18" t="s">
        <v>2187</v>
      </c>
    </row>
    <row r="244" spans="1:3" x14ac:dyDescent="0.2">
      <c r="A244" s="15" t="s">
        <v>418</v>
      </c>
      <c r="B244" s="18">
        <f>_xlfn.XLOOKUP(A244,[1]employees!$E:$E,[1]employees!$B:$B)</f>
        <v>15930</v>
      </c>
      <c r="C244" s="18" t="s">
        <v>2188</v>
      </c>
    </row>
    <row r="245" spans="1:3" x14ac:dyDescent="0.2">
      <c r="A245" s="10" t="s">
        <v>263</v>
      </c>
      <c r="B245" s="18">
        <f>_xlfn.XLOOKUP(A245,[1]employees!$E:$E,[1]employees!$B:$B)</f>
        <v>26794</v>
      </c>
      <c r="C245" s="18" t="s">
        <v>2189</v>
      </c>
    </row>
    <row r="246" spans="1:3" x14ac:dyDescent="0.2">
      <c r="A246" s="32" t="s">
        <v>267</v>
      </c>
      <c r="B246" s="18">
        <f>_xlfn.XLOOKUP(A246,[1]employees!$E:$E,[1]employees!$B:$B)</f>
        <v>19360</v>
      </c>
      <c r="C246" s="18" t="s">
        <v>2190</v>
      </c>
    </row>
    <row r="247" spans="1:3" x14ac:dyDescent="0.2">
      <c r="A247" s="10" t="s">
        <v>272</v>
      </c>
      <c r="B247" s="18">
        <f>_xlfn.XLOOKUP(A247,[1]employees!$E:$E,[1]employees!$B:$B)</f>
        <v>29436</v>
      </c>
      <c r="C247" s="18" t="s">
        <v>2191</v>
      </c>
    </row>
    <row r="248" spans="1:3" x14ac:dyDescent="0.2">
      <c r="A248" s="32" t="s">
        <v>519</v>
      </c>
      <c r="B248" s="18">
        <f>_xlfn.XLOOKUP(A248,[1]employees!$E:$E,[1]employees!$B:$B)</f>
        <v>34192</v>
      </c>
      <c r="C248" s="18" t="s">
        <v>2192</v>
      </c>
    </row>
    <row r="249" spans="1:3" x14ac:dyDescent="0.2">
      <c r="A249" s="10" t="s">
        <v>298</v>
      </c>
      <c r="B249" s="18">
        <f>_xlfn.XLOOKUP(A249,[1]employees!$E:$E,[1]employees!$B:$B)</f>
        <v>9429</v>
      </c>
      <c r="C249" s="18" t="s">
        <v>2193</v>
      </c>
    </row>
    <row r="250" spans="1:3" x14ac:dyDescent="0.2">
      <c r="A250" s="32" t="s">
        <v>290</v>
      </c>
      <c r="B250" s="18">
        <f>_xlfn.XLOOKUP(A250,[1]employees!$E:$E,[1]employees!$B:$B)</f>
        <v>37797</v>
      </c>
      <c r="C250" s="18" t="s">
        <v>2194</v>
      </c>
    </row>
    <row r="251" spans="1:3" x14ac:dyDescent="0.2">
      <c r="A251" s="10" t="s">
        <v>367</v>
      </c>
      <c r="B251" s="18">
        <f>_xlfn.XLOOKUP(A251,[1]employees!$E:$E,[1]employees!$B:$B)</f>
        <v>11978</v>
      </c>
      <c r="C251" s="18" t="s">
        <v>1327</v>
      </c>
    </row>
    <row r="252" spans="1:3" x14ac:dyDescent="0.2">
      <c r="A252" s="15" t="s">
        <v>280</v>
      </c>
      <c r="B252" s="18">
        <f>_xlfn.XLOOKUP(A252,[1]employees!$E:$E,[1]employees!$B:$B)</f>
        <v>21362</v>
      </c>
      <c r="C252" s="18" t="s">
        <v>2195</v>
      </c>
    </row>
    <row r="253" spans="1:3" x14ac:dyDescent="0.2">
      <c r="A253" s="18" t="s">
        <v>302</v>
      </c>
      <c r="B253" s="18">
        <f>_xlfn.XLOOKUP(A253,[1]employees!$E:$E,[1]employees!$B:$B)</f>
        <v>32004</v>
      </c>
      <c r="C253" s="18" t="s">
        <v>2196</v>
      </c>
    </row>
    <row r="254" spans="1:3" x14ac:dyDescent="0.2">
      <c r="A254" s="15" t="s">
        <v>294</v>
      </c>
      <c r="B254" s="18">
        <f>_xlfn.XLOOKUP(A254,[1]employees!$E:$E,[1]employees!$B:$B)</f>
        <v>30828</v>
      </c>
      <c r="C254" s="18" t="s">
        <v>2197</v>
      </c>
    </row>
    <row r="255" spans="1:3" x14ac:dyDescent="0.2">
      <c r="A255" s="10" t="s">
        <v>285</v>
      </c>
      <c r="B255" s="18">
        <f>_xlfn.XLOOKUP(A255,[1]employees!$E:$E,[1]employees!$B:$B)</f>
        <v>36629</v>
      </c>
      <c r="C255" s="18" t="s">
        <v>2198</v>
      </c>
    </row>
    <row r="256" spans="1:3" x14ac:dyDescent="0.2">
      <c r="A256" s="15" t="s">
        <v>306</v>
      </c>
      <c r="B256" s="18">
        <f>_xlfn.XLOOKUP(A256,[1]employees!$E:$E,[1]employees!$B:$B)</f>
        <v>33689</v>
      </c>
      <c r="C256" s="18" t="s">
        <v>2199</v>
      </c>
    </row>
    <row r="257" spans="1:3" x14ac:dyDescent="0.2">
      <c r="A257" s="10" t="s">
        <v>358</v>
      </c>
      <c r="B257" s="18">
        <f>_xlfn.XLOOKUP(A257,[1]employees!$E:$E,[1]employees!$B:$B)</f>
        <v>35824</v>
      </c>
      <c r="C257" s="18" t="s">
        <v>2200</v>
      </c>
    </row>
    <row r="258" spans="1:3" x14ac:dyDescent="0.2">
      <c r="A258" s="32" t="s">
        <v>310</v>
      </c>
      <c r="B258" s="18">
        <f>_xlfn.XLOOKUP(A258,[1]employees!$E:$E,[1]employees!$B:$B)</f>
        <v>37796</v>
      </c>
      <c r="C258" s="18" t="s">
        <v>2201</v>
      </c>
    </row>
    <row r="259" spans="1:3" x14ac:dyDescent="0.2">
      <c r="A259" s="10" t="s">
        <v>527</v>
      </c>
      <c r="B259" s="18">
        <f>_xlfn.XLOOKUP(A259,[1]employees!$E:$E,[1]employees!$B:$B)</f>
        <v>36630</v>
      </c>
      <c r="C259" s="18" t="s">
        <v>2202</v>
      </c>
    </row>
    <row r="260" spans="1:3" x14ac:dyDescent="0.2">
      <c r="A260" s="15" t="s">
        <v>276</v>
      </c>
      <c r="B260" s="18">
        <f>_xlfn.XLOOKUP(A260,[1]employees!$E:$E,[1]employees!$B:$B)</f>
        <v>32047</v>
      </c>
      <c r="C260" s="18" t="s">
        <v>2203</v>
      </c>
    </row>
    <row r="261" spans="1:3" x14ac:dyDescent="0.2">
      <c r="A261" s="18" t="s">
        <v>314</v>
      </c>
      <c r="B261" s="18">
        <f>_xlfn.XLOOKUP(A261,[1]employees!$E:$E,[1]employees!$B:$B)</f>
        <v>20058</v>
      </c>
      <c r="C261" s="18" t="s">
        <v>2204</v>
      </c>
    </row>
    <row r="262" spans="1:3" x14ac:dyDescent="0.2">
      <c r="A262" s="32" t="s">
        <v>318</v>
      </c>
      <c r="B262" s="18">
        <f>_xlfn.XLOOKUP(A262,[1]employees!$E:$E,[1]employees!$B:$B)</f>
        <v>17743</v>
      </c>
      <c r="C262" s="18" t="s">
        <v>2205</v>
      </c>
    </row>
    <row r="263" spans="1:3" x14ac:dyDescent="0.2">
      <c r="A263" s="10" t="s">
        <v>157</v>
      </c>
      <c r="B263" s="18">
        <f>_xlfn.XLOOKUP(A263,[1]employees!$E:$E,[1]employees!$B:$B)</f>
        <v>23702</v>
      </c>
      <c r="C263" s="18" t="s">
        <v>2206</v>
      </c>
    </row>
    <row r="264" spans="1:3" x14ac:dyDescent="0.2">
      <c r="A264" s="32" t="s">
        <v>334</v>
      </c>
      <c r="B264" s="18">
        <f>_xlfn.XLOOKUP(A264,[1]employees!$E:$E,[1]employees!$B:$B)</f>
        <v>25706</v>
      </c>
      <c r="C264" s="18" t="s">
        <v>2207</v>
      </c>
    </row>
    <row r="265" spans="1:3" x14ac:dyDescent="0.2">
      <c r="A265" s="18" t="s">
        <v>507</v>
      </c>
      <c r="B265" s="18">
        <f>_xlfn.XLOOKUP(A265,[1]employees!$E:$E,[1]employees!$B:$B)</f>
        <v>9268</v>
      </c>
      <c r="C265" s="18" t="s">
        <v>2208</v>
      </c>
    </row>
    <row r="266" spans="1:3" x14ac:dyDescent="0.2">
      <c r="A266" s="15" t="s">
        <v>511</v>
      </c>
      <c r="B266" s="18">
        <f>_xlfn.XLOOKUP(A266,[1]employees!$E:$E,[1]employees!$B:$B)</f>
        <v>24805</v>
      </c>
      <c r="C266" s="18" t="s">
        <v>2209</v>
      </c>
    </row>
    <row r="267" spans="1:3" x14ac:dyDescent="0.2">
      <c r="A267" s="18" t="s">
        <v>502</v>
      </c>
      <c r="B267" s="18">
        <f>_xlfn.XLOOKUP(A267,[1]employees!$E:$E,[1]employees!$B:$B)</f>
        <v>26442</v>
      </c>
      <c r="C267" s="18" t="s">
        <v>2210</v>
      </c>
    </row>
    <row r="268" spans="1:3" x14ac:dyDescent="0.2">
      <c r="A268" s="32" t="s">
        <v>616</v>
      </c>
      <c r="B268" s="18">
        <f>_xlfn.XLOOKUP(A268,[1]employees!$E:$E,[1]employees!$B:$B)</f>
        <v>34640</v>
      </c>
      <c r="C268" s="18" t="s">
        <v>2211</v>
      </c>
    </row>
    <row r="269" spans="1:3" x14ac:dyDescent="0.2">
      <c r="A269" s="10" t="s">
        <v>624</v>
      </c>
      <c r="B269" s="18">
        <f>_xlfn.XLOOKUP(A269,[1]employees!$E:$E,[1]employees!$B:$B)</f>
        <v>37466</v>
      </c>
      <c r="C269" s="18" t="s">
        <v>2212</v>
      </c>
    </row>
    <row r="270" spans="1:3" x14ac:dyDescent="0.2">
      <c r="A270" s="32" t="s">
        <v>166</v>
      </c>
      <c r="B270" s="18">
        <f>_xlfn.XLOOKUP(A270,[1]employees!$E:$E,[1]employees!$B:$B)</f>
        <v>23143</v>
      </c>
      <c r="C270" s="18" t="s">
        <v>2213</v>
      </c>
    </row>
    <row r="271" spans="1:3" x14ac:dyDescent="0.2">
      <c r="A271" s="10" t="s">
        <v>780</v>
      </c>
      <c r="B271" s="18">
        <f>_xlfn.XLOOKUP(A271,[1]employees!$E:$E,[1]employees!$B:$B)</f>
        <v>34933</v>
      </c>
      <c r="C271" s="18" t="s">
        <v>2214</v>
      </c>
    </row>
    <row r="272" spans="1:3" x14ac:dyDescent="0.2">
      <c r="A272" s="32" t="s">
        <v>620</v>
      </c>
      <c r="B272" s="18">
        <f>_xlfn.XLOOKUP(A272,[1]employees!$E:$E,[1]employees!$B:$B)</f>
        <v>36242</v>
      </c>
      <c r="C272" s="18" t="s">
        <v>2215</v>
      </c>
    </row>
  </sheetData>
  <autoFilter ref="A1:C272" xr:uid="{DDA8858E-0FD6-4229-834D-81895A5956D6}"/>
  <conditionalFormatting sqref="A1:C272 D1">
    <cfRule type="duplicateValues" dxfId="0" priority="13"/>
  </conditionalFormatting>
  <hyperlinks>
    <hyperlink ref="A127" r:id="rId1" xr:uid="{37F51A80-EF43-4561-AC2E-2ACF5B532C4A}"/>
    <hyperlink ref="A31" r:id="rId2" xr:uid="{5BF05756-7673-4E82-A472-BD3A94615B84}"/>
    <hyperlink ref="A72" r:id="rId3" xr:uid="{F1BE4618-E098-46E3-9D26-43D098BB04E4}"/>
    <hyperlink ref="A155" r:id="rId4" xr:uid="{B4D325E1-6B30-4275-89BB-BA40CDABE4AD}"/>
    <hyperlink ref="A231" r:id="rId5" xr:uid="{7783E6BC-2DEF-495A-9BC8-0EDAE01660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Bus leader</vt:lpstr>
      <vt:lpstr>Room</vt:lpstr>
      <vt:lpstr>Update</vt:lpstr>
      <vt:lpstr>Bus</vt:lpstr>
      <vt:lpstr>EE</vt:lpstr>
      <vt:lpstr>Note</vt:lpstr>
      <vt:lpstr>Kids check</vt:lpstr>
      <vt:lpstr>Data4Hotel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Le Kim Ngan</dc:creator>
  <cp:keywords/>
  <dc:description/>
  <cp:lastModifiedBy>PHAM Trung Kien</cp:lastModifiedBy>
  <cp:revision/>
  <dcterms:created xsi:type="dcterms:W3CDTF">2026-04-22T09:34:09Z</dcterms:created>
  <dcterms:modified xsi:type="dcterms:W3CDTF">2026-05-20T16:18:28Z</dcterms:modified>
  <cp:category/>
  <cp:contentStatus/>
</cp:coreProperties>
</file>