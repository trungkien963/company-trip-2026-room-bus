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drawings/drawing1.xml" ContentType="application/vnd.openxmlformats-officedocument.drawing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7"/>
  <workbookPr updateLinks="always" hidePivotFieldList="1"/>
  <mc:AlternateContent xmlns:mc="http://schemas.openxmlformats.org/markup-compatibility/2006">
    <mc:Choice Requires="x15">
      <x15ac:absPath xmlns:x15ac="http://schemas.microsoft.com/office/spreadsheetml/2010/11/ac" url="/Users/edric/Documents/Amaris/Project/company-trip-2026-room-bus/deploy_folder/mantu/company-trip-2026/room-bus-list/"/>
    </mc:Choice>
  </mc:AlternateContent>
  <xr:revisionPtr revIDLastSave="0" documentId="13_ncr:1_{9DEB8E2F-4E6E-0D42-86FF-CC9DF0F1618C}" xr6:coauthVersionLast="47" xr6:coauthVersionMax="47" xr10:uidLastSave="{00000000-0000-0000-0000-000000000000}"/>
  <bookViews>
    <workbookView xWindow="0" yWindow="660" windowWidth="29040" windowHeight="17520" xr2:uid="{00000000-000D-0000-FFFF-FFFF00000000}"/>
  </bookViews>
  <sheets>
    <sheet name="Master" sheetId="1" r:id="rId1"/>
    <sheet name="Bus leader" sheetId="10" r:id="rId2"/>
    <sheet name="Sheet1" sheetId="11" r:id="rId3"/>
    <sheet name="Room" sheetId="5" r:id="rId4"/>
    <sheet name="Update" sheetId="6" r:id="rId5"/>
    <sheet name="Bus" sheetId="4" r:id="rId6"/>
    <sheet name="EE" sheetId="3" r:id="rId7"/>
    <sheet name="Note" sheetId="2" r:id="rId8"/>
    <sheet name="Kids check" sheetId="8" r:id="rId9"/>
    <sheet name="Data4Hotel" sheetId="9" r:id="rId10"/>
  </sheets>
  <definedNames>
    <definedName name="_xlnm._FilterDatabase" localSheetId="9" hidden="1">Data4Hotel!$A$1:$C$272</definedName>
    <definedName name="_xlnm._FilterDatabase" localSheetId="6" hidden="1">EE!$A$1:$G$457</definedName>
    <definedName name="_xlnm._FilterDatabase" localSheetId="3" hidden="1">Room!$A$1:$W$274</definedName>
    <definedName name="_xlnm._FilterDatabase" localSheetId="4" hidden="1">Update!$A$1:$S$272</definedName>
  </definedNames>
  <calcPr calcId="191028"/>
  <pivotCaches>
    <pivotCache cacheId="4" r:id="rId11"/>
    <pivotCache cacheId="5" r:id="rId12"/>
    <pivotCache cacheId="6" r:id="rId13"/>
    <pivotCache cacheId="7" r:id="rId1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" i="2" l="1"/>
  <c r="M3" i="2"/>
  <c r="M4" i="2"/>
  <c r="M5" i="2"/>
  <c r="M6" i="2"/>
  <c r="M7" i="2"/>
  <c r="M8" i="2"/>
  <c r="M9" i="2"/>
  <c r="M10" i="2"/>
  <c r="M11" i="2"/>
  <c r="M12" i="2"/>
  <c r="M13" i="2"/>
  <c r="M14" i="2"/>
  <c r="M15" i="2"/>
  <c r="M16" i="2"/>
  <c r="M17" i="2"/>
  <c r="M18" i="2"/>
  <c r="M19" i="2"/>
  <c r="M20" i="2"/>
  <c r="M21" i="2"/>
  <c r="M22" i="2"/>
  <c r="M23" i="2"/>
  <c r="M24" i="2"/>
  <c r="M25" i="2"/>
  <c r="M26" i="2"/>
  <c r="M27" i="2"/>
  <c r="M28" i="2"/>
  <c r="M29" i="2"/>
  <c r="M30" i="2"/>
  <c r="M31" i="2"/>
  <c r="M32" i="2"/>
  <c r="M33" i="2"/>
  <c r="M34" i="2"/>
  <c r="M35" i="2"/>
  <c r="M36" i="2"/>
  <c r="M37" i="2"/>
  <c r="M38" i="2"/>
  <c r="M39" i="2"/>
  <c r="M40" i="2"/>
  <c r="M41" i="2"/>
  <c r="M42" i="2"/>
  <c r="M43" i="2"/>
  <c r="M44" i="2"/>
  <c r="M45" i="2"/>
  <c r="M46" i="2"/>
  <c r="M47" i="2"/>
  <c r="M48" i="2"/>
  <c r="M49" i="2"/>
  <c r="M50" i="2"/>
  <c r="M51" i="2"/>
  <c r="M52" i="2"/>
  <c r="M53" i="2"/>
  <c r="M54" i="2"/>
  <c r="M55" i="2"/>
  <c r="M56" i="2"/>
  <c r="M57" i="2"/>
  <c r="M58" i="2"/>
  <c r="M59" i="2"/>
  <c r="M60" i="2"/>
  <c r="M61" i="2"/>
  <c r="M62" i="2"/>
  <c r="M63" i="2"/>
  <c r="M64" i="2"/>
  <c r="M65" i="2"/>
  <c r="M66" i="2"/>
  <c r="M67" i="2"/>
  <c r="M68" i="2"/>
  <c r="M69" i="2"/>
  <c r="M70" i="2"/>
  <c r="M1" i="2"/>
  <c r="I4" i="8"/>
  <c r="I6" i="8"/>
  <c r="I3" i="8"/>
  <c r="I7" i="8"/>
  <c r="I5" i="8"/>
  <c r="I2" i="8"/>
  <c r="AC5" i="6"/>
  <c r="AC6" i="6"/>
  <c r="AC7" i="6"/>
  <c r="AC8" i="6"/>
  <c r="AC9" i="6"/>
  <c r="AC10" i="6"/>
  <c r="AC11" i="6"/>
  <c r="AC12" i="6"/>
  <c r="AC13" i="6"/>
  <c r="AC14" i="6"/>
  <c r="AC15" i="6"/>
  <c r="AC16" i="6"/>
  <c r="AC17" i="6"/>
  <c r="AC18" i="6"/>
  <c r="AC19" i="6"/>
  <c r="AC20" i="6"/>
  <c r="AC21" i="6"/>
  <c r="AC22" i="6"/>
  <c r="AC23" i="6"/>
  <c r="AC24" i="6"/>
  <c r="AC25" i="6"/>
  <c r="AC26" i="6"/>
  <c r="AC27" i="6"/>
  <c r="AC28" i="6"/>
  <c r="AC29" i="6"/>
  <c r="AC30" i="6"/>
  <c r="AC31" i="6"/>
  <c r="AC32" i="6"/>
  <c r="AC33" i="6"/>
  <c r="AC34" i="6"/>
  <c r="AC35" i="6"/>
  <c r="AC36" i="6"/>
  <c r="AC37" i="6"/>
  <c r="AC38" i="6"/>
  <c r="AC39" i="6"/>
  <c r="AC40" i="6"/>
  <c r="AC41" i="6"/>
  <c r="AC42" i="6"/>
  <c r="AC43" i="6"/>
  <c r="AC44" i="6"/>
  <c r="AC45" i="6"/>
  <c r="AC46" i="6"/>
  <c r="AC47" i="6"/>
  <c r="AC48" i="6"/>
  <c r="AC49" i="6"/>
  <c r="AC50" i="6"/>
  <c r="AC51" i="6"/>
  <c r="AC52" i="6"/>
  <c r="AC53" i="6"/>
  <c r="AC54" i="6"/>
  <c r="AC55" i="6"/>
  <c r="AC56" i="6"/>
  <c r="AC57" i="6"/>
  <c r="AC58" i="6"/>
  <c r="AC59" i="6"/>
  <c r="AC60" i="6"/>
  <c r="AC61" i="6"/>
  <c r="AC62" i="6"/>
  <c r="AC63" i="6"/>
  <c r="AC64" i="6"/>
  <c r="AC65" i="6"/>
  <c r="AC66" i="6"/>
  <c r="AC67" i="6"/>
  <c r="AC68" i="6"/>
  <c r="AC69" i="6"/>
  <c r="AC70" i="6"/>
  <c r="AC71" i="6"/>
  <c r="AC72" i="6"/>
  <c r="AC73" i="6"/>
  <c r="AC74" i="6"/>
  <c r="AC75" i="6"/>
  <c r="AC76" i="6"/>
  <c r="AC77" i="6"/>
  <c r="AC78" i="6"/>
  <c r="AC79" i="6"/>
  <c r="AC80" i="6"/>
  <c r="AC81" i="6"/>
  <c r="AC82" i="6"/>
  <c r="AC83" i="6"/>
  <c r="AC84" i="6"/>
  <c r="AC85" i="6"/>
  <c r="AC86" i="6"/>
  <c r="AC87" i="6"/>
  <c r="AC88" i="6"/>
  <c r="AC89" i="6"/>
  <c r="AC90" i="6"/>
  <c r="AC91" i="6"/>
  <c r="AC92" i="6"/>
  <c r="AC93" i="6"/>
  <c r="AC94" i="6"/>
  <c r="AC95" i="6"/>
  <c r="AC96" i="6"/>
  <c r="AC97" i="6"/>
  <c r="AC98" i="6"/>
  <c r="AC99" i="6"/>
  <c r="AC100" i="6"/>
  <c r="AC101" i="6"/>
  <c r="AC102" i="6"/>
  <c r="AC103" i="6"/>
  <c r="AC104" i="6"/>
  <c r="AC105" i="6"/>
  <c r="AC106" i="6"/>
  <c r="AC107" i="6"/>
  <c r="AC108" i="6"/>
  <c r="AC109" i="6"/>
  <c r="AC110" i="6"/>
  <c r="AC111" i="6"/>
  <c r="AC112" i="6"/>
  <c r="AC113" i="6"/>
  <c r="AC114" i="6"/>
  <c r="AC115" i="6"/>
  <c r="AC116" i="6"/>
  <c r="AC117" i="6"/>
  <c r="AC118" i="6"/>
  <c r="AC119" i="6"/>
  <c r="AC120" i="6"/>
  <c r="AC121" i="6"/>
  <c r="AC122" i="6"/>
  <c r="AC123" i="6"/>
  <c r="AC124" i="6"/>
  <c r="AC125" i="6"/>
  <c r="AC126" i="6"/>
  <c r="AC127" i="6"/>
  <c r="AC128" i="6"/>
  <c r="AC129" i="6"/>
  <c r="AC130" i="6"/>
  <c r="AC131" i="6"/>
  <c r="AC4" i="6"/>
  <c r="AB3" i="6"/>
  <c r="AP5" i="5"/>
  <c r="AP6" i="5"/>
  <c r="AP7" i="5"/>
  <c r="AP8" i="5"/>
  <c r="AP9" i="5"/>
  <c r="AP10" i="5"/>
  <c r="AP11" i="5"/>
  <c r="AP12" i="5"/>
  <c r="AP13" i="5"/>
  <c r="AP14" i="5"/>
  <c r="AP15" i="5"/>
  <c r="AP16" i="5"/>
  <c r="AP17" i="5"/>
  <c r="AP18" i="5"/>
  <c r="AP19" i="5"/>
  <c r="AP20" i="5"/>
  <c r="AP21" i="5"/>
  <c r="AP22" i="5"/>
  <c r="AP23" i="5"/>
  <c r="AP24" i="5"/>
  <c r="AP25" i="5"/>
  <c r="AP26" i="5"/>
  <c r="AP27" i="5"/>
  <c r="AP28" i="5"/>
  <c r="AP29" i="5"/>
  <c r="AP30" i="5"/>
  <c r="AP31" i="5"/>
  <c r="AP32" i="5"/>
  <c r="AP33" i="5"/>
  <c r="AP34" i="5"/>
  <c r="AP35" i="5"/>
  <c r="AP36" i="5"/>
  <c r="AP37" i="5"/>
  <c r="AP38" i="5"/>
  <c r="AP39" i="5"/>
  <c r="AP40" i="5"/>
  <c r="AP41" i="5"/>
  <c r="AP42" i="5"/>
  <c r="AP43" i="5"/>
  <c r="AP44" i="5"/>
  <c r="AP45" i="5"/>
  <c r="AP46" i="5"/>
  <c r="AP47" i="5"/>
  <c r="AP48" i="5"/>
  <c r="AP49" i="5"/>
  <c r="AP50" i="5"/>
  <c r="AP51" i="5"/>
  <c r="AP52" i="5"/>
  <c r="AP53" i="5"/>
  <c r="AP54" i="5"/>
  <c r="AP55" i="5"/>
  <c r="AP56" i="5"/>
  <c r="AP57" i="5"/>
  <c r="AP58" i="5"/>
  <c r="AP59" i="5"/>
  <c r="AP60" i="5"/>
  <c r="AP61" i="5"/>
  <c r="AP62" i="5"/>
  <c r="AP63" i="5"/>
  <c r="AP64" i="5"/>
  <c r="AP65" i="5"/>
  <c r="AP66" i="5"/>
  <c r="AP67" i="5"/>
  <c r="AP68" i="5"/>
  <c r="AP69" i="5"/>
  <c r="AP70" i="5"/>
  <c r="AP71" i="5"/>
  <c r="AP72" i="5"/>
  <c r="AP73" i="5"/>
  <c r="AP74" i="5"/>
  <c r="AP75" i="5"/>
  <c r="AP76" i="5"/>
  <c r="AP77" i="5"/>
  <c r="AP78" i="5"/>
  <c r="AP79" i="5"/>
  <c r="AP80" i="5"/>
  <c r="AP81" i="5"/>
  <c r="AP82" i="5"/>
  <c r="AP83" i="5"/>
  <c r="AP84" i="5"/>
  <c r="AP85" i="5"/>
  <c r="AP86" i="5"/>
  <c r="AP87" i="5"/>
  <c r="AP88" i="5"/>
  <c r="AP89" i="5"/>
  <c r="AP90" i="5"/>
  <c r="AP91" i="5"/>
  <c r="AP92" i="5"/>
  <c r="AP93" i="5"/>
  <c r="AP94" i="5"/>
  <c r="AP95" i="5"/>
  <c r="AP96" i="5"/>
  <c r="AP97" i="5"/>
  <c r="AP98" i="5"/>
  <c r="AP99" i="5"/>
  <c r="AP100" i="5"/>
  <c r="AP101" i="5"/>
  <c r="AP102" i="5"/>
  <c r="AP103" i="5"/>
  <c r="AP104" i="5"/>
  <c r="AP105" i="5"/>
  <c r="AP106" i="5"/>
  <c r="AP107" i="5"/>
  <c r="AP108" i="5"/>
  <c r="AP109" i="5"/>
  <c r="AP110" i="5"/>
  <c r="AP111" i="5"/>
  <c r="AP112" i="5"/>
  <c r="AP113" i="5"/>
  <c r="AP114" i="5"/>
  <c r="AP115" i="5"/>
  <c r="AP116" i="5"/>
  <c r="AP117" i="5"/>
  <c r="AP118" i="5"/>
  <c r="AP119" i="5"/>
  <c r="AP120" i="5"/>
  <c r="AP121" i="5"/>
  <c r="AP122" i="5"/>
  <c r="AP123" i="5"/>
  <c r="AP124" i="5"/>
  <c r="AP125" i="5"/>
  <c r="AP126" i="5"/>
  <c r="AP127" i="5"/>
  <c r="AP128" i="5"/>
  <c r="AP129" i="5"/>
  <c r="AP130" i="5"/>
  <c r="AP131" i="5"/>
  <c r="AP132" i="5"/>
  <c r="AP4" i="5"/>
  <c r="W3" i="5" a="1"/>
  <c r="P24" i="4"/>
  <c r="Q24" i="4"/>
  <c r="P25" i="4"/>
  <c r="Q25" i="4"/>
  <c r="P26" i="4"/>
  <c r="Q26" i="4"/>
  <c r="P27" i="4"/>
  <c r="Q27" i="4"/>
  <c r="P28" i="4"/>
  <c r="Q28" i="4"/>
  <c r="P29" i="4"/>
  <c r="Q29" i="4"/>
  <c r="P30" i="4"/>
  <c r="Q30" i="4"/>
  <c r="P31" i="4"/>
  <c r="Q31" i="4"/>
  <c r="T188" i="5"/>
  <c r="P6" i="4"/>
  <c r="P7" i="4"/>
  <c r="P8" i="4"/>
  <c r="P9" i="4"/>
  <c r="P10" i="4"/>
  <c r="P11" i="4"/>
  <c r="P5" i="4"/>
  <c r="P4" i="4"/>
  <c r="T229" i="5"/>
  <c r="T97" i="5"/>
  <c r="T187" i="5"/>
  <c r="T218" i="5"/>
  <c r="T156" i="5"/>
  <c r="T220" i="5"/>
  <c r="T150" i="5"/>
  <c r="T216" i="5"/>
  <c r="T172" i="5"/>
  <c r="T177" i="5"/>
  <c r="T199" i="5"/>
  <c r="T87" i="5"/>
  <c r="T70" i="5"/>
  <c r="T260" i="5"/>
  <c r="T249" i="5"/>
  <c r="T253" i="5"/>
  <c r="T173" i="5"/>
  <c r="T198" i="5"/>
  <c r="T227" i="5"/>
  <c r="T42" i="5"/>
  <c r="T40" i="5"/>
  <c r="T64" i="5"/>
  <c r="T43" i="5"/>
  <c r="T65" i="5"/>
  <c r="T163" i="5"/>
  <c r="T230" i="5"/>
  <c r="T223" i="5"/>
  <c r="T225" i="5"/>
  <c r="T44" i="5"/>
  <c r="T74" i="5"/>
  <c r="T27" i="5"/>
  <c r="T233" i="5"/>
  <c r="T210" i="5"/>
  <c r="T174" i="5"/>
  <c r="T45" i="5"/>
  <c r="T212" i="5"/>
  <c r="T34" i="5"/>
  <c r="T247" i="5"/>
  <c r="T91" i="5"/>
  <c r="T88" i="5"/>
  <c r="T72" i="5"/>
  <c r="T17" i="5"/>
  <c r="T214" i="5"/>
  <c r="T194" i="5"/>
  <c r="T193" i="5"/>
  <c r="T195" i="5"/>
  <c r="T18" i="5"/>
  <c r="T46" i="5"/>
  <c r="T254" i="5"/>
  <c r="T146" i="5"/>
  <c r="T98" i="5"/>
  <c r="T47" i="5"/>
  <c r="T211" i="5"/>
  <c r="T36" i="5"/>
  <c r="T37" i="5"/>
  <c r="T265" i="5"/>
  <c r="T266" i="5"/>
  <c r="T262" i="5"/>
  <c r="T267" i="5"/>
  <c r="T240" i="5"/>
  <c r="T246" i="5"/>
  <c r="T154" i="5"/>
  <c r="T157" i="5"/>
  <c r="T268" i="5"/>
  <c r="T92" i="5"/>
  <c r="T93" i="5"/>
  <c r="T94" i="5"/>
  <c r="T222" i="5"/>
  <c r="T255" i="5"/>
  <c r="T95" i="5"/>
  <c r="T35" i="5"/>
  <c r="T269" i="5"/>
  <c r="T251" i="5"/>
  <c r="T61" i="5"/>
  <c r="T48" i="5"/>
  <c r="T28" i="5"/>
  <c r="T236" i="5"/>
  <c r="T243" i="5"/>
  <c r="T245" i="5"/>
  <c r="T71" i="5"/>
  <c r="T148" i="5"/>
  <c r="T137" i="5"/>
  <c r="T73" i="5"/>
  <c r="T238" i="5"/>
  <c r="T215" i="5"/>
  <c r="T272" i="5"/>
  <c r="T257" i="5"/>
  <c r="T200" i="5"/>
  <c r="T138" i="5"/>
  <c r="T99" i="5"/>
  <c r="T231" i="5"/>
  <c r="T271" i="5"/>
  <c r="T232" i="5"/>
  <c r="T29" i="5"/>
  <c r="T160" i="5"/>
  <c r="T66" i="5"/>
  <c r="T100" i="5"/>
  <c r="T107" i="5"/>
  <c r="T52" i="5"/>
  <c r="T101" i="5"/>
  <c r="T9" i="5"/>
  <c r="T68" i="5"/>
  <c r="T118" i="5"/>
  <c r="T38" i="5"/>
  <c r="T165" i="5"/>
  <c r="T102" i="5"/>
  <c r="T264" i="5"/>
  <c r="T209" i="5"/>
  <c r="T21" i="5"/>
  <c r="T131" i="5"/>
  <c r="T158" i="5"/>
  <c r="T122" i="5"/>
  <c r="T206" i="5"/>
  <c r="T140" i="5"/>
  <c r="T180" i="5"/>
  <c r="T126" i="5"/>
  <c r="T78" i="5"/>
  <c r="T79" i="5"/>
  <c r="T228" i="5"/>
  <c r="T90" i="5"/>
  <c r="T135" i="5"/>
  <c r="T234" i="5"/>
  <c r="T142" i="5"/>
  <c r="T239" i="5"/>
  <c r="T183" i="5"/>
  <c r="T162" i="5"/>
  <c r="T202" i="5"/>
  <c r="T151" i="5"/>
  <c r="T159" i="5"/>
  <c r="T219" i="5"/>
  <c r="T213" i="5"/>
  <c r="T196" i="5"/>
  <c r="T152" i="5"/>
  <c r="T143" i="5"/>
  <c r="T119" i="5"/>
  <c r="T203" i="5"/>
  <c r="T134" i="5"/>
  <c r="T114" i="5"/>
  <c r="T167" i="5"/>
  <c r="T237" i="5"/>
  <c r="T153" i="5"/>
  <c r="T144" i="5"/>
  <c r="T259" i="5"/>
  <c r="T241" i="5"/>
  <c r="T175" i="5"/>
  <c r="T84" i="5"/>
  <c r="T123" i="5"/>
  <c r="T86" i="5"/>
  <c r="T85" i="5"/>
  <c r="T139" i="5"/>
  <c r="T207" i="5"/>
  <c r="T235" i="5"/>
  <c r="T117" i="5"/>
  <c r="T121" i="5"/>
  <c r="T60" i="5"/>
  <c r="T170" i="5"/>
  <c r="T39" i="5"/>
  <c r="T248" i="5"/>
  <c r="L4" i="4"/>
  <c r="L5" i="4"/>
  <c r="L6" i="4"/>
  <c r="L7" i="4"/>
  <c r="L8" i="4"/>
  <c r="L9" i="4"/>
  <c r="L10" i="4"/>
  <c r="L11" i="4"/>
  <c r="L12" i="4"/>
  <c r="L13" i="4"/>
  <c r="L14" i="4"/>
  <c r="L15" i="4"/>
  <c r="L16" i="4"/>
  <c r="L17" i="4"/>
  <c r="L18" i="4"/>
  <c r="L19" i="4"/>
  <c r="L20" i="4"/>
  <c r="L21" i="4"/>
  <c r="L22" i="4"/>
  <c r="L23" i="4"/>
  <c r="L24" i="4"/>
  <c r="L25" i="4"/>
  <c r="L26" i="4"/>
  <c r="L27" i="4"/>
  <c r="L28" i="4"/>
  <c r="L29" i="4"/>
  <c r="L30" i="4"/>
  <c r="L31" i="4"/>
  <c r="L32" i="4"/>
  <c r="L33" i="4"/>
  <c r="L34" i="4"/>
  <c r="L35" i="4"/>
  <c r="L36" i="4"/>
  <c r="L37" i="4"/>
  <c r="L38" i="4"/>
  <c r="L39" i="4"/>
  <c r="L40" i="4"/>
  <c r="L41" i="4"/>
  <c r="L42" i="4"/>
  <c r="L43" i="4"/>
  <c r="L44" i="4"/>
  <c r="L45" i="4"/>
  <c r="L46" i="4"/>
  <c r="L47" i="4"/>
  <c r="L48" i="4"/>
  <c r="L49" i="4"/>
  <c r="L50" i="4"/>
  <c r="L51" i="4"/>
  <c r="L52" i="4"/>
  <c r="L53" i="4"/>
  <c r="L54" i="4"/>
  <c r="L55" i="4"/>
  <c r="L56" i="4"/>
  <c r="L57" i="4"/>
  <c r="L58" i="4"/>
  <c r="L59" i="4"/>
  <c r="L60" i="4"/>
  <c r="L61" i="4"/>
  <c r="L62" i="4"/>
  <c r="L63" i="4"/>
  <c r="L64" i="4"/>
  <c r="L65" i="4"/>
  <c r="L66" i="4"/>
  <c r="L67" i="4"/>
  <c r="L68" i="4"/>
  <c r="L69" i="4"/>
  <c r="L70" i="4"/>
  <c r="L71" i="4"/>
  <c r="L72" i="4"/>
  <c r="L73" i="4"/>
  <c r="L74" i="4"/>
  <c r="L75" i="4"/>
  <c r="L76" i="4"/>
  <c r="L77" i="4"/>
  <c r="L78" i="4"/>
  <c r="L79" i="4"/>
  <c r="L80" i="4"/>
  <c r="L81" i="4"/>
  <c r="L82" i="4"/>
  <c r="L83" i="4"/>
  <c r="L84" i="4"/>
  <c r="L85" i="4"/>
  <c r="L86" i="4"/>
  <c r="L87" i="4"/>
  <c r="L88" i="4"/>
  <c r="L89" i="4"/>
  <c r="L90" i="4"/>
  <c r="L91" i="4"/>
  <c r="L92" i="4"/>
  <c r="L93" i="4"/>
  <c r="L94" i="4"/>
  <c r="L95" i="4"/>
  <c r="L96" i="4"/>
  <c r="L97" i="4"/>
  <c r="L98" i="4"/>
  <c r="L99" i="4"/>
  <c r="L100" i="4"/>
  <c r="L101" i="4"/>
  <c r="L102" i="4"/>
  <c r="L103" i="4"/>
  <c r="L104" i="4"/>
  <c r="L105" i="4"/>
  <c r="L106" i="4"/>
  <c r="L107" i="4"/>
  <c r="L108" i="4"/>
  <c r="L109" i="4"/>
  <c r="L110" i="4"/>
  <c r="L111" i="4"/>
  <c r="L112" i="4"/>
  <c r="L113" i="4"/>
  <c r="L114" i="4"/>
  <c r="L115" i="4"/>
  <c r="L116" i="4"/>
  <c r="L117" i="4"/>
  <c r="L118" i="4"/>
  <c r="L119" i="4"/>
  <c r="L120" i="4"/>
  <c r="L121" i="4"/>
  <c r="L122" i="4"/>
  <c r="L123" i="4"/>
  <c r="L124" i="4"/>
  <c r="L125" i="4"/>
  <c r="L126" i="4"/>
  <c r="L127" i="4"/>
  <c r="L128" i="4"/>
  <c r="L129" i="4"/>
  <c r="L130" i="4"/>
  <c r="L131" i="4"/>
  <c r="L132" i="4"/>
  <c r="L133" i="4"/>
  <c r="L134" i="4"/>
  <c r="L135" i="4"/>
  <c r="L136" i="4"/>
  <c r="L137" i="4"/>
  <c r="L138" i="4"/>
  <c r="L139" i="4"/>
  <c r="L140" i="4"/>
  <c r="L141" i="4"/>
  <c r="L142" i="4"/>
  <c r="L143" i="4"/>
  <c r="L144" i="4"/>
  <c r="L145" i="4"/>
  <c r="L146" i="4"/>
  <c r="L147" i="4"/>
  <c r="L148" i="4"/>
  <c r="L149" i="4"/>
  <c r="L150" i="4"/>
  <c r="L151" i="4"/>
  <c r="L152" i="4"/>
  <c r="L153" i="4"/>
  <c r="L154" i="4"/>
  <c r="L155" i="4"/>
  <c r="L156" i="4"/>
  <c r="L157" i="4"/>
  <c r="L158" i="4"/>
  <c r="L159" i="4"/>
  <c r="L160" i="4"/>
  <c r="L161" i="4"/>
  <c r="L162" i="4"/>
  <c r="L163" i="4"/>
  <c r="L164" i="4"/>
  <c r="L165" i="4"/>
  <c r="L166" i="4"/>
  <c r="L167" i="4"/>
  <c r="L168" i="4"/>
  <c r="L169" i="4"/>
  <c r="L170" i="4"/>
  <c r="L171" i="4"/>
  <c r="L172" i="4"/>
  <c r="L173" i="4"/>
  <c r="L174" i="4"/>
  <c r="L175" i="4"/>
  <c r="L176" i="4"/>
  <c r="L177" i="4"/>
  <c r="L178" i="4"/>
  <c r="L179" i="4"/>
  <c r="L180" i="4"/>
  <c r="L181" i="4"/>
  <c r="L182" i="4"/>
  <c r="L183" i="4"/>
  <c r="L184" i="4"/>
  <c r="L185" i="4"/>
  <c r="L186" i="4"/>
  <c r="L187" i="4"/>
  <c r="L188" i="4"/>
  <c r="L189" i="4"/>
  <c r="L190" i="4"/>
  <c r="L191" i="4"/>
  <c r="L192" i="4"/>
  <c r="L193" i="4"/>
  <c r="L194" i="4"/>
  <c r="L195" i="4"/>
  <c r="L196" i="4"/>
  <c r="L197" i="4"/>
  <c r="L198" i="4"/>
  <c r="L199" i="4"/>
  <c r="L200" i="4"/>
  <c r="L201" i="4"/>
  <c r="L202" i="4"/>
  <c r="L203" i="4"/>
  <c r="L204" i="4"/>
  <c r="L205" i="4"/>
  <c r="L206" i="4"/>
  <c r="L207" i="4"/>
  <c r="L208" i="4"/>
  <c r="L209" i="4"/>
  <c r="L210" i="4"/>
  <c r="L211" i="4"/>
  <c r="L212" i="4"/>
  <c r="L213" i="4"/>
  <c r="L214" i="4"/>
  <c r="L215" i="4"/>
  <c r="L216" i="4"/>
  <c r="L217" i="4"/>
  <c r="L218" i="4"/>
  <c r="L219" i="4"/>
  <c r="L220" i="4"/>
  <c r="L221" i="4"/>
  <c r="L222" i="4"/>
  <c r="L223" i="4"/>
  <c r="L224" i="4"/>
  <c r="L225" i="4"/>
  <c r="L226" i="4"/>
  <c r="L227" i="4"/>
  <c r="L228" i="4"/>
  <c r="L229" i="4"/>
  <c r="L230" i="4"/>
  <c r="L231" i="4"/>
  <c r="L232" i="4"/>
  <c r="L233" i="4"/>
  <c r="L234" i="4"/>
  <c r="L235" i="4"/>
  <c r="L236" i="4"/>
  <c r="L237" i="4"/>
  <c r="L238" i="4"/>
  <c r="L239" i="4"/>
  <c r="L240" i="4"/>
  <c r="L241" i="4"/>
  <c r="L242" i="4"/>
  <c r="L243" i="4"/>
  <c r="L244" i="4"/>
  <c r="L245" i="4"/>
  <c r="L246" i="4"/>
  <c r="L247" i="4"/>
  <c r="L248" i="4"/>
  <c r="L249" i="4"/>
  <c r="L250" i="4"/>
  <c r="L251" i="4"/>
  <c r="L252" i="4"/>
  <c r="L253" i="4"/>
  <c r="L254" i="4"/>
  <c r="L255" i="4"/>
  <c r="L256" i="4"/>
  <c r="L257" i="4"/>
  <c r="L258" i="4"/>
  <c r="L259" i="4"/>
  <c r="L260" i="4"/>
  <c r="L261" i="4"/>
  <c r="L262" i="4"/>
  <c r="L263" i="4"/>
  <c r="L264" i="4"/>
  <c r="L265" i="4"/>
  <c r="L266" i="4"/>
  <c r="L267" i="4"/>
  <c r="L268" i="4"/>
  <c r="L269" i="4"/>
  <c r="L270" i="4"/>
  <c r="L271" i="4"/>
  <c r="L272" i="4"/>
  <c r="L273" i="4"/>
  <c r="L274" i="4"/>
  <c r="L275" i="4"/>
  <c r="L276" i="4"/>
  <c r="L277" i="4"/>
  <c r="L278" i="4"/>
  <c r="L279" i="4"/>
  <c r="L280" i="4"/>
  <c r="L281" i="4"/>
  <c r="L282" i="4"/>
  <c r="L283" i="4"/>
  <c r="L284" i="4"/>
  <c r="L285" i="4"/>
  <c r="L286" i="4"/>
  <c r="L287" i="4"/>
  <c r="L288" i="4"/>
  <c r="T120" i="5" l="1"/>
  <c r="I8" i="8"/>
  <c r="T63" i="5"/>
  <c r="Q9" i="4"/>
  <c r="Q11" i="4"/>
  <c r="Q7" i="4"/>
  <c r="Q8" i="4"/>
  <c r="Q4" i="4"/>
  <c r="Q6" i="4"/>
  <c r="Q10" i="4"/>
  <c r="Q5" i="4"/>
  <c r="W3" i="5"/>
  <c r="T50" i="5"/>
  <c r="T23" i="5"/>
  <c r="T20" i="5"/>
  <c r="T8" i="5"/>
  <c r="T96" i="5"/>
  <c r="T226" i="5"/>
  <c r="T26" i="5"/>
  <c r="T19" i="5"/>
  <c r="T256" i="5"/>
  <c r="T197" i="5"/>
  <c r="T250" i="5"/>
  <c r="T81" i="5"/>
  <c r="T125" i="5"/>
  <c r="T58" i="5"/>
  <c r="T67" i="5"/>
  <c r="T69" i="5"/>
  <c r="T11" i="5"/>
  <c r="T182" i="5"/>
  <c r="T191" i="5"/>
  <c r="T80" i="5"/>
  <c r="T190" i="5"/>
  <c r="T10" i="5"/>
  <c r="T128" i="5"/>
  <c r="T30" i="5"/>
  <c r="T161" i="5"/>
  <c r="T113" i="5"/>
  <c r="T5" i="5"/>
  <c r="T166" i="5"/>
  <c r="T205" i="5"/>
  <c r="T16" i="5"/>
  <c r="T184" i="5"/>
  <c r="T133" i="5"/>
  <c r="T129" i="5"/>
  <c r="T41" i="5"/>
  <c r="T82" i="5"/>
  <c r="T56" i="5"/>
  <c r="T221" i="5"/>
  <c r="T53" i="5"/>
  <c r="T6" i="5"/>
  <c r="T164" i="5"/>
  <c r="T57" i="5"/>
  <c r="T59" i="5"/>
  <c r="T185" i="5"/>
  <c r="T2" i="5"/>
  <c r="T178" i="5"/>
  <c r="T89" i="5"/>
  <c r="T189" i="5"/>
  <c r="T3" i="5"/>
  <c r="T13" i="5"/>
  <c r="T7" i="5"/>
  <c r="T32" i="5"/>
  <c r="T176" i="5"/>
  <c r="T155" i="5"/>
  <c r="T111" i="5"/>
  <c r="T124" i="5"/>
  <c r="T83" i="5"/>
  <c r="T75" i="5"/>
  <c r="T168" i="5"/>
  <c r="T130" i="5"/>
  <c r="T224" i="5"/>
  <c r="T186" i="5"/>
  <c r="T54" i="5"/>
  <c r="T55" i="5"/>
  <c r="T62" i="5"/>
  <c r="T76" i="5"/>
  <c r="T192" i="5"/>
  <c r="T149" i="5"/>
  <c r="T258" i="5"/>
  <c r="T116" i="5"/>
  <c r="T77" i="5"/>
  <c r="T112" i="5"/>
  <c r="T109" i="5"/>
  <c r="T25" i="5"/>
  <c r="T22" i="5"/>
  <c r="T12" i="5"/>
  <c r="T106" i="5"/>
  <c r="T181" i="5"/>
  <c r="T15" i="5"/>
  <c r="T33" i="5"/>
  <c r="T14" i="5"/>
  <c r="T103" i="5"/>
  <c r="T110" i="5"/>
  <c r="T115" i="5"/>
  <c r="T217" i="5"/>
  <c r="T242" i="5"/>
  <c r="T141" i="5"/>
  <c r="T270" i="5"/>
  <c r="T105" i="5"/>
  <c r="T204" i="5"/>
  <c r="T4" i="5"/>
  <c r="T147" i="5"/>
  <c r="T179" i="5"/>
  <c r="T31" i="5"/>
  <c r="T261" i="5"/>
  <c r="T104" i="5"/>
  <c r="T132" i="5"/>
  <c r="T244" i="5"/>
  <c r="T263" i="5"/>
  <c r="T49" i="5"/>
  <c r="T201" i="5"/>
  <c r="T208" i="5"/>
  <c r="T252" i="5"/>
  <c r="T136" i="5"/>
  <c r="T145" i="5"/>
  <c r="T24" i="5"/>
  <c r="T169" i="5"/>
  <c r="T51" i="5"/>
  <c r="T108" i="5"/>
  <c r="T127" i="5"/>
  <c r="T171" i="5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<sst xmlns="http://schemas.openxmlformats.org/spreadsheetml/2006/main" count="21275" uniqueCount="3025">
  <si>
    <t>No</t>
  </si>
  <si>
    <t>Email</t>
  </si>
  <si>
    <t>Full name</t>
  </si>
  <si>
    <t>Người nhà</t>
  </si>
  <si>
    <t>Bus</t>
  </si>
  <si>
    <t>Room</t>
  </si>
  <si>
    <t>Gender</t>
  </si>
  <si>
    <t>Room Type</t>
  </si>
  <si>
    <t>CCCD</t>
  </si>
  <si>
    <t>phamkhanh.tran@amaris.com</t>
  </si>
  <si>
    <t>089</t>
  </si>
  <si>
    <t>TWN</t>
  </si>
  <si>
    <t>thuytien.phamdo@amaris.com</t>
  </si>
  <si>
    <t>001</t>
  </si>
  <si>
    <t>DBL</t>
  </si>
  <si>
    <t>hoangha.nguyen@amaris.com</t>
  </si>
  <si>
    <t>002</t>
  </si>
  <si>
    <t>thientrang.doan@amaris.com</t>
  </si>
  <si>
    <t>uhonguyenhong@amaris.com</t>
  </si>
  <si>
    <t>085</t>
  </si>
  <si>
    <t>pha1@amaris.com</t>
  </si>
  <si>
    <t>088</t>
  </si>
  <si>
    <t>hvu3@amaris.com</t>
  </si>
  <si>
    <t>cao.minh@amaris.com</t>
  </si>
  <si>
    <t>004</t>
  </si>
  <si>
    <t>hoangtu.la@amaris.com</t>
  </si>
  <si>
    <t>trungnghia.cao@amaris.com</t>
  </si>
  <si>
    <t>005</t>
  </si>
  <si>
    <t>minhthuan.le@amaris.com</t>
  </si>
  <si>
    <t>003</t>
  </si>
  <si>
    <t>thanhthuan.nguyenvan@amaris.com</t>
  </si>
  <si>
    <t>do.tranvan@amaris.com</t>
  </si>
  <si>
    <t>quangtrinh.ha@amaris.com</t>
  </si>
  <si>
    <t>006</t>
  </si>
  <si>
    <t>tanthanh.ngo@amaris.com</t>
  </si>
  <si>
    <t>007</t>
  </si>
  <si>
    <t>binhnam.mai@amaris.com</t>
  </si>
  <si>
    <t>hongnguyen.chuong@amaris.com</t>
  </si>
  <si>
    <t>008</t>
  </si>
  <si>
    <t>lethanh.nguyen@amaris.com</t>
  </si>
  <si>
    <t>kimcong.nguyen@amaris.com</t>
  </si>
  <si>
    <t>013</t>
  </si>
  <si>
    <t>ngoctuan.nguyen@amaris.com</t>
  </si>
  <si>
    <t>thanhnhan.phan@amaris.com</t>
  </si>
  <si>
    <t>009</t>
  </si>
  <si>
    <t>trungnghia.nguyen@amaris.com</t>
  </si>
  <si>
    <t>014</t>
  </si>
  <si>
    <t>leman.nguyen@amaris.com</t>
  </si>
  <si>
    <t>011</t>
  </si>
  <si>
    <t>thanhloc.nguyen@amaris.com</t>
  </si>
  <si>
    <t>012</t>
  </si>
  <si>
    <t>huuvinh.nguyen@amaris.com</t>
  </si>
  <si>
    <t>hongdao.son@amaris.com</t>
  </si>
  <si>
    <t>010</t>
  </si>
  <si>
    <t>xuandat.hoang@amaris.com</t>
  </si>
  <si>
    <t>thanhson.nguyen@amaris.com</t>
  </si>
  <si>
    <t>nguyen.tai3@amaris.com</t>
  </si>
  <si>
    <t>1. Nguyen Thu Huyen - Female - 1991 - TBD
2. Nguyen Kha Han - Female - 2017 - TBD</t>
  </si>
  <si>
    <t>073</t>
  </si>
  <si>
    <t>vanthanh.khuat@amaris.com</t>
  </si>
  <si>
    <t>thanhphuoc.le@amaris.com</t>
  </si>
  <si>
    <t>nnguyen9@amaris.com</t>
  </si>
  <si>
    <t>congdanh.bui@amaris.com</t>
  </si>
  <si>
    <t>015</t>
  </si>
  <si>
    <t>huynhchi.vo@amaris.com</t>
  </si>
  <si>
    <t>016</t>
  </si>
  <si>
    <t>quangtrung.do@amaris.com</t>
  </si>
  <si>
    <t>vantrien.dang@amaris.com</t>
  </si>
  <si>
    <t>065</t>
  </si>
  <si>
    <t>thanhdat.nguyen@amaris.com</t>
  </si>
  <si>
    <t>066</t>
  </si>
  <si>
    <t>songtoan.vu@amaris.com</t>
  </si>
  <si>
    <t>quangtin.tran@amaris.com</t>
  </si>
  <si>
    <t>067</t>
  </si>
  <si>
    <t>tuongduy.vo@amaris.com</t>
  </si>
  <si>
    <t>ngocthanh.pham@amaris.com</t>
  </si>
  <si>
    <t>020</t>
  </si>
  <si>
    <t>congkhanh.huynh@amaris.com</t>
  </si>
  <si>
    <t>017</t>
  </si>
  <si>
    <t>tran.xuanvu@amaris.com</t>
  </si>
  <si>
    <t>thithanh.le@amaris.com</t>
  </si>
  <si>
    <t>031</t>
  </si>
  <si>
    <t>phuonghang.lethi@amaris.com</t>
  </si>
  <si>
    <t>nhuhai.phan@amaris.com</t>
  </si>
  <si>
    <t>021</t>
  </si>
  <si>
    <t>tramngan.tranthi@amaris.com</t>
  </si>
  <si>
    <t>032</t>
  </si>
  <si>
    <t>hoaisang.cao@amaris.com</t>
  </si>
  <si>
    <t>ngocmy.ha@amaris.com</t>
  </si>
  <si>
    <t>duyduc.nguyenhuynh@amaris.com</t>
  </si>
  <si>
    <t>022</t>
  </si>
  <si>
    <t>quoclinh.tran@amaris.com</t>
  </si>
  <si>
    <t>vanhao.le@amaris.com</t>
  </si>
  <si>
    <t>023</t>
  </si>
  <si>
    <t>nguyen.minhphuoc@amaris.com</t>
  </si>
  <si>
    <t>huungan.mai@amaris.com</t>
  </si>
  <si>
    <t>024</t>
  </si>
  <si>
    <t>minhquan.dang@amaris.com</t>
  </si>
  <si>
    <t>025</t>
  </si>
  <si>
    <t>huunghia.pham@amaris.com</t>
  </si>
  <si>
    <t>ngocthuy.pham@amaris.com</t>
  </si>
  <si>
    <t>033</t>
  </si>
  <si>
    <t>duyphong.nguyen@amaris.com</t>
  </si>
  <si>
    <t>026</t>
  </si>
  <si>
    <t>tuuyen.dinhthi@amaris.com</t>
  </si>
  <si>
    <t>034</t>
  </si>
  <si>
    <t>tuanthanh.tran@amaris.com</t>
  </si>
  <si>
    <t>huytri.nguyen@amaris.com</t>
  </si>
  <si>
    <t>027</t>
  </si>
  <si>
    <t>thanhduc.le@amaris.com</t>
  </si>
  <si>
    <t>ngoctran.tathi@amaris.com</t>
  </si>
  <si>
    <t>trannhat.nguyen@amaris.com</t>
  </si>
  <si>
    <t>028</t>
  </si>
  <si>
    <t>minhtri.do@amaris.com</t>
  </si>
  <si>
    <t>tienmanh.nguyen@amaris.com</t>
  </si>
  <si>
    <t>029</t>
  </si>
  <si>
    <t>thaian.phamthuy@amaris.com</t>
  </si>
  <si>
    <t>quoctrung.kieu@amaris.com</t>
  </si>
  <si>
    <t>thanhviet.dinh@amaris.com</t>
  </si>
  <si>
    <t>030</t>
  </si>
  <si>
    <t>huynhchi.cuong@amaris.com</t>
  </si>
  <si>
    <t>hla@amaris.com</t>
  </si>
  <si>
    <t>086</t>
  </si>
  <si>
    <t>tnguyen39@amaris.com</t>
  </si>
  <si>
    <t>045</t>
  </si>
  <si>
    <t>thinguyet.nong@amaris.com</t>
  </si>
  <si>
    <t>087</t>
  </si>
  <si>
    <t>trihung.nguyen@amaris.com</t>
  </si>
  <si>
    <t>035</t>
  </si>
  <si>
    <t>thatviet.ton@amaris.com</t>
  </si>
  <si>
    <t>036</t>
  </si>
  <si>
    <t>antruong.nguyen@amaris.com</t>
  </si>
  <si>
    <t>hoangtuan.nguyen@amaris.com</t>
  </si>
  <si>
    <t>my.tran@amaris.com</t>
  </si>
  <si>
    <t>061</t>
  </si>
  <si>
    <t>namkha.le@amaris.com</t>
  </si>
  <si>
    <t>058</t>
  </si>
  <si>
    <t>thiviet.nguyen@amaris.com</t>
  </si>
  <si>
    <t>044</t>
  </si>
  <si>
    <t>tanhoang.nguyen@amaris.com</t>
  </si>
  <si>
    <t>037</t>
  </si>
  <si>
    <t>baokhang.ha@amaris.com</t>
  </si>
  <si>
    <t>038</t>
  </si>
  <si>
    <t>thanhduy.chau@amaris.com</t>
  </si>
  <si>
    <t>khanhgia.chung@amaris.com</t>
  </si>
  <si>
    <t>vantien.cao@amaris.com</t>
  </si>
  <si>
    <t>039</t>
  </si>
  <si>
    <t>phuong.vu@amaris.com</t>
  </si>
  <si>
    <t>ngoctrang.tran@amaris.com</t>
  </si>
  <si>
    <t>minhtan.tran1@amaris.com</t>
  </si>
  <si>
    <t>040</t>
  </si>
  <si>
    <t>nguyen.tuananh@amaris.com</t>
  </si>
  <si>
    <t>1. TRẦN THỊ KIM THUỶ - 07/10/1998 - 079198004873 
2. NGUYỄN NGỌC KIM ANH - 04/09/2022 - 079322018996 
3. NGUYỄN NGỌC TUỆ NHI - 01/03/2024 - 079324006070</t>
  </si>
  <si>
    <t>074</t>
  </si>
  <si>
    <t>nhamquy.tran@amaris.com</t>
  </si>
  <si>
    <t>Lam Vi Phuong - Female - 25/05/1994 - 084194007540</t>
  </si>
  <si>
    <t>072</t>
  </si>
  <si>
    <t>thuong.trinhxuan@amaris.com</t>
  </si>
  <si>
    <t>057</t>
  </si>
  <si>
    <t>nguyen.huyhoang@amaris.com</t>
  </si>
  <si>
    <t>1. Lương Thị Lưu - Female - 06/03/1993 - 040193036578
2. Nguyễn Lương Hoàng Yến - Female - 19/10/2021 - 086321006062
3. Nguyễn Lương Thanh Thảo - Female -  06/03/2024 - 086324001119</t>
  </si>
  <si>
    <t>075</t>
  </si>
  <si>
    <t>vanhieu.nguyen@amaris.com</t>
  </si>
  <si>
    <t>041</t>
  </si>
  <si>
    <t>kimgia.nguyen@amaris.com</t>
  </si>
  <si>
    <t>congquan.pham@amaris.com</t>
  </si>
  <si>
    <t>1. Ung Thụy Song Quỳnh - Female - 11/11/1995 - 049195000151
2. Phạm Công Quang - Male - 26/05/2024 - 049224004390</t>
  </si>
  <si>
    <t>076</t>
  </si>
  <si>
    <t>thanhxuan.bui@amaris.com</t>
  </si>
  <si>
    <t>042</t>
  </si>
  <si>
    <t>thiphuong.vu@amaris.com</t>
  </si>
  <si>
    <t>Cao Thi Truc Duyen - Female - 15/06/1997 - 083197002767</t>
  </si>
  <si>
    <t>043</t>
  </si>
  <si>
    <t>vantinh.pham@amaris.com</t>
  </si>
  <si>
    <t>tuan.vancong@amaris.com</t>
  </si>
  <si>
    <t>Nguyen Thi Viet Le - Female - 20/11/1997 - 049197010026</t>
  </si>
  <si>
    <t>071</t>
  </si>
  <si>
    <t>thanhtrung.nguyen@amaris.com</t>
  </si>
  <si>
    <t>046</t>
  </si>
  <si>
    <t>nguyenngoc.nguyensy@amaris.com</t>
  </si>
  <si>
    <t>anhquoc.pham@amaris.com</t>
  </si>
  <si>
    <t>047</t>
  </si>
  <si>
    <t>haibinh.dang@amaris.com</t>
  </si>
  <si>
    <t>trungtin.thai@amaris.com</t>
  </si>
  <si>
    <t>048</t>
  </si>
  <si>
    <t>minhnhat.dang@amaris.com</t>
  </si>
  <si>
    <t>kimnha.dao@amaris.com</t>
  </si>
  <si>
    <t>pnguyen4@amaris.com</t>
  </si>
  <si>
    <t>chienhao.cao@amaris.com</t>
  </si>
  <si>
    <t>050</t>
  </si>
  <si>
    <t>donhat.pham@amaris.com</t>
  </si>
  <si>
    <t>duyhanh.le@amaris.com</t>
  </si>
  <si>
    <t>Own Transportation</t>
  </si>
  <si>
    <t>051</t>
  </si>
  <si>
    <t>huuthinh.nguyen@amaris.com</t>
  </si>
  <si>
    <t>phuong.nguyenthiquynh@amaris.com</t>
  </si>
  <si>
    <t>060</t>
  </si>
  <si>
    <t>ducthanh.van@amaris.com</t>
  </si>
  <si>
    <t>052</t>
  </si>
  <si>
    <t>duan.nguyen@amaris.com</t>
  </si>
  <si>
    <t>hoanglong.nguyen1@amaris.com</t>
  </si>
  <si>
    <t>053</t>
  </si>
  <si>
    <t>tanhoang.nguyen1@amaris.com</t>
  </si>
  <si>
    <t>haithien.nguyen@amaris.com</t>
  </si>
  <si>
    <t>056</t>
  </si>
  <si>
    <t>nguyen.phamhuukhoi@amaris.com</t>
  </si>
  <si>
    <t>055</t>
  </si>
  <si>
    <t>nhattan.tranhuynh@amaris.com</t>
  </si>
  <si>
    <t>Nguyễn Thị Bích Duyên - Female - 05/08/1995</t>
  </si>
  <si>
    <t>070</t>
  </si>
  <si>
    <t>khanhlinh.dangngoc@amaris.com</t>
  </si>
  <si>
    <t>062</t>
  </si>
  <si>
    <t>phuocson.le@amaris.com</t>
  </si>
  <si>
    <t>thanhtung.le@amaris.com</t>
  </si>
  <si>
    <t>vuduy.dinh@amaris.com</t>
  </si>
  <si>
    <t>tunglam.ngo@amaris.com</t>
  </si>
  <si>
    <t>059</t>
  </si>
  <si>
    <t>chitam.nguyenle@amaris.com</t>
  </si>
  <si>
    <t>qtran5@amaris.com</t>
  </si>
  <si>
    <t>sang.truongvan@amaris.com</t>
  </si>
  <si>
    <t>baongoc.nguyen@amaris.com</t>
  </si>
  <si>
    <t>pham.trungkien@amaris.com</t>
  </si>
  <si>
    <t>TRẦN DIỆP HUY - 046098011753 - 0766669006 - Male - 07/01/1998</t>
  </si>
  <si>
    <t>049</t>
  </si>
  <si>
    <t>vuphuong.nguyen@amaris.com</t>
  </si>
  <si>
    <t>nducquy@amaris.com</t>
  </si>
  <si>
    <t>068</t>
  </si>
  <si>
    <t>lle@mantu.com</t>
  </si>
  <si>
    <t>hpham1@amaris.com</t>
  </si>
  <si>
    <t>098</t>
  </si>
  <si>
    <t>xle@amaris.com</t>
  </si>
  <si>
    <t>hnguyen13@amaris.com</t>
  </si>
  <si>
    <t>tvo4@amaris.com</t>
  </si>
  <si>
    <t>097</t>
  </si>
  <si>
    <t>tnguyen38@amaris.com</t>
  </si>
  <si>
    <t>tle8@amaris.com</t>
  </si>
  <si>
    <t>096</t>
  </si>
  <si>
    <t>dle3@amaris.com</t>
  </si>
  <si>
    <t>qnguyen13@amaris.com</t>
  </si>
  <si>
    <t>099</t>
  </si>
  <si>
    <t>ptruongthi@amaris.com</t>
  </si>
  <si>
    <t>mbui3@mantu.com</t>
  </si>
  <si>
    <t>knguyen8@mantu.com</t>
  </si>
  <si>
    <t>pnguyen7@mantu.com</t>
  </si>
  <si>
    <t>gdutertre@mantu.com</t>
  </si>
  <si>
    <t>ppham@mantu.com</t>
  </si>
  <si>
    <t>hnguyen6@mantu.com</t>
  </si>
  <si>
    <t>qdiep@mantu.com</t>
  </si>
  <si>
    <t>Nguyen The Anh - Male - 21/07/2000 - 040200000125</t>
  </si>
  <si>
    <t>nle1@mantu.com</t>
  </si>
  <si>
    <t>yhong@mantu.com</t>
  </si>
  <si>
    <t>htran4@amaris.com</t>
  </si>
  <si>
    <t>tluong1@mantu.com</t>
  </si>
  <si>
    <t>095</t>
  </si>
  <si>
    <t>nphuonguyen@mantu.com</t>
  </si>
  <si>
    <t>utran@mantu.com</t>
  </si>
  <si>
    <t>cnguyen@mantu.com</t>
  </si>
  <si>
    <t>094</t>
  </si>
  <si>
    <t>cvodinhque@amaris.com</t>
  </si>
  <si>
    <t>nhoanglamtam@amaris.com</t>
  </si>
  <si>
    <t>utrinhlethao@mantu.com</t>
  </si>
  <si>
    <t>tnguyen38@mantu.com</t>
  </si>
  <si>
    <t>blam@mantu.com</t>
  </si>
  <si>
    <t>bhung@mantu.com</t>
  </si>
  <si>
    <t>gduquesnay.ext@mantu.com</t>
  </si>
  <si>
    <t>hhuynhngoc@mantu.com</t>
  </si>
  <si>
    <t>chuynh@mantu.com</t>
  </si>
  <si>
    <t>hnguyen2@mantu.com</t>
  </si>
  <si>
    <t>tnguyen6@mantu.com</t>
  </si>
  <si>
    <t>hha2@mantu.com</t>
  </si>
  <si>
    <t>hnguyen3@mantu.com</t>
  </si>
  <si>
    <t>thoang5@mantu.com</t>
  </si>
  <si>
    <t>ctaidai@mantu.com</t>
  </si>
  <si>
    <t>pchau@mantu.com</t>
  </si>
  <si>
    <t>mtrannhat@mantu.com</t>
  </si>
  <si>
    <t>le.huy@mantu.com</t>
  </si>
  <si>
    <t>tnguyen9@mantu.com</t>
  </si>
  <si>
    <t>knguyen1@mantu.com</t>
  </si>
  <si>
    <t>hnguyen4@mantu.com</t>
  </si>
  <si>
    <t>tnguyen25@mantu.com</t>
  </si>
  <si>
    <t>dle2@mantu.com</t>
  </si>
  <si>
    <t>bhuynh@mantu.com</t>
  </si>
  <si>
    <t>mpham@mantu.com</t>
  </si>
  <si>
    <t>htran1@mantu.com</t>
  </si>
  <si>
    <t>1. Lưu Hồng Phương Thủy - Female - 27/10/1990 - 06619007476
2. Trần Hồng Như Ý - Female - 13/7/2025 - 079325017288</t>
  </si>
  <si>
    <t>tta@mantu.com</t>
  </si>
  <si>
    <t>tnguyen44@mantu.com</t>
  </si>
  <si>
    <t>aphan2@mantu.com</t>
  </si>
  <si>
    <t>cbui@mantu.com</t>
  </si>
  <si>
    <t>pnguyenduy@mantu.com</t>
  </si>
  <si>
    <t>nnguyen3@mantu.com</t>
  </si>
  <si>
    <t>phoang@mantu.com</t>
  </si>
  <si>
    <t>npham@mantu.com</t>
  </si>
  <si>
    <t>tdinh1@mantu.com</t>
  </si>
  <si>
    <t>tho2@mantu.com</t>
  </si>
  <si>
    <t>tngo@mantu.com</t>
  </si>
  <si>
    <t>clin1@amaris.com</t>
  </si>
  <si>
    <t>thikhanh.nguyen@amaris.com</t>
  </si>
  <si>
    <t>069</t>
  </si>
  <si>
    <t>tran.ngocquoc@amaris.com</t>
  </si>
  <si>
    <t>079</t>
  </si>
  <si>
    <t>thihue.do@amaris.com</t>
  </si>
  <si>
    <t>tienhuynh.nguyen@amaris.com</t>
  </si>
  <si>
    <t>tranthuy.lu@amaris.com</t>
  </si>
  <si>
    <t>mdang1@mantu.com</t>
  </si>
  <si>
    <t>083</t>
  </si>
  <si>
    <t>qtran5@mantu.com</t>
  </si>
  <si>
    <t>080</t>
  </si>
  <si>
    <t>pvantai@mantu.com</t>
  </si>
  <si>
    <t>tnguyen10@mantu.com</t>
  </si>
  <si>
    <t>081</t>
  </si>
  <si>
    <t>nhao@mantu.com</t>
  </si>
  <si>
    <t>tle19@mantu.com</t>
  </si>
  <si>
    <t>082</t>
  </si>
  <si>
    <t>dinhanh.hoang@amaris.com</t>
  </si>
  <si>
    <t>019</t>
  </si>
  <si>
    <t>dinhlam.tran@amaris.com</t>
  </si>
  <si>
    <t>chihau.nguyen@amaris.com</t>
  </si>
  <si>
    <t>018</t>
  </si>
  <si>
    <t>daiduong.phan@amaris.com</t>
  </si>
  <si>
    <t>duynguyen.vongoc@amaris.com</t>
  </si>
  <si>
    <t>lmaianh@amaris.com</t>
  </si>
  <si>
    <t>lnguyenthiquynh@mantu.com</t>
  </si>
  <si>
    <t>084</t>
  </si>
  <si>
    <t>nnguyen16@mantu.com</t>
  </si>
  <si>
    <t>tdoan2@mantu.com</t>
  </si>
  <si>
    <t>bcao@mantu.com</t>
  </si>
  <si>
    <t>anhkhoa.nguyen@amaris.com</t>
  </si>
  <si>
    <t>078</t>
  </si>
  <si>
    <t>nghilam.pham@amaris.com</t>
  </si>
  <si>
    <t>064</t>
  </si>
  <si>
    <t>viethoang.tran@amaris.com</t>
  </si>
  <si>
    <t>dangkhoa.pham@amaris.com</t>
  </si>
  <si>
    <t>063</t>
  </si>
  <si>
    <t>kimanh.do@amaris.com</t>
  </si>
  <si>
    <t>huuthanh.tran@amaris.com</t>
  </si>
  <si>
    <t>nly@amaris.com</t>
  </si>
  <si>
    <t>phuongthao.nguyen@amaris.com</t>
  </si>
  <si>
    <t>nnguyen15@mantu.com</t>
  </si>
  <si>
    <t>mtranthi@mantu.com</t>
  </si>
  <si>
    <t>qphan@mantu.com</t>
  </si>
  <si>
    <t>anh.hoang@amaris.com</t>
  </si>
  <si>
    <t>dnguyen@mantu.com</t>
  </si>
  <si>
    <t>tdang3@mantu.com</t>
  </si>
  <si>
    <t>092</t>
  </si>
  <si>
    <t>bhoang@mantu.com</t>
  </si>
  <si>
    <t>klim@mantu.com</t>
  </si>
  <si>
    <t>hoainhu.nguyen@amaris.com</t>
  </si>
  <si>
    <t>tle4@mantu.com</t>
  </si>
  <si>
    <t>nhuynh@mantu.com</t>
  </si>
  <si>
    <t>cguiguen@amaris.com</t>
  </si>
  <si>
    <t>tminh@amaris.com</t>
  </si>
  <si>
    <t>tnguyen57@mantu.com</t>
  </si>
  <si>
    <t>nnhan@amaris.com</t>
  </si>
  <si>
    <t>lphan@mantu.com</t>
  </si>
  <si>
    <t>tnguyen24@amaris.com</t>
  </si>
  <si>
    <t>090</t>
  </si>
  <si>
    <t>vnguyen5@amaris.com</t>
  </si>
  <si>
    <t>ttran9@amaris.com</t>
  </si>
  <si>
    <t>acamaret@amaris.com</t>
  </si>
  <si>
    <t>tnguyen56@amaris.com</t>
  </si>
  <si>
    <t>Nguyen Tran Bao Phu - Male - 28/03/1999 - 080099002154</t>
  </si>
  <si>
    <t>dnguyen18@amaris.com</t>
  </si>
  <si>
    <t>hnhi1@amaris.com</t>
  </si>
  <si>
    <t>pthaian@amaris.com</t>
  </si>
  <si>
    <t>Do Chi Thanh - Male - 20/10/2002 - 001202005933</t>
  </si>
  <si>
    <t>lpham1@amaris.com</t>
  </si>
  <si>
    <t>hle1@amaris.com</t>
  </si>
  <si>
    <t>tpham2@amaris.com</t>
  </si>
  <si>
    <t>lnguyen@mantu.com</t>
  </si>
  <si>
    <t>bleho@mantu.com</t>
  </si>
  <si>
    <t>tle31@mantu.com</t>
  </si>
  <si>
    <t>hvinh@mantu.com</t>
  </si>
  <si>
    <t>nnam@mantu.com</t>
  </si>
  <si>
    <t>aphan1@mantu.com</t>
  </si>
  <si>
    <t>1. Truong Ngoc Tinh Anh - 10/12/1993 - 060193015462
2. Phan Nhat Thien Dang - 28/11/2023 - 079223047176</t>
  </si>
  <si>
    <t>093</t>
  </si>
  <si>
    <t>haithanh.nguyenquoc@amaris.com</t>
  </si>
  <si>
    <t>huuphuc.le@amaris.com</t>
  </si>
  <si>
    <t>Hồ Thị Minh Hoàng - Female - 19/11/1984 - 046184001362</t>
  </si>
  <si>
    <t>077</t>
  </si>
  <si>
    <t>hngo1@mantu.com</t>
  </si>
  <si>
    <t>chausy.le@amaris.com</t>
  </si>
  <si>
    <t>quochung.phung@amaris.com</t>
  </si>
  <si>
    <t>duchuy.phamnguyen@amaris.com</t>
  </si>
  <si>
    <t>091</t>
  </si>
  <si>
    <t>tienthinh.le@amaris.com</t>
  </si>
  <si>
    <t>054</t>
  </si>
  <si>
    <t>bngocminh@mantu.com</t>
  </si>
  <si>
    <t>tienthuan.luong@amaris.com</t>
  </si>
  <si>
    <t>duynhat.nguyen@amaris.com</t>
  </si>
  <si>
    <t>qle1@mantu.com</t>
  </si>
  <si>
    <t>Võ Thị Thảo - Female - 15/06/1992 - 042192004938</t>
  </si>
  <si>
    <t>hnguyen21@amaris.com</t>
  </si>
  <si>
    <t>kphan1@amaris.com</t>
  </si>
  <si>
    <t>Bus No</t>
  </si>
  <si>
    <t>Leader Mail</t>
  </si>
  <si>
    <t>Leader Name</t>
  </si>
  <si>
    <t>Leader Phone</t>
  </si>
  <si>
    <t>Cong Danh BUI</t>
  </si>
  <si>
    <t>0902891404</t>
  </si>
  <si>
    <t>Thuy My Hao LA</t>
  </si>
  <si>
    <t>0901824765</t>
  </si>
  <si>
    <t>Van Hieu NGUYEN</t>
  </si>
  <si>
    <t>0397459642</t>
  </si>
  <si>
    <t>Thi Minh Phuong NGUYEN</t>
  </si>
  <si>
    <t>0945745944</t>
  </si>
  <si>
    <t>NGUYEN Thanh Son</t>
  </si>
  <si>
    <t>0392497315</t>
  </si>
  <si>
    <t>Trung Kien NGUYEN</t>
  </si>
  <si>
    <t>0355327017</t>
  </si>
  <si>
    <t>NGO Trinh Quynh Nhu</t>
  </si>
  <si>
    <t>0886311686</t>
  </si>
  <si>
    <t>Ngoc Quoc TRAN</t>
  </si>
  <si>
    <t>0799010869</t>
  </si>
  <si>
    <t>HOANG Bao An</t>
  </si>
  <si>
    <t>0339526385</t>
  </si>
  <si>
    <t>Name</t>
  </si>
  <si>
    <t>Are you planning to join the company trip?</t>
  </si>
  <si>
    <t>Please enter your ID/Passport number.</t>
  </si>
  <si>
    <t>Please enter your phone number (just in case we need to get in touch)</t>
  </si>
  <si>
    <t xml:space="preserve">Are you bringing any partner or family members along? </t>
  </si>
  <si>
    <t>If yes, please provide the details for each guest below</t>
  </si>
  <si>
    <t>How do you plan to travel to the trip location?</t>
  </si>
  <si>
    <t>Anything else we should know?</t>
  </si>
  <si>
    <t>Gov</t>
  </si>
  <si>
    <t>Dep</t>
  </si>
  <si>
    <t>N+1</t>
  </si>
  <si>
    <t>Status</t>
  </si>
  <si>
    <t>With Fam</t>
  </si>
  <si>
    <t>C Fam</t>
  </si>
  <si>
    <t>A Fam</t>
  </si>
  <si>
    <t>Fam Q</t>
  </si>
  <si>
    <t>Total Hc</t>
  </si>
  <si>
    <t>Bus No.</t>
  </si>
  <si>
    <t>Room No.</t>
  </si>
  <si>
    <t>Địa chỉ CCCD</t>
  </si>
  <si>
    <t>Ăn sáng</t>
  </si>
  <si>
    <t>Note</t>
  </si>
  <si>
    <t>Table</t>
  </si>
  <si>
    <t>Số xe buýt</t>
  </si>
  <si>
    <t>Phòng</t>
  </si>
  <si>
    <t>Họ &amp; Tên</t>
  </si>
  <si>
    <t>Giới tính</t>
  </si>
  <si>
    <t>CCCD/Passport</t>
  </si>
  <si>
    <t>Số điện thoại</t>
  </si>
  <si>
    <t>Ghi chú</t>
  </si>
  <si>
    <t>Check-in</t>
  </si>
  <si>
    <t>Pham Khanh Linh TRAN</t>
  </si>
  <si>
    <t>Yes, count me in!</t>
  </si>
  <si>
    <t>044199002375</t>
  </si>
  <si>
    <t>I’ll take the company bus</t>
  </si>
  <si>
    <t>Amaris Consulting</t>
  </si>
  <si>
    <t>Consultants</t>
  </si>
  <si>
    <t>HA Phuong Thao</t>
  </si>
  <si>
    <t>In</t>
  </si>
  <si>
    <t>Female</t>
  </si>
  <si>
    <t>thôn La Hà Nam, xã Nam Gianh, tỉnh Quảng Trị</t>
  </si>
  <si>
    <t>Yes</t>
  </si>
  <si>
    <t>Amaris 01</t>
  </si>
  <si>
    <t>Có</t>
  </si>
  <si>
    <t>DBL001</t>
  </si>
  <si>
    <t>PHẠM ĐỖ THỦY TIÊN</t>
  </si>
  <si>
    <t>Nữ</t>
  </si>
  <si>
    <t>070194001945</t>
  </si>
  <si>
    <t>0396744435</t>
  </si>
  <si>
    <t>Chung phòng 01 (Bus 1: PHẠM ĐỖ THỦY TIÊN x Bus 3: CHUNG KHÁNH GIA)</t>
  </si>
  <si>
    <t>Do Thuy Tien PHAM</t>
  </si>
  <si>
    <t>HO Nguyen Hong Uyen</t>
  </si>
  <si>
    <t>Tổ 6 - Ấp Ấn Lợi - Xã Tân Lợi - Huyện Hớn Quản - Tỉnh Bình Phước</t>
  </si>
  <si>
    <t>DBL002</t>
  </si>
  <si>
    <t>ĐOÀN THIÊN TRANG</t>
  </si>
  <si>
    <t>091300011455</t>
  </si>
  <si>
    <t>0918626459</t>
  </si>
  <si>
    <t xml:space="preserve"> </t>
  </si>
  <si>
    <t>Hoang Ha Quyen NGUYEN</t>
  </si>
  <si>
    <t>077300001719</t>
  </si>
  <si>
    <t>Ấp Nhân Trí, xã Xuyên Mộc, Thành phố Hồ Chí Minh</t>
  </si>
  <si>
    <t>NGUYỄN HOÀNG HẠ QUYÊN</t>
  </si>
  <si>
    <t>0968963049</t>
  </si>
  <si>
    <t>Thien Trang DOAN</t>
  </si>
  <si>
    <t>If there’s a single room, I wanna stay alone (if any)</t>
  </si>
  <si>
    <t>L5-C13 Phan Thị Ràng, An Hoà, Rạch Giá, Kiên Giang</t>
  </si>
  <si>
    <t>DBL006</t>
  </si>
  <si>
    <t>HÀ QUANG TRÌNH</t>
  </si>
  <si>
    <t>Nam</t>
  </si>
  <si>
    <t>087099016549</t>
  </si>
  <si>
    <t>0826759579</t>
  </si>
  <si>
    <t>KHÔNG ĐI</t>
  </si>
  <si>
    <t>Nguyen Hong Uyen HO</t>
  </si>
  <si>
    <t>079197003545</t>
  </si>
  <si>
    <t>Managers</t>
  </si>
  <si>
    <t>NGUYEN Thai Ly</t>
  </si>
  <si>
    <t>39/22 Hồ Đắc Di, Phường Tây Thạnh, Quận Tân Phú, Hồ Chí Minh</t>
  </si>
  <si>
    <t>MAI BÌNH NAM</t>
  </si>
  <si>
    <t>044099000541</t>
  </si>
  <si>
    <t>0948527910</t>
  </si>
  <si>
    <t>Phuong Thao HA</t>
  </si>
  <si>
    <t>079197023976</t>
  </si>
  <si>
    <t>71/3 Nguyễn Văn Thương, Bình Thạnh, Hồ Chí Minh</t>
  </si>
  <si>
    <t>DBL010</t>
  </si>
  <si>
    <t>ĐÀO HỒNG SƠN</t>
  </si>
  <si>
    <t>075200024308</t>
  </si>
  <si>
    <t>0938316793</t>
  </si>
  <si>
    <t>Thanh Hang VU</t>
  </si>
  <si>
    <t>001188049157</t>
  </si>
  <si>
    <t>Directors</t>
  </si>
  <si>
    <t>THEVELIN Chloe</t>
  </si>
  <si>
    <t>38 An Xá, Ba Đình, Hà Nội</t>
  </si>
  <si>
    <t>NGUYỄN THANH SƠN</t>
  </si>
  <si>
    <t>051098005098</t>
  </si>
  <si>
    <t>Duc Minh CAO</t>
  </si>
  <si>
    <t>080202010719</t>
  </si>
  <si>
    <t>Male</t>
  </si>
  <si>
    <t>364 Trần Văn Ngàn, khu phố Hướng Bình 1, phường Long An, tỉnh Tây Ninh</t>
  </si>
  <si>
    <t>DBL073</t>
  </si>
  <si>
    <t>NGUYỄN KHẢ HÂN</t>
  </si>
  <si>
    <t>051317007798</t>
  </si>
  <si>
    <t>Gia đình NGUYỄN THANH TÀI</t>
  </si>
  <si>
    <t>Hoang Tu LA</t>
  </si>
  <si>
    <t>083097005277</t>
  </si>
  <si>
    <t>Chợ Xếp, Tân Thành Bình, Mỏ Cày Bắc, Bến Tre</t>
  </si>
  <si>
    <t>NGUYỄN THANH TÀI</t>
  </si>
  <si>
    <t>051090016586</t>
  </si>
  <si>
    <t>0988383049</t>
  </si>
  <si>
    <t>Trung Nghia CAO</t>
  </si>
  <si>
    <t>051094000961</t>
  </si>
  <si>
    <t>82/27 Lê Văn Quới, P. Bình Hưng Hòa A, Q. Bình Tân, TP. Hồ Chí Minh</t>
  </si>
  <si>
    <t>NGUYỄN THU HUYỀN</t>
  </si>
  <si>
    <t>051191015987</t>
  </si>
  <si>
    <t>Minh Thuan LE</t>
  </si>
  <si>
    <t>086099002987</t>
  </si>
  <si>
    <t>Ấp Long Hoà 1, xã Bình Phước, tỉnh Vĩnh Long</t>
  </si>
  <si>
    <t>Amaris 02</t>
  </si>
  <si>
    <t>DBL085</t>
  </si>
  <si>
    <t>HỒ NGUYỄN HỒNG UYÊN</t>
  </si>
  <si>
    <t>0901936418</t>
  </si>
  <si>
    <t>Van Thanh Thuan NGUYEN</t>
  </si>
  <si>
    <t>080095004933</t>
  </si>
  <si>
    <t>I'd like to request to be booked in the same room as the IVB team.</t>
  </si>
  <si>
    <t>Ấp 2/5, làng Long Hậu, Quận Cần Giuộc, Long An</t>
  </si>
  <si>
    <t>VŨ THANH HẰNG</t>
  </si>
  <si>
    <t>0901401929</t>
  </si>
  <si>
    <t>Van Do TRAN</t>
  </si>
  <si>
    <t>089097020361</t>
  </si>
  <si>
    <t>Ấp Đồng Kỳ, Quốc Thái, An Phú, An Giang</t>
  </si>
  <si>
    <t>DBL088</t>
  </si>
  <si>
    <t>HÀ PHƯƠNG THẢO</t>
  </si>
  <si>
    <t>0909324150</t>
  </si>
  <si>
    <t>Chung phòng 88 (Bus 1: HÀ PHƯƠNG THẢO x Bus 7: LÊ THỊ MAI ANH)</t>
  </si>
  <si>
    <t>Quang Trinh HA</t>
  </si>
  <si>
    <t>464 khóm Tân Mỹ, phường Sa Đéc, tỉnh Đồng Tháp</t>
  </si>
  <si>
    <t>TWN003</t>
  </si>
  <si>
    <t>LÊ MINH THUẬN</t>
  </si>
  <si>
    <t>0968933873</t>
  </si>
  <si>
    <t>Ngô Tấn Thành</t>
  </si>
  <si>
    <t>089200015516</t>
  </si>
  <si>
    <t>Team chị My</t>
  </si>
  <si>
    <t>Tổ 7, ấp An Lương, xã Hội An, tỉnh An Giang</t>
  </si>
  <si>
    <t>NGUYỄN VĂN THANH THUẬN</t>
  </si>
  <si>
    <t>0793485644</t>
  </si>
  <si>
    <t>Binh Nam MAI</t>
  </si>
  <si>
    <t>Thôn Trung Thượng, Xã Nam Ba Đồn, Tỉnh Quảng Bình</t>
  </si>
  <si>
    <t>TWN004</t>
  </si>
  <si>
    <t>CAO ĐỨC MINH</t>
  </si>
  <si>
    <t>0942198738</t>
  </si>
  <si>
    <t>Hong Chuong NGUYEN</t>
  </si>
  <si>
    <t>083084008265</t>
  </si>
  <si>
    <t>44B1 Đồng Khởi Phố, Khu phố 4, Phường Phú Khương , thành phố Bến Tre</t>
  </si>
  <si>
    <t>LA HOÀNG TÚ</t>
  </si>
  <si>
    <t>0386788883</t>
  </si>
  <si>
    <t>Nguyễn Lê Thành</t>
  </si>
  <si>
    <t>062201003205</t>
  </si>
  <si>
    <t>xóm 1, thôn Hải Ninh, xã An Thành, thành phố Hải Phòng</t>
  </si>
  <si>
    <t>TWN005</t>
  </si>
  <si>
    <t>CAO TRUNG NGHĨA</t>
  </si>
  <si>
    <t>0938945445</t>
  </si>
  <si>
    <t>Kim Cong NGUYEN</t>
  </si>
  <si>
    <t>030080017185</t>
  </si>
  <si>
    <t>Tecco Town Bình Tân, 4449 Nguyễn Cửu Phu, Tân Tạo A, Bình Tân, Hồ Chí Minh</t>
  </si>
  <si>
    <t>TRẦN VĂN ĐÔ</t>
  </si>
  <si>
    <t>0967513840</t>
  </si>
  <si>
    <t>Ngoc Tuan NGUYEN</t>
  </si>
  <si>
    <t>051099011537</t>
  </si>
  <si>
    <t>Tổ 3, Phường Cẩm Thành, Tỉnh Quảng Ngãi</t>
  </si>
  <si>
    <t>TWN007</t>
  </si>
  <si>
    <t>NGÔ TẤN THÀNH</t>
  </si>
  <si>
    <t>0329382782</t>
  </si>
  <si>
    <t>Thanh Nhan PHAN</t>
  </si>
  <si>
    <t>079096015213</t>
  </si>
  <si>
    <t>24/33/16 Miếu Gò Xoài, Bình Hưng Hòa A, quận Bình Tân, Hồ Chí Minh</t>
  </si>
  <si>
    <t>Amaris 03</t>
  </si>
  <si>
    <t>NGUYỄN LÊ THÀNH</t>
  </si>
  <si>
    <t>0931182688</t>
  </si>
  <si>
    <t>Trung Nghia NGUYEN</t>
  </si>
  <si>
    <t>072094005258</t>
  </si>
  <si>
    <t>Bến Đình, Thạnh Đức, Gò Dầu, Tây Ninh</t>
  </si>
  <si>
    <t>TWN008</t>
  </si>
  <si>
    <t>NGUYỄN HỒNG CHƯƠNG</t>
  </si>
  <si>
    <t>0989600669</t>
  </si>
  <si>
    <t>Le Man Dat NGUYEN</t>
  </si>
  <si>
    <t>086200001291</t>
  </si>
  <si>
    <t>C224 Tổ 17A KP1, Đông Hưng Thuận, Quận 12, TP. HỒ CHÍ MINH</t>
  </si>
  <si>
    <t>NGUYỄN NGỌC TUẤN</t>
  </si>
  <si>
    <t>0973724249</t>
  </si>
  <si>
    <t>Thanh Loc NGUYEN</t>
  </si>
  <si>
    <t>046097000064</t>
  </si>
  <si>
    <t>68/6/38 Đường số 5, phường Bình Hưng Hòa A, quận Bình Tân, TP. HCM</t>
  </si>
  <si>
    <t>TWN009</t>
  </si>
  <si>
    <t>HOÀNG XUÂN ĐẠT</t>
  </si>
  <si>
    <t>066201016152</t>
  </si>
  <si>
    <t>0393688714</t>
  </si>
  <si>
    <t>Huu Vinh NGUYEN</t>
  </si>
  <si>
    <t>089200019968</t>
  </si>
  <si>
    <t>Tổ 9, Ấp phú hữu II, Xã Châu Phong, Tỉnh An Giang</t>
  </si>
  <si>
    <t>PHAN THÀNH NHÂN</t>
  </si>
  <si>
    <t>0392357076</t>
  </si>
  <si>
    <t>Hong Son DAO</t>
  </si>
  <si>
    <t>622/6 Cộng Hòa, Tân Bình, Hồ Chí Minh</t>
  </si>
  <si>
    <t>TWN011</t>
  </si>
  <si>
    <t>LÊ THÀNH PHƯỚC</t>
  </si>
  <si>
    <t>068096007001</t>
  </si>
  <si>
    <t>0357556867</t>
  </si>
  <si>
    <t>Xuan Dat HOANG</t>
  </si>
  <si>
    <t>Thôn 7, xã Cư Yang, huyện Eakar, tỉnh Đắk Lắk</t>
  </si>
  <si>
    <t>NGUYỄN LÊ MẪN ĐẠT</t>
  </si>
  <si>
    <t>0337804259</t>
  </si>
  <si>
    <t>trunghieu.pham@amaris.com</t>
  </si>
  <si>
    <t>Trung Hieu PHAM</t>
  </si>
  <si>
    <t>Sorry, I won’t be able to join this time.</t>
  </si>
  <si>
    <t>079099030686</t>
  </si>
  <si>
    <t>Not joining</t>
  </si>
  <si>
    <t>294/37A Xô Viết Nghệ Tĩnh, Phường 12, Quận Bình Thạnh, Thành phố Hồ Chí Minh</t>
  </si>
  <si>
    <t>TWN012</t>
  </si>
  <si>
    <t>KHUẤT VĂN THÀNH DANH</t>
  </si>
  <si>
    <t>077203004018</t>
  </si>
  <si>
    <t>0971007831</t>
  </si>
  <si>
    <t>Thanh Son NGUYEN</t>
  </si>
  <si>
    <t>xã Phổ Thuận, thị trấn Đức Phổ, Quảng Ngãi</t>
  </si>
  <si>
    <t>NGUYỄN THANH LỘC</t>
  </si>
  <si>
    <t>0333515756</t>
  </si>
  <si>
    <t>Thanh Tai NGUYEN</t>
  </si>
  <si>
    <t>158 Võ Thị Sáu, Chánh Lộ, TP. Quảng Ngãi, Quảng Ngãi</t>
  </si>
  <si>
    <t>Amaris 05</t>
  </si>
  <si>
    <t>TWN013</t>
  </si>
  <si>
    <t>NGUYỄN HỮU VINH</t>
  </si>
  <si>
    <t>0974086701</t>
  </si>
  <si>
    <t>Van Thanh Danh KHUAT</t>
  </si>
  <si>
    <t>SỐ NHÀ 117/15, ĐƯỜNG 30 THÁNG 4, TỔ DÂN PHỐ 47, KHU PHỐ 4, Phường Phước Thắng, Thành phố Hồ Chí Minh</t>
  </si>
  <si>
    <t>Amaris 04</t>
  </si>
  <si>
    <t>NGUYỄN KIM CÔNG</t>
  </si>
  <si>
    <t>0988143980</t>
  </si>
  <si>
    <t>quangnien.nguyen@amaris.com</t>
  </si>
  <si>
    <t>Quang Nien NGUYEN</t>
  </si>
  <si>
    <t>058201000239</t>
  </si>
  <si>
    <t>163 Bùi Đình Túy, phường Bình Thạnh, thành phố Hồ Chí Minh</t>
  </si>
  <si>
    <t>TWN014</t>
  </si>
  <si>
    <t>NGUYỄN TRUNG NGHĨA</t>
  </si>
  <si>
    <t>0354219319</t>
  </si>
  <si>
    <t>Thanh Phuoc LE</t>
  </si>
  <si>
    <t>15 Lương Trúc Đàm, Hiệp Tân, Tân Phú, Thành phố Hồ Chí Minh</t>
  </si>
  <si>
    <t>TWN015</t>
  </si>
  <si>
    <t>BÙI CÔNG DANH</t>
  </si>
  <si>
    <t>079201014939</t>
  </si>
  <si>
    <t>Chung phòng 15 (Bus 1: BÙI CÔNG DANH: Say xe x Bus 8: LÊ HOÀNG DŨNG: Dị ứng Hải sản, phô mai, sữa)</t>
  </si>
  <si>
    <t>NGUYEN Tien Nam</t>
  </si>
  <si>
    <t>077097008033</t>
  </si>
  <si>
    <t>128/5 Hoàng Hoa Thám, Khu Phố 5, Phường Vũng Tàu, Thành Phố Hồ Chí Minh</t>
  </si>
  <si>
    <t>TWN016</t>
  </si>
  <si>
    <t>ĐỖ QUANG TRUNG</t>
  </si>
  <si>
    <t>064200012749</t>
  </si>
  <si>
    <t>0396402696</t>
  </si>
  <si>
    <t>Motion sickness pills</t>
  </si>
  <si>
    <t>496/9/8 Dương Quảng Hàm, Khu phố 31, Phường An Nhơn, Thành phố Hồ Chí Minh</t>
  </si>
  <si>
    <t>Say xe</t>
  </si>
  <si>
    <t>VÕ HUỲNH CHÍ TÍN</t>
  </si>
  <si>
    <t>079095022758</t>
  </si>
  <si>
    <t>0777104166</t>
  </si>
  <si>
    <t>Huynh Chi Tin VO</t>
  </si>
  <si>
    <t>181/36 Âu Dương Lân, Phường Chánh Hưng, tp. Hồ Chí Minh</t>
  </si>
  <si>
    <t>TWN089</t>
  </si>
  <si>
    <t>TRẦN PHẠM KHÁNH LINH</t>
  </si>
  <si>
    <t>0823387274</t>
  </si>
  <si>
    <t>Chung phòng 89 (Bus 1: TRẦN PHẠM KHÁNH LINH x Bus 4: ĐÀO KIM NHÃ)</t>
  </si>
  <si>
    <t>Quang Trung DO</t>
  </si>
  <si>
    <t>Thôn 2, Nghĩa Hoà, Chưpăh, Gia Lai</t>
  </si>
  <si>
    <t>DBL024</t>
  </si>
  <si>
    <t>MAI HỮU NGẠN</t>
  </si>
  <si>
    <t>049202002958</t>
  </si>
  <si>
    <t>0343734096</t>
  </si>
  <si>
    <t>Van Trien DANG</t>
  </si>
  <si>
    <t>068097008720</t>
  </si>
  <si>
    <t>HOANG Thien</t>
  </si>
  <si>
    <t>48 thôn 7, xã Đinh Trang Hoà, Di Linh, Lâm Đồng</t>
  </si>
  <si>
    <t>NGUYỄN DUY NHẬT</t>
  </si>
  <si>
    <t>072200007361</t>
  </si>
  <si>
    <t>0967524457</t>
  </si>
  <si>
    <t>Thanh Dat NGUYEN</t>
  </si>
  <si>
    <t>075096016711</t>
  </si>
  <si>
    <t>20, tổ 4, ấp 9, Sông Ray, Cẩm Mỹ, Đồng Nai</t>
  </si>
  <si>
    <t>DBL031</t>
  </si>
  <si>
    <t>LÊ THỊ PHƯƠNG HẰNG</t>
  </si>
  <si>
    <t>079186021679</t>
  </si>
  <si>
    <t>0866876722</t>
  </si>
  <si>
    <t>Song Toan VU</t>
  </si>
  <si>
    <t>048095001773</t>
  </si>
  <si>
    <t>188 Gò Dưa, phường Tam Bình, Thủ Đức</t>
  </si>
  <si>
    <t>LÊ THỊ THANH HƯƠNG</t>
  </si>
  <si>
    <t>079302009777</t>
  </si>
  <si>
    <t>0703264721</t>
  </si>
  <si>
    <t>Quang Tin TRAN</t>
  </si>
  <si>
    <t>058095001270</t>
  </si>
  <si>
    <t>Lâm Phú, Lâm Sơn, Ninh Sơn, Ninh Thuận</t>
  </si>
  <si>
    <t>DBL032</t>
  </si>
  <si>
    <t>HÀ NGỌC MỸ</t>
  </si>
  <si>
    <t>082300007349</t>
  </si>
  <si>
    <t>0888745255</t>
  </si>
  <si>
    <t>Vo Tuong Duy</t>
  </si>
  <si>
    <t>079200028676</t>
  </si>
  <si>
    <t>In (Exit confirmed)</t>
  </si>
  <si>
    <t>31/20 Nguyễn Đình Khôi, Phường 4, quận Tân Bình, Hồ Chí Minh</t>
  </si>
  <si>
    <t>TRẦN THỊ TRÂM NGÂN</t>
  </si>
  <si>
    <t>087300002383</t>
  </si>
  <si>
    <t>0939053112</t>
  </si>
  <si>
    <t>Ngoc Thanh PHAM</t>
  </si>
  <si>
    <t>060094011465</t>
  </si>
  <si>
    <t>HUYNH Chi Cuong</t>
  </si>
  <si>
    <t>Khu phố Phú Cường, Thị trấn Phú Long, Huyện Hàm Thuận Bắc, Tỉnh Bình Thuận</t>
  </si>
  <si>
    <t>DBL033</t>
  </si>
  <si>
    <t>PHẠM NGỌC THUỲ TRANG</t>
  </si>
  <si>
    <t>079300022868</t>
  </si>
  <si>
    <t>0707653589</t>
  </si>
  <si>
    <t>Cong Khanh HUYNH</t>
  </si>
  <si>
    <t>087201004021</t>
  </si>
  <si>
    <t>369 ấp Tân Lộc A, xã Tân Dương, huyện Lai Vung, tỉnh Đồng Tháp</t>
  </si>
  <si>
    <t>PHẠM THUỴ THÁI AN</t>
  </si>
  <si>
    <t>095304000976</t>
  </si>
  <si>
    <t>0913854054</t>
  </si>
  <si>
    <t>Xuan Vu TRAN</t>
  </si>
  <si>
    <t>046098001181</t>
  </si>
  <si>
    <t>71/23 Đinh Núp, thành phố Buôn Ma Thuột, tỉnh Đắk Lắk</t>
  </si>
  <si>
    <t>DBL034</t>
  </si>
  <si>
    <t>ĐINH THỊ TÚ UYÊN</t>
  </si>
  <si>
    <t>070302002356</t>
  </si>
  <si>
    <t>0383899275</t>
  </si>
  <si>
    <t>Thi Thanh Huong LE</t>
  </si>
  <si>
    <t>Viêm Tây 1, Điện Thắng Bắc, Điện Bàn, Quảng Nam</t>
  </si>
  <si>
    <t>TẠ THỊ NGỌC TRÂN</t>
  </si>
  <si>
    <t>089196003991</t>
  </si>
  <si>
    <t>0369040747</t>
  </si>
  <si>
    <t>Phuong Hang LE THI</t>
  </si>
  <si>
    <t>LA Thuy My Hao</t>
  </si>
  <si>
    <t>P201 B3B Tập thể Đồng Xa, phố Mai Dịch, Cầu Giấy, Hà Nội</t>
  </si>
  <si>
    <t>DBL086</t>
  </si>
  <si>
    <t>LA THÙY MỸ HẢO</t>
  </si>
  <si>
    <t>087190011453</t>
  </si>
  <si>
    <t>0375225989</t>
  </si>
  <si>
    <t>Chung phòng 86 (Bus 2: LA THÙY MỸ HẢO x Bus 4: NGUYỄN THỊ MINH PHƯƠNG)</t>
  </si>
  <si>
    <t>Nhu Hai Luu PHAN</t>
  </si>
  <si>
    <t>060099011492</t>
  </si>
  <si>
    <t>53 Thôn Vĩnh Phúc, Xã Vĩnh Tân, Huyện Tuy Phong, Tỉnh Bình Thuận</t>
  </si>
  <si>
    <t>Amaris 06</t>
  </si>
  <si>
    <t>TWN017</t>
  </si>
  <si>
    <t>HUỲNH CÔNG KHANH</t>
  </si>
  <si>
    <t>0777905219</t>
  </si>
  <si>
    <t>Thi Tram Ngan TRAN</t>
  </si>
  <si>
    <t>628, ấp Phú Thuận, xã Tân Phú Đông, TP Sa Đéc, Đồng Tháp</t>
  </si>
  <si>
    <t>VÕ NGỌC DUY NGUYÊN</t>
  </si>
  <si>
    <t>079201007186</t>
  </si>
  <si>
    <t>0919990145</t>
  </si>
  <si>
    <t>Hoai Sang CAO</t>
  </si>
  <si>
    <t>095203009143</t>
  </si>
  <si>
    <t>23/4 An Nhơn, Phường Gò Vấp, Thành phố Hồ Chí Minh</t>
  </si>
  <si>
    <t>TWN018</t>
  </si>
  <si>
    <t>NGUYỄN CHÍ HẬU</t>
  </si>
  <si>
    <t>086203010658</t>
  </si>
  <si>
    <t>0799549878</t>
  </si>
  <si>
    <t>Ngoc My HA</t>
  </si>
  <si>
    <t>Số 68, Tổ 4, Ấp Tân Bường A, Xã Tân Phong, Huyện Cai Lậy, Tỉnh Tiền Giang (Xã Hiệp Đức, Tỉnh Đồng Tháp)</t>
  </si>
  <si>
    <t>PHAN ĐẠI DƯƠNG</t>
  </si>
  <si>
    <t>052201013763</t>
  </si>
  <si>
    <t>0398324011</t>
  </si>
  <si>
    <t>Huynh Duy Duc NGUYEN</t>
  </si>
  <si>
    <t>064201016123</t>
  </si>
  <si>
    <t>Thôn Pleiku Roh Yên Đỗ, thành phố Pleiku, Gia Lai</t>
  </si>
  <si>
    <t>TWN019</t>
  </si>
  <si>
    <t>HOÀNG ĐÌNH ANH QUỐC</t>
  </si>
  <si>
    <t>079202006608</t>
  </si>
  <si>
    <t>0983941396</t>
  </si>
  <si>
    <t>Quoc Linh TRAN</t>
  </si>
  <si>
    <t>096099005690</t>
  </si>
  <si>
    <t>300/23/21 Nguyễn Văn Linh, phường Tân Thuận, Thành Phố Hồ Chí Minh</t>
  </si>
  <si>
    <t>TRẦN ĐÌNH LÂM</t>
  </si>
  <si>
    <t>066200002973</t>
  </si>
  <si>
    <t>0769781003</t>
  </si>
  <si>
    <t>Dị ứng hải sản</t>
  </si>
  <si>
    <t>Van Hao LE</t>
  </si>
  <si>
    <t>089097008685</t>
  </si>
  <si>
    <t>Long Hòa, Nhơn Mỹ, An Giang</t>
  </si>
  <si>
    <t>TWN020</t>
  </si>
  <si>
    <t>PHẠM NGỌC THÀNH</t>
  </si>
  <si>
    <t>0333950268</t>
  </si>
  <si>
    <t>Minh Phuoc NGUYEN</t>
  </si>
  <si>
    <t>079094018368</t>
  </si>
  <si>
    <t>120 Cô Giang, Phường 2, Quận Phú Nhuận, TP. HCM</t>
  </si>
  <si>
    <t>TRẦN XUÂN VŨ</t>
  </si>
  <si>
    <t>0327360123</t>
  </si>
  <si>
    <t>Duy Nhat NGUYEN</t>
  </si>
  <si>
    <t>029 Lê Văn Tám, khu phố 15, Tân Ninh, Tây Ninh</t>
  </si>
  <si>
    <t>TWN021</t>
  </si>
  <si>
    <t>CAO HOÀI SANG</t>
  </si>
  <si>
    <t>0944552050</t>
  </si>
  <si>
    <t>Huu Ngan MAI</t>
  </si>
  <si>
    <t>33 đường N1, KDC 61, KP Tân Lập, phường Đông Hòa, Hồ Chí Minh</t>
  </si>
  <si>
    <t>PHAN NHƯ HẢI LƯU</t>
  </si>
  <si>
    <t>0379738098</t>
  </si>
  <si>
    <t>Minh Quan DANG</t>
  </si>
  <si>
    <t>089201001783</t>
  </si>
  <si>
    <t>Mỹ Quý, Long Xuyên, An Giang</t>
  </si>
  <si>
    <t>Amaris 07</t>
  </si>
  <si>
    <t>TWN022</t>
  </si>
  <si>
    <t>NGUYỄN HUỲNH DUY ĐỨC</t>
  </si>
  <si>
    <t>0979409417</t>
  </si>
  <si>
    <t>Huu Nghia PHAM</t>
  </si>
  <si>
    <t>064098000457</t>
  </si>
  <si>
    <t>24 Nguyễn Trường Tộ, Tổ 2, Diên Hồng, Pleiku, Gia Lai</t>
  </si>
  <si>
    <t>TRẦN QUỐC LĨNH</t>
  </si>
  <si>
    <t>0379218610</t>
  </si>
  <si>
    <t>Ngoc Thuy Trang PHAM</t>
  </si>
  <si>
    <t>E4 Thất Sơn, Khu Phố 39, phường Hoà Hưng, Thành phố Hồ Chí Minh</t>
  </si>
  <si>
    <t>TWN023</t>
  </si>
  <si>
    <t>LÊ VĂN HÀO</t>
  </si>
  <si>
    <t>0378462578</t>
  </si>
  <si>
    <t>Duy Phong NGUYEN</t>
  </si>
  <si>
    <t>049200016142</t>
  </si>
  <si>
    <t>46G đường 19A, Khu Phố 8, Phường Bình Hưng Hòa, Thành Phố Hồ Chí Minh</t>
  </si>
  <si>
    <t>NGUYỄN MINH PHƯỚC</t>
  </si>
  <si>
    <t>0937686998</t>
  </si>
  <si>
    <t>Tu Uyen DINH THI</t>
  </si>
  <si>
    <t>hẻm 145, Tổ 1, Khu phố Tiến Hưng 3, phường Bình Phước, tỉnh Đồng Nai</t>
  </si>
  <si>
    <t>TWN025</t>
  </si>
  <si>
    <t>ĐẶNG MINH QUÂN</t>
  </si>
  <si>
    <t>0941967745</t>
  </si>
  <si>
    <t>Tuan Thanh TRAN</t>
  </si>
  <si>
    <t>042200003160</t>
  </si>
  <si>
    <t>Xã Cổ Đạm, Tỉnh Hà Tĩnh</t>
  </si>
  <si>
    <t>PHẠM HỮU NGHĨA</t>
  </si>
  <si>
    <t>0363543388</t>
  </si>
  <si>
    <t>Huy Tri NGUYEN</t>
  </si>
  <si>
    <t>079203015788</t>
  </si>
  <si>
    <t>182A Đường Triệu Quang Phục, Khu phố 3, Chợ Lớn, Hồ Chí Minh</t>
  </si>
  <si>
    <t>TWN026</t>
  </si>
  <si>
    <t>NGUYỄN DUY PHONG</t>
  </si>
  <si>
    <t>0396428796</t>
  </si>
  <si>
    <t>Thanh Duc LE</t>
  </si>
  <si>
    <t>079200038775</t>
  </si>
  <si>
    <t>Tổ 12 Ấp Tân Định, Tân Thông Hội, Củ Chi, HCM</t>
  </si>
  <si>
    <t>TRẦN TUẤN THÀNH</t>
  </si>
  <si>
    <t>0971850315</t>
  </si>
  <si>
    <t>Ngoc Tran TA THI</t>
  </si>
  <si>
    <t>Chung cư polaris, số 23 lê trọng tấn, phường dĩ an, bình dương</t>
  </si>
  <si>
    <t>TWN027</t>
  </si>
  <si>
    <t>LÊ THANH ĐỨC</t>
  </si>
  <si>
    <t>0339310132</t>
  </si>
  <si>
    <t>Tran Nhat Duc NGUYEN</t>
  </si>
  <si>
    <t>056200011360</t>
  </si>
  <si>
    <t>Thôn Lập Định 1, Cam Hòa, Cam Lâm, Khánh Hòa</t>
  </si>
  <si>
    <t>NGUYỄN HUY TRÍ</t>
  </si>
  <si>
    <t>0963698249</t>
  </si>
  <si>
    <t>Minh Tri DO</t>
  </si>
  <si>
    <t>046095013415</t>
  </si>
  <si>
    <t>72 Nguyễn Du, Gia Hội, Thừa Thiên Huế</t>
  </si>
  <si>
    <t>Amaris 08</t>
  </si>
  <si>
    <t>TWN028</t>
  </si>
  <si>
    <t>ĐỖ MINH TRÍ</t>
  </si>
  <si>
    <t>0935919461</t>
  </si>
  <si>
    <t>Tien Manh NGUYEN</t>
  </si>
  <si>
    <t>252203000013</t>
  </si>
  <si>
    <t>47 đường số 7, khu phố 45 Phường Gò Vấp, TP. Hồ Chí Minh</t>
  </si>
  <si>
    <t>NGUYỄN TRẦN NHẬT ĐỨC</t>
  </si>
  <si>
    <t>0869885812</t>
  </si>
  <si>
    <t>Thai An PHAM THUY</t>
  </si>
  <si>
    <t>66 Hàm Nghi, Phường Vĩnh Trạch, Tỉnh Cà Mau</t>
  </si>
  <si>
    <t>TWN029</t>
  </si>
  <si>
    <t>KIỀU QUỐC TRUNG</t>
  </si>
  <si>
    <t>079200044816</t>
  </si>
  <si>
    <t>0932535781</t>
  </si>
  <si>
    <t>Quoc Trung KIEU</t>
  </si>
  <si>
    <t>193/2C1, Bùi Thị Xuân, Khu phố 2, Phường Tân Sơn Hòa, TP. Hồ Chí Minh</t>
  </si>
  <si>
    <t>NGUYỄN TIẾN MẠNH</t>
  </si>
  <si>
    <t>0829622879</t>
  </si>
  <si>
    <t>DINH Thanh Viet</t>
  </si>
  <si>
    <t>052200005034</t>
  </si>
  <si>
    <t>thôn Hải Nam, xã Nhơn Hải, phường Quy Nhơn Đông, tỉnh Gia Lai</t>
  </si>
  <si>
    <t>TWN030</t>
  </si>
  <si>
    <t>ĐINH THÀNH VIỆT</t>
  </si>
  <si>
    <t>0377130331</t>
  </si>
  <si>
    <t>Chi Cuong HUYNH</t>
  </si>
  <si>
    <t>079095014706</t>
  </si>
  <si>
    <t>Dị ứng cồn</t>
  </si>
  <si>
    <t>NGUYEN The Trinh</t>
  </si>
  <si>
    <t>184/3A Khu phố 7, Phường Tân Chánh Hiệp, Quận 12, TP. Hồ Chí Minh</t>
  </si>
  <si>
    <t>HUỲNH CHÍ CƯỜNG</t>
  </si>
  <si>
    <t>0937251707</t>
  </si>
  <si>
    <t>Delivery</t>
  </si>
  <si>
    <t>262/63 Phan Anh, Phường Phú Thạnh, Thành phố Hồ Chí Minh</t>
  </si>
  <si>
    <t>CHUNG KHÁNH GIA</t>
  </si>
  <si>
    <t>079301006935</t>
  </si>
  <si>
    <t>0779911643</t>
  </si>
  <si>
    <t>The Trinh NGUYEN</t>
  </si>
  <si>
    <t>049192000750</t>
  </si>
  <si>
    <t>VU Thanh Hang</t>
  </si>
  <si>
    <t>141/16, Đường số 8, Phường Bình Hưng Hòa A, Quận Bình Tân, TP. Hồ Chí Minh</t>
  </si>
  <si>
    <t>DBL043</t>
  </si>
  <si>
    <t>CAO THỊ TRÚC DUYÊN</t>
  </si>
  <si>
    <t>083197002767</t>
  </si>
  <si>
    <t>Gia đình VŨ THỊ PHƯƠNG THẢO</t>
  </si>
  <si>
    <t>Thi Nguyet NONG</t>
  </si>
  <si>
    <t>091301010042</t>
  </si>
  <si>
    <t>NGUYEN Hoang Tuan Anh</t>
  </si>
  <si>
    <t>Ấp Cái Côn, Đại Thành, Thành phố Ngã Bảy, Hậu Giang</t>
  </si>
  <si>
    <t>VŨ THỊ PHƯƠNG THẢO</t>
  </si>
  <si>
    <t>035198005801</t>
  </si>
  <si>
    <t>0961393725</t>
  </si>
  <si>
    <t>Tri Hung NGUYEN</t>
  </si>
  <si>
    <t>040099011473</t>
  </si>
  <si>
    <t>915 S3.02 VHGP Long Thạnh Mỹ, TP.Thủ Đức, TP. Hồ Chí Minh</t>
  </si>
  <si>
    <t>DBL061</t>
  </si>
  <si>
    <t>TRẦN QUỲNH ANH</t>
  </si>
  <si>
    <t>001196042675</t>
  </si>
  <si>
    <t>0583032919</t>
  </si>
  <si>
    <t>That Viet Anh TON</t>
  </si>
  <si>
    <t>079096027174</t>
  </si>
  <si>
    <t>89 đường số 19, Phường 8, Gò Vấp, Hồ Chí Minh</t>
  </si>
  <si>
    <t>TRẦN THỊ HÀ MY</t>
  </si>
  <si>
    <t>040195009694</t>
  </si>
  <si>
    <t>0966272279</t>
  </si>
  <si>
    <t>Truong An NGUYEN</t>
  </si>
  <si>
    <t>075095021646</t>
  </si>
  <si>
    <t>71/1 Tân Phong, Xuân Tân, Long Khánh</t>
  </si>
  <si>
    <t>ACT &amp; Amaris</t>
  </si>
  <si>
    <t>DBL071</t>
  </si>
  <si>
    <t>NGUYEN THI VIET LE</t>
  </si>
  <si>
    <t>049197010026</t>
  </si>
  <si>
    <t>Gia đình VĂN CÔNG TUẤN</t>
  </si>
  <si>
    <t>Hoang Tuan Anh NGUYEN</t>
  </si>
  <si>
    <t>079096034588</t>
  </si>
  <si>
    <t>606/39/16 Đường 3/2, phường 14, quận 10, TP. Hồ Chí Minh</t>
  </si>
  <si>
    <t>VĂN CÔNG TUẤN</t>
  </si>
  <si>
    <t>052092002529</t>
  </si>
  <si>
    <t>0977794203</t>
  </si>
  <si>
    <t>Thi Ha My TRAN</t>
  </si>
  <si>
    <t>Khối 23 Hồng Sơn, Vinh, Nghệ An</t>
  </si>
  <si>
    <t>DBL072</t>
  </si>
  <si>
    <t>LAM VI PHUONG</t>
  </si>
  <si>
    <t>084194007540</t>
  </si>
  <si>
    <t>Gia đình TRẦN NHÂM QUÝ</t>
  </si>
  <si>
    <t>Nam Kha LE</t>
  </si>
  <si>
    <t>052097015080</t>
  </si>
  <si>
    <t>TRAN Thi Ha My</t>
  </si>
  <si>
    <t>Thị trấn Long Hải, huyện Long Điền, Bà Rịa - Vũng Tàu</t>
  </si>
  <si>
    <t>TRẦN NHÂM QUÝ</t>
  </si>
  <si>
    <t>052092016286</t>
  </si>
  <si>
    <t>0972326052</t>
  </si>
  <si>
    <t>Thi Viet Trinh NGUYEN</t>
  </si>
  <si>
    <t>075193013225</t>
  </si>
  <si>
    <t>Ấp Thuận Bắc, Thuận Thành, Cần Giuộc, Long An</t>
  </si>
  <si>
    <t>DBL076</t>
  </si>
  <si>
    <t>PHẠM CÔNG QUÂN</t>
  </si>
  <si>
    <t>049095015282</t>
  </si>
  <si>
    <t>0386987100</t>
  </si>
  <si>
    <t>Gia đình PHẠM CÔNG QUÂN</t>
  </si>
  <si>
    <t>Tan Hoang NGUYEN</t>
  </si>
  <si>
    <t>051202007406</t>
  </si>
  <si>
    <t>Trần Thị Vững, Bình Đường 3, P. An Bình, Dĩ An, Bình Dương</t>
  </si>
  <si>
    <t>PHẠM CÔNG QUANG</t>
  </si>
  <si>
    <t>049224004390</t>
  </si>
  <si>
    <t>Bao Khang HA</t>
  </si>
  <si>
    <t>091201012114</t>
  </si>
  <si>
    <t>17 Nguyễn Trung Trực, khu phố 1, phường Bình San, thành phố Hà Tiên, tỉnh Kiên Giang</t>
  </si>
  <si>
    <t>UNG THỤY SONG QUỲNH</t>
  </si>
  <si>
    <t>049195000151</t>
  </si>
  <si>
    <t>Thanh Duy CHAU</t>
  </si>
  <si>
    <t>079098003185</t>
  </si>
  <si>
    <t>1716/32 Huỳnh Tấn Phát, Xã Nhà Bè, Thành phố Hồ Chí Minh</t>
  </si>
  <si>
    <t>DBL087</t>
  </si>
  <si>
    <t>NÔNG THỊ NGUYỆT</t>
  </si>
  <si>
    <t>0768811159</t>
  </si>
  <si>
    <t>Khanh Gia CHUNG</t>
  </si>
  <si>
    <t>175 Nguyễn Thái Bình, Phường Bến Thành, Thành Phố Hồ Chí Minh</t>
  </si>
  <si>
    <t>Amaris 10</t>
  </si>
  <si>
    <t>TRẦN NGỌC TRANG ĐÀI</t>
  </si>
  <si>
    <t>084197000010</t>
  </si>
  <si>
    <t>0936610147</t>
  </si>
  <si>
    <t>Van Tien CAO</t>
  </si>
  <si>
    <t>067098004566</t>
  </si>
  <si>
    <t>Đông Hoà, Dĩ An, Bình Dương</t>
  </si>
  <si>
    <t>Amaris 09</t>
  </si>
  <si>
    <t>TWN035</t>
  </si>
  <si>
    <t>NGUYỄN HOÀNG TUẤN ANH</t>
  </si>
  <si>
    <t>0938282487</t>
  </si>
  <si>
    <t>Phuong VU</t>
  </si>
  <si>
    <t>089096021770</t>
  </si>
  <si>
    <t>Ấp Sơn Tây, Thới Sơn, Tịnh Biên, An Giang</t>
  </si>
  <si>
    <t>NGUYỄN TRÍ HÙNG</t>
  </si>
  <si>
    <t>0946650045</t>
  </si>
  <si>
    <t>Ngoc Trang Dai TRAN</t>
  </si>
  <si>
    <t>103/11 Lê Đình Cẩn, KP10, P.Tân Tạo, TPHCM</t>
  </si>
  <si>
    <t>TWN036</t>
  </si>
  <si>
    <t>NGUYỄN TRƯỜNG AN</t>
  </si>
  <si>
    <t>0352680918</t>
  </si>
  <si>
    <t>Minh Tan TRAN</t>
  </si>
  <si>
    <t>082097013452</t>
  </si>
  <si>
    <t>tổ 3 ấp Hòa Bình, xã Mỹ Tịnh An , tỉnh Đồng Tháp</t>
  </si>
  <si>
    <t>TÔN THẤT VIỆT ANH</t>
  </si>
  <si>
    <t>0934297931</t>
  </si>
  <si>
    <t>Anh Tuan - Tl NGUYEN</t>
  </si>
  <si>
    <t>079085007940</t>
  </si>
  <si>
    <t>1. TRẦN THỊ KIM THUỶ Ngày sinh: 07/10/1998 CCCD: 079198004873 
2. NGUYỄN NGỌC KIM ANH Ngày sinh: 04/09/2022 CCCD: 079322018996 
3. NGUYỄN NGỌC TUỆ NHI Ngày sinh: 01/03/2024 CCCD: 079324006070</t>
  </si>
  <si>
    <t>117/14 Điện Biên Phủ, Phường 15, Quận Bình Thạnh, TP. Hồ Chí Minh</t>
  </si>
  <si>
    <t>TWN037</t>
  </si>
  <si>
    <t>NGUYỄN LÊ CHÍ TÂM</t>
  </si>
  <si>
    <t>080201013658</t>
  </si>
  <si>
    <t>0847827897</t>
  </si>
  <si>
    <t>Nham Quy TRAN</t>
  </si>
  <si>
    <t>606/32/2/1B Quốc lộ 13, Phường Hiệp Bình, TP. Hồ Chí Minh</t>
  </si>
  <si>
    <t>NGUYỄN TẤN HOÀNG</t>
  </si>
  <si>
    <t>0345717796</t>
  </si>
  <si>
    <t>Xuan Thuong TRINH</t>
  </si>
  <si>
    <t>049092003884</t>
  </si>
  <si>
    <t>1865/8 Huỳnh Tấn Phát, Nhà Bè, Hồ Chí Minh</t>
  </si>
  <si>
    <t>Amaris 11</t>
  </si>
  <si>
    <t>TWN038</t>
  </si>
  <si>
    <t>CHÂU THANH DUY</t>
  </si>
  <si>
    <t>0879295967</t>
  </si>
  <si>
    <t>Huy Hoang NGUYEN</t>
  </si>
  <si>
    <t>031094002454</t>
  </si>
  <si>
    <t>Khóm Thành Nhân, Thị trấn Tân Quới, huyện Bình Tân, Vĩnh Long</t>
  </si>
  <si>
    <t>HÀ BẢO KHANG</t>
  </si>
  <si>
    <t>0762922184</t>
  </si>
  <si>
    <t>052096015341</t>
  </si>
  <si>
    <t>Tổ 10, khu vực 7, phường Bùi Thị Xuân, TP. Quy Nhơn, tỉnh Bình Định</t>
  </si>
  <si>
    <t>TWN039</t>
  </si>
  <si>
    <t>CAO VĂN TIẾN</t>
  </si>
  <si>
    <t>0584106886</t>
  </si>
  <si>
    <t>Kim Gia Huy NGUYEN</t>
  </si>
  <si>
    <t>079099027044</t>
  </si>
  <si>
    <t>239 Quang Trung, Phường 10, Gò Vấp, TP. Hồ Chí Minh</t>
  </si>
  <si>
    <t>VŨ PHƯƠNG</t>
  </si>
  <si>
    <t>0962359719</t>
  </si>
  <si>
    <t>Cong Quan PHAM</t>
  </si>
  <si>
    <t>229/4/8 Tây Thạnh, Tân Phú, Hồ Chí Minh</t>
  </si>
  <si>
    <t>TWN040</t>
  </si>
  <si>
    <t>LÊ PHƯỚC SƠN</t>
  </si>
  <si>
    <t>045091003975</t>
  </si>
  <si>
    <t>0915004496</t>
  </si>
  <si>
    <t>Thanh Xuan BUI</t>
  </si>
  <si>
    <t>075090010849</t>
  </si>
  <si>
    <t>1579 ấp 2, xã Phước Khánh, huyện Nhơn Trạch, tỉnh Đồng Nai</t>
  </si>
  <si>
    <t>TRẦN MINH TẤN</t>
  </si>
  <si>
    <t>0332548027</t>
  </si>
  <si>
    <t>Thi Phuong Thao VU</t>
  </si>
  <si>
    <t>Thôn Đa Nung A, Đạ Đờn, Lâm Hà, Lâm Đồng</t>
  </si>
  <si>
    <t>TWN041</t>
  </si>
  <si>
    <t>NGUYỄN KIM GIA HUY</t>
  </si>
  <si>
    <t>0335618057</t>
  </si>
  <si>
    <t>Van Tinh PHAM</t>
  </si>
  <si>
    <t>052092015218</t>
  </si>
  <si>
    <t>Thôn Hưng Trị, Cát Thắng, Phù Cát, Bình Định</t>
  </si>
  <si>
    <t>NGUYỄN VĂN HIẾU</t>
  </si>
  <si>
    <t>Cong Tuan VAN</t>
  </si>
  <si>
    <t>Chung cư 8x Plus, đường Trường Chinh, phường Tân Thới Nhất, Quận 12, Hồ Chí Minh</t>
  </si>
  <si>
    <t>TWN042</t>
  </si>
  <si>
    <t>BÙI THANH XUÂN</t>
  </si>
  <si>
    <t>0778836595</t>
  </si>
  <si>
    <t>Thanh Trung NGUYEN</t>
  </si>
  <si>
    <t>031202004177</t>
  </si>
  <si>
    <t>HUYNH Minh Khoi</t>
  </si>
  <si>
    <t>124/4 đường Cộng Hoà, Khu phố 14, phường Tân Sơn Nhất, thành phố Hồ Chí Minh</t>
  </si>
  <si>
    <t>PHẠM VĂN TÌNH</t>
  </si>
  <si>
    <t>0346726479</t>
  </si>
  <si>
    <t>Nguyen Ngoc NGUYEN SY</t>
  </si>
  <si>
    <t>079202021638</t>
  </si>
  <si>
    <t>368/20/35c Ấp 1, Đông Thạnh, Hóc Môn, Hồ Chí Minh</t>
  </si>
  <si>
    <t>TWN074</t>
  </si>
  <si>
    <t>NGUYỄN ANH TUẤN</t>
  </si>
  <si>
    <t>0878886446</t>
  </si>
  <si>
    <t>Gia đình NGUYỄN ANH TUẤN</t>
  </si>
  <si>
    <t>Anh Quoc PHAM</t>
  </si>
  <si>
    <t>079201003742</t>
  </si>
  <si>
    <t>105 Bùi Thị Xuân, Phường Tân Sơn Hoà, TP. Hồ Chí Minh</t>
  </si>
  <si>
    <t>NGUYỄN NGỌC KIM ANH</t>
  </si>
  <si>
    <t>079322018996</t>
  </si>
  <si>
    <t>Hai Binh DANG</t>
  </si>
  <si>
    <t>031202010766</t>
  </si>
  <si>
    <t>233/3 Đại lộ Bình Dương, Phường Phú Thọ, TP. TDM, Bình Dương</t>
  </si>
  <si>
    <t>Amaris 12</t>
  </si>
  <si>
    <t>NGUYỄN NGỌC TUỆ NHI</t>
  </si>
  <si>
    <t>079324006070</t>
  </si>
  <si>
    <t>Trung Tin THAI</t>
  </si>
  <si>
    <t>064201004428</t>
  </si>
  <si>
    <t>18/74 Nguyễn Đức Thuận, Phường Tân Bình, Thành phố Hồ Chí Minh</t>
  </si>
  <si>
    <t>TRẦN THỊ KIM THUỶ</t>
  </si>
  <si>
    <t>079198004873</t>
  </si>
  <si>
    <t>Nhat DANG MINH</t>
  </si>
  <si>
    <t>048203001699</t>
  </si>
  <si>
    <t>Tổ 131, Phường Ngũ Hành Sơn, Thành phố Đà Nẵng</t>
  </si>
  <si>
    <t>TWN075</t>
  </si>
  <si>
    <t>LƯƠNG THỊ LƯU</t>
  </si>
  <si>
    <t>040193036578</t>
  </si>
  <si>
    <t>Gia đình NGUYỄN HUY HOÀNG</t>
  </si>
  <si>
    <t>Kim Nha DAO</t>
  </si>
  <si>
    <t>079300041083</t>
  </si>
  <si>
    <t>16/94/4 Nguyễn Thiện Thuật, Phường Bàn Cờ, Hồ Chí Minh</t>
  </si>
  <si>
    <t>NGUYỄN HUY HOÀNG</t>
  </si>
  <si>
    <t>0975193219</t>
  </si>
  <si>
    <t>008193007229</t>
  </si>
  <si>
    <t>NGUYEN Duc Quy</t>
  </si>
  <si>
    <t>TDP Hạp phú, thị trấn Tô Hạp, Khánh Sơn - Khánh Hòa</t>
  </si>
  <si>
    <t>NGUYỄN LƯƠNG HOÀNG YẾN</t>
  </si>
  <si>
    <t>086321006062</t>
  </si>
  <si>
    <t>Chien Hao CAO</t>
  </si>
  <si>
    <t>066200009584</t>
  </si>
  <si>
    <t>NGUYEN Thi Minh Phuong</t>
  </si>
  <si>
    <t>TDP 1 Eatling, Cư Jut, Lâm Đồng</t>
  </si>
  <si>
    <t>NGUYỄN LƯƠNG THANH THẢO</t>
  </si>
  <si>
    <t>086324001119</t>
  </si>
  <si>
    <t>Do Nhat Minh PHAM</t>
  </si>
  <si>
    <t>079099034668</t>
  </si>
  <si>
    <t>Số 9, Đường 15, Phường Chánh Hưng, TP. Hồ Chí Minh</t>
  </si>
  <si>
    <t>DBL049</t>
  </si>
  <si>
    <t>PHẠM TRUNG KIÊN</t>
  </si>
  <si>
    <t>030098008566</t>
  </si>
  <si>
    <t>0348997157</t>
  </si>
  <si>
    <t>Gia đình PHẠM TRUNG KIÊN</t>
  </si>
  <si>
    <t>Duy Hanh LE</t>
  </si>
  <si>
    <t>079090028751</t>
  </si>
  <si>
    <t>I’ll arrange my own transportation</t>
  </si>
  <si>
    <t>19 Hải Triều, Phường Bến Nghé, Quận 1, Hồ Chí Minh</t>
  </si>
  <si>
    <t>TRẦN DIỆP HUY</t>
  </si>
  <si>
    <t>046098011753</t>
  </si>
  <si>
    <t>Huu Thinh NGUYEN</t>
  </si>
  <si>
    <t>066096004066</t>
  </si>
  <si>
    <t>12 Nguyễn Tuân, Tp Buôn Ma Thuột, Đắk Lắk</t>
  </si>
  <si>
    <t>DBL062</t>
  </si>
  <si>
    <t>ĐẶNG NGỌC KHÁNH LINH</t>
  </si>
  <si>
    <t>079197010801</t>
  </si>
  <si>
    <t>0704954529</t>
  </si>
  <si>
    <t>Thi Quynh Phuong NGUYEN</t>
  </si>
  <si>
    <t>079196001003</t>
  </si>
  <si>
    <t>20/46 Nguyễn Thiện Thuật, Phường 24, Quận Bình Thạnh, Hồ Chí Minh</t>
  </si>
  <si>
    <t>Amaris 13</t>
  </si>
  <si>
    <t>ĐỖ THỊ HUỆ</t>
  </si>
  <si>
    <t>096197008684</t>
  </si>
  <si>
    <t>0971732462</t>
  </si>
  <si>
    <t>Duc Thanh VAN</t>
  </si>
  <si>
    <t>079090038513</t>
  </si>
  <si>
    <t>453 Xô Viết Nghệ Tĩnh, P. Bình Thạnh, tp. Hồ Chí Minh</t>
  </si>
  <si>
    <t>DBL068</t>
  </si>
  <si>
    <t>NGUYỄN ĐỨC QUÝ</t>
  </si>
  <si>
    <t>079093005091</t>
  </si>
  <si>
    <t>0906793262</t>
  </si>
  <si>
    <t>Chung phòng 68 (Bus 4: NGUYỄN ĐỨC QUÝ x Bus 7: NGUYỄN THÁI LY)</t>
  </si>
  <si>
    <t>Duan NGUYEN LE</t>
  </si>
  <si>
    <t>080096010523</t>
  </si>
  <si>
    <t>2385/38 phạm thế hiển Phường 6, Quận 8, TP. Hồ Chí Minh</t>
  </si>
  <si>
    <t>DBL070</t>
  </si>
  <si>
    <t>NGUYỄN THỊ BÍCH DUYÊN</t>
  </si>
  <si>
    <t>087195014821</t>
  </si>
  <si>
    <t>Gia đình TRẦN HUỲNH NHẬT TÂN</t>
  </si>
  <si>
    <t>Hoang Long NGUYEN</t>
  </si>
  <si>
    <t>056098000238</t>
  </si>
  <si>
    <t>Block F, Him Lam Riverside, Đường D1, Phường Tân Hưng, Quận 7, Thành phố Hồ Chí Minh</t>
  </si>
  <si>
    <t>TRẦN HUỲNH NHẬT TÂN</t>
  </si>
  <si>
    <t>064096009158</t>
  </si>
  <si>
    <t>0367776115</t>
  </si>
  <si>
    <t>Tan Hoang - Bi NGUYEN</t>
  </si>
  <si>
    <t>079203011720</t>
  </si>
  <si>
    <t>Chưng cư hoàng anh gia lai 3,Nhà Bè, Thành phố Hồ Chí Minh</t>
  </si>
  <si>
    <t>NGUYỄN THỊ MINH PHƯƠNG</t>
  </si>
  <si>
    <t>0559852579</t>
  </si>
  <si>
    <t>Hai Thien NGUYEN</t>
  </si>
  <si>
    <t>082098003775</t>
  </si>
  <si>
    <t>66/10, Nguyễn Văn Hiếu, Khu Phố 2, Phường Thanh Hòa, Tỉnh Đồng Tháp</t>
  </si>
  <si>
    <t>Không</t>
  </si>
  <si>
    <t>DBL101</t>
  </si>
  <si>
    <t>NGUYỄN BẢO NGỌC</t>
  </si>
  <si>
    <t>080196014207</t>
  </si>
  <si>
    <t>0348592628</t>
  </si>
  <si>
    <t>Chung phòng 101 (Bus 5: LÊ LAN VY x Bus 4: NGUYỄN BẢO NGỌC)</t>
  </si>
  <si>
    <t>Huu Khoi Nguyen PHAM</t>
  </si>
  <si>
    <t>068201006525</t>
  </si>
  <si>
    <t>Số nhà 211/37 đường Hoàng Văn Thụ, Khu phố 1, Phường Phú Nhuận, Thành phố Hồ Chí Minh</t>
  </si>
  <si>
    <t>TWN046</t>
  </si>
  <si>
    <t>NGUYỄN SỸ NGUYÊN NGỌC</t>
  </si>
  <si>
    <t>0899337446</t>
  </si>
  <si>
    <t>Huynh Nhat Tan TRAN</t>
  </si>
  <si>
    <t>A.816, Lầu 9, Chung cư Hòa Bình, Phường 14, Quận 10, TP. Hồ Chí Minh</t>
  </si>
  <si>
    <t>NGUYỄN THÀNH TRUNG</t>
  </si>
  <si>
    <t>0886895676</t>
  </si>
  <si>
    <t>Ngoc Khanh Linh DANG</t>
  </si>
  <si>
    <t>184/12 Đặng Văn Ngữ, Phường 13, Quận Phú Nhuận, tp. Hồ Chí Minh</t>
  </si>
  <si>
    <t>Amaris 14</t>
  </si>
  <si>
    <t>TWN047</t>
  </si>
  <si>
    <t>ĐẶNG HẢI BÌNH</t>
  </si>
  <si>
    <t>0981412159</t>
  </si>
  <si>
    <t>Phuoc Son LE</t>
  </si>
  <si>
    <t>Xóm 1, thôn Hiền Dũng, Vĩnh Hoà, Vĩnh Linh, Quảng Trị</t>
  </si>
  <si>
    <t>PHẠM ANH QUỐC</t>
  </si>
  <si>
    <t>0896116155</t>
  </si>
  <si>
    <t>Thanh Tung LE</t>
  </si>
  <si>
    <t>091095009127</t>
  </si>
  <si>
    <t>1028/12/14 Nguyễn Trung Trực, phường An Hòa, Tp.Rạch Giá, Kiên Giang</t>
  </si>
  <si>
    <t>TWN048</t>
  </si>
  <si>
    <t>ĐẶNG MINH NHẬT</t>
  </si>
  <si>
    <t>0905054228</t>
  </si>
  <si>
    <t>Vu Duy DINH</t>
  </si>
  <si>
    <t>068087004573</t>
  </si>
  <si>
    <t>15 Phạm Thế Hiển, Dran, Đơn Dương, Lâm Đồng</t>
  </si>
  <si>
    <t>THÁI TRUNG TÍN</t>
  </si>
  <si>
    <t>0337399029</t>
  </si>
  <si>
    <t>Tung Lam NGO</t>
  </si>
  <si>
    <t>001203015512</t>
  </si>
  <si>
    <t>M4-04 Vinhomes Grand Park, phường Long Bình, Thủ Đức, Hồ Chí Minh</t>
  </si>
  <si>
    <t>TWN050</t>
  </si>
  <si>
    <t>CAO CHIẾN HÀO</t>
  </si>
  <si>
    <t>0764290520</t>
  </si>
  <si>
    <t>Chi Tam NGUYEN LE</t>
  </si>
  <si>
    <t>40/1 Hồ Văn Long Khu Phố 10, Phường Long An, tỉnh Tây Ninh</t>
  </si>
  <si>
    <t>PHẠM ĐỖ NHẬT MINH</t>
  </si>
  <si>
    <t>0906659850</t>
  </si>
  <si>
    <t>Trần Quỳnh Anh</t>
  </si>
  <si>
    <t>8 Ngõ 33 D4 TT DKĐX, Đồng Nhân, Hai Bà Trưng, Hà Nội</t>
  </si>
  <si>
    <t>TWN052</t>
  </si>
  <si>
    <t>NGUYỄN LÊ DUẨN</t>
  </si>
  <si>
    <t>0966441600</t>
  </si>
  <si>
    <t>TRUONG Van Sang</t>
  </si>
  <si>
    <t>066098009860</t>
  </si>
  <si>
    <t>497/24 Phan Văn Trị,Gò Vấp, Hồ Chí Minh</t>
  </si>
  <si>
    <t>VĂN ĐỨC THANH</t>
  </si>
  <si>
    <t>0356154210</t>
  </si>
  <si>
    <t>NGUYEN Bao Ngoc</t>
  </si>
  <si>
    <t>Ấp Long Bình, xã Mỹ Yên, tỉnh Tây Ninh</t>
  </si>
  <si>
    <t>TWN053</t>
  </si>
  <si>
    <t>NGUYỄN HOÀNG LONG</t>
  </si>
  <si>
    <t>0392707949</t>
  </si>
  <si>
    <t>Trung Kien PHAM</t>
  </si>
  <si>
    <t>Chung cư An Phú Đông, đường Vườn Lài, quận 12, Hồ Chí Minh</t>
  </si>
  <si>
    <t>Amaris 15</t>
  </si>
  <si>
    <t>0938080935</t>
  </si>
  <si>
    <t>thaihien.luong@amaris.com</t>
  </si>
  <si>
    <t>Thai Hien LUONG</t>
  </si>
  <si>
    <t>048087005724</t>
  </si>
  <si>
    <t>TWN054</t>
  </si>
  <si>
    <t>VÕ VĂN KẾT</t>
  </si>
  <si>
    <t>051091012099</t>
  </si>
  <si>
    <t>0902898110</t>
  </si>
  <si>
    <t>ket.vovan@amaris.com</t>
  </si>
  <si>
    <t>Van Ket VO</t>
  </si>
  <si>
    <t>Đức Phong, Mộ Đức, Quảng Ngãi</t>
  </si>
  <si>
    <t>TWN055</t>
  </si>
  <si>
    <t>PHẠM HỮU KHÔI NGUYÊN</t>
  </si>
  <si>
    <t>0908725648</t>
  </si>
  <si>
    <t>Chung phòng 55 (Bus 4: PHẠM HỮU KHÔI NGUYÊN x Tự di chuyển: LÊ CHÂU SỶ ĐẠT)</t>
  </si>
  <si>
    <t>Vu Phuong NGUYEN</t>
  </si>
  <si>
    <t>086096004777</t>
  </si>
  <si>
    <t>Xã Quới An, huyện Vũng Liêm, tỉnh Vĩnh Long</t>
  </si>
  <si>
    <t>TWN056</t>
  </si>
  <si>
    <t>NGUYỄN HẢI THIÊN</t>
  </si>
  <si>
    <t>0385094422</t>
  </si>
  <si>
    <t>Duc Quy NGUYEN</t>
  </si>
  <si>
    <t>58 đường số 9, phường Trường Thọ, Thành phố Thủ Đức, Thành phố Hồ Chí Minh</t>
  </si>
  <si>
    <t>NGUYỄN VỦ PHƯƠNG</t>
  </si>
  <si>
    <t>0705731919</t>
  </si>
  <si>
    <t>sxia@mantu.com</t>
  </si>
  <si>
    <t>Shuang XIA</t>
  </si>
  <si>
    <t>EF5959536</t>
  </si>
  <si>
    <t>Trinh-Vu Léa - Female - 02/05/2022</t>
  </si>
  <si>
    <t>TWN057</t>
  </si>
  <si>
    <t>LÊ THANH TÙNG</t>
  </si>
  <si>
    <t>0988438042</t>
  </si>
  <si>
    <t>Lan Vy LE</t>
  </si>
  <si>
    <t>051198007784</t>
  </si>
  <si>
    <t>Administrative &amp; Finance</t>
  </si>
  <si>
    <t>Financial Business Controlling</t>
  </si>
  <si>
    <t>ALSHABANI Anas</t>
  </si>
  <si>
    <t>Quảng Phú, Tp. Quảng Ngãi, tỉnh Quảng Ngãi</t>
  </si>
  <si>
    <t>Performance &amp; Recruitment</t>
  </si>
  <si>
    <t xml:space="preserve">TRỊNH XUÂN THƯƠNG </t>
  </si>
  <si>
    <t>0973718347</t>
  </si>
  <si>
    <t>Hoang Mai Quyen PHAM</t>
  </si>
  <si>
    <t>079304008486</t>
  </si>
  <si>
    <t>BUI Quang Hung</t>
  </si>
  <si>
    <t>259/4 Nguyễn Tri Phương, Phường Diên Hồng, Thành phố Hồ Chí Minh</t>
  </si>
  <si>
    <t>Finance 1</t>
  </si>
  <si>
    <t>TWN058</t>
  </si>
  <si>
    <t>ĐINH VŨ DUY</t>
  </si>
  <si>
    <t>0938112129</t>
  </si>
  <si>
    <t>Xuan Tung LE</t>
  </si>
  <si>
    <t>054204000568</t>
  </si>
  <si>
    <t>No spicy</t>
  </si>
  <si>
    <t>251 Nguyễn Huệ, Tuy Hòa, Đắk Lắk</t>
  </si>
  <si>
    <t>LÊ NAM KHA</t>
  </si>
  <si>
    <t>0776756952</t>
  </si>
  <si>
    <t>Ho Ngoc Tran NGUYEN</t>
  </si>
  <si>
    <t>077304005352</t>
  </si>
  <si>
    <t>G38, Tổ 8, Ấp Phước Tân, xã Phước Tỉnh, Huyện Long Điền, tỉnh Bà Rịa - Vũng Tàu</t>
  </si>
  <si>
    <t>TWN059</t>
  </si>
  <si>
    <t>NGÔ TÙNG LÂM</t>
  </si>
  <si>
    <t>0397810603</t>
  </si>
  <si>
    <t>Tran Phuong Nga VO</t>
  </si>
  <si>
    <t>066304009657</t>
  </si>
  <si>
    <t>82/2 Mai Hắc Đế, Phường Buôn Ma Thuột, Đắk Lắk</t>
  </si>
  <si>
    <t>TRƯƠNG VĂN SANG</t>
  </si>
  <si>
    <t>0376275238</t>
  </si>
  <si>
    <t>Thi Thanh Thao NGUYEN</t>
  </si>
  <si>
    <t>077304002316</t>
  </si>
  <si>
    <t>183/34 Bình Giã, phường Tam Thắng, TP. Hồ Chí Minh</t>
  </si>
  <si>
    <t>TWN069</t>
  </si>
  <si>
    <t>NGUYỄN THỊ KHÁNH</t>
  </si>
  <si>
    <t>082196012509</t>
  </si>
  <si>
    <t>0793830996</t>
  </si>
  <si>
    <t>Chung phòng 69 (Bus 4: NGUYỄN THỊ KHÁNH x Bus 8: TRẦN THỊ MINH PHƯƠNG)</t>
  </si>
  <si>
    <t>Thi Tu Quyen LE</t>
  </si>
  <si>
    <t>060303003328</t>
  </si>
  <si>
    <t>I’m allergic to beef</t>
  </si>
  <si>
    <t>146 Trần Quang Diệu, Tổ 2, Khu Phố 1, Phường Hàm Thắng, Tỉnh Lâm Đồng</t>
  </si>
  <si>
    <t>ĐÀO KIM NHÃ</t>
  </si>
  <si>
    <t>0778605436</t>
  </si>
  <si>
    <t>Dang Quang LE</t>
  </si>
  <si>
    <t>060099008043</t>
  </si>
  <si>
    <t>Group &amp; Corporate Controlling</t>
  </si>
  <si>
    <t>BUI Thi Ngoc Minh</t>
  </si>
  <si>
    <t>377/9/39 Lê Quang Định, thành phố Hồ Chí Minh</t>
  </si>
  <si>
    <t>TWN091</t>
  </si>
  <si>
    <t>LƯƠNG TIẾN THUẬN HẢI</t>
  </si>
  <si>
    <t>060200001473</t>
  </si>
  <si>
    <t>0327629830</t>
  </si>
  <si>
    <t>Quynh Mai NGUYEN</t>
  </si>
  <si>
    <t>079302030108</t>
  </si>
  <si>
    <t>23/15 đường 27, phường Hiệp Bình Chánh, Thành phố Thủ Đức, Hồ Chí Minh</t>
  </si>
  <si>
    <t>PHẠM NGUYỄN ĐỨC HUY</t>
  </si>
  <si>
    <t>056202000056</t>
  </si>
  <si>
    <t>0908617538</t>
  </si>
  <si>
    <t>Thi Phuong Thao TRUONG</t>
  </si>
  <si>
    <t>034300013120</t>
  </si>
  <si>
    <t>04/8, Kp5, tân Thới Nhât, Q.12, TP. Hồ Chí Minh</t>
  </si>
  <si>
    <t>DBL094</t>
  </si>
  <si>
    <t>NGUYỄN CHÂU GIANG</t>
  </si>
  <si>
    <t>079302023454</t>
  </si>
  <si>
    <t>0902912836</t>
  </si>
  <si>
    <t>Minh Nhat BUI</t>
  </si>
  <si>
    <t>079202030875</t>
  </si>
  <si>
    <t>684/38 Trần Hưng Đạo, Khu phố 16, Phường Chợ Quán, Thành phố Hồ Chí Minh</t>
  </si>
  <si>
    <t>Finance 2</t>
  </si>
  <si>
    <t>TRỊNH LÊ THẢO UYÊN</t>
  </si>
  <si>
    <t>095304000809</t>
  </si>
  <si>
    <t>0941219254</t>
  </si>
  <si>
    <t>077097003655</t>
  </si>
  <si>
    <t>CATEL Agnès</t>
  </si>
  <si>
    <t>1182 Đường 30/4 phường 12, TP. Vũng Tàu, Bà Rịa-Vũng Tàu</t>
  </si>
  <si>
    <t>DBL095</t>
  </si>
  <si>
    <t>HOÀNG LÂM TÂM NHƯ</t>
  </si>
  <si>
    <t>066303001193</t>
  </si>
  <si>
    <t>0971993024</t>
  </si>
  <si>
    <t>Tran Phuong Phuong NGUYEN</t>
  </si>
  <si>
    <t>077198000661</t>
  </si>
  <si>
    <t>CHECROUN Juliette</t>
  </si>
  <si>
    <t>13 Hoàng Văn Thụ, Phường 7, Thành phố Vũng Tàu, Bà Rịa - Vũng Tàu</t>
  </si>
  <si>
    <t>Tự đến, về chung</t>
  </si>
  <si>
    <t>LƯƠNG THỊ TRÂM ANH</t>
  </si>
  <si>
    <t>066304003315</t>
  </si>
  <si>
    <t>0345814997</t>
  </si>
  <si>
    <t>Geoffrey DUTERTRE</t>
  </si>
  <si>
    <t>25HD56242</t>
  </si>
  <si>
    <t>Operational Finance</t>
  </si>
  <si>
    <t>DE LACOMBE Romain</t>
  </si>
  <si>
    <t>39 Đ. Lê Văn Miến, Quận 2, Thành phố Hồ Chí Minh</t>
  </si>
  <si>
    <t>DBL096</t>
  </si>
  <si>
    <t>LÊ THỊ TÚ QUYÊN</t>
  </si>
  <si>
    <t>0947047885</t>
  </si>
  <si>
    <t>Hoang Phuc PHAM</t>
  </si>
  <si>
    <t>079086003000</t>
  </si>
  <si>
    <t>Finance Operations</t>
  </si>
  <si>
    <t>382/22 Điện Biên Phủ, P11, Q10, TP. Hồ Chí Minh</t>
  </si>
  <si>
    <t>NGUYỄN HÀ NHI</t>
  </si>
  <si>
    <t>048198002437</t>
  </si>
  <si>
    <t>0335767961</t>
  </si>
  <si>
    <t>Ha Nhi NGUYEN</t>
  </si>
  <si>
    <t>DUTERTRE Geoffrey</t>
  </si>
  <si>
    <t>141 Thanh Long, phường Hải Châu, TP Đà Nẵng</t>
  </si>
  <si>
    <t>DBL097</t>
  </si>
  <si>
    <t>NGUYỄN THỊ THANH THẢO</t>
  </si>
  <si>
    <t>0971917272</t>
  </si>
  <si>
    <t>Tue Quan DIEP</t>
  </si>
  <si>
    <t>079199001035</t>
  </si>
  <si>
    <t>HERNANDEZ Laurine</t>
  </si>
  <si>
    <t>742 Nguyễn Chí Thanh, phường 4, quận 11, Hồ Chí Minh</t>
  </si>
  <si>
    <t>VÕ TRẦN PHƯƠNG NGA</t>
  </si>
  <si>
    <t>0917810796</t>
  </si>
  <si>
    <t>Ngoc Khanh LE</t>
  </si>
  <si>
    <t>031303000776</t>
  </si>
  <si>
    <t>NGUYEN The Anh</t>
  </si>
  <si>
    <t>Số 2/34 Tản Viên, Phường Thượng Lý, Quận Hồng Bàng, Thành phố Hải Phòng</t>
  </si>
  <si>
    <t>DBL098</t>
  </si>
  <si>
    <t>NGUYỄN HỒ NGỌC TRÂN</t>
  </si>
  <si>
    <t>0917827457</t>
  </si>
  <si>
    <t>Hoang Thanh Thanh NGUYEN</t>
  </si>
  <si>
    <t>045302005235</t>
  </si>
  <si>
    <t>IT &amp; AMARIS</t>
  </si>
  <si>
    <t>PHẠM HOÀNG MAI QUYÊN</t>
  </si>
  <si>
    <t>0933557924</t>
  </si>
  <si>
    <t>Yen Xuan HONG</t>
  </si>
  <si>
    <t>095190000250</t>
  </si>
  <si>
    <t>Real Estate and Support Services</t>
  </si>
  <si>
    <t>Office Facillity Management</t>
  </si>
  <si>
    <t>4 Lô B2 chung cư 830 Sư Vạn Hạnh, Phường Hòa Hưng, TP. Hồ Chí Minh</t>
  </si>
  <si>
    <t>LOM &amp; IT</t>
  </si>
  <si>
    <t>DBL099</t>
  </si>
  <si>
    <t>NGUYỄN QUỲNH MAI</t>
  </si>
  <si>
    <t>0868120502</t>
  </si>
  <si>
    <t>Khanh Linh PHAN</t>
  </si>
  <si>
    <t>079198036919</t>
  </si>
  <si>
    <t>food allergy - all types of fish</t>
  </si>
  <si>
    <t>NGUYEN Tran Phuong Phuong</t>
  </si>
  <si>
    <t>TRƯƠNG THỊ PHƯƠNG THẢO</t>
  </si>
  <si>
    <t>0986555347</t>
  </si>
  <si>
    <t>Huu Phuc - Tony TRAN</t>
  </si>
  <si>
    <t>079096020132</t>
  </si>
  <si>
    <t>Group Accounting</t>
  </si>
  <si>
    <t>NGUYEN Vu Phuong Uyen</t>
  </si>
  <si>
    <t>353/6 Nguyễn Trọng Tuyển, Phường 1, Quận Tân Bình, Hồ Chí Minh</t>
  </si>
  <si>
    <t>DBL100</t>
  </si>
  <si>
    <t>BÙI THỊ NGỌC MINH</t>
  </si>
  <si>
    <t>079194006686</t>
  </si>
  <si>
    <t>0973239494</t>
  </si>
  <si>
    <t>Thi Tram Anh LUONG</t>
  </si>
  <si>
    <t>21 Phan Chu Trinh, Thôn 4, Xã Krông Năng, Tỉnh Đắk Lắk</t>
  </si>
  <si>
    <t>NGUYỄN VŨ PHƯƠNG UYÊN</t>
  </si>
  <si>
    <t>079195029833</t>
  </si>
  <si>
    <t>0765217394</t>
  </si>
  <si>
    <t>PHAM Hoang Phuc</t>
  </si>
  <si>
    <t>33/17K Nguyễn Công Hoan, Quận Phú Nhuận, TP. Hồ Chí Minh</t>
  </si>
  <si>
    <t>Finance 3</t>
  </si>
  <si>
    <t>LÊ LAN VY</t>
  </si>
  <si>
    <t>0356703207</t>
  </si>
  <si>
    <t>Ngoc Phuong Uyen TRAN</t>
  </si>
  <si>
    <t>060303007588</t>
  </si>
  <si>
    <t>PHAN Thi Ha Trang</t>
  </si>
  <si>
    <t>Tổ 4, khu phố Lâm Giáo, thị trấn Ma Lâm, huyện Hàm Thuận Bắc, tỉnh Bình Thuận</t>
  </si>
  <si>
    <t>DBL102</t>
  </si>
  <si>
    <t>LÂM BẢO QUYÊN</t>
  </si>
  <si>
    <t>052303001134</t>
  </si>
  <si>
    <t>0394301209</t>
  </si>
  <si>
    <t>Chau Giang NGUYEN</t>
  </si>
  <si>
    <t>6/4 Lê Thúc Hoạch, phường Phú Thọ Hòa, Thành phố Hồ Chí Minh</t>
  </si>
  <si>
    <t>VÕ ĐÌNH QUẾ CHÂU</t>
  </si>
  <si>
    <t>079303023390</t>
  </si>
  <si>
    <t>0828740008</t>
  </si>
  <si>
    <t>Dinh Que Chau VO</t>
  </si>
  <si>
    <t>RAVAIOLI Filippo</t>
  </si>
  <si>
    <t>40/9/1 Tân Thành, phường Tân Thành, quận Tân Phú, thành phố Hồ Chí Minh</t>
  </si>
  <si>
    <t>DBL103</t>
  </si>
  <si>
    <t>LÊ NGỌC KHÁNH</t>
  </si>
  <si>
    <t>0393991003</t>
  </si>
  <si>
    <t>Lam Tam Nhu HOANG</t>
  </si>
  <si>
    <t>151/4/ Lê Hồng Phong, Tân Tiến, Buôn Ma Thuột, Đắk Lắk</t>
  </si>
  <si>
    <t>TRẦN NGỌC PHƯƠNG UYÊN</t>
  </si>
  <si>
    <t>0835255477</t>
  </si>
  <si>
    <t>Uyen TRINH LE THAO</t>
  </si>
  <si>
    <t>161 Đường Phan Đình Giót, Thành phố Bạc Liêu, Tỉnh Cà Mau</t>
  </si>
  <si>
    <t>DBL104</t>
  </si>
  <si>
    <t>NGUYỄN TRẦN PHƯƠNG PHƯƠNG</t>
  </si>
  <si>
    <t>0933655795</t>
  </si>
  <si>
    <t>Chung phòng 104 (Bus 5: NGUYỄN TRẦN PHƯƠNG PHƯƠNG x Bus 8: TRẦN THỊ ANH MINH) + Tự đến, về chung</t>
  </si>
  <si>
    <t>The Anh NGUYEN</t>
  </si>
  <si>
    <t>070093006594</t>
  </si>
  <si>
    <t>SEMERADT Corinne</t>
  </si>
  <si>
    <t>Quảng Phát, Quảng Tiến, Trảng Bom, Đồng Nai</t>
  </si>
  <si>
    <t>DBL105</t>
  </si>
  <si>
    <t>DIỆP TUỆ QUÂN</t>
  </si>
  <si>
    <t>0906982803</t>
  </si>
  <si>
    <t>Gia đình DIỆP TUỆ QUÂN</t>
  </si>
  <si>
    <t>Bao Quyen LAM</t>
  </si>
  <si>
    <t>VO Xuan Hung</t>
  </si>
  <si>
    <t>163/3 Trần Hưng Đạo, Thành phố Quy Nhơn, Bình Định</t>
  </si>
  <si>
    <t>NGUYỄN THẾ ANH</t>
  </si>
  <si>
    <t>040200000125</t>
  </si>
  <si>
    <t>Quang Hung BUI</t>
  </si>
  <si>
    <t>074092001617</t>
  </si>
  <si>
    <t>XIA Shuang</t>
  </si>
  <si>
    <t>Phường Hiệp Thành, Thành phố Thủ Dầu Một, tỉnh Bình Dương</t>
  </si>
  <si>
    <t>DBL146</t>
  </si>
  <si>
    <t>NGUYỄN HOÀNG THANH THANH</t>
  </si>
  <si>
    <t>0824988225</t>
  </si>
  <si>
    <t>Guillaume DUQUESNAY</t>
  </si>
  <si>
    <t>23FV09763</t>
  </si>
  <si>
    <t>Any quality whisky (or wine) will do</t>
  </si>
  <si>
    <t>Information Technology</t>
  </si>
  <si>
    <t>Engineering &amp; Architecture</t>
  </si>
  <si>
    <t>BUZZACARO Alain</t>
  </si>
  <si>
    <t>285 Cách Mạng Tháng Tám, Phường Hòa Hưng, Hồ Chí Minh</t>
  </si>
  <si>
    <t>IT 1</t>
  </si>
  <si>
    <t>PHAN KHÁNH LINH</t>
  </si>
  <si>
    <t>0903376980</t>
  </si>
  <si>
    <t>Ngoc Hoa HUYNH</t>
  </si>
  <si>
    <t>079301029723</t>
  </si>
  <si>
    <t>Quality Control</t>
  </si>
  <si>
    <t>DUQUESNAY Guillaume</t>
  </si>
  <si>
    <t>236/11 Hòa Hảo, P02, Quận 10, TP. Hồ Chí Minh</t>
  </si>
  <si>
    <t>TWN106</t>
  </si>
  <si>
    <t>LÊ ĐĂNG QUANG</t>
  </si>
  <si>
    <t>0933726329</t>
  </si>
  <si>
    <t>Van Cop HUYNH</t>
  </si>
  <si>
    <t>091086018626</t>
  </si>
  <si>
    <t>Software Engineering</t>
  </si>
  <si>
    <t>Hiệp Hòa, Vĩnh Bình Bắc, Vĩnh Thuận, tỉnh Kiên Giang</t>
  </si>
  <si>
    <t>0909321830</t>
  </si>
  <si>
    <t>Hoang Minh NGUYEN</t>
  </si>
  <si>
    <t>079095017425</t>
  </si>
  <si>
    <t>34/9A Mai Hắc Đế, Phường Phú Định, TP. Hồ Chí Minh</t>
  </si>
  <si>
    <t>TWN107</t>
  </si>
  <si>
    <t>NGUYỄN TRUNG KIÊN</t>
  </si>
  <si>
    <t>Thi Ha Trang NGUYEN</t>
  </si>
  <si>
    <t>040302018133</t>
  </si>
  <si>
    <t>I have plans after the next two days, so I’ll arrange my own travel back to HCM.</t>
  </si>
  <si>
    <t>Agile Center</t>
  </si>
  <si>
    <t>HUYNH Anh Tam</t>
  </si>
  <si>
    <t>80 Phạm Huy, phường Nghi Thủy, thành phố Vinh, tỉnh Nghệ An</t>
  </si>
  <si>
    <t>Đi chung, tự về</t>
  </si>
  <si>
    <t>TRẦN HỮU PHÚC</t>
  </si>
  <si>
    <t>0917923778</t>
  </si>
  <si>
    <t>Thanh Huong HA</t>
  </si>
  <si>
    <t>079196031161</t>
  </si>
  <si>
    <t>40 Tạ Uyên, Phường 15, Quận 5, TP. Hồ Chí Minh</t>
  </si>
  <si>
    <t>TWN108</t>
  </si>
  <si>
    <t>BÙI QUANG HÙNG</t>
  </si>
  <si>
    <t>0944234096</t>
  </si>
  <si>
    <t>Hai Nam NGUYEN</t>
  </si>
  <si>
    <t>079203014457</t>
  </si>
  <si>
    <t>88/1K Phan Sào Nam, Phường 11, Tân Bình, TP. Hồ Chí Minh</t>
  </si>
  <si>
    <t>PHẠM HOÀNG PHÚC</t>
  </si>
  <si>
    <t>0903177922</t>
  </si>
  <si>
    <t>Trung Thong HOANG</t>
  </si>
  <si>
    <t>066201002422</t>
  </si>
  <si>
    <t>HUYNH Van Cop</t>
  </si>
  <si>
    <t>thôn 8, Cư Dliê M'nông, Cư M'gar, tỉnh Đắk Lắk</t>
  </si>
  <si>
    <t>TWN109</t>
  </si>
  <si>
    <t>BÙI MINH NHẬT</t>
  </si>
  <si>
    <t>0902788713</t>
  </si>
  <si>
    <t>Dai Che Phuong TAI</t>
  </si>
  <si>
    <t>080087011699</t>
  </si>
  <si>
    <t>3/4 Huỳnh Châu Sở, kp4, Bến Lức, LONG AN</t>
  </si>
  <si>
    <t xml:space="preserve">LÊ XUÂN TÙNG </t>
  </si>
  <si>
    <t>0377887851</t>
  </si>
  <si>
    <t>Phu Qui CHAU</t>
  </si>
  <si>
    <t>079087017793</t>
  </si>
  <si>
    <t>124/35/23 Xô Viết Nghệ Tĩnh, P.21, Q. Bình Thạnh, TP. Hồ Chí Minh</t>
  </si>
  <si>
    <t>DBL112</t>
  </si>
  <si>
    <t>GUIGUEN CLEMENT DIDIER</t>
  </si>
  <si>
    <t>17EH77400</t>
  </si>
  <si>
    <t>+33679194344</t>
  </si>
  <si>
    <t>Người nước ngoài</t>
  </si>
  <si>
    <t>Nhat Minh TRAN</t>
  </si>
  <si>
    <t>079302019473</t>
  </si>
  <si>
    <t>E10/291F Ấp 15, xã Đa Phước, huyện Bình Chánh, TP. Hồ Chí Minh</t>
  </si>
  <si>
    <t>LIM CHEE KIAT</t>
  </si>
  <si>
    <t>079097016581</t>
  </si>
  <si>
    <t>0942229030</t>
  </si>
  <si>
    <t>Ngoc Huy LE</t>
  </si>
  <si>
    <t xml:space="preserve">051095009095 </t>
  </si>
  <si>
    <t>Bình Hải, Bình Sơn, Quảng Ngãi</t>
  </si>
  <si>
    <t>DBL126</t>
  </si>
  <si>
    <t>HUỲNH DIỄM THIÊN NGA</t>
  </si>
  <si>
    <t>079301028966</t>
  </si>
  <si>
    <t>0763889811</t>
  </si>
  <si>
    <t>Truong Thi NGUYEN</t>
  </si>
  <si>
    <t>079078022487</t>
  </si>
  <si>
    <t>99 đường 2,,KP 66, P. Tăng Nhơn Phú, Tp Thủ Đức, Tp HCM</t>
  </si>
  <si>
    <t>NGUYỄN HÒAI NHƯ Ý</t>
  </si>
  <si>
    <t>079195004762</t>
  </si>
  <si>
    <t>0945686674</t>
  </si>
  <si>
    <t>Khac Duy NGUYEN</t>
  </si>
  <si>
    <t>083096004407</t>
  </si>
  <si>
    <t>167/6B Lê Văn Lương, Khu phố 3, Phường Tân Hưng, TP. Hồ Chí Minh</t>
  </si>
  <si>
    <t>DBL127</t>
  </si>
  <si>
    <t>HỒ THỊ LÀNH</t>
  </si>
  <si>
    <t>089192001289</t>
  </si>
  <si>
    <t>0933595559</t>
  </si>
  <si>
    <t>Dị ứng tôm</t>
  </si>
  <si>
    <t>Hoang Duy NGUYEN</t>
  </si>
  <si>
    <t>079087016493</t>
  </si>
  <si>
    <t>455 Vườn Lài, Phú Thọ Hòa, TP. Hồ Chí Minh</t>
  </si>
  <si>
    <t>LÊ THÙY PHƯƠNG</t>
  </si>
  <si>
    <t>038301000546</t>
  </si>
  <si>
    <t>0376622565</t>
  </si>
  <si>
    <t>Tuan Anh NGUYEN</t>
  </si>
  <si>
    <t>082089018141</t>
  </si>
  <si>
    <t>IVAN Alex Constantin</t>
  </si>
  <si>
    <t>Xã Lới, Tân Trung, Gò Công Đông, Tiền Giang</t>
  </si>
  <si>
    <t>DBL128</t>
  </si>
  <si>
    <t>NGÔ TRỊNH QUỲNH NHƯ</t>
  </si>
  <si>
    <t>079188037007</t>
  </si>
  <si>
    <t>Chung phòng 128 (Bus 6: NGÔ TRỊNH QUỲNH NHƯ x Bus 8: LIN CLEMENCE)</t>
  </si>
  <si>
    <t>Dinh Van LE</t>
  </si>
  <si>
    <t>079096007068</t>
  </si>
  <si>
    <t>339/35 Đường Lê Văn Sỹ, Phường 13, Quận 3, Hồ Chí Minh</t>
  </si>
  <si>
    <t>DBL129</t>
  </si>
  <si>
    <t>NGUYỄN NGỌC THẢO MY</t>
  </si>
  <si>
    <t>079302018741</t>
  </si>
  <si>
    <t>0773215575</t>
  </si>
  <si>
    <t>Ba Nghi HUYNH</t>
  </si>
  <si>
    <t>082098005823</t>
  </si>
  <si>
    <t>129 tổ 5, ấp Lương Ngãi, xã Mỹ Lương, huyện Cái Bè, Tiền Giang</t>
  </si>
  <si>
    <t>TẠ THỊ MỸ HẠNH</t>
  </si>
  <si>
    <t>066303014236</t>
  </si>
  <si>
    <t>0852489626</t>
  </si>
  <si>
    <t>Minh Tuan PHAM</t>
  </si>
  <si>
    <t>075099004545</t>
  </si>
  <si>
    <t>please have low fat, low cholesterol, easy to chew food
I want to be fit and have a nice body :)</t>
  </si>
  <si>
    <t>LIM Chee Kiat</t>
  </si>
  <si>
    <t>1464/5, khu phố 3, phường Tân Triều, tỉnh Đồng Nai</t>
  </si>
  <si>
    <t>DBL130</t>
  </si>
  <si>
    <t>HÀ THANH HƯƠNG</t>
  </si>
  <si>
    <t>0707205096</t>
  </si>
  <si>
    <t>Thai Hung TRAN</t>
  </si>
  <si>
    <t>066087005950</t>
  </si>
  <si>
    <t>Software Architecture</t>
  </si>
  <si>
    <t>MATYSIAK Hervé</t>
  </si>
  <si>
    <t>307/1 Đường K Thôn 3, Xã Cưebur TP Buôn Ma Thuột, Đắk Lắk</t>
  </si>
  <si>
    <t>IT 3</t>
  </si>
  <si>
    <t>TRẦN NHẬT MINH</t>
  </si>
  <si>
    <t>0918597387</t>
  </si>
  <si>
    <t>Thi My Hanh TA</t>
  </si>
  <si>
    <t>NGUYEN Anh Tuan - Richard</t>
  </si>
  <si>
    <t>Thôn 5, Xã Ea Súp, tỉnh Đắk Lắk</t>
  </si>
  <si>
    <t>IT 2</t>
  </si>
  <si>
    <t>DBL131</t>
  </si>
  <si>
    <t>HUỲNH NGỌC HOA</t>
  </si>
  <si>
    <t>0908488723</t>
  </si>
  <si>
    <t>Thanh Hoang NGUYEN</t>
  </si>
  <si>
    <t>079088031980</t>
  </si>
  <si>
    <t>I need a private room</t>
  </si>
  <si>
    <t>766/16/23/19 CMT8, Phường 5, Quận Tân Bình, Hồ Chí Minh</t>
  </si>
  <si>
    <t>NGUYỄN THỊ HÀ TRANG</t>
  </si>
  <si>
    <t>0826900204</t>
  </si>
  <si>
    <t>Anh Quan PHAN</t>
  </si>
  <si>
    <t>045201007690</t>
  </si>
  <si>
    <t>PHAM Bao Chung</t>
  </si>
  <si>
    <t>Thôn Tây Tân An, Hải An, Hải Lăng, Quảng Trị</t>
  </si>
  <si>
    <t>DBL132</t>
  </si>
  <si>
    <t>ĐINH TIẾN KHỞI</t>
  </si>
  <si>
    <t>067202006321</t>
  </si>
  <si>
    <t>0867455918</t>
  </si>
  <si>
    <t>Cuong BUI</t>
  </si>
  <si>
    <t>066203000250</t>
  </si>
  <si>
    <t>263/13 Đường Số 6, Phường 1, Gò Vấp, Hồ Chí Minh</t>
  </si>
  <si>
    <t>PHẠM NGUYỄN TRỌNG TUẤN</t>
  </si>
  <si>
    <t>049203006602</t>
  </si>
  <si>
    <t>0367304351</t>
  </si>
  <si>
    <t>Duy Phuong NGUYEN</t>
  </si>
  <si>
    <t>080094006419</t>
  </si>
  <si>
    <t>9A Thạnh Xuân 13, Thạnh Xuân, Quận 12, Thành phố Hồ Chí Minh</t>
  </si>
  <si>
    <t>DBL133</t>
  </si>
  <si>
    <t>HOÀNG PHÚ LỘC</t>
  </si>
  <si>
    <t>001203053053</t>
  </si>
  <si>
    <t>0853355397</t>
  </si>
  <si>
    <t>Ngoc Thao My NGUYEN</t>
  </si>
  <si>
    <t>motion sickness medicine</t>
  </si>
  <si>
    <t>838, Lê Đức Thọ, Phường An Hội Đông, thành phố Hồ Chí Minh</t>
  </si>
  <si>
    <t>NGUYỄN DUY PHƯƠNG</t>
  </si>
  <si>
    <t>0979891673</t>
  </si>
  <si>
    <t>Phu Loc HOANG</t>
  </si>
  <si>
    <t>150/7 Phạm Văn Bạch, Phường Tân Sơn, TP. Hồ Chí Minh</t>
  </si>
  <si>
    <t>DBL134</t>
  </si>
  <si>
    <t>BÙI CƯỜNG</t>
  </si>
  <si>
    <t>0914119624</t>
  </si>
  <si>
    <t>Nguyen Trong Tuan PHAM</t>
  </si>
  <si>
    <t>PHAN Anh Dung Cuong</t>
  </si>
  <si>
    <t>Xã Nam Phước, Thành phố Đà Nẵng</t>
  </si>
  <si>
    <t>PHAN ANH QUÂN</t>
  </si>
  <si>
    <t>0973743542</t>
  </si>
  <si>
    <t>Tien Khoi DINH</t>
  </si>
  <si>
    <t>thôn 9, xã Đăk Wil, huyện Cư Jut, tỉnh Đăk Nông</t>
  </si>
  <si>
    <t>DBL135</t>
  </si>
  <si>
    <t>PHẠM MINH TUẤN</t>
  </si>
  <si>
    <t>0792909998</t>
  </si>
  <si>
    <t>Chung phòng 135 (Bus 6: PHẠM MINH TUẤN x Tự di chuyển: NGÔ HOÀNG VŨ)</t>
  </si>
  <si>
    <t>Thi Lanh HO</t>
  </si>
  <si>
    <t>Food allergies: shrimps</t>
  </si>
  <si>
    <t>RAHMANI Rihab</t>
  </si>
  <si>
    <t>Đường số 19, phường Hiệp Bình Chánh, Thủ Đức, Hồ Chí Minh</t>
  </si>
  <si>
    <t>DBL136</t>
  </si>
  <si>
    <t>LÊ ĐÌNH VĂN</t>
  </si>
  <si>
    <t>0328971812</t>
  </si>
  <si>
    <t>Chung phòng 136 (Bus 6: LÊ ĐÌNH VĂN x Tự di chuyển: HUỲNH BÁ NGHI)</t>
  </si>
  <si>
    <t>Trinh Quynh Nhu NGO</t>
  </si>
  <si>
    <t>Product Management</t>
  </si>
  <si>
    <t>77/52 Đường Số 4, phường 12, quận Tân Bình, Thành Phố Hồ Chí Minh</t>
  </si>
  <si>
    <t>DBL137</t>
  </si>
  <si>
    <t>NGUYỄN TUẤN ANH</t>
  </si>
  <si>
    <t>0909857832</t>
  </si>
  <si>
    <t>Clémence LIN</t>
  </si>
  <si>
    <t>24HC90633</t>
  </si>
  <si>
    <t>Xếp chung phòng với Ruby</t>
  </si>
  <si>
    <t>Presales</t>
  </si>
  <si>
    <t>CAMARET Arthur</t>
  </si>
  <si>
    <t>23 Allee des Chevaux-Ru, Chatou, Pháp</t>
  </si>
  <si>
    <t>TÀI ĐẠI CHẾ PHƯƠNG</t>
  </si>
  <si>
    <t>0352176769</t>
  </si>
  <si>
    <t>kpham@mantu.com</t>
  </si>
  <si>
    <t>Khanh PHAM</t>
  </si>
  <si>
    <t>079098030469</t>
  </si>
  <si>
    <t>DBL138</t>
  </si>
  <si>
    <t>HUỲNH VĂN CỌP</t>
  </si>
  <si>
    <t>0935717578</t>
  </si>
  <si>
    <t>Chung phòng 138 (Bus 6: HUỲNH VĂN CỌP x Bus 8: DUQUESNAY GUILLAUME MARCEL CLAUDE)</t>
  </si>
  <si>
    <t>Thi Khanh NGUYEN</t>
  </si>
  <si>
    <t>Ấp Mỹ Hưng C, Mỹ Đức Đông, Cái Bè, Tiền Giang</t>
  </si>
  <si>
    <t>DBL139</t>
  </si>
  <si>
    <t>NGUYỄN HẢI NAM</t>
  </si>
  <si>
    <t>0968080085</t>
  </si>
  <si>
    <t>048097003639</t>
  </si>
  <si>
    <t>393/30 Trần Hưng Đạ, phường Cầu Kho, quận 1, Hồ Chí Minh</t>
  </si>
  <si>
    <t>NGUYỄN HOÀNG DUY</t>
  </si>
  <si>
    <t>0362685720</t>
  </si>
  <si>
    <t>Thi Hue DO</t>
  </si>
  <si>
    <t>237 đội 4, thôn 9, Thống Nhất, Bù Đăng, Bình Phước</t>
  </si>
  <si>
    <t>DBL140</t>
  </si>
  <si>
    <t>HOÀNG TRUNG THÔNG</t>
  </si>
  <si>
    <t>0372015192</t>
  </si>
  <si>
    <t>Tien Huynh NGUYEN</t>
  </si>
  <si>
    <t>067094005805</t>
  </si>
  <si>
    <t>64 Thôn Thổ Hoàng 2, Đắk Sak - Đắk Mil - Đắk Nông</t>
  </si>
  <si>
    <t>LÊ NGỌC HUY</t>
  </si>
  <si>
    <t>0985752395</t>
  </si>
  <si>
    <t>Tran Thuy Linh LU</t>
  </si>
  <si>
    <t>079198003401</t>
  </si>
  <si>
    <t>61/44/11 TCH35, khu phố 27, phường Trung Mỹ Tây, TPHCM</t>
  </si>
  <si>
    <t>Amaris 16</t>
  </si>
  <si>
    <t>DBL141</t>
  </si>
  <si>
    <t>CHÂU PHÚ QUÍ</t>
  </si>
  <si>
    <t>0903322044</t>
  </si>
  <si>
    <t>Minh Thu DANG</t>
  </si>
  <si>
    <t>077302000543</t>
  </si>
  <si>
    <t>Human Resources</t>
  </si>
  <si>
    <t>Compensation &amp; Benefits</t>
  </si>
  <si>
    <t>CAP Kim Hoang</t>
  </si>
  <si>
    <t>40/6/9A Lê Hồng Phong, phường 4, Bà Rịa - Vũng Tàu</t>
  </si>
  <si>
    <t>HR</t>
  </si>
  <si>
    <t>NGUYỄN TRƯỜNG THI</t>
  </si>
  <si>
    <t>0934181732</t>
  </si>
  <si>
    <t>Minh Quang TRAN</t>
  </si>
  <si>
    <t>075203000646</t>
  </si>
  <si>
    <t>36/14/9 Bùi Tư Toàn, An Lạc, Bình Tân, TP. Hồ Chí Minh</t>
  </si>
  <si>
    <t>DBL142</t>
  </si>
  <si>
    <t>NGUYỄN HOÀNG MINH</t>
  </si>
  <si>
    <t>0984678726</t>
  </si>
  <si>
    <t>Van Tai PHAM</t>
  </si>
  <si>
    <t>079201011530</t>
  </si>
  <si>
    <t>Chung cư An Khánh, đường Song Hành, Phường An Phú, Thành phố Thủ Đức</t>
  </si>
  <si>
    <t>NGUYỄN KHẮC DUY</t>
  </si>
  <si>
    <t>0964072710</t>
  </si>
  <si>
    <t>Tuan Khoi NGUYEN</t>
  </si>
  <si>
    <t>079203008685</t>
  </si>
  <si>
    <t>37/8 Đường C1, Phường 13, quận Tân Bình, tp. Hồ Chí Minh</t>
  </si>
  <si>
    <t>DBL143</t>
  </si>
  <si>
    <t>LƯU HỒNG PHƯƠNG THỦY</t>
  </si>
  <si>
    <t>066190007476</t>
  </si>
  <si>
    <t>Gia đình TRẦN THÁI HÙNG</t>
  </si>
  <si>
    <t>Thuc Hao NGUYEN</t>
  </si>
  <si>
    <t>079096012234</t>
  </si>
  <si>
    <t>Team event cho Hào đi bus chung từ Bến Tre đến Cần Thơ nhé, chiều về Hào đi xe riêng. Cảm ơn mọi người!</t>
  </si>
  <si>
    <t>People Operations</t>
  </si>
  <si>
    <t>CAO Bao Tram</t>
  </si>
  <si>
    <t>963/3/1 Âu Cơ, P. Tân Sơn Nhì, Q. Tân Phú, TP. HCM</t>
  </si>
  <si>
    <t>TRẦN HỒNG NHƯ Ý</t>
  </si>
  <si>
    <t>079325017288</t>
  </si>
  <si>
    <t>Thi My Tam - Cindy LE</t>
  </si>
  <si>
    <t>062195004991</t>
  </si>
  <si>
    <t>I wont take company bus on the depart day but i will take the return, pls help to count on me</t>
  </si>
  <si>
    <t>Payroll Solutions</t>
  </si>
  <si>
    <t>COMAS Mireille</t>
  </si>
  <si>
    <t>Thôn 3, Xã Eadrăng, ĐĂK LĂK</t>
  </si>
  <si>
    <t>TRẦN THÁI HÙNG</t>
  </si>
  <si>
    <t>0948912119</t>
  </si>
  <si>
    <t>Dinh Anh Quoc HOANG</t>
  </si>
  <si>
    <t>224/1/21 Ung Văn Khiêm, phường Thạnh Mỹ Tây, thành phố Hồ Chí Minh</t>
  </si>
  <si>
    <t>DBL144</t>
  </si>
  <si>
    <t>NGUYỄN THANH HOÀNG</t>
  </si>
  <si>
    <t>0938004161</t>
  </si>
  <si>
    <t>Dinh Lam TRAN</t>
  </si>
  <si>
    <t>I have a mild seafood allergy</t>
  </si>
  <si>
    <t>Tổ Dân phố 2B, thị trấn Eakar, huyện Eakar, tỉnh Đăk Lăk</t>
  </si>
  <si>
    <t>DBL145</t>
  </si>
  <si>
    <t>LÊ QUANG PHƯỚC</t>
  </si>
  <si>
    <t>072090006821</t>
  </si>
  <si>
    <t>0389964662</t>
  </si>
  <si>
    <t>Gia đình LÊ QUANG PHƯỚC</t>
  </si>
  <si>
    <t>Chi Hau NGUYEN</t>
  </si>
  <si>
    <t>ấp Tích Quới, xã Trà Ôn, tỉnh Vĩnh Long</t>
  </si>
  <si>
    <t>VÕ THỊ THẢO</t>
  </si>
  <si>
    <t>042192004938</t>
  </si>
  <si>
    <t>Dai Duong PHAN</t>
  </si>
  <si>
    <t>Xóm 3, thôn Quy Thuận, phường Hoài Nhơn Bắc, tỉnh Gia Lai</t>
  </si>
  <si>
    <t>DBL044</t>
  </si>
  <si>
    <t>LƯ TRẦN THÙY LINH</t>
  </si>
  <si>
    <t>0397430707</t>
  </si>
  <si>
    <t>Duy Nguyen VO NGOC</t>
  </si>
  <si>
    <t>613 Phạm Thế Hiển, Chánh Hưng, TP. Hồ Chí Minh</t>
  </si>
  <si>
    <t>NGUYỄN THỊ VIỆT TRINH</t>
  </si>
  <si>
    <t>0356055190</t>
  </si>
  <si>
    <t>Thi Mai Anh LE</t>
  </si>
  <si>
    <t>031198014430</t>
  </si>
  <si>
    <t>463B/63 Đường Cách Mạng Tháng 8, Hồ Chí Minh</t>
  </si>
  <si>
    <t>DBL045</t>
  </si>
  <si>
    <t>NGUYỄN THẾ TRINH</t>
  </si>
  <si>
    <t>0983068421</t>
  </si>
  <si>
    <t>Chung phòng 45 (Bus 8: NGUYỄN HỒ KHÁNH VY x Bus 7: NGUYỄN THẾ TRINH)</t>
  </si>
  <si>
    <t>Thi Quynh Lien NGUYEN</t>
  </si>
  <si>
    <t>064301004400</t>
  </si>
  <si>
    <t>People Analytics</t>
  </si>
  <si>
    <t>NGUYEN Thai Bao</t>
  </si>
  <si>
    <t>31 KpaKlong, tổ 2, phường Đoàn Kết, thị xã AyunPa, tỉnh Gia Lai</t>
  </si>
  <si>
    <t>DBL060</t>
  </si>
  <si>
    <t>ĐỖ KIM ÁNH</t>
  </si>
  <si>
    <t>079192033623</t>
  </si>
  <si>
    <t>0903747427</t>
  </si>
  <si>
    <t xml:space="preserve">Dị ứng Hải sản, phô mai, sữa </t>
  </si>
  <si>
    <t>Le Kim Ngan NGUYEN</t>
  </si>
  <si>
    <t>077199007614</t>
  </si>
  <si>
    <t>NGUYEN Thuc Hao</t>
  </si>
  <si>
    <t>324/2/4 Bình Giã, phường Nguyễn An Ninh, Vũng Tàu</t>
  </si>
  <si>
    <t>NGUYỄN THỊ QUỲNH PHƯƠNG</t>
  </si>
  <si>
    <t>0931173302</t>
  </si>
  <si>
    <t>Le Bao Tram - Rachel DOAN</t>
  </si>
  <si>
    <t>048300007642</t>
  </si>
  <si>
    <t>Dạ từ HCM -&gt; Bến Tre: em tự đi xe riêng. Từ Tiền Giang -&gt; HCM: em đi bus với cty nha. Em cảm ơn mn đã hỗ trợ</t>
  </si>
  <si>
    <t>24A Khuông Việt, phường Phú Trung, quận Tân Phú, Hồ Chí Minh</t>
  </si>
  <si>
    <t>NGUYỄN THÁI LY</t>
  </si>
  <si>
    <t>048195006450</t>
  </si>
  <si>
    <t>0943149780</t>
  </si>
  <si>
    <t>Bao Tram CAO</t>
  </si>
  <si>
    <t>079193025094</t>
  </si>
  <si>
    <t xml:space="preserve">I take company bus the way back only. </t>
  </si>
  <si>
    <t>RAYNAUD Claire</t>
  </si>
  <si>
    <t>766/44 Lạc Long Quân, Phường 9, Quận Tân Bình, Hồ Chí Minh</t>
  </si>
  <si>
    <t>DBL082</t>
  </si>
  <si>
    <t>LÊ THỊ MỸ TÂM</t>
  </si>
  <si>
    <t>0964455190</t>
  </si>
  <si>
    <t>Anh Khoa NGUYEN</t>
  </si>
  <si>
    <t>079085028522</t>
  </si>
  <si>
    <t>111/7/7 Xóm Chiếu, phường Xóm Chiếu, Hồ Chí Minh</t>
  </si>
  <si>
    <t>NGUYỄN LÊ KIM NGÂN</t>
  </si>
  <si>
    <t>0778819618</t>
  </si>
  <si>
    <t>Nghi Lam PHAM</t>
  </si>
  <si>
    <t>075096010782</t>
  </si>
  <si>
    <t>54 Đường 9 tháng 4, phương Xuân Thành, Long Khánh, Đồng Nai</t>
  </si>
  <si>
    <t>Amaris 17</t>
  </si>
  <si>
    <t>DBL083</t>
  </si>
  <si>
    <t>ĐẶNG MINH THƯ</t>
  </si>
  <si>
    <t>0931231740</t>
  </si>
  <si>
    <t>Viet Hoang TRAN</t>
  </si>
  <si>
    <t>001201015108</t>
  </si>
  <si>
    <t>Miếu Thờ, Tiên Dược, Sóc Sơn, Hà Nội</t>
  </si>
  <si>
    <t>ĐOÀN LÊ BẢO TRÂM</t>
  </si>
  <si>
    <t>0984060780</t>
  </si>
  <si>
    <t>Dang Khoa PHAM</t>
  </si>
  <si>
    <t>079094014846</t>
  </si>
  <si>
    <t>2/1/6B Bình Giã, phường 13, quận Tân Bình, Hồ Chí Minh</t>
  </si>
  <si>
    <t>DBL084</t>
  </si>
  <si>
    <t>CAO BẢO TRÂM</t>
  </si>
  <si>
    <t>0901393648</t>
  </si>
  <si>
    <t>Kim Anh DO</t>
  </si>
  <si>
    <t>207/19/18/1a Bạch Đằng, Phường 15, Quận Bình Thạnh, tp. HCM</t>
  </si>
  <si>
    <t>NGUYỄN THỊ QUỲNH LIÊN</t>
  </si>
  <si>
    <t>0961910015</t>
  </si>
  <si>
    <t>Huu Thanh Tam TRAN</t>
  </si>
  <si>
    <t>045099007148</t>
  </si>
  <si>
    <t>Đội 9, thôn Huỳnh Công Đông, xã Trung Nam, huyện Vĩnh Linh, tỉnh Quảng Trị</t>
  </si>
  <si>
    <t>LÊ THỊ MAI ANH</t>
  </si>
  <si>
    <t>0901857690</t>
  </si>
  <si>
    <t>Thai Ly NGUYEN</t>
  </si>
  <si>
    <t>152/18 Nguyễn Trọng Tuyển, Phường 8, Quận Phú Nhuận, TP. Hồ Chí Minh</t>
  </si>
  <si>
    <t>LÊ TIẾN THỊNH</t>
  </si>
  <si>
    <t>079098028738</t>
  </si>
  <si>
    <t>0903040298</t>
  </si>
  <si>
    <t>tnguyen28@amaris.com</t>
  </si>
  <si>
    <t>Tu NGUYEN ANH</t>
  </si>
  <si>
    <t>056079000075</t>
  </si>
  <si>
    <t>NGUYEN Trung Hieu</t>
  </si>
  <si>
    <t>57/6D, Trung Lân 2, Bà Điểm, Hóc Môn, TP. Hồ Chí Minh</t>
  </si>
  <si>
    <t>TWN063</t>
  </si>
  <si>
    <t>PHẠM ĐĂNG KHOA</t>
  </si>
  <si>
    <t>0338330044</t>
  </si>
  <si>
    <t>Phuong Thao NGUYEN</t>
  </si>
  <si>
    <t>079197000483</t>
  </si>
  <si>
    <t>VETTUKAD Amit</t>
  </si>
  <si>
    <t>89 Hoàng Quốc Việt, Phường Phú Thuận, Thành phố Hồ Chí Minh</t>
  </si>
  <si>
    <t>TRẦN HỮU THANH TÂM</t>
  </si>
  <si>
    <t>0335533732</t>
  </si>
  <si>
    <t>Ngoc Nguyen Ngan - Emily NGUYEN</t>
  </si>
  <si>
    <t>079197014206</t>
  </si>
  <si>
    <t>User Experience</t>
  </si>
  <si>
    <t>52 Bình Phú, Phường Tam Bình, Hồ Chí Minh</t>
  </si>
  <si>
    <t>TWN064</t>
  </si>
  <si>
    <t>PHẠM NGHI LÂM</t>
  </si>
  <si>
    <t>0985788540</t>
  </si>
  <si>
    <t>Thi Minh Phuong TRAN</t>
  </si>
  <si>
    <t>075184001102</t>
  </si>
  <si>
    <t>Telephony</t>
  </si>
  <si>
    <t>MAI Tan Ha</t>
  </si>
  <si>
    <t>109A Phó Đức Chính, Phường 01, Quận Bình Thạnh, Hồ Chí Minh</t>
  </si>
  <si>
    <t>TRẦN VIỆT HOÀNG</t>
  </si>
  <si>
    <t>0328005399</t>
  </si>
  <si>
    <t>Xuan Quang PHAN</t>
  </si>
  <si>
    <t>051202007260</t>
  </si>
  <si>
    <t>Bình Trung, Bình Sơn, Quảng Ngãi</t>
  </si>
  <si>
    <t>TWN065</t>
  </si>
  <si>
    <t>ĐẶNG VĂN TRIỂN</t>
  </si>
  <si>
    <t>0981212098</t>
  </si>
  <si>
    <t>Chung phòng 65 (Bus 7: ĐẶNG VĂN TRIỂN x Tự di chuyển: NGUYỄN QUỐC HẢI THANH)</t>
  </si>
  <si>
    <t>Kieu Anh HOANG</t>
  </si>
  <si>
    <t>079199035294</t>
  </si>
  <si>
    <t>ACT Sales &amp; Pre-sales</t>
  </si>
  <si>
    <t>MAVANI Amit</t>
  </si>
  <si>
    <t>23/23/10 Đường số 22, Phường Hiệp Bình, Hồ Chí Minh</t>
  </si>
  <si>
    <t>TWN066</t>
  </si>
  <si>
    <t>NGUYỄN THÀNH ĐẠT</t>
  </si>
  <si>
    <t>0932980033</t>
  </si>
  <si>
    <t>triet.huynhminh@amaris.com</t>
  </si>
  <si>
    <t>Triet HUYNH MINH</t>
  </si>
  <si>
    <t>079202019928</t>
  </si>
  <si>
    <t>121/916 Nguyễn Kiệm, Phường 3, Gò Vấp, TP. Hồ Chí Minh</t>
  </si>
  <si>
    <t>VŨ SONG TOÀN</t>
  </si>
  <si>
    <t>0335353685</t>
  </si>
  <si>
    <t>Dinh Tien Dung NGUYEN</t>
  </si>
  <si>
    <t>079203005175</t>
  </si>
  <si>
    <t>Help Desk</t>
  </si>
  <si>
    <t>NGO Ngoc Nam</t>
  </si>
  <si>
    <t>28 Lê Bình,khu phố 6, phường Tân Sơn Nhất, Thành phố Hồ Chí Minh</t>
  </si>
  <si>
    <t>TWN067</t>
  </si>
  <si>
    <t>TRẦN QUANG TÍN</t>
  </si>
  <si>
    <t>0349687204</t>
  </si>
  <si>
    <t>Truong Tho DANG</t>
  </si>
  <si>
    <t>074093002317</t>
  </si>
  <si>
    <t>102 Lái Thiêu, Phường Lái Thiêu, Thành Phố Thuận An, Tỉnh Bình Dương</t>
  </si>
  <si>
    <t>VÕ TƯỜNG DUY</t>
  </si>
  <si>
    <t>0397974403</t>
  </si>
  <si>
    <t>Bao An HOANG</t>
  </si>
  <si>
    <t>075200000345</t>
  </si>
  <si>
    <t>System &amp; Network</t>
  </si>
  <si>
    <t>SIOUDI Mohamed Amine</t>
  </si>
  <si>
    <t>1089 Tổ 8, Ấp Ngọc Lâm 3, xã Phú Xuân, huyện Tân Phú, Đồng Nai</t>
  </si>
  <si>
    <t>TWN078</t>
  </si>
  <si>
    <t>NGUYỄN ANH KHOA</t>
  </si>
  <si>
    <t>0909988822</t>
  </si>
  <si>
    <t>Chung phòng 78 (Bus 7: NGUYỄN ANH KHOA x Tự di chuyển: PHÙNG QUỐC HÙNG)</t>
  </si>
  <si>
    <t>Chee Kiat LIM</t>
  </si>
  <si>
    <t>A6-05, Cảnh Viên 3, Phú Mỹ Hưng, phường Tân Phú, quận 7, Hồ Chí Minh</t>
  </si>
  <si>
    <t>TWN079</t>
  </si>
  <si>
    <t>NGUYỄN TIẾN HUYNH</t>
  </si>
  <si>
    <t>0976551265</t>
  </si>
  <si>
    <t>Hoai Nhu Y NGUYEN</t>
  </si>
  <si>
    <t>234/47 Phạm Phú Thứ, phường 4, quận 6, Hồ Chí Minh</t>
  </si>
  <si>
    <t>IT 4</t>
  </si>
  <si>
    <t>TRẦN NGỌC QUỐC</t>
  </si>
  <si>
    <t>Thuy Phuong - Kaitlyn LE</t>
  </si>
  <si>
    <t>633/51 Điện Biên Phủ, Khu phố 2, Phường Bàn Cờ, Tp. Hồ Chí Minh</t>
  </si>
  <si>
    <t>TWN080</t>
  </si>
  <si>
    <t>PHẠM VĂN TÀI</t>
  </si>
  <si>
    <t>0965654937</t>
  </si>
  <si>
    <t>Diem Thien Nga - Micky HUYNH</t>
  </si>
  <si>
    <t>964 Trần Hưng Đạo, Quận 5, Phường 7, TP. Hồ Chí Minh</t>
  </si>
  <si>
    <t>TRẦN MINH QUANG</t>
  </si>
  <si>
    <t>0986245303</t>
  </si>
  <si>
    <t>Clément GUIGUEN</t>
  </si>
  <si>
    <t>36B Đường 61, phường Thảo Điền, thành phố Hồ Chí Minh</t>
  </si>
  <si>
    <t>TWN081</t>
  </si>
  <si>
    <t>NGUYỄN THÚC HÀO</t>
  </si>
  <si>
    <t>0909120296</t>
  </si>
  <si>
    <t>ndo3@mantu.com</t>
  </si>
  <si>
    <t>Nguyen Phuong DO</t>
  </si>
  <si>
    <t>079202015216</t>
  </si>
  <si>
    <t>15 Tô Vĩnh Diện, Khu Phố 11, Phường Thủ Đức Thành Phố Hồ Chí Minh</t>
  </si>
  <si>
    <t>NGUYỄN TUẤN KHÔI</t>
  </si>
  <si>
    <t>0776932589</t>
  </si>
  <si>
    <t>Thi Anh Minh TRAN</t>
  </si>
  <si>
    <t>077197001261</t>
  </si>
  <si>
    <t>Performance Management</t>
  </si>
  <si>
    <t>Operational Controlling</t>
  </si>
  <si>
    <t>BUC Thomas</t>
  </si>
  <si>
    <t>346 Bến Vân Đồn, phường 1, quận 4, Hồ Chí Minh</t>
  </si>
  <si>
    <t>NGUYỄN HỒ KHÁNH VY</t>
  </si>
  <si>
    <t>082196015477</t>
  </si>
  <si>
    <t>0984016140</t>
  </si>
  <si>
    <t>Chung phòng 45 (Bus 8: NGUYỄN HỒ KHÁNH VY x Bus 2: NGUYỄN THẾ TRINH)</t>
  </si>
  <si>
    <t>Thu Hong NGUYEN</t>
  </si>
  <si>
    <t>074301006998</t>
  </si>
  <si>
    <t>Ấp 2, thôn Tân Long, thị xã Phú Giáo, Bình Dương</t>
  </si>
  <si>
    <t>TRẦN THỊ ANH MINH</t>
  </si>
  <si>
    <t>0785670597</t>
  </si>
  <si>
    <t>Chung phòng 104 (Bus 5: NGUYỄN TRẦN PHƯƠNG PHƯƠNG x Bus 8: TRẦN THỊ ANH MINH)</t>
  </si>
  <si>
    <t>Thi Thanh Nhan NGUYEN</t>
  </si>
  <si>
    <t>045198003359</t>
  </si>
  <si>
    <t>Mình muốn request ở phòng 3 người với team OC: NGUYEN Thi Thanh Nhan, TRAN Thị Anh Minh và NGUYEN Thu Hong</t>
  </si>
  <si>
    <t>Đồng Tâm 2, Triệu Tài, Triệu Phong, Quảng Trị</t>
  </si>
  <si>
    <t>DBL113</t>
  </si>
  <si>
    <t>HOÀNG BẢO ÂN</t>
  </si>
  <si>
    <t>Linh Chau PHAN</t>
  </si>
  <si>
    <t>068300004128</t>
  </si>
  <si>
    <t>Recruitment</t>
  </si>
  <si>
    <t>Corporate Acquisition</t>
  </si>
  <si>
    <t>CARRILLO GIRONA Marina</t>
  </si>
  <si>
    <t>Khu phố 13, Lộc Thắng, Bảo Lâm, Lâm Đồng, Đà Lạt</t>
  </si>
  <si>
    <t>PHAN XUÂN QUANG</t>
  </si>
  <si>
    <t>0943527674</t>
  </si>
  <si>
    <t>Trung Hieu NGUYEN</t>
  </si>
  <si>
    <t>079076006834</t>
  </si>
  <si>
    <t>GALLOT Brice</t>
  </si>
  <si>
    <t>42/5/4 Trương Quốc Dũng, P.10, Phú Nhuận, TPHCM</t>
  </si>
  <si>
    <t>DBL114</t>
  </si>
  <si>
    <t>NGUYỄN ĐÌNH TIẾN DŨNG</t>
  </si>
  <si>
    <t>0968412361</t>
  </si>
  <si>
    <t>Chung phòng 114 (Bus 8: NGUYỄN ĐÌNH TIẾN DŨNG x Tự di chuyển: VĨNH HOÀNG LÊ NGUYỄN)</t>
  </si>
  <si>
    <t>Ho Khanh Vy NGUYEN</t>
  </si>
  <si>
    <t>Consulting Talent Acquisition</t>
  </si>
  <si>
    <t>GUILLOTON Eve</t>
  </si>
  <si>
    <t>Bình Tịnh, Bình Phú, Cái Lậy, Tiền Giang</t>
  </si>
  <si>
    <t>DBL116</t>
  </si>
  <si>
    <t>LÊ HỒ BẢO THY</t>
  </si>
  <si>
    <t>079193009931</t>
  </si>
  <si>
    <t>0909083103</t>
  </si>
  <si>
    <t>Thi Anh Thu TRAN</t>
  </si>
  <si>
    <t>079301005911</t>
  </si>
  <si>
    <t>HONG Nguyen Tu Nhi</t>
  </si>
  <si>
    <t>274/7 Nguyễn Văn Lượng, phường Gò Vấp, TPHCM</t>
  </si>
  <si>
    <t>LÊ TƯỜNG KHUYÊN</t>
  </si>
  <si>
    <t>079193040594</t>
  </si>
  <si>
    <t>0931439977</t>
  </si>
  <si>
    <t>Arthur CAMARET</t>
  </si>
  <si>
    <t>22IK50629</t>
  </si>
  <si>
    <t>JOLLIOT Marie-Benoîte</t>
  </si>
  <si>
    <t>188 A5/10 Nguyễn Văn Hưởng, Phường Thảo Điền, Thủ Đức, Thành phố Hồ Chí Minh</t>
  </si>
  <si>
    <t>DBL117</t>
  </si>
  <si>
    <t>PHẠM LÊ KHÁNH CHI</t>
  </si>
  <si>
    <t>079303003034</t>
  </si>
  <si>
    <t>0903175838</t>
  </si>
  <si>
    <t>Hoang Bich Tran NGUYEN</t>
  </si>
  <si>
    <t>060199000392</t>
  </si>
  <si>
    <t>NGUYEN Ho Khanh Vy</t>
  </si>
  <si>
    <t>675 Nguyễn Kiệm, phường 9, quận Phú Nhuận, TP. Hồ Chí Minh</t>
  </si>
  <si>
    <t>PHẠM TRẦN THẢO VY</t>
  </si>
  <si>
    <t>064304011457</t>
  </si>
  <si>
    <t>0905435679</t>
  </si>
  <si>
    <t>Dang Thuy Duong NGUYEN</t>
  </si>
  <si>
    <t>079302019770</t>
  </si>
  <si>
    <t>196/23 Tân Sơn Nhì, phường Tân Sơn Nhì, quận Tân Phú, Hồ Chí Minh</t>
  </si>
  <si>
    <t>DBL118</t>
  </si>
  <si>
    <t>NGUYỄN ĐẶNG THÙY DƯƠNG</t>
  </si>
  <si>
    <t>0708319701</t>
  </si>
  <si>
    <t>Nguyen Tu Nhi HONG</t>
  </si>
  <si>
    <t>079198027964</t>
  </si>
  <si>
    <t>116/25 đường 17, phường Linh Trung, quận Thủ Đức, tp. Hồ Chí Minh</t>
  </si>
  <si>
    <t>Marketing &amp; Recruitment</t>
  </si>
  <si>
    <t>NGUYỄN TRẦN PHƯƠNG LAN</t>
  </si>
  <si>
    <t>091301009416</t>
  </si>
  <si>
    <t>0835761935</t>
  </si>
  <si>
    <t>Thai An PHAM</t>
  </si>
  <si>
    <t>031199002762</t>
  </si>
  <si>
    <t>2/156 Lê Lai, Máy Chai, Ngô Quyền, Hải Phòng</t>
  </si>
  <si>
    <t>DBL119</t>
  </si>
  <si>
    <t>HỒNG NGUYỄN TÚ NHI</t>
  </si>
  <si>
    <t>0374428877</t>
  </si>
  <si>
    <t>Le Khanh Chi PHAM</t>
  </si>
  <si>
    <t>NGUYEN Hoang Bich Tran</t>
  </si>
  <si>
    <t>05 đường Lê Thị Bay, ấp 6A, xã Tân Thạnh Đông, huyện Củ Chi, TP. Hồ Chí Minh</t>
  </si>
  <si>
    <t>TRẦN THỊ ANH THƯ</t>
  </si>
  <si>
    <t>0327649437</t>
  </si>
  <si>
    <t>Hoang Dung LE</t>
  </si>
  <si>
    <t>068203012626</t>
  </si>
  <si>
    <t>I am allergic to seafood and eggs</t>
  </si>
  <si>
    <t>23 Hải Thượng Lãn Ông, Thôn 4, Xã Đức Trọng, Tỉnh Lâm Đồng</t>
  </si>
  <si>
    <t>DBL120</t>
  </si>
  <si>
    <t>ĐỖ CHÍ THANH</t>
  </si>
  <si>
    <t>001202005933</t>
  </si>
  <si>
    <t>Gia đình PHẠM THÁI AN</t>
  </si>
  <si>
    <t>Tran Thao Vy PHAM</t>
  </si>
  <si>
    <t>Tổ 6, Diên Hồng, Pleiku, Gia Lai</t>
  </si>
  <si>
    <t>PHẠM THÁI AN</t>
  </si>
  <si>
    <t>0363031131</t>
  </si>
  <si>
    <t>hdo1@amaris.com</t>
  </si>
  <si>
    <t>Hieu Minh DO</t>
  </si>
  <si>
    <t>049303014137</t>
  </si>
  <si>
    <t>PHAM Thai An</t>
  </si>
  <si>
    <t>Tổ 3, Phường Nghĩa Lộ, Tỉnh Quảng Ngãi</t>
  </si>
  <si>
    <t>DBL121</t>
  </si>
  <si>
    <t>NGUYỄN HOÀNG BÍCH TRÂN</t>
  </si>
  <si>
    <t>0975488340</t>
  </si>
  <si>
    <t>Gia đình NGUYỄN HOÀNG BÍCH TRÂN</t>
  </si>
  <si>
    <t>Le Minh Trang NGUYEN</t>
  </si>
  <si>
    <t>037303000012</t>
  </si>
  <si>
    <t>PHAN Linh Chau</t>
  </si>
  <si>
    <t>80/10 Đường số 3, phường 09, quận Gò Vấp</t>
  </si>
  <si>
    <t>NGUYEN TRAN BAO PHU</t>
  </si>
  <si>
    <t>080099002154</t>
  </si>
  <si>
    <t>Ho Bao Thy LE</t>
  </si>
  <si>
    <t>Marketing &amp; Conversation</t>
  </si>
  <si>
    <t>Design</t>
  </si>
  <si>
    <t>SANTANA Zulema</t>
  </si>
  <si>
    <t>126 Bùi Thị Xuân, Phường Phạm Ngũ Lão, Quận 1, tp. Hồ Chí Minh</t>
  </si>
  <si>
    <t>DBL122</t>
  </si>
  <si>
    <t>NGUYỄN LÊ MINH TRANG</t>
  </si>
  <si>
    <t>0961760721</t>
  </si>
  <si>
    <t>Tuong Khuyen LE</t>
  </si>
  <si>
    <t>90/175A Đường số 1, Phường 12, Quận Tân Bình, TP. Hồ Chí Minh</t>
  </si>
  <si>
    <t>PHAN LINH CHÂU</t>
  </si>
  <si>
    <t xml:space="preserve">0389420759 </t>
  </si>
  <si>
    <t>Hoang Le Nguyen VINH</t>
  </si>
  <si>
    <t>079093042207</t>
  </si>
  <si>
    <t>730/8, Tỉnh lộ 15, Ấp 5, Xã Tân Thạnh Đông, Huyện Củ Chi, Hồ Chí Minh</t>
  </si>
  <si>
    <t>DBL123</t>
  </si>
  <si>
    <t>NGUYỄN THỊ THANH NHẠN</t>
  </si>
  <si>
    <t>0355042483</t>
  </si>
  <si>
    <t>Xếp gần phòng 104</t>
  </si>
  <si>
    <t>tdinh@mantu.com</t>
  </si>
  <si>
    <t>Thi Ngoc Thuy DINH</t>
  </si>
  <si>
    <t>NGUYỄN THU HỒNG</t>
  </si>
  <si>
    <t>0967486292</t>
  </si>
  <si>
    <t>Ngoc Nam NGO</t>
  </si>
  <si>
    <t>079091022899</t>
  </si>
  <si>
    <t>MATEI Aurel-George</t>
  </si>
  <si>
    <t>89 Đường số 3 TDC, Khu phố Nhị Đồng 1, Phường Dĩ An, Thị xã Dĩ An, Bình Dương</t>
  </si>
  <si>
    <t>DBL124</t>
  </si>
  <si>
    <t>HOÀNG KIỀU ANH</t>
  </si>
  <si>
    <t>0899286919</t>
  </si>
  <si>
    <t>vle2@mantu.com</t>
  </si>
  <si>
    <t>Van Khanh LE</t>
  </si>
  <si>
    <t>NGUYỄN PHƯƠNG THẢO</t>
  </si>
  <si>
    <t>0909915834</t>
  </si>
  <si>
    <t>kphan2@mantu.com</t>
  </si>
  <si>
    <t>Thi Kieu Tien PHAN</t>
  </si>
  <si>
    <t>070189010077</t>
  </si>
  <si>
    <t>1. Trần Văn Năm - Male - 08/09/1989
2. Trần Phan Yến Nhi - Female - 23/10/2015
3. Trần Văn Minh - Male - 17/08/2020</t>
  </si>
  <si>
    <t>DBL125</t>
  </si>
  <si>
    <t>HỒNG YẾN XUÂN</t>
  </si>
  <si>
    <t>0934831283</t>
  </si>
  <si>
    <t>Anh Dung Cuong PHAN</t>
  </si>
  <si>
    <t>079092012567</t>
  </si>
  <si>
    <t>10A Hưng Phú, Phường 9, Quận 8, TP HCM</t>
  </si>
  <si>
    <t>NGUYỄN NGỌC NGUYÊN NGÂN</t>
  </si>
  <si>
    <t>0839022665</t>
  </si>
  <si>
    <t>Quoc Hai Thanh NGUYEN</t>
  </si>
  <si>
    <t>079204009259</t>
  </si>
  <si>
    <t>10 Nguyễn Hữu Cầu, P. Tân Định, HCM</t>
  </si>
  <si>
    <t>LIN CLEMENCE</t>
  </si>
  <si>
    <t>0896948417</t>
  </si>
  <si>
    <t>Chung phòng 128 (Bus 6: NGÔ TRỊNH QUỲNH NHƯ x Bus 8: LIN CLEMENCE (Người nước ngoài))</t>
  </si>
  <si>
    <t>thiyen.cao@amaris.com</t>
  </si>
  <si>
    <t>Thi Yen Khoa CAO</t>
  </si>
  <si>
    <t>DUQUESNAY GUILLAUME MARCEL CLAUDE</t>
  </si>
  <si>
    <t>+33613234722</t>
  </si>
  <si>
    <t>Chung phòng 138 (Bus 6: HUỲNH VĂN CỌP x Bus 8: DUQUESNAY GUILLAUME MARCEL CLAUDE (Người nước ngoài)) + Dị ứng cồn</t>
  </si>
  <si>
    <t>truong.vuhuu@amaris.com</t>
  </si>
  <si>
    <t>Huu Truong VU</t>
  </si>
  <si>
    <t>NGUYỄN ANH TÚ</t>
  </si>
  <si>
    <t>0974674081</t>
  </si>
  <si>
    <t>thihoa.vuong@amaris.com</t>
  </si>
  <si>
    <t>Thi Hoa VUONG</t>
  </si>
  <si>
    <t>001199007182</t>
  </si>
  <si>
    <t>TRẦN THỊ MINH PHƯƠNG</t>
  </si>
  <si>
    <t>hha3@amaris.com</t>
  </si>
  <si>
    <t>Huyen Trang HA</t>
  </si>
  <si>
    <t>TWN090</t>
  </si>
  <si>
    <t>0902612360</t>
  </si>
  <si>
    <t>quocanh.dang@amaris.com</t>
  </si>
  <si>
    <t>Quoc Anh - Qc DANG</t>
  </si>
  <si>
    <t>NGUYỄN TRUNG HIẾU</t>
  </si>
  <si>
    <t>0913676060</t>
  </si>
  <si>
    <t>anh.dangquoc@amaris.com</t>
  </si>
  <si>
    <t>Quoc Anh DANG</t>
  </si>
  <si>
    <t>TWN110</t>
  </si>
  <si>
    <t>0902411648</t>
  </si>
  <si>
    <t>Huu Phuc LE</t>
  </si>
  <si>
    <t>079084023994</t>
  </si>
  <si>
    <t>Hồ Thị Minh Hoàng- Female-19/11/1984-046184001362</t>
  </si>
  <si>
    <t>12 Đường số 18A, Phường Bình Hưng Hoà, TPHCM</t>
  </si>
  <si>
    <t>NGUYỄN TIẾN NAM</t>
  </si>
  <si>
    <t>0979040971</t>
  </si>
  <si>
    <t>hogia.dinh@amaris.com</t>
  </si>
  <si>
    <t>Ho Gia Nguyen DINH</t>
  </si>
  <si>
    <t>054098007348</t>
  </si>
  <si>
    <t>LÊ HOÀNG DŨNG</t>
  </si>
  <si>
    <t>0985291931</t>
  </si>
  <si>
    <t>hanh.nguyenngochong@amaris.com</t>
  </si>
  <si>
    <t>Hanh NGUYEN NGOC HONG</t>
  </si>
  <si>
    <t>Tự di chuyển</t>
  </si>
  <si>
    <t>DBL077</t>
  </si>
  <si>
    <t>HỒ THỊ MINH HOÀNG</t>
  </si>
  <si>
    <t>046184001362</t>
  </si>
  <si>
    <t>Gia đình LÊ HỮU PHÚC</t>
  </si>
  <si>
    <t>thanhphong.ho@amaris.com</t>
  </si>
  <si>
    <t>Thanh Phong HO</t>
  </si>
  <si>
    <t>LÊ HỮU PHÚC</t>
  </si>
  <si>
    <t>0909009984</t>
  </si>
  <si>
    <t>thanhphuc.nguyenhuynh@amaris.com</t>
  </si>
  <si>
    <t>Thanh Phuc NGUYEN HUYNH</t>
  </si>
  <si>
    <t>DBL093</t>
  </si>
  <si>
    <t>PHAN ANH DŨNG CƯỜNG</t>
  </si>
  <si>
    <t>0972708318</t>
  </si>
  <si>
    <t>Gia đình PHAN ANH DŨNG CƯỜNG</t>
  </si>
  <si>
    <t>dvohuynh@mantu.com</t>
  </si>
  <si>
    <t>Huynh Duc Huy VO</t>
  </si>
  <si>
    <t>PHAN NHAT THIEN DANG</t>
  </si>
  <si>
    <t>079223047176</t>
  </si>
  <si>
    <t>khuynh@amaris.com</t>
  </si>
  <si>
    <t>Minh Khoi HUYNH</t>
  </si>
  <si>
    <t>TRUONG NGOC TINH ANH</t>
  </si>
  <si>
    <t>060193015462</t>
  </si>
  <si>
    <t>hoangquoc.le@amaris.com</t>
  </si>
  <si>
    <t>Hoang Quoc Bao LE</t>
  </si>
  <si>
    <t>VĨNH HOÀNG LÊ NGUYỄN</t>
  </si>
  <si>
    <t>0937756145</t>
  </si>
  <si>
    <t>hoanghai.nguyen@amaris.com</t>
  </si>
  <si>
    <t>Hoang Hai NGUYEN</t>
  </si>
  <si>
    <t>NGÔ HOÀNG VŨ</t>
  </si>
  <si>
    <t>068088003980</t>
  </si>
  <si>
    <t>0773820182</t>
  </si>
  <si>
    <t>dogia.phan@amaris.com</t>
  </si>
  <si>
    <t>Do Gia Huy PHAN</t>
  </si>
  <si>
    <t>079200014682</t>
  </si>
  <si>
    <t>HUỲNH BÁ NGHI</t>
  </si>
  <si>
    <t>0979622203</t>
  </si>
  <si>
    <t>quangvinh.nguyenduc@amaris.com</t>
  </si>
  <si>
    <t>Duc Quang Vinh NGUYEN</t>
  </si>
  <si>
    <t>TWN051</t>
  </si>
  <si>
    <t>LÊ DUY HẠNH</t>
  </si>
  <si>
    <t>0937308357</t>
  </si>
  <si>
    <t>bang.ngo@littlebigconnection.com</t>
  </si>
  <si>
    <t>Nguyen Bang NGO</t>
  </si>
  <si>
    <t>NGUYỄN HỮU THỊNH</t>
  </si>
  <si>
    <t>0868415847</t>
  </si>
  <si>
    <t>mle2@amaris.com</t>
  </si>
  <si>
    <t>Minh Nghi LE</t>
  </si>
  <si>
    <t>LÊ CHÂU SỶ ĐẠT</t>
  </si>
  <si>
    <t>082093010991</t>
  </si>
  <si>
    <t>0345864246</t>
  </si>
  <si>
    <t>vdung@amaris.com</t>
  </si>
  <si>
    <t>Thi Thuy Dung VU</t>
  </si>
  <si>
    <t>NGUYỄN QUỐC HẢI THANH</t>
  </si>
  <si>
    <t>0834132707</t>
  </si>
  <si>
    <t>hlenguyen@mantu.com</t>
  </si>
  <si>
    <t>Phuong LE NGUYEN HOANG</t>
  </si>
  <si>
    <t>PHÙNG QUỐC HÙNG</t>
  </si>
  <si>
    <t>079200004309</t>
  </si>
  <si>
    <t>0963357143</t>
  </si>
  <si>
    <t>tho@mantu.com</t>
  </si>
  <si>
    <t>Tuan Huy HO</t>
  </si>
  <si>
    <t>TWN092</t>
  </si>
  <si>
    <t>ĐẶNG TRƯỜNG THỌ</t>
  </si>
  <si>
    <t xml:space="preserve">0906406613 </t>
  </si>
  <si>
    <t>thoang@mantu.com</t>
  </si>
  <si>
    <t>Vinh Thang HOANG</t>
  </si>
  <si>
    <t>NGÔ NGỌC NAM</t>
  </si>
  <si>
    <t>0987646085</t>
  </si>
  <si>
    <t>huutung.le@amaris.com</t>
  </si>
  <si>
    <t>Huu Tung LE</t>
  </si>
  <si>
    <t>hoang.thien@amaris.com</t>
  </si>
  <si>
    <t>Thien HOANG</t>
  </si>
  <si>
    <t>ho.vanvinh@amaris.com</t>
  </si>
  <si>
    <t>Van Vinh HO</t>
  </si>
  <si>
    <t>diep.lethingoc@amaris.com</t>
  </si>
  <si>
    <t>Thi Ngoc Diep LE</t>
  </si>
  <si>
    <t>haitrieu.dang@amaris.com</t>
  </si>
  <si>
    <t>Hai Trieu DANG</t>
  </si>
  <si>
    <t>nvu2@mantu.com</t>
  </si>
  <si>
    <t>Ngoc Bao Han VU</t>
  </si>
  <si>
    <t>ndao@mantu.com</t>
  </si>
  <si>
    <t>Ngoc Gia Thoai DAO</t>
  </si>
  <si>
    <t>thanhnam.nguyenhuu@amaris.com</t>
  </si>
  <si>
    <t>Thanh Nam NGUYEN HUU</t>
  </si>
  <si>
    <t>075201007668</t>
  </si>
  <si>
    <t>lamchi.ly@amaris.com</t>
  </si>
  <si>
    <t>Lam Chi Khang LY</t>
  </si>
  <si>
    <t>lnguyen1@mantu.com</t>
  </si>
  <si>
    <t>Luu Bao NGUYEN</t>
  </si>
  <si>
    <t>hdoan1@mantu.com</t>
  </si>
  <si>
    <t>Hoang Minh DOAN</t>
  </si>
  <si>
    <t>phucthinh.tran@amaris.com</t>
  </si>
  <si>
    <t>Phuc Thinh TRAN</t>
  </si>
  <si>
    <t>Hoang Vu NGO</t>
  </si>
  <si>
    <t>31 Ngô Bệ, P 13, Q Tân Bình, TP HCM</t>
  </si>
  <si>
    <t>binhduong.do@amaris.com</t>
  </si>
  <si>
    <t>Binh Duong DO</t>
  </si>
  <si>
    <t>phucanh.nguyen@amaris.com</t>
  </si>
  <si>
    <t>Phuc Anh Khoi NGUYEN</t>
  </si>
  <si>
    <t>pham.yenduyen@amaris.com</t>
  </si>
  <si>
    <t>Yen Duyen PHAM</t>
  </si>
  <si>
    <t>Chau Sy Dat LE</t>
  </si>
  <si>
    <t>Tổ 12, Ấp Tân Thuận B, Bình Đức, Châu Thành, Tiền Giang</t>
  </si>
  <si>
    <t>anhtuan.nguyen@amaris.com</t>
  </si>
  <si>
    <t>Anh Tuan NGUYEN</t>
  </si>
  <si>
    <t>bahoang.vo@amaris.com</t>
  </si>
  <si>
    <t>Ba Hoang Viet VO</t>
  </si>
  <si>
    <t>toan.phamvan@amaris.com</t>
  </si>
  <si>
    <t>Van Toan PHAM</t>
  </si>
  <si>
    <t>tle18@mantu.com</t>
  </si>
  <si>
    <t>Thi Ngoc Mai LE</t>
  </si>
  <si>
    <t>dnguyen15@mantu.com</t>
  </si>
  <si>
    <t>Duc Tung NGUYEN</t>
  </si>
  <si>
    <t>TBD</t>
  </si>
  <si>
    <t>Nguyễn Hoàng Tuấn</t>
  </si>
  <si>
    <t xml:space="preserve">Male                </t>
  </si>
  <si>
    <t>Quoc Hung PHUNG</t>
  </si>
  <si>
    <t>55/11/2 Đường số 15, Khu phố 4, Phường Long Bình, TP. Hồ Chí Minh</t>
  </si>
  <si>
    <t>nhuvien.nguyen@amaris.com</t>
  </si>
  <si>
    <t>Nhu Vien NGUYEN</t>
  </si>
  <si>
    <t>huuvinh.pham@amaris.com</t>
  </si>
  <si>
    <t>Huu Vinh PHAM</t>
  </si>
  <si>
    <t>thiquynh.nguyen@amaris.com</t>
  </si>
  <si>
    <t>Thi Quynh Nhu NGUYEN</t>
  </si>
  <si>
    <t>tiendat.pham@amaris.com</t>
  </si>
  <si>
    <t>Tien Dat PHAM</t>
  </si>
  <si>
    <t>nle6@amaris.com</t>
  </si>
  <si>
    <t>Nguyen Nhat Anh LE</t>
  </si>
  <si>
    <t>052300000056</t>
  </si>
  <si>
    <t>tluong@mantu.com</t>
  </si>
  <si>
    <t>Thuan Thanh LUONG</t>
  </si>
  <si>
    <t>hoangduy.pham@amaris.com</t>
  </si>
  <si>
    <t>Hoang Duy Duc PHAM</t>
  </si>
  <si>
    <t>Nguyen Duc Huy PHAM</t>
  </si>
  <si>
    <t>699/8 Nguyễn Ảnh Thủ, Khu phố 4, Tổ 41, Phường Hiệp Thành, Quận 12, Thành phố Hồ Chí Minh</t>
  </si>
  <si>
    <t>LE Tien Thinh</t>
  </si>
  <si>
    <t>65 đường số 8, kp2, phường Hiệp Bình, Thành phố Thủ Đức</t>
  </si>
  <si>
    <t>GUÉRET Thomas</t>
  </si>
  <si>
    <t>44/14 Đường 22, Phường Bình Chiểu, Quận Thủ Đức, TP. Hồ Chí Minh</t>
  </si>
  <si>
    <t>hoaitrinh.do@amaris.com</t>
  </si>
  <si>
    <t>DO Hoai Trinh</t>
  </si>
  <si>
    <t>052303002007</t>
  </si>
  <si>
    <t>Tien Thuan Hai Luong</t>
  </si>
  <si>
    <t>Xóm 6, Thôn 3, Suối Kiết, Lâm Đồng</t>
  </si>
  <si>
    <t>Quang Phuoc LE</t>
  </si>
  <si>
    <t>15/9 đướng số 61, phường An Khánh, Tp.HCM</t>
  </si>
  <si>
    <t>tnguyen25@amaris.com</t>
  </si>
  <si>
    <t>Tran Phuong Lan NGUYEN</t>
  </si>
  <si>
    <t>Employer Branding</t>
  </si>
  <si>
    <t>HÜRSTEL Marie</t>
  </si>
  <si>
    <t>32 Hoàng Hoa Thám phường Bảy Hiền Hồ Chí Minh</t>
  </si>
  <si>
    <t>(All)</t>
  </si>
  <si>
    <t>Sum of Fam Q</t>
  </si>
  <si>
    <t>Sum of Total Hc</t>
  </si>
  <si>
    <t>+84 329 382 782</t>
  </si>
  <si>
    <t>+84 931 182 688</t>
  </si>
  <si>
    <t xml:space="preserve"> 086200001291</t>
  </si>
  <si>
    <t>0933284515</t>
  </si>
  <si>
    <t>0855586358</t>
  </si>
  <si>
    <t>1 Total</t>
  </si>
  <si>
    <t>+84 377130331</t>
  </si>
  <si>
    <t>2 Total</t>
  </si>
  <si>
    <t>0968678149</t>
  </si>
  <si>
    <t>3 Total</t>
  </si>
  <si>
    <t>Own transport</t>
  </si>
  <si>
    <t>37598</t>
  </si>
  <si>
    <t>+84376275238</t>
  </si>
  <si>
    <t>+84 583 032 919</t>
  </si>
  <si>
    <t>+84348592628</t>
  </si>
  <si>
    <t>(blank)</t>
  </si>
  <si>
    <t>Grand Total</t>
  </si>
  <si>
    <t>4 Total</t>
  </si>
  <si>
    <t>'048300007642</t>
  </si>
  <si>
    <t>'0984060780</t>
  </si>
  <si>
    <t>+84901393648</t>
  </si>
  <si>
    <t>+84868772661</t>
  </si>
  <si>
    <t>5 Total</t>
  </si>
  <si>
    <t>'079202030875</t>
  </si>
  <si>
    <t>'0902788713</t>
  </si>
  <si>
    <t>0812900824</t>
  </si>
  <si>
    <t>6 Total</t>
  </si>
  <si>
    <t xml:space="preserve">0906 406 613 </t>
  </si>
  <si>
    <t>0898313181</t>
  </si>
  <si>
    <t>ACT</t>
  </si>
  <si>
    <t>079 303 003 034</t>
  </si>
  <si>
    <t>0903 175 838</t>
  </si>
  <si>
    <t xml:space="preserve">+84 389420759 </t>
  </si>
  <si>
    <t>84899286919</t>
  </si>
  <si>
    <t>7 Total</t>
  </si>
  <si>
    <t>0914 119 624</t>
  </si>
  <si>
    <t>8 Total</t>
  </si>
  <si>
    <t>(blank) Total</t>
  </si>
  <si>
    <t>Own transport Total</t>
  </si>
  <si>
    <t>Row Labels</t>
  </si>
  <si>
    <t>Gia đình</t>
  </si>
  <si>
    <t>1 xe 45 người</t>
  </si>
  <si>
    <t>Count</t>
  </si>
  <si>
    <t>Sum of C Fam</t>
  </si>
  <si>
    <t>Sum of A Fam</t>
  </si>
  <si>
    <t>Room No,</t>
  </si>
  <si>
    <t>Current</t>
  </si>
  <si>
    <t>Remaining</t>
  </si>
  <si>
    <t>Bus Leader</t>
  </si>
  <si>
    <t xml:space="preserve">Leader Mail </t>
  </si>
  <si>
    <t>Uyên + Thảo +</t>
  </si>
  <si>
    <t>I’ll arrange my own transportation Total</t>
  </si>
  <si>
    <t>Hoang Thien + Huynh Chi cuong + Hao la</t>
  </si>
  <si>
    <t xml:space="preserve">Nguyen Hoang Tuan Anh + Tran Thi Ha My (1/2) </t>
  </si>
  <si>
    <t xml:space="preserve">	Van Hieu NGUYEN</t>
  </si>
  <si>
    <t>Nguyen Thi Minh Phuong + Tran Thi Ha My + ACT + Hiếu</t>
  </si>
  <si>
    <t xml:space="preserve">	Thi Minh Phuong NGUYEN</t>
  </si>
  <si>
    <t>Finance + CA</t>
  </si>
  <si>
    <t xml:space="preserve">	Trung Kien NGUYEN</t>
  </si>
  <si>
    <t>IT</t>
  </si>
  <si>
    <t xml:space="preserve">	NGO Trinh Quynh Nhu</t>
  </si>
  <si>
    <t>Xe chờ + Hảo + Ly + HR</t>
  </si>
  <si>
    <t>R-Team + Thomas Buc</t>
  </si>
  <si>
    <t xml:space="preserve">	Diem Thien Nga - Micky HUYNH</t>
  </si>
  <si>
    <t>To update</t>
  </si>
  <si>
    <t>Thai Ly + Tien Nam</t>
  </si>
  <si>
    <t>2 Trang + c Phương + a Hoang</t>
  </si>
  <si>
    <t>Ha MY + Thao + Uyen</t>
  </si>
  <si>
    <t>Hoang Thien + Huynh Chi cuong + Hao la + Tuan Anh</t>
  </si>
  <si>
    <t>Duc Quy + Minh Phương</t>
  </si>
  <si>
    <t>NGUYEN Thai Ly + HA Phuong Thao + HO Nguyen Hong Uyen + Nguyen Tien Nam</t>
  </si>
  <si>
    <t>Nguyen Hoang Tuan Anh + Tran Thi Ha My (1/2) + Nguyen Tien Nam</t>
  </si>
  <si>
    <t>Nguyen Thi Minh Phuong + Tran Thi Ha My + Delivery</t>
  </si>
  <si>
    <t>Xe chờ + Duc QUY</t>
  </si>
  <si>
    <t>R-Team + Thomas Buc + Managers/Directors</t>
  </si>
  <si>
    <t>I’ll take the company bus Total</t>
  </si>
  <si>
    <t>EmployeeId</t>
  </si>
  <si>
    <t>FullName</t>
  </si>
  <si>
    <t>ManagerFullName</t>
  </si>
  <si>
    <t>Governance</t>
  </si>
  <si>
    <t>Department</t>
  </si>
  <si>
    <t>EmployeeStatus</t>
  </si>
  <si>
    <t>NGUYEN Xuan Tu</t>
  </si>
  <si>
    <t>xnguyen1@mantu.com</t>
  </si>
  <si>
    <t>cpham@mantu.com</t>
  </si>
  <si>
    <t>TRAN Thai Hung</t>
  </si>
  <si>
    <t>kcap@mantu.com</t>
  </si>
  <si>
    <t>GIRALT ARRES Sara</t>
  </si>
  <si>
    <t>aivan@mantu.com</t>
  </si>
  <si>
    <t>LE Van Khanh</t>
  </si>
  <si>
    <t>NGUYEN Hoang Duy</t>
  </si>
  <si>
    <t>HOANG Vinh Thang</t>
  </si>
  <si>
    <t>VALCKE Marine</t>
  </si>
  <si>
    <t>Digital Workplace</t>
  </si>
  <si>
    <t>hmatysiak@mantu.com</t>
  </si>
  <si>
    <t>CHAU Phu Qui</t>
  </si>
  <si>
    <t>LUONG Thuan Thanh</t>
  </si>
  <si>
    <t>TRAN Tuan Kiet</t>
  </si>
  <si>
    <t>ttran7@mantu.com</t>
  </si>
  <si>
    <t>TAI Dai Che Phuong</t>
  </si>
  <si>
    <t>hmai@mantu.com</t>
  </si>
  <si>
    <t>CIOARA Dan Flavius</t>
  </si>
  <si>
    <t>Unified Communication</t>
  </si>
  <si>
    <t>LE NGUYEN HOANG Phuong</t>
  </si>
  <si>
    <t>VO Van Ket</t>
  </si>
  <si>
    <t>NGUYEN Tuan Dong</t>
  </si>
  <si>
    <t>dnguyen5@mantu.com</t>
  </si>
  <si>
    <t>NGO Hoang Vu</t>
  </si>
  <si>
    <t>CAO Quoc Tuan</t>
  </si>
  <si>
    <t>qcao@mantu.com</t>
  </si>
  <si>
    <t>DUONG Thai Kiet</t>
  </si>
  <si>
    <t>tduong1@mantu.com</t>
  </si>
  <si>
    <t>NGUYEN Minh Dat</t>
  </si>
  <si>
    <t>dnguyen6@mantu.com</t>
  </si>
  <si>
    <t>PHAM Do Thuy Tien</t>
  </si>
  <si>
    <t>LE Duc Tai</t>
  </si>
  <si>
    <t>tleduc@mantu.com</t>
  </si>
  <si>
    <t>HO Tuan Huy</t>
  </si>
  <si>
    <t>NGUYEN Tuan Anh</t>
  </si>
  <si>
    <t>NGUYEN Le Quang Hung</t>
  </si>
  <si>
    <t>hnguyen13@mantu.com</t>
  </si>
  <si>
    <t>VINH Hoang Le Nguyen</t>
  </si>
  <si>
    <t>GUIGUEN Clément</t>
  </si>
  <si>
    <t>HO Quang Khai</t>
  </si>
  <si>
    <t>khai.hoquang@littlebigconnection.com</t>
  </si>
  <si>
    <t>PHAM Hoang Xuan Thinh</t>
  </si>
  <si>
    <t>LittleBIG Connection</t>
  </si>
  <si>
    <t>LB Software Engineering</t>
  </si>
  <si>
    <t>thuynh4@mantu.com</t>
  </si>
  <si>
    <t>DANG Quang Khoa</t>
  </si>
  <si>
    <t>qdang@amaris.com</t>
  </si>
  <si>
    <t>NGO Nguyen Tien Phat</t>
  </si>
  <si>
    <t>nguyentien.ngo@amaris.com</t>
  </si>
  <si>
    <t>HUYNH Minh Trac</t>
  </si>
  <si>
    <t>htrac@mantu.com</t>
  </si>
  <si>
    <t>NGUYEN Quoc Ai</t>
  </si>
  <si>
    <t>qnguyen7@mantu.com</t>
  </si>
  <si>
    <t>NGUYEN Thanh Tai</t>
  </si>
  <si>
    <t>LE Ngoc Huy</t>
  </si>
  <si>
    <t>NGUYEN Duy Phuong</t>
  </si>
  <si>
    <t>NGUYEN Thi Thuy Diem</t>
  </si>
  <si>
    <t>tnguyen40@mantu.com</t>
  </si>
  <si>
    <t>VAN Cong Tuan</t>
  </si>
  <si>
    <t>LUONG Quoc Khang</t>
  </si>
  <si>
    <t>luong.quockhang@amaris.com</t>
  </si>
  <si>
    <t>tphanthiha@amaris.com</t>
  </si>
  <si>
    <t>CHATELIER Eva Hélène</t>
  </si>
  <si>
    <t>tnguyen41@mantu.com</t>
  </si>
  <si>
    <t>GILSON Romane</t>
  </si>
  <si>
    <t>DAU Thi Huyen Trang</t>
  </si>
  <si>
    <t>tdau@mantu.com</t>
  </si>
  <si>
    <t>NGUYEN Thanh Hoang</t>
  </si>
  <si>
    <t>NGUYEN Phuong Thao</t>
  </si>
  <si>
    <t>PHAM Van Tinh</t>
  </si>
  <si>
    <t>NGUYEN Trung Nghia</t>
  </si>
  <si>
    <t>NGUYEN Thi Thanh Nhan</t>
  </si>
  <si>
    <t>TRAN Thi Anh Minh</t>
  </si>
  <si>
    <t>PHAM Hoang Duy Duc</t>
  </si>
  <si>
    <t>LE Nam Kha</t>
  </si>
  <si>
    <t>NGUYEN Trung Kien</t>
  </si>
  <si>
    <t>TRAN Huynh Nhat Tan</t>
  </si>
  <si>
    <t>PHAN Khanh Linh</t>
  </si>
  <si>
    <t>NGUYEN Duc Tung</t>
  </si>
  <si>
    <t>OSBORNE Luke</t>
  </si>
  <si>
    <t>DevOps</t>
  </si>
  <si>
    <t>VU Thi Thuy Dung</t>
  </si>
  <si>
    <t>TRUONG Thi Ha Trang</t>
  </si>
  <si>
    <t>trang.truongthiha@amaris.com</t>
  </si>
  <si>
    <t>GUPTA Shrey</t>
  </si>
  <si>
    <t>PHAM Cong Quan</t>
  </si>
  <si>
    <t>BUI Thanh Xuan</t>
  </si>
  <si>
    <t>thinh.pham@littlebigconnection.com</t>
  </si>
  <si>
    <t>FARIAS Rafael</t>
  </si>
  <si>
    <t>PHAM Yen Duyen</t>
  </si>
  <si>
    <t>NGUYEN Minh Phuoc</t>
  </si>
  <si>
    <t>DO Kim Anh</t>
  </si>
  <si>
    <t>LE Tuong Khuyen</t>
  </si>
  <si>
    <t>NGUYEN Tuan Minh</t>
  </si>
  <si>
    <t>mnguyen8@mantu.com</t>
  </si>
  <si>
    <t>VO Huynh Duc Huy</t>
  </si>
  <si>
    <t>ALLARD Loris</t>
  </si>
  <si>
    <t>Database Administration</t>
  </si>
  <si>
    <t>DINH Vu Duy</t>
  </si>
  <si>
    <t>TRINH Xuan Thuong</t>
  </si>
  <si>
    <t>NGUYEN Huy Hoang</t>
  </si>
  <si>
    <t>NGUYEN Van Hieu</t>
  </si>
  <si>
    <t>LAI Thien Vu</t>
  </si>
  <si>
    <t>thienvu.lai@amaris.com</t>
  </si>
  <si>
    <t>NGUYEN Huy Cuong</t>
  </si>
  <si>
    <t>huycuong.nguyen@amaris.com</t>
  </si>
  <si>
    <t>NGUYEN Anh Tuan - Tl</t>
  </si>
  <si>
    <t>NGUYEN Truong An</t>
  </si>
  <si>
    <t>LE Duy Hanh</t>
  </si>
  <si>
    <t>DANG Ngoc Khanh Linh</t>
  </si>
  <si>
    <t>NGUYEN Trinh Tung</t>
  </si>
  <si>
    <t>nguyen.trinhtung@amaris.com</t>
  </si>
  <si>
    <t>LE Ho Bao Thy</t>
  </si>
  <si>
    <t>TRAN Xuan Vu</t>
  </si>
  <si>
    <t>PHAM Nghi Lam</t>
  </si>
  <si>
    <t>VO Huynh Chi Tin</t>
  </si>
  <si>
    <t>NGUYEN Thi Kim Khanh</t>
  </si>
  <si>
    <t>nkhanh@amaris.com</t>
  </si>
  <si>
    <t>LE Lan Vy</t>
  </si>
  <si>
    <t>VU Thi Phuong Thao</t>
  </si>
  <si>
    <t>NGO Nguyen Bang</t>
  </si>
  <si>
    <t>DANG Quoc Anh - Qc</t>
  </si>
  <si>
    <t>TRAN Ngoc Quoc</t>
  </si>
  <si>
    <t>MAI Quoc Nhu Nhat Phung</t>
  </si>
  <si>
    <t>quocnhu.mai@amaris.com</t>
  </si>
  <si>
    <t>NGUYEN Van Thanh Thuan</t>
  </si>
  <si>
    <t>NGUYEN Minh Man</t>
  </si>
  <si>
    <t>minhman.nguyen@amaris.com</t>
  </si>
  <si>
    <t>NGUYEN Hoai Khanh Linh</t>
  </si>
  <si>
    <t>lnguyenhoaikhanh@mantu.com</t>
  </si>
  <si>
    <t>THAN Quang Truong</t>
  </si>
  <si>
    <t>truong.than@amaris.com</t>
  </si>
  <si>
    <t>DANG Van Trien</t>
  </si>
  <si>
    <t>TRAN Thi Ngoc Anh</t>
  </si>
  <si>
    <t>thingoc.tran@amaris.com</t>
  </si>
  <si>
    <t>TRAN Quynh Diem Tran</t>
  </si>
  <si>
    <t>qtran4@amaris.com</t>
  </si>
  <si>
    <t>PHAM Trung Kien</t>
  </si>
  <si>
    <t>NGUYEN Vu Phuong</t>
  </si>
  <si>
    <t>LE Thanh Tuong</t>
  </si>
  <si>
    <t>tle14@mantu.com</t>
  </si>
  <si>
    <t>VO Ba Long</t>
  </si>
  <si>
    <t>lvo2@mantu.com</t>
  </si>
  <si>
    <t>HUYNH Thi Hong Tham</t>
  </si>
  <si>
    <t>hongtham.huynhthi@amaris.com</t>
  </si>
  <si>
    <t>HA Thanh Huong</t>
  </si>
  <si>
    <t>DANG Quoc Anh</t>
  </si>
  <si>
    <t>HA Huyen Trang</t>
  </si>
  <si>
    <t>NGUYEN Thi Nhat Le</t>
  </si>
  <si>
    <t>nhatle.nguyenthi@amaris.com</t>
  </si>
  <si>
    <t>LE Dinh Van</t>
  </si>
  <si>
    <t>PHAN Nguyen Quynh Nhu</t>
  </si>
  <si>
    <t>nphan1@mantu.com</t>
  </si>
  <si>
    <t>HO Thi Lanh</t>
  </si>
  <si>
    <t>DINH Thi Ngoc Thuy</t>
  </si>
  <si>
    <t>DO Thi Hue</t>
  </si>
  <si>
    <t>LE Thanh Phuoc</t>
  </si>
  <si>
    <t>HUYNH Ba Nghi</t>
  </si>
  <si>
    <t>NGUYEN Quoc Oai</t>
  </si>
  <si>
    <t>quocoai.nguyen@amaris.com</t>
  </si>
  <si>
    <t>VU Phuong</t>
  </si>
  <si>
    <t>LE Minh Nghi</t>
  </si>
  <si>
    <t>PHAM Van Toan</t>
  </si>
  <si>
    <t>NGUYEN Huynh Duy Duc</t>
  </si>
  <si>
    <t>rnguyen@mantu.com</t>
  </si>
  <si>
    <t>VU Huu Truong</t>
  </si>
  <si>
    <t>TRAN Thi Minh Phuong</t>
  </si>
  <si>
    <t>NGUYEN Duc Thien</t>
  </si>
  <si>
    <t>ducthien.nguyen@amaris.com</t>
  </si>
  <si>
    <t>NGUYEN Ha Phuong</t>
  </si>
  <si>
    <t>hnguyen18@mantu.com</t>
  </si>
  <si>
    <t>DANG Truong Tho</t>
  </si>
  <si>
    <t>TRAN Ngoc Trang Dai</t>
  </si>
  <si>
    <t>LE Huu Tung</t>
  </si>
  <si>
    <t>LE Dang Quang</t>
  </si>
  <si>
    <t>NGUYEN Huu Quy</t>
  </si>
  <si>
    <t>hnguyen19@mantu.com</t>
  </si>
  <si>
    <t>VU Song Toan</t>
  </si>
  <si>
    <t>DINH Xuan Huy</t>
  </si>
  <si>
    <t>xuanhuy.dinh@amaris.com</t>
  </si>
  <si>
    <t>HUYNH Nguyen Tuan Anh</t>
  </si>
  <si>
    <t>tuananh.nguyenhuynh@amaris.com</t>
  </si>
  <si>
    <t>HOANG Dinh Hung</t>
  </si>
  <si>
    <t>dinhhung.hoang@amaris.com</t>
  </si>
  <si>
    <t>NGUYEN Chau Giang</t>
  </si>
  <si>
    <t>VU Hoang Quan</t>
  </si>
  <si>
    <t>hvu5@mantu.com</t>
  </si>
  <si>
    <t>HOANG Trung Thong</t>
  </si>
  <si>
    <t>PHAN Anh Quan</t>
  </si>
  <si>
    <t>NGUYEN Dang Khoa</t>
  </si>
  <si>
    <t>dangkhoa.nguyen@amaris.com</t>
  </si>
  <si>
    <t>NGUYEN Thu Hong</t>
  </si>
  <si>
    <t>NGUYEN Ngoc Nguyen Ngan - Emily</t>
  </si>
  <si>
    <t>TRAN Quang Tin</t>
  </si>
  <si>
    <t>BUI Cong Danh</t>
  </si>
  <si>
    <t>HOANG Kieu Anh</t>
  </si>
  <si>
    <t>DIEP Tue Quan</t>
  </si>
  <si>
    <t>PHAM Ngoc Thanh</t>
  </si>
  <si>
    <t>LA Hoang Tu</t>
  </si>
  <si>
    <t>NGUYEN Quang Nien</t>
  </si>
  <si>
    <t>PHAM Ngoc Thuy Trang</t>
  </si>
  <si>
    <t>DOAN Hoang Minh</t>
  </si>
  <si>
    <t>LE Thanh Tung</t>
  </si>
  <si>
    <t>PHAM Khanh</t>
  </si>
  <si>
    <t>PHAN Manh Cuong</t>
  </si>
  <si>
    <t>mphan2@mantu.com</t>
  </si>
  <si>
    <t>NGUYEN Dang Tung</t>
  </si>
  <si>
    <t>tnguyen52@mantu.com</t>
  </si>
  <si>
    <t>NGUYEN Tri Hung</t>
  </si>
  <si>
    <t>DO Minh</t>
  </si>
  <si>
    <t>minh.do1@amaris.com</t>
  </si>
  <si>
    <t>DINH Ho Gia Nguyen</t>
  </si>
  <si>
    <t>LE Minh Phuong</t>
  </si>
  <si>
    <t>phuong.leminh@littlebigconnection.com</t>
  </si>
  <si>
    <t>AKAICHI Hajer</t>
  </si>
  <si>
    <t>NGUYEN Hong Chuong</t>
  </si>
  <si>
    <t>TON That Viet Anh</t>
  </si>
  <si>
    <t>VUONG Thi Hoa</t>
  </si>
  <si>
    <t>NGUYEN Thuy Dan</t>
  </si>
  <si>
    <t>tnguyen5@mantu.com</t>
  </si>
  <si>
    <t>PHAM Van Tai</t>
  </si>
  <si>
    <t>HA Thu Trang</t>
  </si>
  <si>
    <t>tha3@mantu.com</t>
  </si>
  <si>
    <t>SIERRA Juan Ignacio</t>
  </si>
  <si>
    <t>NGUYEN Hoai Nhu Y</t>
  </si>
  <si>
    <t>TRUONG Thi Phuong Thao</t>
  </si>
  <si>
    <t>PHAN Xuan Quang</t>
  </si>
  <si>
    <t>VO Ba Hoang Viet</t>
  </si>
  <si>
    <t>NGUYEN Thanh Dat</t>
  </si>
  <si>
    <t>NGUYEN Minh Quoc</t>
  </si>
  <si>
    <t>mnguyen11@mantu.com</t>
  </si>
  <si>
    <t>PHAM Huu Khoi Nguyen</t>
  </si>
  <si>
    <t>LE Thi Mai Anh</t>
  </si>
  <si>
    <t>PHAN Thanh Nhan</t>
  </si>
  <si>
    <t>HO Vu Nguyen Ngoc</t>
  </si>
  <si>
    <t>vunguyen.ho@amaris.com</t>
  </si>
  <si>
    <t>TRAN Minh Quang</t>
  </si>
  <si>
    <t>NGUYEN Thien Hieu</t>
  </si>
  <si>
    <t>thienhieu.nguyen@amaris.com</t>
  </si>
  <si>
    <t>VO Minh Hieu</t>
  </si>
  <si>
    <t>minhhieu.vo@amaris.com</t>
  </si>
  <si>
    <t>CAO Van Tien</t>
  </si>
  <si>
    <t>LE Thi Ngoc Mai</t>
  </si>
  <si>
    <t>NGUYEN Le Man Dat</t>
  </si>
  <si>
    <t>NGUYEN Hoang Thanh Thanh</t>
  </si>
  <si>
    <t>NGUYEN Quynh Mai</t>
  </si>
  <si>
    <t>TRAN Pham Khanh Linh</t>
  </si>
  <si>
    <t>DANG Hai Trieu</t>
  </si>
  <si>
    <t>DOAN Le Bao Tram - Rachel</t>
  </si>
  <si>
    <t>NGUYEN Duc Quang Vinh</t>
  </si>
  <si>
    <t>PHAM Nhat Khang</t>
  </si>
  <si>
    <t>npham@amaris.com</t>
  </si>
  <si>
    <t>DANG Minh Thu</t>
  </si>
  <si>
    <t>NGUYEN Kim Cong</t>
  </si>
  <si>
    <t>MAI Thien Bon</t>
  </si>
  <si>
    <t>tmai2@mantu.com</t>
  </si>
  <si>
    <t>LE Huynh Minh Quang</t>
  </si>
  <si>
    <t>huynhminh.le@amaris.com</t>
  </si>
  <si>
    <t>LE Thi Thanh Huong</t>
  </si>
  <si>
    <t>PHAM Hoang Phat</t>
  </si>
  <si>
    <t>pphamhoang@mantu.com</t>
  </si>
  <si>
    <t>NGUYEN Tuan Khoi</t>
  </si>
  <si>
    <t>HUYNH Cong Khanh</t>
  </si>
  <si>
    <t>HUYNH Ngoc Hoa</t>
  </si>
  <si>
    <t>NGUYEN Trieu Minh</t>
  </si>
  <si>
    <t>tnguyen59@mantu.com</t>
  </si>
  <si>
    <t>HUYNH Diem Thien Nga - Micky</t>
  </si>
  <si>
    <t>DINH Tien Khoi</t>
  </si>
  <si>
    <t>NGUYEN Minh Dang</t>
  </si>
  <si>
    <t>dnguyenminh@mantu.com</t>
  </si>
  <si>
    <t>NGUYEN Le Minh Trang</t>
  </si>
  <si>
    <t>NGUYEN Thanh An</t>
  </si>
  <si>
    <t>an.nguyenthanh@amaris.com</t>
  </si>
  <si>
    <t>NGUYEN Thanh Loc</t>
  </si>
  <si>
    <t>PHAM Huu Nghia</t>
  </si>
  <si>
    <t>LE Thi Ngoc Diep</t>
  </si>
  <si>
    <t>HOANG Minh</t>
  </si>
  <si>
    <t>minh.hoang@amaris.com</t>
  </si>
  <si>
    <t>NGUYEN Cong Duy</t>
  </si>
  <si>
    <t>duy.nguyencong@amaris.com</t>
  </si>
  <si>
    <t>PHAM Nguyen Duc Huy</t>
  </si>
  <si>
    <t>NGUYEN Thi Hong Hanh</t>
  </si>
  <si>
    <t>hanh.nguyen1@littlebigconnection.com</t>
  </si>
  <si>
    <t>NGUYEN Duy Phong</t>
  </si>
  <si>
    <t>PHAM Do Nhat Minh</t>
  </si>
  <si>
    <t>TRINH Nguyet Nuong</t>
  </si>
  <si>
    <t>ntrinhnguyet@mantu.com</t>
  </si>
  <si>
    <t>NGUYEN Hoang Hai</t>
  </si>
  <si>
    <t>NGUYEN Thanh Trung</t>
  </si>
  <si>
    <t>NGUYEN Truong Thi</t>
  </si>
  <si>
    <t>NGUYEN HUU Thanh Nam</t>
  </si>
  <si>
    <t>HO Van Vinh</t>
  </si>
  <si>
    <t>LE Thanh Duc</t>
  </si>
  <si>
    <t>NGUYEN Thi Lan Anh</t>
  </si>
  <si>
    <t>tnguyen7@mantu.com</t>
  </si>
  <si>
    <t>LB Operational Finance</t>
  </si>
  <si>
    <t>LE Ngoc Khanh</t>
  </si>
  <si>
    <t>LE Thi Tu Quyen</t>
  </si>
  <si>
    <t>LE Quang Phuoc</t>
  </si>
  <si>
    <t>CAO Chien Hao</t>
  </si>
  <si>
    <t>LE Hoang Quoc Bao</t>
  </si>
  <si>
    <t>CAO Trung Nghia</t>
  </si>
  <si>
    <t>NGUYEN Phuoc An Vu</t>
  </si>
  <si>
    <t>phuocan.nguyen@amaris.com</t>
  </si>
  <si>
    <t>LE Nguyen Nhat Anh</t>
  </si>
  <si>
    <t>TRAN Ngoc Phuong Uyen</t>
  </si>
  <si>
    <t>VU Ngoc Bao Han</t>
  </si>
  <si>
    <t>NGUYEN Kim Gia Huy</t>
  </si>
  <si>
    <t>TRAN Viet Hoang</t>
  </si>
  <si>
    <t>NGUYEN Hoang Ha Quyen</t>
  </si>
  <si>
    <t>VU Le Thai Ngoc</t>
  </si>
  <si>
    <t>lvu@amaris.com</t>
  </si>
  <si>
    <t>COURVOISIER Estelle</t>
  </si>
  <si>
    <t>NGO Tung Lam</t>
  </si>
  <si>
    <t>VO Dinh Phuoc Trung</t>
  </si>
  <si>
    <t>dvo1@mantu.com</t>
  </si>
  <si>
    <t>NGUYEN Thi Quynh Lien</t>
  </si>
  <si>
    <t>PHAM Hoang Mai Quyen</t>
  </si>
  <si>
    <t>NGUYEN Duy Nhat</t>
  </si>
  <si>
    <t>PHAM Le Khanh Chi</t>
  </si>
  <si>
    <t>TRAN Huu Thanh Tam</t>
  </si>
  <si>
    <t>NONG Thi Nguyet</t>
  </si>
  <si>
    <t>PHAN Do Gia Huy</t>
  </si>
  <si>
    <t>DAO Hong Son</t>
  </si>
  <si>
    <t>VO Trong Dien</t>
  </si>
  <si>
    <t>trongdien.vo@amaris.com</t>
  </si>
  <si>
    <t>LU Tran Thuy Linh</t>
  </si>
  <si>
    <t>VU Cong Duc</t>
  </si>
  <si>
    <t>congduc.vu@amaris.com</t>
  </si>
  <si>
    <t>HUYNH Huu Vinh</t>
  </si>
  <si>
    <t>huuvinh.huynh@amaris.com</t>
  </si>
  <si>
    <t>BUI Cuong</t>
  </si>
  <si>
    <t>TRAN Van Do</t>
  </si>
  <si>
    <t>VO NGOC Duy Nguyen</t>
  </si>
  <si>
    <t>NGUYEN Tan Hoang</t>
  </si>
  <si>
    <t>NGUYEN Quoc Hai Thanh</t>
  </si>
  <si>
    <t>LAM Bao Quyen</t>
  </si>
  <si>
    <t>DANG Hai Binh</t>
  </si>
  <si>
    <t>DINH Vu Bao Ngan</t>
  </si>
  <si>
    <t>vdinh@mantu.com</t>
  </si>
  <si>
    <t>NGUYEN Hoa Binh</t>
  </si>
  <si>
    <t>hoabinh.nguyen@amaris.com</t>
  </si>
  <si>
    <t>NGUYEN Ngoc Tuan</t>
  </si>
  <si>
    <t>TA THI Ngoc Tran</t>
  </si>
  <si>
    <t>CAO Thi Yen Khoa</t>
  </si>
  <si>
    <t>NGUYEN Thi Viet Trinh</t>
  </si>
  <si>
    <t>TRAN Thi Tram Ngan</t>
  </si>
  <si>
    <t>HUYNH Truong Huu Thanh</t>
  </si>
  <si>
    <t>truonghuu.huynh@amaris.com</t>
  </si>
  <si>
    <t>NGO Hung Vuong</t>
  </si>
  <si>
    <t>hungvuong.ngo@amaris.com</t>
  </si>
  <si>
    <t>PHAN Dai Duong</t>
  </si>
  <si>
    <t>LE Ngoc Minh</t>
  </si>
  <si>
    <t>ngocminh.le@amaris.com</t>
  </si>
  <si>
    <t>NGUYEN HUYNH Thanh Phuc</t>
  </si>
  <si>
    <t>NGUYEN Phuc Loi</t>
  </si>
  <si>
    <t>phucloi.nguyen@amaris.com</t>
  </si>
  <si>
    <t>CAO Nguyen Huy Hoang</t>
  </si>
  <si>
    <t>ncao@mantu.com</t>
  </si>
  <si>
    <t>CAO Duc Minh</t>
  </si>
  <si>
    <t>NGUYEN LE Chi Tam</t>
  </si>
  <si>
    <t>MAI Binh Nam</t>
  </si>
  <si>
    <t>HA Bao Khang</t>
  </si>
  <si>
    <t>TRAN Dinh Lam</t>
  </si>
  <si>
    <t>DANG Duy Duc</t>
  </si>
  <si>
    <t>duyduc.dang@amaris.com</t>
  </si>
  <si>
    <t>NGUYEN Nhu Vien</t>
  </si>
  <si>
    <t>NGUYEN Huu Minh Quan</t>
  </si>
  <si>
    <t>hnguyen12@mantu.com</t>
  </si>
  <si>
    <t>PIGACHE Hugo</t>
  </si>
  <si>
    <t>HA Quang Trinh</t>
  </si>
  <si>
    <t>PHAM THUY Thai An</t>
  </si>
  <si>
    <t>TRAN Phuc Thinh</t>
  </si>
  <si>
    <t>CHAU Thanh Duy</t>
  </si>
  <si>
    <t>PHAM Anh Quoc</t>
  </si>
  <si>
    <t>PHAM Tran Thao Vy</t>
  </si>
  <si>
    <t>VO Tran Phuong Nga</t>
  </si>
  <si>
    <t>TRAN Quoc Linh</t>
  </si>
  <si>
    <t>LE Hoang Dung</t>
  </si>
  <si>
    <t>NGUYEN Quang Huy</t>
  </si>
  <si>
    <t>quanghuy.nguyen@amaris.com</t>
  </si>
  <si>
    <t>NGUYEN Tien Manh</t>
  </si>
  <si>
    <t>NGUYEN Anh Quan</t>
  </si>
  <si>
    <t>anhquan.nguyen@amaris.com</t>
  </si>
  <si>
    <t>VAN Duc Thanh</t>
  </si>
  <si>
    <t>NGUYEN Luu Bao</t>
  </si>
  <si>
    <t>DANG Minh Quan</t>
  </si>
  <si>
    <t>NGUYEN Truong Duy</t>
  </si>
  <si>
    <t>nguyen.truongduy@amaris.com</t>
  </si>
  <si>
    <t>LY Lam Chi Khang</t>
  </si>
  <si>
    <t>TA Thi My Hanh</t>
  </si>
  <si>
    <t>PHAN Van Quang</t>
  </si>
  <si>
    <t>vanquang.phan@amaris.com</t>
  </si>
  <si>
    <t>LE Minh Tan</t>
  </si>
  <si>
    <t>minhtan.le@amaris.com</t>
  </si>
  <si>
    <t>TRAN Minh Tan</t>
  </si>
  <si>
    <t>PHAM Huu Vinh</t>
  </si>
  <si>
    <t>NGUYEN LE Anh Thu</t>
  </si>
  <si>
    <t>anhthu.nguyenle@amaris.com</t>
  </si>
  <si>
    <t>PHAM Nguyen Trong Tuan</t>
  </si>
  <si>
    <t>NGUYEN LE Duan</t>
  </si>
  <si>
    <t>HA THI NGOC Linh</t>
  </si>
  <si>
    <t>linh.ha@amaris.com</t>
  </si>
  <si>
    <t>TANG THI Lan Anh</t>
  </si>
  <si>
    <t>lananh.tangthi@amaris.com</t>
  </si>
  <si>
    <t>HOANG Dinh Anh Quoc</t>
  </si>
  <si>
    <t>NGUYEN Dinh Tien Dung</t>
  </si>
  <si>
    <t>DANG Quoc Nhat</t>
  </si>
  <si>
    <t>quocnhat.dang@amaris.com</t>
  </si>
  <si>
    <t>DINH THI Tu Uyen</t>
  </si>
  <si>
    <t>HA THI Phuong Linh</t>
  </si>
  <si>
    <t>phuonglinh.hathi@amaris.com</t>
  </si>
  <si>
    <t>DO Nguyen Phuong</t>
  </si>
  <si>
    <t>NGUYEN Huu Vinh</t>
  </si>
  <si>
    <t>NGUYEN Ha Nhi</t>
  </si>
  <si>
    <t>LUONG Thi Tram Anh</t>
  </si>
  <si>
    <t>NGUYEN Huy Tri</t>
  </si>
  <si>
    <t>NGUYEN Khac Duy</t>
  </si>
  <si>
    <t>NGUYEN Tien Huynh</t>
  </si>
  <si>
    <t>HOANG Phu Loc</t>
  </si>
  <si>
    <t>NGUYEN Hai Nam</t>
  </si>
  <si>
    <t>PHAN An Di</t>
  </si>
  <si>
    <t>andi.phan@amaris.com</t>
  </si>
  <si>
    <t>NGUYEN Anh Khoa</t>
  </si>
  <si>
    <t>PHUNG Quoc Hung</t>
  </si>
  <si>
    <t>NGUYEN SY Nguyen Ngoc</t>
  </si>
  <si>
    <t>KHUAT Van Thanh Danh</t>
  </si>
  <si>
    <t>MAI Huu Ngan</t>
  </si>
  <si>
    <t>LE Minh Thuan</t>
  </si>
  <si>
    <t>CAO Hoai Sang</t>
  </si>
  <si>
    <t>CHUNG Khanh Gia</t>
  </si>
  <si>
    <t>NGUYEN Chi Hau</t>
  </si>
  <si>
    <t>NGUYEN Ngoc Thao My</t>
  </si>
  <si>
    <t>TRINH LE THAO Uyen</t>
  </si>
  <si>
    <t>TRAN Thi Anh Thu</t>
  </si>
  <si>
    <t>TRAN Huu Phuc - Tony</t>
  </si>
  <si>
    <t>NGUYEN Anh Tuan</t>
  </si>
  <si>
    <t>DO Binh Duong</t>
  </si>
  <si>
    <t>LE Thi Hanh Ngan</t>
  </si>
  <si>
    <t>tle17@amaris.com</t>
  </si>
  <si>
    <t>Cash Management</t>
  </si>
  <si>
    <t>PHAM Minh Tuan</t>
  </si>
  <si>
    <t>HO Thanh Phong</t>
  </si>
  <si>
    <t>LE Van Tam</t>
  </si>
  <si>
    <t>vle4@mantu.com</t>
  </si>
  <si>
    <t>NGUYEN Gia Huy</t>
  </si>
  <si>
    <t>hnguyen20@mantu.com</t>
  </si>
  <si>
    <t>NGUYEN Hoang Long</t>
  </si>
  <si>
    <t>PHAN Thi Kieu Tien</t>
  </si>
  <si>
    <t>PHAM Trung Hieu</t>
  </si>
  <si>
    <t>NGUYEN Dang Thuy Duong</t>
  </si>
  <si>
    <t>LE Thi My Tam - Cindy</t>
  </si>
  <si>
    <t>NGUYEN The Dao</t>
  </si>
  <si>
    <t>thedao.nguyen@amaris.com</t>
  </si>
  <si>
    <t>VO Tuong Duy</t>
  </si>
  <si>
    <t>PHAN Nhu Hai Luu</t>
  </si>
  <si>
    <t>NGUYEN Huu Thinh</t>
  </si>
  <si>
    <t>NGUYEN Le Kim Ngan</t>
  </si>
  <si>
    <t>TRUONG HUY Hoang Anh</t>
  </si>
  <si>
    <t>hoanganh.truonghuy@amaris.com</t>
  </si>
  <si>
    <t>PHAM Thuy Anh Thu</t>
  </si>
  <si>
    <t>thuyanh.pham@amaris.com</t>
  </si>
  <si>
    <t>NGUYEN Huu Nam Quang</t>
  </si>
  <si>
    <t>hnguyen5@mantu.com</t>
  </si>
  <si>
    <t>PHAM Dang Khoa</t>
  </si>
  <si>
    <t>NGUYEN Thi Quynh Phuong</t>
  </si>
  <si>
    <t>DO Quang Trung</t>
  </si>
  <si>
    <t>HUYNH Duy Khoa</t>
  </si>
  <si>
    <t>dhuynh@mantu.com</t>
  </si>
  <si>
    <t>HOANG Xuan Dat</t>
  </si>
  <si>
    <t>VO Van Vuong</t>
  </si>
  <si>
    <t>vanvuong.vo@amaris.com</t>
  </si>
  <si>
    <t>HOANG Lam Tam Nhu</t>
  </si>
  <si>
    <t>DAO Ngoc Gia Thoai</t>
  </si>
  <si>
    <t>VO Dinh Que Chau</t>
  </si>
  <si>
    <t>LE Chau Sy Dat</t>
  </si>
  <si>
    <t>TRAN Nhat Minh</t>
  </si>
  <si>
    <t>TRAN Tuan Thanh</t>
  </si>
  <si>
    <t>NGUYEN Hoang Minh</t>
  </si>
  <si>
    <t>PHAN Tung Duy</t>
  </si>
  <si>
    <t>tungduy.phan@amaris.com</t>
  </si>
  <si>
    <t>PHAM Tien Dat</t>
  </si>
  <si>
    <t>NGUYEN Thi Ha Trang</t>
  </si>
  <si>
    <t>DOAN Thien Trang</t>
  </si>
  <si>
    <t>PHAN Thanh Dat</t>
  </si>
  <si>
    <t>thanhdat.phan@amaris.com</t>
  </si>
  <si>
    <t>NGO Minh Tai</t>
  </si>
  <si>
    <t>mngo@mantu.com</t>
  </si>
  <si>
    <t>TRAN Nhut Trung</t>
  </si>
  <si>
    <t>ntran1@mantu.com</t>
  </si>
  <si>
    <t>BE Khanh Duy</t>
  </si>
  <si>
    <t>khanhduy.be@amaris.com</t>
  </si>
  <si>
    <t>DAO Kim Nha</t>
  </si>
  <si>
    <t>NGUYEN ANH Tu</t>
  </si>
  <si>
    <t>LUONG Hoang Chi Thien</t>
  </si>
  <si>
    <t>hoangchi.luong@amaris.com</t>
  </si>
  <si>
    <t>LE Phuoc Son</t>
  </si>
  <si>
    <t>LE Van Hao</t>
  </si>
  <si>
    <t>NGUYEN Tan Hoang - Bi</t>
  </si>
  <si>
    <t>NGUYEN Thi Quynh Nhu</t>
  </si>
  <si>
    <t>HA Ngoc My</t>
  </si>
  <si>
    <t>KIEU Quoc Trung</t>
  </si>
  <si>
    <t>xvo@mantu.com</t>
  </si>
  <si>
    <t>BERTHE Damien</t>
  </si>
  <si>
    <t>TRAN Nham Quy</t>
  </si>
  <si>
    <t>NGUYEN Thi Khanh</t>
  </si>
  <si>
    <t>LE Thuy Phuong - Kaitlyn</t>
  </si>
  <si>
    <t>THAI Trung Tin</t>
  </si>
  <si>
    <t>HA Thu</t>
  </si>
  <si>
    <t>thu.ha@amaris.com</t>
  </si>
  <si>
    <t>LE THI Phuong Hang</t>
  </si>
  <si>
    <t>LE Huu Phuc</t>
  </si>
  <si>
    <t>DO Hieu Minh</t>
  </si>
  <si>
    <t>PHAM Chi Truong - Chris</t>
  </si>
  <si>
    <t>cpham2@mantu.com</t>
  </si>
  <si>
    <t>BUNDHOO Hashim Mohammad</t>
  </si>
  <si>
    <t>Financial Account Management</t>
  </si>
  <si>
    <t>DANG MINH Nhat</t>
  </si>
  <si>
    <t>NGUYEN Hai Thien</t>
  </si>
  <si>
    <t>HONG Yen Xuan</t>
  </si>
  <si>
    <t>DOAN Minh Khanh</t>
  </si>
  <si>
    <t>minhkhanh.doan@amaris.com</t>
  </si>
  <si>
    <t>TRAN TRUONG Ngoc Han</t>
  </si>
  <si>
    <t>ngochan.trantruong@amaris.com</t>
  </si>
  <si>
    <t>NGUYEN Phuc Anh Khoi</t>
  </si>
  <si>
    <t>NGO Minh Trung</t>
  </si>
  <si>
    <t>minhtrung.ngo@amaris.com</t>
  </si>
  <si>
    <t>NGUYEN Ho Ngoc Tran</t>
  </si>
  <si>
    <t>LE Xuan Tung</t>
  </si>
  <si>
    <t>NGUYEN Thi Thanh Thao</t>
  </si>
  <si>
    <t>BUI Minh Nhat</t>
  </si>
  <si>
    <t>NGUYEN NGOC HONG Hanh</t>
  </si>
  <si>
    <t>KHAN Mohammed Zaffrulla</t>
  </si>
  <si>
    <t>VO Tran Trong Luan</t>
  </si>
  <si>
    <t>trantrong.vo@amaris.com</t>
  </si>
  <si>
    <t>Out</t>
  </si>
  <si>
    <t>NGUYEN Tuan Khanh Duy</t>
  </si>
  <si>
    <t>knguyentuan@mantu.com</t>
  </si>
  <si>
    <t>LE Dac Danh Lam</t>
  </si>
  <si>
    <t>dle@mantu.com</t>
  </si>
  <si>
    <t>VO Thi Ngoc Trong</t>
  </si>
  <si>
    <t>ngoctrong.vothi@amaris.com</t>
  </si>
  <si>
    <t>LUONG Thai Hien</t>
  </si>
  <si>
    <t>LIN Clémence</t>
  </si>
  <si>
    <t>Phòng 4 rẻ hơn phòng 2</t>
  </si>
  <si>
    <t>Optimize phòng 4</t>
  </si>
  <si>
    <t>1 Phòng 2 ng lớn + con nít dưới 5</t>
  </si>
  <si>
    <t>01</t>
  </si>
  <si>
    <t>Phòng 2 view đẹp</t>
  </si>
  <si>
    <t>Nếu không thì phải extra bed/room</t>
  </si>
  <si>
    <t>02</t>
  </si>
  <si>
    <t>Tăng bonding: Xếp staff với CS nếu có space</t>
  </si>
  <si>
    <t>03</t>
  </si>
  <si>
    <t>Không đi</t>
  </si>
  <si>
    <t>70% giá phòng</t>
  </si>
  <si>
    <t>04</t>
  </si>
  <si>
    <t>3tr 2tr1</t>
  </si>
  <si>
    <t>05</t>
  </si>
  <si>
    <t>06</t>
  </si>
  <si>
    <t>07</t>
  </si>
  <si>
    <t>08</t>
  </si>
  <si>
    <t>09</t>
  </si>
  <si>
    <t>C age</t>
  </si>
  <si>
    <t>Tuổi</t>
  </si>
  <si>
    <t>Số lượng</t>
  </si>
  <si>
    <t>Total</t>
  </si>
  <si>
    <t>ID</t>
  </si>
  <si>
    <t>PHẠM TRUNG HIẾU</t>
  </si>
  <si>
    <t>NGUYỄN QUANG NIÊN</t>
  </si>
  <si>
    <t>LƯỜNG TIẾN THUẬN HẢI</t>
  </si>
  <si>
    <t>ĐỖ NGUYÊN PHƯƠNG</t>
  </si>
  <si>
    <t>HUỲNH MINH TRIẾT</t>
  </si>
  <si>
    <t>ĐỖ HIẾU MINH</t>
  </si>
  <si>
    <t>Đổi dạng phòng</t>
  </si>
  <si>
    <t>Đổi roomate do ex-roomate không đi</t>
  </si>
  <si>
    <t>Đổi đi chung sang đi riêng</t>
  </si>
  <si>
    <t>Đổi bus</t>
  </si>
  <si>
    <t>Sheraton - Room</t>
  </si>
  <si>
    <t>0802</t>
  </si>
  <si>
    <t>0806</t>
  </si>
  <si>
    <t>0811</t>
  </si>
  <si>
    <t>0901</t>
  </si>
  <si>
    <t>0909</t>
  </si>
  <si>
    <t>0908</t>
  </si>
  <si>
    <t>0808</t>
  </si>
  <si>
    <t>0809</t>
  </si>
  <si>
    <t>0810</t>
  </si>
  <si>
    <t>0906</t>
  </si>
  <si>
    <t>0915</t>
  </si>
  <si>
    <t>0902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</si>
</sst>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_-;\-* #,##0_-;_-* &quot;-&quot;??_-;_-@_-"/>
  </numFmts>
  <fonts count="1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rgb="FFFFFFFF"/>
      <name val="Calibri"/>
      <family val="2"/>
    </font>
    <font>
      <sz val="11"/>
      <color rgb="FF000000"/>
      <name val="Calibri"/>
      <family val="2"/>
    </font>
    <font>
      <sz val="11"/>
      <color rgb="FF000000"/>
      <name val="Aptos Narrow"/>
      <family val="2"/>
    </font>
    <font>
      <b/>
      <sz val="11"/>
      <color theme="0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FF0000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entury Gothic"/>
      <family val="2"/>
    </font>
    <font>
      <sz val="11"/>
      <name val="Aptos Display"/>
      <family val="2"/>
    </font>
    <font>
      <b/>
      <sz val="11"/>
      <color theme="0"/>
      <name val="Aptos Display"/>
      <family val="2"/>
    </font>
    <font>
      <sz val="11"/>
      <color theme="0"/>
      <name val="Aptos Display"/>
      <family val="2"/>
    </font>
    <font>
      <b/>
      <sz val="11"/>
      <color rgb="FFFFFF00"/>
      <name val="Aptos Display"/>
      <family val="2"/>
    </font>
    <font>
      <b/>
      <sz val="11"/>
      <color rgb="FFC00000"/>
      <name val="Calibri"/>
      <family val="2"/>
      <scheme val="minor"/>
    </font>
  </fonts>
  <fills count="2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4F81BD"/>
        <bgColor rgb="FF4F81BD"/>
      </patternFill>
    </fill>
    <fill>
      <patternFill patternType="solid">
        <fgColor rgb="FFDCE6F1"/>
        <bgColor rgb="FFDCE6F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59999389629810485"/>
        <bgColor theme="4" tint="0.79998168889431442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8CE7EC"/>
        <bgColor indexed="64"/>
      </patternFill>
    </fill>
    <fill>
      <patternFill patternType="solid">
        <fgColor rgb="FFF0C9F7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rgb="FFDDEBF7"/>
        <bgColor rgb="FFDDEBF7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EAC0D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DDFFFF"/>
        <bgColor indexed="64"/>
      </patternFill>
    </fill>
    <fill>
      <patternFill patternType="solid">
        <fgColor rgb="FFCFCFE7"/>
        <bgColor indexed="64"/>
      </patternFill>
    </fill>
    <fill>
      <patternFill patternType="solid">
        <fgColor rgb="FFCDCDCD"/>
        <bgColor indexed="64"/>
      </patternFill>
    </fill>
  </fills>
  <borders count="6">
    <border>
      <left/>
      <right/>
      <top/>
      <bottom/>
      <diagonal/>
    </border>
    <border>
      <left/>
      <right/>
      <top style="thin">
        <color rgb="FF95B3D7"/>
      </top>
      <bottom style="thin">
        <color rgb="FF95B3D7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rgb="FF95B3D7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</borders>
  <cellStyleXfs count="4">
    <xf numFmtId="0" fontId="0" fillId="0" borderId="0"/>
    <xf numFmtId="0" fontId="2" fillId="0" borderId="0" applyNumberFormat="0" applyFill="0" applyBorder="0" applyAlignment="0" applyProtection="0"/>
    <xf numFmtId="0" fontId="11" fillId="0" borderId="0"/>
    <xf numFmtId="0" fontId="12" fillId="0" borderId="0"/>
  </cellStyleXfs>
  <cellXfs count="113">
    <xf numFmtId="0" fontId="0" fillId="0" borderId="0" xfId="0"/>
    <xf numFmtId="0" fontId="0" fillId="0" borderId="0" xfId="0" quotePrefix="1"/>
    <xf numFmtId="49" fontId="0" fillId="0" borderId="0" xfId="0" applyNumberFormat="1"/>
    <xf numFmtId="49" fontId="0" fillId="0" borderId="0" xfId="0" applyNumberFormat="1" applyAlignment="1">
      <alignment wrapText="1"/>
    </xf>
    <xf numFmtId="0" fontId="1" fillId="0" borderId="0" xfId="0" applyFont="1"/>
    <xf numFmtId="0" fontId="0" fillId="2" borderId="0" xfId="0" applyFill="1"/>
    <xf numFmtId="0" fontId="3" fillId="4" borderId="1" xfId="0" applyFont="1" applyFill="1" applyBorder="1"/>
    <xf numFmtId="0" fontId="4" fillId="5" borderId="1" xfId="0" applyFont="1" applyFill="1" applyBorder="1"/>
    <xf numFmtId="0" fontId="4" fillId="0" borderId="1" xfId="0" applyFont="1" applyBorder="1"/>
    <xf numFmtId="0" fontId="0" fillId="0" borderId="0" xfId="0" pivotButton="1"/>
    <xf numFmtId="49" fontId="0" fillId="6" borderId="2" xfId="0" applyNumberFormat="1" applyFill="1" applyBorder="1"/>
    <xf numFmtId="0" fontId="0" fillId="0" borderId="0" xfId="0" applyAlignment="1">
      <alignment wrapText="1"/>
    </xf>
    <xf numFmtId="164" fontId="0" fillId="0" borderId="0" xfId="0" applyNumberFormat="1"/>
    <xf numFmtId="0" fontId="6" fillId="7" borderId="5" xfId="0" applyFont="1" applyFill="1" applyBorder="1"/>
    <xf numFmtId="0" fontId="6" fillId="7" borderId="2" xfId="0" applyFont="1" applyFill="1" applyBorder="1"/>
    <xf numFmtId="0" fontId="0" fillId="0" borderId="2" xfId="0" applyBorder="1"/>
    <xf numFmtId="0" fontId="0" fillId="2" borderId="5" xfId="0" applyFill="1" applyBorder="1"/>
    <xf numFmtId="0" fontId="0" fillId="2" borderId="2" xfId="0" applyFill="1" applyBorder="1"/>
    <xf numFmtId="0" fontId="0" fillId="6" borderId="2" xfId="0" applyFill="1" applyBorder="1"/>
    <xf numFmtId="0" fontId="0" fillId="0" borderId="5" xfId="0" applyBorder="1"/>
    <xf numFmtId="0" fontId="0" fillId="6" borderId="5" xfId="0" applyFill="1" applyBorder="1"/>
    <xf numFmtId="0" fontId="5" fillId="0" borderId="0" xfId="0" applyFont="1"/>
    <xf numFmtId="0" fontId="0" fillId="9" borderId="0" xfId="0" applyFill="1"/>
    <xf numFmtId="0" fontId="3" fillId="4" borderId="0" xfId="0" applyFont="1" applyFill="1"/>
    <xf numFmtId="0" fontId="4" fillId="0" borderId="3" xfId="0" applyFont="1" applyBorder="1"/>
    <xf numFmtId="0" fontId="8" fillId="0" borderId="0" xfId="0" applyFont="1"/>
    <xf numFmtId="49" fontId="0" fillId="0" borderId="4" xfId="0" applyNumberFormat="1" applyBorder="1"/>
    <xf numFmtId="0" fontId="6" fillId="3" borderId="2" xfId="0" applyFont="1" applyFill="1" applyBorder="1"/>
    <xf numFmtId="0" fontId="7" fillId="2" borderId="2" xfId="0" applyFont="1" applyFill="1" applyBorder="1"/>
    <xf numFmtId="49" fontId="0" fillId="6" borderId="2" xfId="0" quotePrefix="1" applyNumberFormat="1" applyFill="1" applyBorder="1"/>
    <xf numFmtId="0" fontId="0" fillId="3" borderId="2" xfId="0" applyFill="1" applyBorder="1"/>
    <xf numFmtId="0" fontId="0" fillId="11" borderId="2" xfId="0" applyFill="1" applyBorder="1"/>
    <xf numFmtId="49" fontId="0" fillId="0" borderId="2" xfId="0" applyNumberFormat="1" applyBorder="1"/>
    <xf numFmtId="49" fontId="0" fillId="0" borderId="2" xfId="0" quotePrefix="1" applyNumberFormat="1" applyBorder="1"/>
    <xf numFmtId="49" fontId="8" fillId="6" borderId="2" xfId="0" applyNumberFormat="1" applyFont="1" applyFill="1" applyBorder="1"/>
    <xf numFmtId="0" fontId="8" fillId="3" borderId="2" xfId="0" applyFont="1" applyFill="1" applyBorder="1"/>
    <xf numFmtId="0" fontId="8" fillId="6" borderId="2" xfId="0" applyFont="1" applyFill="1" applyBorder="1"/>
    <xf numFmtId="0" fontId="8" fillId="11" borderId="2" xfId="0" applyFont="1" applyFill="1" applyBorder="1"/>
    <xf numFmtId="49" fontId="8" fillId="0" borderId="2" xfId="0" applyNumberFormat="1" applyFont="1" applyBorder="1"/>
    <xf numFmtId="49" fontId="0" fillId="0" borderId="2" xfId="0" applyNumberFormat="1" applyBorder="1" applyAlignment="1">
      <alignment wrapText="1"/>
    </xf>
    <xf numFmtId="0" fontId="8" fillId="0" borderId="2" xfId="0" applyFont="1" applyBorder="1"/>
    <xf numFmtId="0" fontId="0" fillId="6" borderId="2" xfId="0" quotePrefix="1" applyFill="1" applyBorder="1"/>
    <xf numFmtId="49" fontId="0" fillId="6" borderId="2" xfId="0" applyNumberFormat="1" applyFill="1" applyBorder="1" applyAlignment="1">
      <alignment wrapText="1"/>
    </xf>
    <xf numFmtId="49" fontId="0" fillId="2" borderId="2" xfId="0" applyNumberFormat="1" applyFill="1" applyBorder="1"/>
    <xf numFmtId="0" fontId="0" fillId="0" borderId="2" xfId="0" quotePrefix="1" applyBorder="1"/>
    <xf numFmtId="0" fontId="0" fillId="8" borderId="2" xfId="0" applyFill="1" applyBorder="1"/>
    <xf numFmtId="0" fontId="5" fillId="6" borderId="2" xfId="0" applyFont="1" applyFill="1" applyBorder="1"/>
    <xf numFmtId="0" fontId="0" fillId="12" borderId="2" xfId="0" applyFill="1" applyBorder="1"/>
    <xf numFmtId="0" fontId="0" fillId="12" borderId="2" xfId="0" quotePrefix="1" applyFill="1" applyBorder="1"/>
    <xf numFmtId="0" fontId="0" fillId="8" borderId="2" xfId="0" quotePrefix="1" applyFill="1" applyBorder="1"/>
    <xf numFmtId="0" fontId="0" fillId="8" borderId="2" xfId="0" applyFill="1" applyBorder="1" applyAlignment="1">
      <alignment wrapText="1"/>
    </xf>
    <xf numFmtId="49" fontId="0" fillId="8" borderId="2" xfId="0" applyNumberFormat="1" applyFill="1" applyBorder="1"/>
    <xf numFmtId="49" fontId="0" fillId="8" borderId="2" xfId="0" quotePrefix="1" applyNumberFormat="1" applyFill="1" applyBorder="1"/>
    <xf numFmtId="49" fontId="0" fillId="12" borderId="2" xfId="0" applyNumberFormat="1" applyFill="1" applyBorder="1"/>
    <xf numFmtId="49" fontId="0" fillId="12" borderId="2" xfId="0" quotePrefix="1" applyNumberFormat="1" applyFill="1" applyBorder="1"/>
    <xf numFmtId="49" fontId="0" fillId="12" borderId="2" xfId="0" applyNumberFormat="1" applyFill="1" applyBorder="1" applyAlignment="1">
      <alignment wrapText="1"/>
    </xf>
    <xf numFmtId="0" fontId="6" fillId="7" borderId="0" xfId="0" applyFont="1" applyFill="1"/>
    <xf numFmtId="0" fontId="0" fillId="13" borderId="2" xfId="0" applyFill="1" applyBorder="1"/>
    <xf numFmtId="0" fontId="8" fillId="2" borderId="2" xfId="0" applyFont="1" applyFill="1" applyBorder="1"/>
    <xf numFmtId="0" fontId="8" fillId="13" borderId="2" xfId="0" applyFont="1" applyFill="1" applyBorder="1"/>
    <xf numFmtId="49" fontId="8" fillId="0" borderId="2" xfId="0" applyNumberFormat="1" applyFont="1" applyBorder="1" applyAlignment="1">
      <alignment wrapText="1"/>
    </xf>
    <xf numFmtId="0" fontId="0" fillId="14" borderId="2" xfId="0" applyFill="1" applyBorder="1"/>
    <xf numFmtId="0" fontId="0" fillId="10" borderId="2" xfId="0" applyFill="1" applyBorder="1"/>
    <xf numFmtId="0" fontId="8" fillId="10" borderId="2" xfId="0" applyFont="1" applyFill="1" applyBorder="1"/>
    <xf numFmtId="0" fontId="0" fillId="15" borderId="2" xfId="0" applyFill="1" applyBorder="1"/>
    <xf numFmtId="0" fontId="0" fillId="16" borderId="2" xfId="0" applyFill="1" applyBorder="1"/>
    <xf numFmtId="0" fontId="8" fillId="16" borderId="2" xfId="0" applyFont="1" applyFill="1" applyBorder="1"/>
    <xf numFmtId="0" fontId="0" fillId="17" borderId="2" xfId="0" applyFill="1" applyBorder="1"/>
    <xf numFmtId="0" fontId="8" fillId="17" borderId="2" xfId="0" applyFont="1" applyFill="1" applyBorder="1"/>
    <xf numFmtId="0" fontId="8" fillId="15" borderId="2" xfId="0" applyFont="1" applyFill="1" applyBorder="1"/>
    <xf numFmtId="0" fontId="8" fillId="12" borderId="2" xfId="0" applyFont="1" applyFill="1" applyBorder="1"/>
    <xf numFmtId="0" fontId="0" fillId="0" borderId="0" xfId="0" applyAlignment="1">
      <alignment horizontal="left"/>
    </xf>
    <xf numFmtId="49" fontId="2" fillId="0" borderId="2" xfId="1" applyNumberFormat="1" applyBorder="1"/>
    <xf numFmtId="49" fontId="2" fillId="2" borderId="2" xfId="1" applyNumberFormat="1" applyFill="1" applyBorder="1"/>
    <xf numFmtId="0" fontId="2" fillId="6" borderId="2" xfId="1" applyFill="1" applyBorder="1"/>
    <xf numFmtId="49" fontId="2" fillId="6" borderId="2" xfId="1" applyNumberFormat="1" applyFill="1" applyBorder="1"/>
    <xf numFmtId="49" fontId="2" fillId="0" borderId="0" xfId="1" applyNumberFormat="1" applyFill="1" applyAlignment="1"/>
    <xf numFmtId="0" fontId="2" fillId="0" borderId="0" xfId="1" applyFill="1" applyAlignment="1"/>
    <xf numFmtId="0" fontId="10" fillId="18" borderId="0" xfId="0" applyFont="1" applyFill="1"/>
    <xf numFmtId="0" fontId="10" fillId="0" borderId="0" xfId="0" applyFont="1"/>
    <xf numFmtId="0" fontId="10" fillId="0" borderId="0" xfId="0" quotePrefix="1" applyFont="1"/>
    <xf numFmtId="0" fontId="2" fillId="0" borderId="0" xfId="1" applyNumberFormat="1" applyFill="1" applyAlignment="1"/>
    <xf numFmtId="49" fontId="10" fillId="0" borderId="0" xfId="0" applyNumberFormat="1" applyFont="1"/>
    <xf numFmtId="0" fontId="0" fillId="19" borderId="0" xfId="0" applyFill="1"/>
    <xf numFmtId="0" fontId="13" fillId="0" borderId="4" xfId="2" applyFont="1" applyBorder="1" applyAlignment="1">
      <alignment horizontal="center" vertical="center"/>
    </xf>
    <xf numFmtId="49" fontId="0" fillId="0" borderId="0" xfId="0" quotePrefix="1" applyNumberFormat="1"/>
    <xf numFmtId="49" fontId="0" fillId="21" borderId="0" xfId="0" quotePrefix="1" applyNumberFormat="1" applyFill="1"/>
    <xf numFmtId="0" fontId="14" fillId="22" borderId="4" xfId="2" applyFont="1" applyFill="1" applyBorder="1"/>
    <xf numFmtId="0" fontId="14" fillId="22" borderId="4" xfId="2" applyFont="1" applyFill="1" applyBorder="1" applyAlignment="1">
      <alignment horizontal="center" vertical="center"/>
    </xf>
    <xf numFmtId="0" fontId="14" fillId="22" borderId="4" xfId="2" applyFont="1" applyFill="1" applyBorder="1" applyAlignment="1">
      <alignment horizontal="center"/>
    </xf>
    <xf numFmtId="0" fontId="13" fillId="21" borderId="4" xfId="2" applyFont="1" applyFill="1" applyBorder="1" applyAlignment="1">
      <alignment horizontal="center"/>
    </xf>
    <xf numFmtId="0" fontId="13" fillId="0" borderId="4" xfId="2" applyFont="1" applyBorder="1"/>
    <xf numFmtId="0" fontId="13" fillId="0" borderId="4" xfId="2" applyFont="1" applyBorder="1" applyAlignment="1">
      <alignment horizontal="center"/>
    </xf>
    <xf numFmtId="0" fontId="13" fillId="13" borderId="4" xfId="2" applyFont="1" applyFill="1" applyBorder="1" applyAlignment="1">
      <alignment horizontal="center"/>
    </xf>
    <xf numFmtId="0" fontId="13" fillId="23" borderId="4" xfId="2" applyFont="1" applyFill="1" applyBorder="1" applyAlignment="1">
      <alignment horizontal="center"/>
    </xf>
    <xf numFmtId="0" fontId="13" fillId="8" borderId="4" xfId="2" applyFont="1" applyFill="1" applyBorder="1" applyAlignment="1">
      <alignment horizontal="center"/>
    </xf>
    <xf numFmtId="0" fontId="13" fillId="24" borderId="4" xfId="2" applyFont="1" applyFill="1" applyBorder="1" applyAlignment="1">
      <alignment horizontal="center"/>
    </xf>
    <xf numFmtId="0" fontId="13" fillId="25" borderId="4" xfId="2" applyFont="1" applyFill="1" applyBorder="1" applyAlignment="1">
      <alignment horizontal="center"/>
    </xf>
    <xf numFmtId="0" fontId="13" fillId="26" borderId="4" xfId="2" applyFont="1" applyFill="1" applyBorder="1" applyAlignment="1">
      <alignment horizontal="center"/>
    </xf>
    <xf numFmtId="0" fontId="13" fillId="27" borderId="4" xfId="2" applyFont="1" applyFill="1" applyBorder="1" applyAlignment="1">
      <alignment horizontal="center"/>
    </xf>
    <xf numFmtId="0" fontId="15" fillId="22" borderId="4" xfId="2" applyFont="1" applyFill="1" applyBorder="1" applyAlignment="1">
      <alignment horizontal="center"/>
    </xf>
    <xf numFmtId="0" fontId="16" fillId="20" borderId="4" xfId="2" applyFont="1" applyFill="1" applyBorder="1"/>
    <xf numFmtId="0" fontId="16" fillId="20" borderId="4" xfId="2" applyFont="1" applyFill="1" applyBorder="1" applyAlignment="1">
      <alignment horizontal="center"/>
    </xf>
    <xf numFmtId="0" fontId="4" fillId="18" borderId="3" xfId="0" applyFont="1" applyFill="1" applyBorder="1"/>
    <xf numFmtId="0" fontId="4" fillId="18" borderId="3" xfId="1" applyFont="1" applyFill="1" applyBorder="1" applyAlignment="1"/>
    <xf numFmtId="49" fontId="4" fillId="0" borderId="3" xfId="0" applyNumberFormat="1" applyFont="1" applyBorder="1"/>
    <xf numFmtId="0" fontId="0" fillId="17" borderId="0" xfId="0" applyFill="1"/>
    <xf numFmtId="49" fontId="0" fillId="17" borderId="0" xfId="0" applyNumberFormat="1" applyFill="1"/>
    <xf numFmtId="0" fontId="17" fillId="8" borderId="0" xfId="0" applyFont="1" applyFill="1"/>
    <xf numFmtId="0" fontId="17" fillId="8" borderId="0" xfId="0" applyFont="1" applyFill="1" applyAlignment="1">
      <alignment horizontal="center"/>
    </xf>
    <xf numFmtId="0" fontId="13" fillId="0" borderId="4" xfId="2" applyFont="1" applyBorder="1" applyAlignment="1">
      <alignment horizontal="center" vertical="center"/>
    </xf>
    <xf numFmtId="0" fontId="0" fillId="0" borderId="0" xfId="0" applyAlignment="1">
      <alignment wrapText="1"/>
    </xf>
    <xf numFmtId="0" fontId="0" fillId="0" borderId="0" xfId="0"/>
  </cellXfs>
  <cellStyles count="4">
    <cellStyle name="Hyperlink" xfId="1" builtinId="8"/>
    <cellStyle name="Normal" xfId="0" builtinId="0"/>
    <cellStyle name="Normal 2" xfId="2" xr:uid="{DC0261C5-D830-47F6-8326-35679C92C25E}"/>
    <cellStyle name="Normal 3" xfId="3" xr:uid="{5607052B-A5DD-475E-A0EE-0D0A98705AD3}"/>
  </cellStyles>
  <dxfs count="13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border diagonalUp="0" diagonalDown="0">
        <left/>
        <right/>
        <top style="thin">
          <color rgb="FF95B3D7"/>
        </top>
        <bottom style="thin">
          <color rgb="FF95B3D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border diagonalUp="0" diagonalDown="0">
        <left/>
        <right/>
        <top style="thin">
          <color rgb="FF95B3D7"/>
        </top>
        <bottom style="thin">
          <color rgb="FF95B3D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border diagonalUp="0" diagonalDown="0">
        <left/>
        <right/>
        <top style="thin">
          <color rgb="FF95B3D7"/>
        </top>
        <bottom style="thin">
          <color rgb="FF95B3D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border diagonalUp="0" diagonalDown="0">
        <left/>
        <right/>
        <top style="thin">
          <color rgb="FF95B3D7"/>
        </top>
        <bottom style="thin">
          <color rgb="FF95B3D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border diagonalUp="0" diagonalDown="0">
        <left/>
        <right/>
        <top style="thin">
          <color rgb="FF95B3D7"/>
        </top>
        <bottom style="thin">
          <color rgb="FF95B3D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border diagonalUp="0" diagonalDown="0">
        <left/>
        <right/>
        <top style="thin">
          <color rgb="FF95B3D7"/>
        </top>
        <bottom style="thin">
          <color rgb="FF95B3D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border diagonalUp="0" diagonalDown="0">
        <left/>
        <right/>
        <top style="thin">
          <color rgb="FF95B3D7"/>
        </top>
        <bottom style="thin">
          <color rgb="FF95B3D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4F81BD"/>
          <bgColor rgb="FF4F81BD"/>
        </patternFill>
      </fill>
    </dxf>
    <dxf>
      <numFmt numFmtId="0" formatCode="General"/>
    </dxf>
    <dxf>
      <numFmt numFmtId="0" formatCode="General"/>
    </dxf>
    <dxf>
      <fill>
        <patternFill patternType="none"/>
      </fill>
    </dxf>
    <dxf>
      <fill>
        <patternFill patternType="solid">
          <fgColor indexed="64"/>
          <bgColor theme="4" tint="0.39997558519241921"/>
        </patternFill>
      </fill>
    </dxf>
    <dxf>
      <fill>
        <patternFill patternType="solid">
          <fgColor indexed="64"/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ont>
        <color theme="1"/>
      </font>
    </dxf>
    <dxf>
      <font>
        <color theme="1"/>
      </font>
    </dxf>
    <dxf>
      <fill>
        <patternFill patternType="none">
          <bgColor auto="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>
          <bgColor theme="4" tint="0.39997558519241921"/>
        </patternFill>
      </fill>
    </dxf>
    <dxf>
      <fill>
        <patternFill>
          <bgColor theme="4" tint="0.39997558519241921"/>
        </patternFill>
      </fill>
    </dxf>
    <dxf>
      <fill>
        <patternFill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solid">
          <bgColor theme="4" tint="0.3999755851924192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4" tint="0.39997558519241921"/>
        </patternFill>
      </fill>
    </dxf>
    <dxf>
      <fill>
        <patternFill patternType="solid">
          <fgColor indexed="64"/>
          <bgColor theme="4" tint="0.39997558519241921"/>
        </patternFill>
      </fill>
    </dxf>
    <dxf>
      <fill>
        <patternFill patternType="solid">
          <fgColor indexed="64"/>
          <bgColor theme="4" tint="0.39997558519241921"/>
        </patternFill>
      </fill>
    </dxf>
    <dxf>
      <fill>
        <patternFill patternType="solid">
          <fgColor indexed="64"/>
          <bgColor theme="4" tint="0.39997558519241921"/>
        </patternFill>
      </fill>
    </dxf>
    <dxf>
      <fill>
        <patternFill patternType="solid">
          <fgColor indexed="64"/>
          <bgColor theme="4" tint="0.39997558519241921"/>
        </patternFill>
      </fill>
    </dxf>
    <dxf>
      <fill>
        <patternFill patternType="solid">
          <fgColor indexed="64"/>
          <bgColor theme="4" tint="0.39997558519241921"/>
        </patternFill>
      </fill>
    </dxf>
    <dxf>
      <fill>
        <patternFill patternType="solid">
          <fgColor indexed="64"/>
          <bgColor theme="4" tint="0.39997558519241921"/>
        </patternFill>
      </fill>
    </dxf>
    <dxf>
      <fill>
        <patternFill patternType="solid">
          <fgColor indexed="64"/>
          <bgColor theme="4" tint="0.39997558519241921"/>
        </patternFill>
      </fill>
    </dxf>
    <dxf>
      <fill>
        <patternFill patternType="solid">
          <fgColor indexed="64"/>
          <bgColor theme="4" tint="0.39997558519241921"/>
        </patternFill>
      </fill>
    </dxf>
    <dxf>
      <fill>
        <patternFill patternType="solid">
          <fgColor indexed="64"/>
          <bgColor theme="4" tint="0.39997558519241921"/>
        </patternFill>
      </fill>
    </dxf>
    <dxf>
      <fill>
        <patternFill patternType="solid">
          <fgColor indexed="64"/>
          <bgColor theme="4" tint="0.39997558519241921"/>
        </patternFill>
      </fill>
    </dxf>
    <dxf>
      <fill>
        <patternFill patternType="solid">
          <fgColor indexed="64"/>
          <bgColor theme="4" tint="0.39997558519241921"/>
        </patternFill>
      </fill>
    </dxf>
    <dxf>
      <fill>
        <patternFill patternType="solid">
          <fgColor indexed="64"/>
          <bgColor theme="4" tint="0.39997558519241921"/>
        </patternFill>
      </fill>
    </dxf>
    <dxf>
      <fill>
        <patternFill patternType="solid">
          <fgColor indexed="64"/>
          <bgColor theme="4" tint="0.39997558519241921"/>
        </patternFill>
      </fill>
    </dxf>
    <dxf>
      <fill>
        <patternFill patternType="solid">
          <fgColor indexed="64"/>
          <bgColor theme="4" tint="0.39997558519241921"/>
        </patternFill>
      </fill>
    </dxf>
    <dxf>
      <fill>
        <patternFill patternType="solid">
          <fgColor indexed="64"/>
          <bgColor theme="4" tint="0.3999755851924192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none"/>
      </fill>
    </dxf>
    <dxf>
      <fill>
        <patternFill patternType="none"/>
      </fill>
    </dxf>
    <dxf>
      <fill>
        <patternFill patternType="solid">
          <fgColor indexed="64"/>
          <bgColor rgb="FFFFFF00"/>
        </patternFill>
      </fill>
    </dxf>
    <dxf>
      <fill>
        <patternFill patternType="solid">
          <fgColor indexed="64"/>
          <bgColor rgb="FFFFFF00"/>
        </patternFill>
      </fill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font>
        <b/>
        <strike val="0"/>
        <outline val="0"/>
        <shadow val="0"/>
        <u val="none"/>
        <vertAlign val="baseline"/>
        <sz val="11"/>
        <color rgb="FFC00000"/>
        <name val="Calibri"/>
        <family val="2"/>
        <scheme val="minor"/>
      </font>
      <numFmt numFmtId="0" formatCode="General"/>
      <fill>
        <patternFill patternType="solid">
          <fgColor indexed="64"/>
          <bgColor theme="7" tint="0.59999389629810485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general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general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general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general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general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general" vertical="bottom" textRotation="0" wrapText="0" 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general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</dxf>
    <dxf>
      <numFmt numFmtId="30" formatCode="@"/>
      <fill>
        <patternFill patternType="none">
          <fgColor indexed="64"/>
          <bgColor auto="1"/>
        </patternFill>
      </fill>
      <alignment horizontal="general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general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colors>
    <mruColors>
      <color rgb="FFF0C9F7"/>
      <color rgb="FFCCFFCC"/>
      <color rgb="FF8CE7E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3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2240280</xdr:colOff>
      <xdr:row>5</xdr:row>
      <xdr:rowOff>99060</xdr:rowOff>
    </xdr:from>
    <xdr:to>
      <xdr:col>9</xdr:col>
      <xdr:colOff>364350</xdr:colOff>
      <xdr:row>14</xdr:row>
      <xdr:rowOff>68825</xdr:rowOff>
    </xdr:to>
    <xdr:pic>
      <xdr:nvPicPr>
        <xdr:cNvPr id="3" name="Picture 1">
          <a:extLst>
            <a:ext uri="{FF2B5EF4-FFF2-40B4-BE49-F238E27FC236}">
              <a16:creationId xmlns:a16="http://schemas.microsoft.com/office/drawing/2014/main" id="{4C053B13-7DE9-DEE9-A2BB-8F90BCD1BD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728460" y="1013460"/>
          <a:ext cx="3543795" cy="1684265"/>
        </a:xfrm>
        <a:prstGeom prst="rect">
          <a:avLst/>
        </a:prstGeom>
      </xdr:spPr>
    </xdr:pic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E Lan Vy" refreshedDate="46156.696810300928" createdVersion="8" refreshedVersion="8" minRefreshableVersion="3" recordCount="273" xr:uid="{AB1483C8-9731-4C46-85B9-B83F5CDC5F47}">
  <cacheSource type="worksheet">
    <worksheetSource ref="A1:T274" sheet="Room"/>
  </cacheSource>
  <cacheFields count="20">
    <cacheField name="Name" numFmtId="0">
      <sharedItems containsBlank="1" count="274">
        <s v="Pham Khanh Linh TRAN"/>
        <s v="Do Thuy Tien PHAM"/>
        <s v="Hoang Ha Quyen NGUYEN"/>
        <s v="Thien Trang DOAN"/>
        <s v="Minh Thuan LE"/>
        <s v="Van Thanh Thuan NGUYEN"/>
        <s v="Duc Minh CAO"/>
        <s v="Hoang Tu LA"/>
        <s v="Trung Nghia CAO"/>
        <s v="Van Do TRAN"/>
        <s v="Quang Trinh HA"/>
        <s v="Binh Nam MAI"/>
        <s v="Ngô Tấn Thành"/>
        <s v="Hong Chuong NGUYEN"/>
        <s v="Nguyễn Lê Thành"/>
        <s v="Ngoc Tuan NGUYEN"/>
        <s v="Thanh Nhan PHAN"/>
        <s v="Xuan Dat HOANG"/>
        <s v="Hong Son DAO"/>
        <s v="Thanh Son NGUYEN"/>
        <s v="Thanh Phuoc LE"/>
        <s v="Le Man Dat NGUYEN"/>
        <s v="Thanh Loc NGUYEN"/>
        <s v="Van Thanh Danh KHUAT"/>
        <s v="Huu Vinh NGUYEN"/>
        <s v="Kim Cong NGUYEN"/>
        <s v="Trung Nghia NGUYEN"/>
        <s v="Trung Hieu PHAM"/>
        <s v="Quang Nien NGUYEN"/>
        <s v="Cong Danh BUI"/>
        <s v="Huynh Chi Tin VO"/>
        <s v="Quang Trung DO"/>
        <s v="Van Trien DANG"/>
        <s v="Cong Khanh HUYNH"/>
        <s v="Thanh Dat NGUYEN"/>
        <s v="Song Toan VU"/>
        <s v="Quang Tin TRAN"/>
        <s v="Vo Tuong Duy"/>
        <s v="Ngoc Thanh PHAM"/>
        <s v="Xuan Vu TRAN"/>
        <s v="Nhu Hai Luu PHAN"/>
        <s v="Hoai Sang CAO"/>
        <s v="Huynh Duy Duc NGUYEN"/>
        <s v="Quoc Linh TRAN"/>
        <s v="Van Hao LE"/>
        <s v="Minh Phuoc NGUYEN"/>
        <s v="Duy Nhat NGUYEN"/>
        <s v="Huu Ngan MAI"/>
        <s v="Minh Quan DANG"/>
        <s v="Huu Nghia PHAM"/>
        <s v="Duy Phong NGUYEN"/>
        <s v="Tuan Thanh TRAN"/>
        <s v="Huy Tri NGUYEN"/>
        <s v="Thanh Duc LE"/>
        <s v="Tran Nhat Duc NGUYEN"/>
        <s v="Minh Tri DO"/>
        <s v="Tien Manh NGUYEN"/>
        <s v="Quoc Trung KIEU"/>
        <s v="DINH Thanh Viet"/>
        <s v="Chi Cuong HUYNH"/>
        <s v="Thi Thanh Huong LE"/>
        <s v="Phuong Hang LE THI"/>
        <s v="Thi Tram Ngan TRAN"/>
        <s v="Ngoc My HA"/>
        <s v="Ngoc Thuy Trang PHAM"/>
        <s v="Thai An PHAM THUY"/>
        <s v="Tu Uyen DINH THI"/>
        <s v="Ngoc Tran TA THI"/>
        <s v="Tri Hung NGUYEN"/>
        <s v="Hoang Tuan Anh NGUYEN"/>
        <s v="That Viet Anh TON"/>
        <s v="Truong An NGUYEN"/>
        <s v="Nam Kha LE"/>
        <s v="Tan Hoang NGUYEN"/>
        <s v="Bao Khang HA"/>
        <s v="Thanh Duy CHAU"/>
        <s v="Van Tien CAO"/>
        <s v="Phuong VU"/>
        <s v="Minh Tan TRAN"/>
        <s v="Xuan Thuong TRINH"/>
        <s v="Van Hieu NGUYEN"/>
        <s v="Kim Gia Huy NGUYEN"/>
        <s v="Thanh Xuan BUI"/>
        <s v="Van Tinh PHAM"/>
        <s v="Thi Phuong Thao VU"/>
        <s v="Thi Nguyet NONG"/>
        <s v="Thi Viet Trinh NGUYEN"/>
        <s v="Khanh Gia CHUNG"/>
        <s v="Ngoc Trang Dai TRAN"/>
        <s v="Thanh Trung NGUYEN"/>
        <s v="Nguyen Ngoc NGUYEN SY"/>
        <s v="Anh Quoc PHAM"/>
        <s v="Hai Binh DANG"/>
        <s v="Trung Tin THAI"/>
        <s v="Nhat DANG MINH"/>
        <s v="Trung Kien PHAM"/>
        <s v="Chien Hao CAO"/>
        <s v="Do Nhat Minh PHAM"/>
        <s v="Duy Hanh LE"/>
        <s v="Huu Thinh NGUYEN"/>
        <s v="Duc Thanh VAN"/>
        <s v="Duan NGUYEN LE"/>
        <s v="Hoang Long NGUYEN"/>
        <s v="Tan Hoang - Bi NGUYEN"/>
        <s v="Thai Hien LUONG"/>
        <s v="Van Ket VO"/>
        <s v="Vu Phuong NGUYEN"/>
        <s v="Chau Sy Dat LE"/>
        <s v="Hai Thien NGUYEN"/>
        <s v="Huu Khoi Nguyen PHAM"/>
        <s v="Phuoc Son LE"/>
        <s v="Thanh Tung LE"/>
        <s v="Vu Duy DINH"/>
        <s v="Tung Lam NGO"/>
        <s v="Chi Tam NGUYEN LE"/>
        <s v="TRUONG Van Sang"/>
        <s v="Thi Quynh Phuong NGUYEN"/>
        <s v="Ngoc Khanh Linh DANG"/>
        <s v="Trần Quỳnh Anh"/>
        <s v="NGUYEN Bao Ngoc"/>
        <s v="Tran Thuy Linh LU"/>
        <s v="Kim Anh DO"/>
        <s v="Dang Khoa PHAM"/>
        <s v="Huu Thanh Tam TRAN"/>
        <s v="Nghi Lam PHAM"/>
        <s v="Viet Hoang TRAN"/>
        <s v="Duy Nguyen VO NGOC"/>
        <s v="Anh Khoa NGUYEN"/>
        <s v="Chi Hau NGUYEN"/>
        <s v="Dai Duong PHAN"/>
        <s v="Dinh Anh Quoc HOANG"/>
        <s v="Dinh Lam TRAN"/>
        <s v="Duc Quy NGUYEN"/>
        <s v="Thai Ly NGUYEN"/>
        <s v="Thi Khanh NGUYEN"/>
        <s v="Thi Hue DO"/>
        <s v="Huynh Nhat Tan TRAN"/>
        <s v="Cong Tuan VAN"/>
        <s v="Nham Quy TRAN"/>
        <s v="Thanh Tai NGUYEN"/>
        <s v="Anh Tuan - Tl NGUYEN"/>
        <s v="Huy Hoang NGUYEN"/>
        <s v="Cong Quan PHAM"/>
        <s v="Huu Phuc LE"/>
        <s v="Quoc Hai Thanh NGUYEN"/>
        <s v="Quoc Hung PHUNG"/>
        <s v="Ngoc Quoc TRAN"/>
        <s v="Tien Huynh NGUYEN"/>
        <s v="Minh Quang TRAN"/>
        <s v="Van Tai PHAM"/>
        <s v="Tuan Khoi NGUYEN"/>
        <s v="Thuc Hao NGUYEN"/>
        <s v="Thi My Tam - Cindy LE"/>
        <s v="Le Kim Ngan NGUYEN"/>
        <s v="Minh Thu DANG"/>
        <s v="Le Bao Tram - Rachel DOAN"/>
        <s v="Thi Quynh Lien NGUYEN"/>
        <s v="Bao Tram CAO"/>
        <s v="Nguyen Hong Uyen HO"/>
        <s v="Phuong Thao HA"/>
        <s v="Thanh Hang VU"/>
        <s v="The Trinh NGUYEN"/>
        <s v="Thuy My Hao LA"/>
        <s v="Thi Ha My TRAN"/>
        <s v="Thi Minh Phuong NGUYEN"/>
        <s v="Thi Mai Anh LE"/>
        <s v="Kim Nha DAO"/>
        <s v="Hieu Minh DO"/>
        <s v="NGUYEN Tien Nam"/>
        <s v="Trung Hieu NGUYEN"/>
        <s v="Hoang Le Nguyen VINH"/>
        <s v="Ngoc Nam NGO"/>
        <s v="Anh Dung Cuong PHAN"/>
        <s v="Chau Giang NGUYEN"/>
        <s v="Uyen TRINH LE THAO"/>
        <s v="Yen Xuan HONG"/>
        <s v="Thi Tram Anh LUONG"/>
        <s v="Thi Tu Quyen LE"/>
        <s v="Ha Nhi NGUYEN"/>
        <s v="Tran Phuong Nga VO"/>
        <s v="Thi Thanh Thao NGUYEN"/>
        <s v="Hoang Mai Quyen PHAM"/>
        <s v="Ho Ngoc Tran NGUYEN"/>
        <s v="Quynh Mai NGUYEN"/>
        <s v="Thi Phuong Thao TRUONG"/>
        <s v="Lan Vy LE"/>
        <s v="NGUYEN Vu Phuong Uyen"/>
        <s v="Hoang Thanh Thanh NGUYEN"/>
        <s v="Lam Tam Nhu HOANG"/>
        <s v="Dinh Que Chau VO"/>
        <s v="Bao Quyen LAM"/>
        <s v="Ngoc Khanh LE"/>
        <s v="Ngoc Phuong Uyen TRAN"/>
        <s v="Tran Phuong Phuong NGUYEN"/>
        <s v="Khanh Linh PHAN"/>
        <s v="Tue Quan DIEP"/>
        <s v="Dang Quang LE"/>
        <s v="The Anh NGUYEN"/>
        <s v="Trung Kien NGUYEN"/>
        <s v="Huu Phuc - Tony TRAN"/>
        <s v="Hoang Phuc PHAM"/>
        <s v="Quang Hung BUI"/>
        <s v="Xuan Tung LE"/>
        <s v="Minh Nhat BUI"/>
        <s v="Geoffrey DUTERTRE"/>
        <s v="Arthur CAMARET"/>
        <s v="Nguyen Phuong DO"/>
        <s v="Hoang Dung LE"/>
        <s v="Chee Kiat LIM"/>
        <s v="Clément GUIGUEN"/>
        <s v="Xuan Quang PHAN"/>
        <s v="Bao An HOANG"/>
        <s v="Dinh Tien Dung NGUYEN"/>
        <s v="Truong Tho DANG"/>
        <s v="Tu NGUYEN ANH"/>
        <s v="Triet HUYNH MINH"/>
        <s v="Ho Bao Thy LE"/>
        <s v="Tuong Khuyen LE"/>
        <s v="Le Khanh Chi PHAM"/>
        <s v="Tran Thao Vy PHAM"/>
        <s v="Ho Khanh Vy NGUYEN"/>
        <s v="Dang Thuy Duong NGUYEN"/>
        <s v="Thi Anh Thu TRAN"/>
        <s v="Nguyen Tu Nhi HONG"/>
        <s v="Thai An PHAM"/>
        <s v="Hoang Bich Tran NGUYEN"/>
        <s v="Linh Chau PHAN"/>
        <s v="Le Minh Trang NGUYEN"/>
        <s v="Thi Anh Minh TRAN"/>
        <s v="Thu Hong NGUYEN"/>
        <s v="Thi Thanh Nhan NGUYEN"/>
        <s v="Thi Minh Phuong TRAN"/>
        <s v="Kieu Anh HOANG"/>
        <s v="Phuong Thao NGUYEN"/>
        <s v="Ngoc Nguyen Ngan - Emily NGUYEN"/>
        <s v="Hoai Nhu Y NGUYEN"/>
        <s v="Diem Thien Nga - Micky HUYNH"/>
        <s v="Thi Lanh HO"/>
        <s v="Thuy Phuong - Kaitlyn LE"/>
        <s v="Trinh Quynh Nhu NGO"/>
        <s v="Clémence LIN"/>
        <s v="Thi My Hanh TA"/>
        <s v="Ngoc Thao My NGUYEN"/>
        <s v="Thanh Huong HA"/>
        <s v="Nhat Minh TRAN"/>
        <s v="Ngoc Hoa HUYNH"/>
        <s v="Thi Ha Trang NGUYEN"/>
        <s v="Nguyen Trong Tuan PHAM"/>
        <s v="Tien Khoi DINH"/>
        <s v="Duy Phuong NGUYEN"/>
        <s v="Phu Loc HOANG"/>
        <s v="Anh Quan PHAN"/>
        <s v="Cuong BUI"/>
        <s v="Minh Tuan PHAM"/>
        <s v="Hoang Vu NGO"/>
        <s v="Dinh Van LE"/>
        <s v="Ba Nghi HUYNH"/>
        <s v="Hoang Duy NGUYEN"/>
        <s v="Tuan Anh NGUYEN"/>
        <s v="Guillaume DUQUESNAY"/>
        <s v="Van Cop HUYNH"/>
        <s v="Hoang Minh NGUYEN"/>
        <s v="Hai Nam NGUYEN"/>
        <s v="Trung Thong HOANG"/>
        <s v="Dai Che Phuong TAI"/>
        <s v="Phu Qui CHAU"/>
        <s v="Ngoc Huy LE"/>
        <s v="Truong Thi NGUYEN"/>
        <s v="Khac Duy NGUYEN"/>
        <s v="Thai Hung TRAN"/>
        <s v="Thanh Hoang NGUYEN"/>
        <m/>
        <s v="Thi Hoa VUONG" u="1"/>
        <s v="Do Gia Huy PHAN" u="1"/>
      </sharedItems>
    </cacheField>
    <cacheField name="Are you planning to join the company trip?" numFmtId="0">
      <sharedItems containsBlank="1" count="2">
        <s v="Yes, count me in!"/>
        <m/>
      </sharedItems>
    </cacheField>
    <cacheField name="Please enter your ID/Passport number." numFmtId="0">
      <sharedItems containsBlank="1"/>
    </cacheField>
    <cacheField name="Please enter your phone number (just in case we need to get in touch)" numFmtId="0">
      <sharedItems containsBlank="1"/>
    </cacheField>
    <cacheField name="Are you bringing any partner or family members along? " numFmtId="0">
      <sharedItems containsBlank="1"/>
    </cacheField>
    <cacheField name="If yes, please provide the details for each guest below" numFmtId="0">
      <sharedItems containsBlank="1"/>
    </cacheField>
    <cacheField name="How do you plan to travel to the trip location?" numFmtId="0">
      <sharedItems containsBlank="1"/>
    </cacheField>
    <cacheField name="Anything else we should know?" numFmtId="0">
      <sharedItems containsBlank="1"/>
    </cacheField>
    <cacheField name="Gov" numFmtId="0">
      <sharedItems containsBlank="1" containsMixedTypes="1" containsNumber="1" containsInteger="1" minValue="76777" maxValue="76777"/>
    </cacheField>
    <cacheField name="Dep" numFmtId="0">
      <sharedItems containsBlank="1"/>
    </cacheField>
    <cacheField name="N+1" numFmtId="0">
      <sharedItems containsBlank="1"/>
    </cacheField>
    <cacheField name="Status" numFmtId="0">
      <sharedItems containsBlank="1"/>
    </cacheField>
    <cacheField name="With Fam" numFmtId="0">
      <sharedItems containsBlank="1"/>
    </cacheField>
    <cacheField name="C Fam" numFmtId="0">
      <sharedItems containsString="0" containsBlank="1" containsNumber="1" containsInteger="1" minValue="0" maxValue="2"/>
    </cacheField>
    <cacheField name="A Fam" numFmtId="0">
      <sharedItems containsString="0" containsBlank="1" containsNumber="1" containsInteger="1" minValue="0" maxValue="1"/>
    </cacheField>
    <cacheField name="Fam Q" numFmtId="0">
      <sharedItems containsString="0" containsBlank="1" containsNumber="1" containsInteger="1" minValue="0" maxValue="3"/>
    </cacheField>
    <cacheField name="Total Hc" numFmtId="0">
      <sharedItems containsString="0" containsBlank="1" containsNumber="1" containsInteger="1" minValue="1" maxValue="4"/>
    </cacheField>
    <cacheField name="Bus No." numFmtId="0">
      <sharedItems containsBlank="1" containsMixedTypes="1" containsNumber="1" containsInteger="1" minValue="1" maxValue="8" count="10">
        <n v="1"/>
        <n v="2"/>
        <n v="3"/>
        <n v="4"/>
        <s v="Own transport"/>
        <n v="7"/>
        <n v="8"/>
        <n v="5"/>
        <n v="6"/>
        <m/>
      </sharedItems>
    </cacheField>
    <cacheField name="Room No." numFmtId="0">
      <sharedItems containsString="0" containsBlank="1" containsNumber="1" containsInteger="1" minValue="1" maxValue="145" count="146"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0"/>
        <n v="51"/>
        <n v="52"/>
        <n v="53"/>
        <n v="54"/>
        <n v="55"/>
        <n v="56"/>
        <n v="57"/>
        <n v="58"/>
        <n v="59"/>
        <n v="60"/>
        <n v="61"/>
        <n v="62"/>
        <n v="63"/>
        <n v="64"/>
        <n v="65"/>
        <n v="66"/>
        <n v="67"/>
        <n v="68"/>
        <n v="69"/>
        <n v="70"/>
        <n v="71"/>
        <n v="72"/>
        <n v="73"/>
        <n v="74"/>
        <n v="75"/>
        <n v="76"/>
        <n v="77"/>
        <n v="78"/>
        <n v="79"/>
        <n v="80"/>
        <n v="81"/>
        <n v="82"/>
        <n v="83"/>
        <n v="84"/>
        <n v="85"/>
        <n v="86"/>
        <n v="87"/>
        <n v="88"/>
        <n v="89"/>
        <n v="90"/>
        <n v="92"/>
        <n v="93"/>
        <n v="94"/>
        <n v="95"/>
        <n v="96"/>
        <n v="97"/>
        <n v="98"/>
        <n v="99"/>
        <n v="100"/>
        <n v="101"/>
        <n v="102"/>
        <n v="103"/>
        <n v="104"/>
        <n v="105"/>
        <n v="106"/>
        <n v="107"/>
        <n v="108"/>
        <n v="109"/>
        <n v="110"/>
        <n v="111"/>
        <n v="112"/>
        <n v="113"/>
        <n v="114"/>
        <n v="115"/>
        <n v="116"/>
        <n v="117"/>
        <n v="118"/>
        <n v="119"/>
        <n v="120"/>
        <n v="121"/>
        <n v="122"/>
        <n v="123"/>
        <n v="124"/>
        <n v="125"/>
        <n v="126"/>
        <n v="127"/>
        <n v="128"/>
        <n v="129"/>
        <n v="130"/>
        <n v="131"/>
        <n v="132"/>
        <n v="133"/>
        <n v="134"/>
        <n v="135"/>
        <n v="136"/>
        <n v="137"/>
        <n v="138"/>
        <n v="139"/>
        <n v="140"/>
        <n v="141"/>
        <n v="142"/>
        <n v="143"/>
        <n v="144"/>
        <m/>
        <n v="91" u="1"/>
        <n v="145" u="1"/>
      </sharedItems>
    </cacheField>
    <cacheField name="Gender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E Lan Vy" refreshedDate="46156.699450115739" createdVersion="8" refreshedVersion="8" minRefreshableVersion="3" recordCount="286" xr:uid="{E3B0F7FB-6673-4755-B82A-D3109BB7A9AE}">
  <cacheSource type="worksheet">
    <worksheetSource ref="A1:T1048576" sheet="Room"/>
  </cacheSource>
  <cacheFields count="20">
    <cacheField name="Name" numFmtId="0">
      <sharedItems containsBlank="1" count="274">
        <s v="Pham Khanh Linh TRAN"/>
        <s v="Do Thuy Tien PHAM"/>
        <s v="Hoang Ha Quyen NGUYEN"/>
        <s v="Thien Trang DOAN"/>
        <s v="Minh Thuan LE"/>
        <s v="Van Thanh Thuan NGUYEN"/>
        <s v="Duc Minh CAO"/>
        <s v="Hoang Tu LA"/>
        <s v="Trung Nghia CAO"/>
        <s v="Van Do TRAN"/>
        <s v="Quang Trinh HA"/>
        <s v="Binh Nam MAI"/>
        <s v="Ngô Tấn Thành"/>
        <s v="Hong Chuong NGUYEN"/>
        <s v="Nguyễn Lê Thành"/>
        <s v="Ngoc Tuan NGUYEN"/>
        <s v="Thanh Nhan PHAN"/>
        <s v="Xuan Dat HOANG"/>
        <s v="Hong Son DAO"/>
        <s v="Thanh Son NGUYEN"/>
        <s v="Thanh Phuoc LE"/>
        <s v="Le Man Dat NGUYEN"/>
        <s v="Thanh Loc NGUYEN"/>
        <s v="Van Thanh Danh KHUAT"/>
        <s v="Huu Vinh NGUYEN"/>
        <s v="Kim Cong NGUYEN"/>
        <s v="Trung Nghia NGUYEN"/>
        <s v="Trung Hieu PHAM"/>
        <s v="Quang Nien NGUYEN"/>
        <s v="Cong Danh BUI"/>
        <s v="Huynh Chi Tin VO"/>
        <s v="Quang Trung DO"/>
        <s v="Van Trien DANG"/>
        <s v="Cong Khanh HUYNH"/>
        <s v="Thanh Dat NGUYEN"/>
        <s v="Song Toan VU"/>
        <s v="Quang Tin TRAN"/>
        <s v="Vo Tuong Duy"/>
        <s v="Ngoc Thanh PHAM"/>
        <s v="Xuan Vu TRAN"/>
        <s v="Nhu Hai Luu PHAN"/>
        <s v="Hoai Sang CAO"/>
        <s v="Huynh Duy Duc NGUYEN"/>
        <s v="Quoc Linh TRAN"/>
        <s v="Van Hao LE"/>
        <s v="Minh Phuoc NGUYEN"/>
        <s v="Duy Nhat NGUYEN"/>
        <s v="Huu Ngan MAI"/>
        <s v="Minh Quan DANG"/>
        <s v="Huu Nghia PHAM"/>
        <s v="Duy Phong NGUYEN"/>
        <s v="Tuan Thanh TRAN"/>
        <s v="Huy Tri NGUYEN"/>
        <s v="Thanh Duc LE"/>
        <s v="Tran Nhat Duc NGUYEN"/>
        <s v="Minh Tri DO"/>
        <s v="Tien Manh NGUYEN"/>
        <s v="Quoc Trung KIEU"/>
        <s v="DINH Thanh Viet"/>
        <s v="Chi Cuong HUYNH"/>
        <s v="Thi Thanh Huong LE"/>
        <s v="Phuong Hang LE THI"/>
        <s v="Thi Tram Ngan TRAN"/>
        <s v="Ngoc My HA"/>
        <s v="Ngoc Thuy Trang PHAM"/>
        <s v="Thai An PHAM THUY"/>
        <s v="Tu Uyen DINH THI"/>
        <s v="Ngoc Tran TA THI"/>
        <s v="Tri Hung NGUYEN"/>
        <s v="Hoang Tuan Anh NGUYEN"/>
        <s v="That Viet Anh TON"/>
        <s v="Truong An NGUYEN"/>
        <s v="Nam Kha LE"/>
        <s v="Tan Hoang NGUYEN"/>
        <s v="Bao Khang HA"/>
        <s v="Thanh Duy CHAU"/>
        <s v="Van Tien CAO"/>
        <s v="Phuong VU"/>
        <s v="Minh Tan TRAN"/>
        <s v="Xuan Thuong TRINH"/>
        <s v="Van Hieu NGUYEN"/>
        <s v="Kim Gia Huy NGUYEN"/>
        <s v="Thanh Xuan BUI"/>
        <s v="Van Tinh PHAM"/>
        <s v="Thi Phuong Thao VU"/>
        <s v="Thi Nguyet NONG"/>
        <s v="Thi Viet Trinh NGUYEN"/>
        <s v="Khanh Gia CHUNG"/>
        <s v="Ngoc Trang Dai TRAN"/>
        <s v="Thanh Trung NGUYEN"/>
        <s v="Nguyen Ngoc NGUYEN SY"/>
        <s v="Anh Quoc PHAM"/>
        <s v="Hai Binh DANG"/>
        <s v="Trung Tin THAI"/>
        <s v="Nhat DANG MINH"/>
        <s v="Trung Kien PHAM"/>
        <s v="Chien Hao CAO"/>
        <s v="Do Nhat Minh PHAM"/>
        <s v="Duy Hanh LE"/>
        <s v="Huu Thinh NGUYEN"/>
        <s v="Duc Thanh VAN"/>
        <s v="Duan NGUYEN LE"/>
        <s v="Hoang Long NGUYEN"/>
        <s v="Tan Hoang - Bi NGUYEN"/>
        <s v="Thai Hien LUONG"/>
        <s v="Van Ket VO"/>
        <s v="Vu Phuong NGUYEN"/>
        <s v="Chau Sy Dat LE"/>
        <s v="Hai Thien NGUYEN"/>
        <s v="Huu Khoi Nguyen PHAM"/>
        <s v="Phuoc Son LE"/>
        <s v="Thanh Tung LE"/>
        <s v="Vu Duy DINH"/>
        <s v="Tung Lam NGO"/>
        <s v="Chi Tam NGUYEN LE"/>
        <s v="TRUONG Van Sang"/>
        <s v="Thi Quynh Phuong NGUYEN"/>
        <s v="Ngoc Khanh Linh DANG"/>
        <s v="Trần Quỳnh Anh"/>
        <s v="NGUYEN Bao Ngoc"/>
        <s v="Tran Thuy Linh LU"/>
        <s v="Kim Anh DO"/>
        <s v="Dang Khoa PHAM"/>
        <s v="Huu Thanh Tam TRAN"/>
        <s v="Nghi Lam PHAM"/>
        <s v="Viet Hoang TRAN"/>
        <s v="Duy Nguyen VO NGOC"/>
        <s v="Anh Khoa NGUYEN"/>
        <s v="Chi Hau NGUYEN"/>
        <s v="Dai Duong PHAN"/>
        <s v="Dinh Anh Quoc HOANG"/>
        <s v="Dinh Lam TRAN"/>
        <s v="Duc Quy NGUYEN"/>
        <s v="Thai Ly NGUYEN"/>
        <s v="Thi Khanh NGUYEN"/>
        <s v="Thi Hue DO"/>
        <s v="Huynh Nhat Tan TRAN"/>
        <s v="Cong Tuan VAN"/>
        <s v="Nham Quy TRAN"/>
        <s v="Thanh Tai NGUYEN"/>
        <s v="Anh Tuan - Tl NGUYEN"/>
        <s v="Huy Hoang NGUYEN"/>
        <s v="Cong Quan PHAM"/>
        <s v="Huu Phuc LE"/>
        <s v="Quoc Hai Thanh NGUYEN"/>
        <s v="Quoc Hung PHUNG"/>
        <s v="Ngoc Quoc TRAN"/>
        <s v="Tien Huynh NGUYEN"/>
        <s v="Minh Quang TRAN"/>
        <s v="Van Tai PHAM"/>
        <s v="Tuan Khoi NGUYEN"/>
        <s v="Thuc Hao NGUYEN"/>
        <s v="Thi My Tam - Cindy LE"/>
        <s v="Le Kim Ngan NGUYEN"/>
        <s v="Minh Thu DANG"/>
        <s v="Le Bao Tram - Rachel DOAN"/>
        <s v="Thi Quynh Lien NGUYEN"/>
        <s v="Bao Tram CAO"/>
        <s v="Nguyen Hong Uyen HO"/>
        <s v="Phuong Thao HA"/>
        <s v="Thanh Hang VU"/>
        <s v="The Trinh NGUYEN"/>
        <s v="Thuy My Hao LA"/>
        <s v="Thi Ha My TRAN"/>
        <s v="Thi Minh Phuong NGUYEN"/>
        <s v="Thi Mai Anh LE"/>
        <s v="Kim Nha DAO"/>
        <s v="Hieu Minh DO"/>
        <s v="NGUYEN Tien Nam"/>
        <s v="Trung Hieu NGUYEN"/>
        <s v="Hoang Le Nguyen VINH"/>
        <s v="Ngoc Nam NGO"/>
        <s v="Anh Dung Cuong PHAN"/>
        <s v="Chau Giang NGUYEN"/>
        <s v="Uyen TRINH LE THAO"/>
        <s v="Yen Xuan HONG"/>
        <s v="Thi Tram Anh LUONG"/>
        <s v="Thi Tu Quyen LE"/>
        <s v="Ha Nhi NGUYEN"/>
        <s v="Tran Phuong Nga VO"/>
        <s v="Thi Thanh Thao NGUYEN"/>
        <s v="Hoang Mai Quyen PHAM"/>
        <s v="Ho Ngoc Tran NGUYEN"/>
        <s v="Quynh Mai NGUYEN"/>
        <s v="Thi Phuong Thao TRUONG"/>
        <s v="Lan Vy LE"/>
        <s v="NGUYEN Vu Phuong Uyen"/>
        <s v="Hoang Thanh Thanh NGUYEN"/>
        <s v="Lam Tam Nhu HOANG"/>
        <s v="Dinh Que Chau VO"/>
        <s v="Bao Quyen LAM"/>
        <s v="Ngoc Khanh LE"/>
        <s v="Ngoc Phuong Uyen TRAN"/>
        <s v="Tran Phuong Phuong NGUYEN"/>
        <s v="Khanh Linh PHAN"/>
        <s v="Tue Quan DIEP"/>
        <s v="Dang Quang LE"/>
        <s v="The Anh NGUYEN"/>
        <s v="Trung Kien NGUYEN"/>
        <s v="Huu Phuc - Tony TRAN"/>
        <s v="Hoang Phuc PHAM"/>
        <s v="Quang Hung BUI"/>
        <s v="Xuan Tung LE"/>
        <s v="Minh Nhat BUI"/>
        <s v="Geoffrey DUTERTRE"/>
        <s v="Arthur CAMARET"/>
        <s v="Nguyen Phuong DO"/>
        <s v="Hoang Dung LE"/>
        <s v="Chee Kiat LIM"/>
        <s v="Clément GUIGUEN"/>
        <s v="Xuan Quang PHAN"/>
        <s v="Bao An HOANG"/>
        <s v="Dinh Tien Dung NGUYEN"/>
        <s v="Truong Tho DANG"/>
        <s v="Tu NGUYEN ANH"/>
        <s v="Triet HUYNH MINH"/>
        <s v="Ho Bao Thy LE"/>
        <s v="Tuong Khuyen LE"/>
        <s v="Le Khanh Chi PHAM"/>
        <s v="Tran Thao Vy PHAM"/>
        <s v="Ho Khanh Vy NGUYEN"/>
        <s v="Dang Thuy Duong NGUYEN"/>
        <s v="Thi Anh Thu TRAN"/>
        <s v="Nguyen Tu Nhi HONG"/>
        <s v="Thai An PHAM"/>
        <s v="Hoang Bich Tran NGUYEN"/>
        <s v="Linh Chau PHAN"/>
        <s v="Le Minh Trang NGUYEN"/>
        <s v="Thi Anh Minh TRAN"/>
        <s v="Thu Hong NGUYEN"/>
        <s v="Thi Thanh Nhan NGUYEN"/>
        <s v="Thi Minh Phuong TRAN"/>
        <s v="Kieu Anh HOANG"/>
        <s v="Phuong Thao NGUYEN"/>
        <s v="Ngoc Nguyen Ngan - Emily NGUYEN"/>
        <s v="Hoai Nhu Y NGUYEN"/>
        <s v="Diem Thien Nga - Micky HUYNH"/>
        <s v="Thi Lanh HO"/>
        <s v="Thuy Phuong - Kaitlyn LE"/>
        <s v="Trinh Quynh Nhu NGO"/>
        <s v="Clémence LIN"/>
        <s v="Thi My Hanh TA"/>
        <s v="Ngoc Thao My NGUYEN"/>
        <s v="Thanh Huong HA"/>
        <s v="Nhat Minh TRAN"/>
        <s v="Ngoc Hoa HUYNH"/>
        <s v="Thi Ha Trang NGUYEN"/>
        <s v="Nguyen Trong Tuan PHAM"/>
        <s v="Tien Khoi DINH"/>
        <s v="Duy Phuong NGUYEN"/>
        <s v="Phu Loc HOANG"/>
        <s v="Anh Quan PHAN"/>
        <s v="Cuong BUI"/>
        <s v="Minh Tuan PHAM"/>
        <s v="Hoang Vu NGO"/>
        <s v="Dinh Van LE"/>
        <s v="Ba Nghi HUYNH"/>
        <s v="Hoang Duy NGUYEN"/>
        <s v="Tuan Anh NGUYEN"/>
        <s v="Guillaume DUQUESNAY"/>
        <s v="Van Cop HUYNH"/>
        <s v="Hoang Minh NGUYEN"/>
        <s v="Hai Nam NGUYEN"/>
        <s v="Trung Thong HOANG"/>
        <s v="Dai Che Phuong TAI"/>
        <s v="Phu Qui CHAU"/>
        <s v="Ngoc Huy LE"/>
        <s v="Truong Thi NGUYEN"/>
        <s v="Khac Duy NGUYEN"/>
        <s v="Thai Hung TRAN"/>
        <s v="Thanh Hoang NGUYEN"/>
        <m/>
        <s v="Do Gia Huy PHAN" u="1"/>
        <s v="Thi Hoa VUONG" u="1"/>
      </sharedItems>
    </cacheField>
    <cacheField name="Are you planning to join the company trip?" numFmtId="0">
      <sharedItems containsBlank="1" count="3">
        <s v="Yes, count me in!"/>
        <m/>
        <s v="Sorry, I won’t be able to join this time." u="1"/>
      </sharedItems>
    </cacheField>
    <cacheField name="Please enter your ID/Passport number." numFmtId="0">
      <sharedItems containsBlank="1"/>
    </cacheField>
    <cacheField name="Please enter your phone number (just in case we need to get in touch)" numFmtId="0">
      <sharedItems containsBlank="1"/>
    </cacheField>
    <cacheField name="Are you bringing any partner or family members along? " numFmtId="0">
      <sharedItems containsBlank="1"/>
    </cacheField>
    <cacheField name="If yes, please provide the details for each guest below" numFmtId="0">
      <sharedItems containsBlank="1"/>
    </cacheField>
    <cacheField name="How do you plan to travel to the trip location?" numFmtId="0">
      <sharedItems containsBlank="1"/>
    </cacheField>
    <cacheField name="Anything else we should know?" numFmtId="0">
      <sharedItems containsBlank="1"/>
    </cacheField>
    <cacheField name="Gov" numFmtId="0">
      <sharedItems containsBlank="1" containsMixedTypes="1" containsNumber="1" containsInteger="1" minValue="76777" maxValue="76777"/>
    </cacheField>
    <cacheField name="Dep" numFmtId="0">
      <sharedItems containsBlank="1"/>
    </cacheField>
    <cacheField name="N+1" numFmtId="0">
      <sharedItems containsBlank="1"/>
    </cacheField>
    <cacheField name="Status" numFmtId="0">
      <sharedItems containsBlank="1"/>
    </cacheField>
    <cacheField name="With Fam" numFmtId="0">
      <sharedItems containsBlank="1" count="3">
        <s v="No"/>
        <s v="Yes"/>
        <m/>
      </sharedItems>
    </cacheField>
    <cacheField name="C Fam" numFmtId="0">
      <sharedItems containsString="0" containsBlank="1" containsNumber="1" containsInteger="1" minValue="0" maxValue="2"/>
    </cacheField>
    <cacheField name="A Fam" numFmtId="0">
      <sharedItems containsString="0" containsBlank="1" containsNumber="1" containsInteger="1" minValue="0" maxValue="1"/>
    </cacheField>
    <cacheField name="Fam Q" numFmtId="0">
      <sharedItems containsString="0" containsBlank="1" containsNumber="1" containsInteger="1" minValue="0" maxValue="3"/>
    </cacheField>
    <cacheField name="Total Hc" numFmtId="0">
      <sharedItems containsString="0" containsBlank="1" containsNumber="1" containsInteger="1" minValue="1" maxValue="4"/>
    </cacheField>
    <cacheField name="Bus No." numFmtId="0">
      <sharedItems containsBlank="1" containsMixedTypes="1" containsNumber="1" containsInteger="1" minValue="1" maxValue="8" count="10">
        <n v="1"/>
        <n v="2"/>
        <n v="3"/>
        <n v="4"/>
        <s v="Own transport"/>
        <n v="7"/>
        <n v="8"/>
        <n v="5"/>
        <n v="6"/>
        <m/>
      </sharedItems>
    </cacheField>
    <cacheField name="Room No." numFmtId="0">
      <sharedItems containsString="0" containsBlank="1" containsNumber="1" containsInteger="1" minValue="1" maxValue="145" count="146"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0"/>
        <n v="51"/>
        <n v="52"/>
        <n v="53"/>
        <n v="54"/>
        <n v="55"/>
        <n v="56"/>
        <n v="57"/>
        <n v="58"/>
        <n v="59"/>
        <n v="60"/>
        <n v="61"/>
        <n v="62"/>
        <n v="63"/>
        <n v="64"/>
        <n v="65"/>
        <n v="66"/>
        <n v="67"/>
        <n v="68"/>
        <n v="69"/>
        <n v="70"/>
        <n v="71"/>
        <n v="72"/>
        <n v="73"/>
        <n v="74"/>
        <n v="75"/>
        <n v="76"/>
        <n v="77"/>
        <n v="78"/>
        <n v="79"/>
        <n v="80"/>
        <n v="81"/>
        <n v="82"/>
        <n v="83"/>
        <n v="84"/>
        <n v="85"/>
        <n v="86"/>
        <n v="87"/>
        <n v="88"/>
        <n v="89"/>
        <n v="90"/>
        <n v="92"/>
        <n v="93"/>
        <n v="94"/>
        <n v="95"/>
        <n v="96"/>
        <n v="97"/>
        <n v="98"/>
        <n v="99"/>
        <n v="100"/>
        <n v="101"/>
        <n v="102"/>
        <n v="103"/>
        <n v="104"/>
        <n v="105"/>
        <n v="106"/>
        <n v="107"/>
        <n v="108"/>
        <n v="109"/>
        <n v="110"/>
        <n v="111"/>
        <n v="112"/>
        <n v="113"/>
        <n v="114"/>
        <n v="115"/>
        <n v="116"/>
        <n v="117"/>
        <n v="118"/>
        <n v="119"/>
        <n v="120"/>
        <n v="121"/>
        <n v="122"/>
        <n v="123"/>
        <n v="124"/>
        <n v="125"/>
        <n v="126"/>
        <n v="127"/>
        <n v="128"/>
        <n v="129"/>
        <n v="130"/>
        <n v="131"/>
        <n v="132"/>
        <n v="133"/>
        <n v="134"/>
        <n v="135"/>
        <n v="136"/>
        <n v="137"/>
        <n v="138"/>
        <n v="139"/>
        <n v="140"/>
        <n v="141"/>
        <n v="142"/>
        <n v="143"/>
        <n v="144"/>
        <m/>
        <n v="91" u="1"/>
        <n v="145" u="1"/>
      </sharedItems>
    </cacheField>
    <cacheField name="Gender" numFmtId="0">
      <sharedItems containsBlank="1" count="3">
        <s v="Female"/>
        <s v="Male                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icrosoft Office User" refreshedDate="46157.83634814815" createdVersion="8" refreshedVersion="8" minRefreshableVersion="3" recordCount="271" xr:uid="{4CAD68C6-51C6-4241-831E-A357592816C9}">
  <cacheSource type="worksheet">
    <worksheetSource ref="A1:S272" sheet="Update"/>
  </cacheSource>
  <cacheFields count="19">
    <cacheField name="Name" numFmtId="0">
      <sharedItems/>
    </cacheField>
    <cacheField name="Are you planning to join the company trip?" numFmtId="0">
      <sharedItems/>
    </cacheField>
    <cacheField name="Please enter your ID/Passport number." numFmtId="0">
      <sharedItems/>
    </cacheField>
    <cacheField name="Please enter your phone number (just in case we need to get in touch)" numFmtId="0">
      <sharedItems/>
    </cacheField>
    <cacheField name="Are you bringing any partner or family members along? " numFmtId="0">
      <sharedItems/>
    </cacheField>
    <cacheField name="If yes, please provide the details for each guest below" numFmtId="0">
      <sharedItems containsBlank="1"/>
    </cacheField>
    <cacheField name="How do you plan to travel to the trip location?" numFmtId="0">
      <sharedItems/>
    </cacheField>
    <cacheField name="Anything else we should know?" numFmtId="0">
      <sharedItems containsBlank="1"/>
    </cacheField>
    <cacheField name="Gov" numFmtId="0">
      <sharedItems containsMixedTypes="1" containsNumber="1" containsInteger="1" minValue="76777" maxValue="76777"/>
    </cacheField>
    <cacheField name="Dep" numFmtId="0">
      <sharedItems/>
    </cacheField>
    <cacheField name="N+1" numFmtId="0">
      <sharedItems/>
    </cacheField>
    <cacheField name="Status" numFmtId="0">
      <sharedItems/>
    </cacheField>
    <cacheField name="With Fam" numFmtId="0">
      <sharedItems count="2">
        <s v="No"/>
        <s v="Yes"/>
      </sharedItems>
    </cacheField>
    <cacheField name="C Fam" numFmtId="0">
      <sharedItems containsString="0" containsBlank="1" containsNumber="1" containsInteger="1" minValue="0" maxValue="2"/>
    </cacheField>
    <cacheField name="A Fam" numFmtId="0">
      <sharedItems containsString="0" containsBlank="1" containsNumber="1" containsInteger="1" minValue="0" maxValue="1"/>
    </cacheField>
    <cacheField name="Fam Q" numFmtId="0">
      <sharedItems containsSemiMixedTypes="0" containsString="0" containsNumber="1" containsInteger="1" minValue="0" maxValue="3"/>
    </cacheField>
    <cacheField name="Total Hc" numFmtId="0">
      <sharedItems containsSemiMixedTypes="0" containsString="0" containsNumber="1" containsInteger="1" minValue="1" maxValue="4"/>
    </cacheField>
    <cacheField name="Bus No." numFmtId="0">
      <sharedItems containsMixedTypes="1" containsNumber="1" containsInteger="1" minValue="1" maxValue="8"/>
    </cacheField>
    <cacheField name="Room No." numFmtId="0">
      <sharedItems containsSemiMixedTypes="0" containsString="0" containsNumber="1" containsInteger="1" minValue="1" maxValue="144" count="143">
        <n v="45"/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73"/>
        <n v="85"/>
        <n v="88"/>
        <n v="90"/>
        <n v="17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18"/>
        <n v="19"/>
        <n v="87"/>
        <n v="86"/>
        <n v="35"/>
        <n v="36"/>
        <n v="58"/>
        <n v="37"/>
        <n v="38"/>
        <n v="39"/>
        <n v="40"/>
        <n v="57"/>
        <n v="41"/>
        <n v="42"/>
        <n v="43"/>
        <n v="44"/>
        <n v="61"/>
        <n v="71"/>
        <n v="72"/>
        <n v="74"/>
        <n v="75"/>
        <n v="76"/>
        <n v="46"/>
        <n v="47"/>
        <n v="48"/>
        <n v="49"/>
        <n v="50"/>
        <n v="51"/>
        <n v="52"/>
        <n v="53"/>
        <n v="54"/>
        <n v="56"/>
        <n v="55"/>
        <n v="59"/>
        <n v="60"/>
        <n v="62"/>
        <n v="69"/>
        <n v="68"/>
        <n v="70"/>
        <n v="89"/>
        <n v="94"/>
        <n v="95"/>
        <n v="96"/>
        <n v="97"/>
        <n v="98"/>
        <n v="99"/>
        <n v="100"/>
        <n v="101"/>
        <n v="102"/>
        <n v="103"/>
        <n v="104"/>
        <n v="105"/>
        <n v="106"/>
        <n v="107"/>
        <n v="108"/>
        <n v="109"/>
        <n v="110"/>
        <n v="127"/>
        <n v="128"/>
        <n v="129"/>
        <n v="130"/>
        <n v="131"/>
        <n v="132"/>
        <n v="133"/>
        <n v="134"/>
        <n v="135"/>
        <n v="136"/>
        <n v="137"/>
        <n v="138"/>
        <n v="139"/>
        <n v="140"/>
        <n v="141"/>
        <n v="142"/>
        <n v="143"/>
        <n v="144"/>
        <n v="65"/>
        <n v="66"/>
        <n v="67"/>
        <n v="63"/>
        <n v="64"/>
        <n v="79"/>
        <n v="80"/>
        <n v="81"/>
        <n v="82"/>
        <n v="83"/>
        <n v="84"/>
        <n v="111"/>
        <n v="112"/>
        <n v="113"/>
        <n v="114"/>
        <n v="115"/>
        <n v="116"/>
        <n v="117"/>
        <n v="118"/>
        <n v="119"/>
        <n v="120"/>
        <n v="121"/>
        <n v="122"/>
        <n v="123"/>
        <n v="124"/>
        <n v="125"/>
        <n v="126"/>
        <n v="77"/>
        <n v="78"/>
        <n v="92"/>
        <n v="93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E Lan Vy" refreshedDate="46162.802654398147" createdVersion="8" refreshedVersion="8" minRefreshableVersion="3" recordCount="331" xr:uid="{CFCA5F36-BB0E-44A4-AA52-FAE825DA89D4}">
  <cacheSource type="worksheet">
    <worksheetSource name="OfficeForms.Table"/>
  </cacheSource>
  <cacheFields count="29">
    <cacheField name="Id" numFmtId="0">
      <sharedItems containsString="0" containsBlank="1" containsNumber="1" containsInteger="1" minValue="1" maxValue="328"/>
    </cacheField>
    <cacheField name="Start time" numFmtId="0">
      <sharedItems containsNonDate="0" containsDate="1" containsString="0" containsBlank="1" minDate="2026-04-21T17:23:25" maxDate="2026-05-07T13:19:38"/>
    </cacheField>
    <cacheField name="Completion time" numFmtId="0">
      <sharedItems containsNonDate="0" containsDate="1" containsString="0" containsBlank="1" minDate="2026-04-21T17:23:34" maxDate="2026-05-07T13:21:30"/>
    </cacheField>
    <cacheField name="Email" numFmtId="0">
      <sharedItems containsBlank="1" count="332">
        <s v="phamkhanh.tran@amaris.com"/>
        <s v="thuytien.phamdo@amaris.com"/>
        <s v="hoangha.nguyen@amaris.com"/>
        <s v="thientrang.doan@amaris.com"/>
        <s v="uhonguyenhong@amaris.com"/>
        <s v="pha1@amaris.com"/>
        <s v="hvu3@amaris.com"/>
        <s v="cao.minh@amaris.com"/>
        <s v="hoangtu.la@amaris.com"/>
        <s v="trungnghia.cao@amaris.com"/>
        <s v="minhthuan.le@amaris.com"/>
        <s v="thanhthuan.nguyenvan@amaris.com"/>
        <s v="do.tranvan@amaris.com"/>
        <s v="quangtrinh.ha@amaris.com"/>
        <s v="tanthanh.ngo@amaris.com"/>
        <s v="binhnam.mai@amaris.com"/>
        <s v="hongnguyen.chuong@amaris.com"/>
        <s v="lethanh.nguyen@amaris.com"/>
        <s v="kimcong.nguyen@amaris.com"/>
        <s v="ngoctuan.nguyen@amaris.com"/>
        <s v="thanhnhan.phan@amaris.com"/>
        <s v="trungnghia.nguyen@amaris.com"/>
        <s v="leman.nguyen@amaris.com"/>
        <s v="thanhloc.nguyen@amaris.com"/>
        <s v="huuvinh.nguyen@amaris.com"/>
        <s v="hongdao.son@amaris.com"/>
        <s v="xuandat.hoang@amaris.com"/>
        <s v="trunghieu.pham@amaris.com"/>
        <s v="thanhson.nguyen@amaris.com"/>
        <s v="nguyen.tai3@amaris.com"/>
        <s v="vanthanh.khuat@amaris.com"/>
        <s v="quangnien.nguyen@amaris.com"/>
        <s v="thanhphuoc.le@amaris.com"/>
        <s v="nnguyen9@amaris.com"/>
        <s v="congdanh.bui@amaris.com"/>
        <s v="huynhchi.vo@amaris.com"/>
        <s v="quangtrung.do@amaris.com"/>
        <s v="vantrien.dang@amaris.com"/>
        <s v="thanhdat.nguyen@amaris.com"/>
        <s v="songtoan.vu@amaris.com"/>
        <s v="quangtin.tran@amaris.com"/>
        <s v="tuongduy.vo@amaris.com"/>
        <s v="ngocthanh.pham@amaris.com"/>
        <s v="congkhanh.huynh@amaris.com"/>
        <s v="tran.xuanvu@amaris.com"/>
        <s v="thithanh.le@amaris.com"/>
        <s v="phuonghang.lethi@amaris.com"/>
        <s v="nhuhai.phan@amaris.com"/>
        <s v="tramngan.tranthi@amaris.com"/>
        <s v="hoaisang.cao@amaris.com"/>
        <s v="ngocmy.ha@amaris.com"/>
        <s v="duyduc.nguyenhuynh@amaris.com"/>
        <s v="quoclinh.tran@amaris.com"/>
        <s v="vanhao.le@amaris.com"/>
        <s v="nguyen.minhphuoc@amaris.com"/>
        <s v="duynhat.nguyen@amaris.com"/>
        <s v="huungan.mai@amaris.com"/>
        <s v="minhquan.dang@amaris.com"/>
        <s v="huunghia.pham@amaris.com"/>
        <s v="ngocthuy.pham@amaris.com"/>
        <s v="duyphong.nguyen@amaris.com"/>
        <s v="tuuyen.dinhthi@amaris.com"/>
        <s v="tuanthanh.tran@amaris.com"/>
        <s v="huytri.nguyen@amaris.com"/>
        <s v="thanhduc.le@amaris.com"/>
        <s v="ngoctran.tathi@amaris.com"/>
        <s v="trannhat.nguyen@amaris.com"/>
        <s v="minhtri.do@amaris.com"/>
        <s v="tienmanh.nguyen@amaris.com"/>
        <s v="thaian.phamthuy@amaris.com"/>
        <s v="quoctrung.kieu@amaris.com"/>
        <s v="thanhviet.dinh@amaris.com"/>
        <s v="huynhchi.cuong@amaris.com"/>
        <s v="hla@amaris.com"/>
        <s v="tnguyen39@amaris.com"/>
        <s v="thinguyet.nong@amaris.com"/>
        <s v="trihung.nguyen@amaris.com"/>
        <s v="thatviet.ton@amaris.com"/>
        <s v="antruong.nguyen@amaris.com"/>
        <s v="hoangtuan.nguyen@amaris.com"/>
        <s v="my.tran@amaris.com"/>
        <s v="namkha.le@amaris.com"/>
        <s v="thiviet.nguyen@amaris.com"/>
        <s v="tanhoang.nguyen@amaris.com"/>
        <s v="baokhang.ha@amaris.com"/>
        <s v="thanhduy.chau@amaris.com"/>
        <s v="khanhgia.chung@amaris.com"/>
        <s v="vantien.cao@amaris.com"/>
        <s v="phuong.vu@amaris.com"/>
        <s v="ngoctrang.tran@amaris.com"/>
        <s v="minhtan.tran1@amaris.com"/>
        <s v="nguyen.tuananh@amaris.com"/>
        <s v="nhamquy.tran@amaris.com"/>
        <s v="thuong.trinhxuan@amaris.com"/>
        <s v="nguyen.huyhoang@amaris.com"/>
        <s v="vanhieu.nguyen@amaris.com"/>
        <s v="kimgia.nguyen@amaris.com"/>
        <s v="congquan.pham@amaris.com"/>
        <s v="thanhxuan.bui@amaris.com"/>
        <s v="thiphuong.vu@amaris.com"/>
        <s v="vantinh.pham@amaris.com"/>
        <s v="tuan.vancong@amaris.com"/>
        <s v="thanhtrung.nguyen@amaris.com"/>
        <s v="nguyenngoc.nguyensy@amaris.com"/>
        <s v="anhquoc.pham@amaris.com"/>
        <s v="haibinh.dang@amaris.com"/>
        <s v="trungtin.thai@amaris.com"/>
        <s v="minhnhat.dang@amaris.com"/>
        <s v="kimnha.dao@amaris.com"/>
        <s v="pnguyen4@amaris.com"/>
        <s v="chienhao.cao@amaris.com"/>
        <s v="donhat.pham@amaris.com"/>
        <s v="duyhanh.le@amaris.com"/>
        <s v="huuthinh.nguyen@amaris.com"/>
        <s v="phuong.nguyenthiquynh@amaris.com"/>
        <s v="ducthanh.van@amaris.com"/>
        <s v="duan.nguyen@amaris.com"/>
        <s v="hoanglong.nguyen1@amaris.com"/>
        <s v="tanhoang.nguyen1@amaris.com"/>
        <s v="haithien.nguyen@amaris.com"/>
        <s v="nguyen.phamhuukhoi@amaris.com"/>
        <s v="nhattan.tranhuynh@amaris.com"/>
        <s v="khanhlinh.dangngoc@amaris.com"/>
        <s v="phuocson.le@amaris.com"/>
        <s v="thanhtung.le@amaris.com"/>
        <s v="vuduy.dinh@amaris.com"/>
        <s v="tunglam.ngo@amaris.com"/>
        <s v="chitam.nguyenle@amaris.com"/>
        <s v="qtran5@amaris.com"/>
        <s v="sang.truongvan@amaris.com"/>
        <s v="baongoc.nguyen@amaris.com"/>
        <s v="pham.trungkien@amaris.com"/>
        <s v="thaihien.luong@amaris.com"/>
        <s v="ket.vovan@amaris.com"/>
        <s v="vuphuong.nguyen@amaris.com"/>
        <s v="nducquy@amaris.com"/>
        <s v="sxia@mantu.com"/>
        <s v="lle@mantu.com"/>
        <s v="hpham1@amaris.com"/>
        <s v="xle@amaris.com"/>
        <s v="hnguyen13@amaris.com"/>
        <s v="tvo4@amaris.com"/>
        <s v="tnguyen38@amaris.com"/>
        <s v="tle8@amaris.com"/>
        <s v="dle3@amaris.com"/>
        <s v="qnguyen13@amaris.com"/>
        <s v="ptruongthi@amaris.com"/>
        <s v="mbui3@mantu.com"/>
        <s v="knguyen8@mantu.com"/>
        <s v="pnguyen7@mantu.com"/>
        <s v="gdutertre@mantu.com"/>
        <s v="ppham@mantu.com"/>
        <s v="hnguyen6@mantu.com"/>
        <s v="qdiep@mantu.com"/>
        <s v="nle1@mantu.com"/>
        <s v="hnguyen21@amaris.com"/>
        <s v="yhong@mantu.com"/>
        <s v="kphan1@amaris.com"/>
        <s v="htran4@amaris.com"/>
        <s v="tluong1@mantu.com"/>
        <s v="nphuonguyen@mantu.com"/>
        <s v="utran@mantu.com"/>
        <s v="cnguyen@mantu.com"/>
        <s v="cvodinhque@amaris.com"/>
        <s v="nhoanglamtam@amaris.com"/>
        <s v="utrinhlethao@mantu.com"/>
        <s v="tnguyen38@mantu.com"/>
        <s v="blam@mantu.com"/>
        <s v="bhung@mantu.com"/>
        <s v="gduquesnay.ext@mantu.com"/>
        <s v="hhuynhngoc@mantu.com"/>
        <s v="chuynh@mantu.com"/>
        <s v="hnguyen2@mantu.com"/>
        <s v="tnguyen6@mantu.com"/>
        <s v="hha2@mantu.com"/>
        <s v="hnguyen3@mantu.com"/>
        <s v="thoang5@mantu.com"/>
        <s v="ctaidai@mantu.com"/>
        <s v="pchau@mantu.com"/>
        <s v="mtrannhat@mantu.com"/>
        <s v="le.huy@mantu.com"/>
        <s v="tnguyen9@mantu.com"/>
        <s v="knguyen1@mantu.com"/>
        <s v="hnguyen4@mantu.com"/>
        <s v="tnguyen25@mantu.com"/>
        <s v="dle2@mantu.com"/>
        <s v="bhuynh@mantu.com"/>
        <s v="mpham@mantu.com"/>
        <s v="htran1@mantu.com"/>
        <s v="tta@mantu.com"/>
        <s v="tnguyen44@mantu.com"/>
        <s v="aphan2@mantu.com"/>
        <s v="cbui@mantu.com"/>
        <s v="pnguyenduy@mantu.com"/>
        <s v="nnguyen3@mantu.com"/>
        <s v="phoang@mantu.com"/>
        <s v="npham@mantu.com"/>
        <s v="tdinh1@mantu.com"/>
        <s v="tho2@mantu.com"/>
        <s v="tngo@mantu.com"/>
        <s v="clin1@amaris.com"/>
        <s v="kpham@mantu.com"/>
        <s v="thikhanh.nguyen@amaris.com"/>
        <s v="tran.ngocquoc@amaris.com"/>
        <s v="thihue.do@amaris.com"/>
        <s v="tienhuynh.nguyen@amaris.com"/>
        <s v="tranthuy.lu@amaris.com"/>
        <s v="mdang1@mantu.com"/>
        <s v="qtran5@mantu.com"/>
        <s v="pvantai@mantu.com"/>
        <s v="tnguyen10@mantu.com"/>
        <s v="nhao@mantu.com"/>
        <s v="tle19@mantu.com"/>
        <s v="dinhanh.hoang@amaris.com"/>
        <s v="dinhlam.tran@amaris.com"/>
        <s v="chihau.nguyen@amaris.com"/>
        <s v="daiduong.phan@amaris.com"/>
        <s v="duynguyen.vongoc@amaris.com"/>
        <s v="lmaianh@amaris.com"/>
        <s v="lnguyenthiquynh@mantu.com"/>
        <s v="nnguyen16@mantu.com"/>
        <s v="tdoan2@mantu.com"/>
        <s v="bcao@mantu.com"/>
        <s v="anhkhoa.nguyen@amaris.com"/>
        <s v="nghilam.pham@amaris.com"/>
        <s v="viethoang.tran@amaris.com"/>
        <s v="dangkhoa.pham@amaris.com"/>
        <s v="kimanh.do@amaris.com"/>
        <s v="huuthanh.tran@amaris.com"/>
        <s v="nly@amaris.com"/>
        <s v="tnguyen28@amaris.com"/>
        <s v="phuongthao.nguyen@amaris.com"/>
        <s v="nnguyen15@mantu.com"/>
        <s v="mtranthi@mantu.com"/>
        <s v="qphan@mantu.com"/>
        <s v="anh.hoang@amaris.com"/>
        <s v="triet.huynhminh@amaris.com"/>
        <s v="dnguyen@mantu.com"/>
        <s v="tdang3@mantu.com"/>
        <s v="bhoang@mantu.com"/>
        <s v="klim@mantu.com"/>
        <s v="hoainhu.nguyen@amaris.com"/>
        <s v="tle4@mantu.com"/>
        <s v="nhuynh@mantu.com"/>
        <s v="cguiguen@amaris.com"/>
        <s v="ndo3@mantu.com"/>
        <s v="tminh@amaris.com"/>
        <s v="tnguyen57@mantu.com"/>
        <s v="nnhan@amaris.com"/>
        <s v="lphan@mantu.com"/>
        <s v="tnguyen24@amaris.com"/>
        <s v="vnguyen5@amaris.com"/>
        <s v="ttran9@amaris.com"/>
        <s v="acamaret@amaris.com"/>
        <s v="tnguyen56@amaris.com"/>
        <s v="dnguyen18@amaris.com"/>
        <s v="hnhi1@amaris.com"/>
        <s v="pthaian@amaris.com"/>
        <s v="lpham1@amaris.com"/>
        <s v="hle1@amaris.com"/>
        <s v="tpham2@amaris.com"/>
        <s v="hdo1@amaris.com"/>
        <s v="lnguyen@mantu.com"/>
        <s v="bleho@mantu.com"/>
        <s v="tle31@mantu.com"/>
        <s v="hvinh@mantu.com"/>
        <s v="tdinh@mantu.com"/>
        <s v="nnam@mantu.com"/>
        <s v="vle2@mantu.com"/>
        <s v="kphan2@mantu.com"/>
        <s v="aphan1@mantu.com"/>
        <s v="haithanh.nguyenquoc@amaris.com"/>
        <s v="thiyen.cao@amaris.com"/>
        <s v="truong.vuhuu@amaris.com"/>
        <s v="thihoa.vuong@amaris.com"/>
        <s v="hha3@amaris.com"/>
        <s v="quocanh.dang@amaris.com"/>
        <s v="anh.dangquoc@amaris.com"/>
        <s v="huuphuc.le@amaris.com"/>
        <s v="hogia.dinh@amaris.com"/>
        <s v="hanh.nguyenngochong@amaris.com"/>
        <s v="thanhphong.ho@amaris.com"/>
        <s v="thanhphuc.nguyenhuynh@amaris.com"/>
        <s v="dvohuynh@mantu.com"/>
        <s v="khuynh@amaris.com"/>
        <s v="hoangquoc.le@amaris.com"/>
        <s v="hoanghai.nguyen@amaris.com"/>
        <s v="dogia.phan@amaris.com"/>
        <s v="quangvinh.nguyenduc@amaris.com"/>
        <s v="bang.ngo@littlebigconnection.com"/>
        <s v="mle2@amaris.com"/>
        <s v="vdung@amaris.com"/>
        <s v="hlenguyen@mantu.com"/>
        <s v="tho@mantu.com"/>
        <s v="thoang@mantu.com"/>
        <s v="huutung.le@amaris.com"/>
        <s v="hoang.thien@amaris.com"/>
        <s v="ho.vanvinh@amaris.com"/>
        <s v="diep.lethingoc@amaris.com"/>
        <s v="haitrieu.dang@amaris.com"/>
        <s v="nvu2@mantu.com"/>
        <s v="ndao@mantu.com"/>
        <s v="thanhnam.nguyenhuu@amaris.com"/>
        <s v="lamchi.ly@amaris.com"/>
        <s v="lnguyen1@mantu.com"/>
        <s v="hdoan1@mantu.com"/>
        <s v="phucthinh.tran@amaris.com"/>
        <s v="hngo1@mantu.com"/>
        <s v="binhduong.do@amaris.com"/>
        <s v="phucanh.nguyen@amaris.com"/>
        <s v="pham.yenduyen@amaris.com"/>
        <s v="chausy.le@amaris.com"/>
        <s v="anhtuan.nguyen@amaris.com"/>
        <s v="bahoang.vo@amaris.com"/>
        <s v="toan.phamvan@amaris.com"/>
        <s v="tle18@mantu.com"/>
        <s v="dnguyen15@mantu.com"/>
        <s v="TBD"/>
        <s v="quochung.phung@amaris.com"/>
        <s v="nhuvien.nguyen@amaris.com"/>
        <s v="huuvinh.pham@amaris.com"/>
        <s v="thiquynh.nguyen@amaris.com"/>
        <s v="tiendat.pham@amaris.com"/>
        <s v="nle6@amaris.com"/>
        <s v="tluong@mantu.com"/>
        <s v="hoangduy.pham@amaris.com"/>
        <s v="duchuy.phamnguyen@amaris.com"/>
        <s v="tienthinh.le@amaris.com"/>
        <s v="bngocminh@mantu.com"/>
        <s v="hoaitrinh.do@amaris.com"/>
        <s v="tienthuan.luong@amaris.com"/>
        <m u="1"/>
      </sharedItems>
    </cacheField>
    <cacheField name="Name" numFmtId="0">
      <sharedItems count="334">
        <s v="Pham Khanh Linh TRAN"/>
        <s v="Do Thuy Tien PHAM"/>
        <s v="Hoang Ha Quyen NGUYEN"/>
        <s v="Thien Trang DOAN"/>
        <s v="Nguyen Hong Uyen HO"/>
        <s v="Phuong Thao HA"/>
        <s v="Thanh Hang VU"/>
        <s v="Duc Minh CAO"/>
        <s v="Hoang Tu LA"/>
        <s v="Trung Nghia CAO"/>
        <s v="Minh Thuan LE"/>
        <s v="Van Thanh Thuan NGUYEN"/>
        <s v="Van Do TRAN"/>
        <s v="Quang Trinh HA"/>
        <s v="Ngô Tấn Thành"/>
        <s v="Binh Nam MAI"/>
        <s v="Hong Chuong NGUYEN"/>
        <s v="Nguyễn Lê Thành"/>
        <s v="Kim Cong NGUYEN"/>
        <s v="Ngoc Tuan NGUYEN"/>
        <s v="Thanh Nhan PHAN"/>
        <s v="Trung Nghia NGUYEN"/>
        <s v="Le Man Dat NGUYEN"/>
        <s v="Thanh Loc NGUYEN"/>
        <s v="Huu Vinh NGUYEN"/>
        <s v="Hong Son DAO"/>
        <s v="Xuan Dat HOANG"/>
        <s v="Trung Hieu PHAM"/>
        <s v="Thanh Son NGUYEN"/>
        <s v="Thanh Tai NGUYEN"/>
        <s v="Van Thanh Danh KHUAT"/>
        <s v="Quang Nien NGUYEN"/>
        <s v="Thanh Phuoc LE"/>
        <s v="NGUYEN Tien Nam"/>
        <s v="Cong Danh BUI"/>
        <s v="Huynh Chi Tin VO"/>
        <s v="Quang Trung DO"/>
        <s v="Van Trien DANG"/>
        <s v="Thanh Dat NGUYEN"/>
        <s v="Song Toan VU"/>
        <s v="Quang Tin TRAN"/>
        <s v="Vo Tuong Duy"/>
        <s v="Ngoc Thanh PHAM"/>
        <s v="Cong Khanh HUYNH"/>
        <s v="Xuan Vu TRAN"/>
        <s v="Thi Thanh Huong LE"/>
        <s v="Phuong Hang LE THI"/>
        <s v="Nhu Hai Luu PHAN"/>
        <s v="Thi Tram Ngan TRAN"/>
        <s v="Hoai Sang CAO"/>
        <s v="Ngoc My HA"/>
        <s v="Huynh Duy Duc NGUYEN"/>
        <s v="Quoc Linh TRAN"/>
        <s v="Van Hao LE"/>
        <s v="Minh Phuoc NGUYEN"/>
        <s v="Duy Nhat NGUYEN"/>
        <s v="Huu Ngan MAI"/>
        <s v="Minh Quan DANG"/>
        <s v="Huu Nghia PHAM"/>
        <s v="Ngoc Thuy Trang PHAM"/>
        <s v="Duy Phong NGUYEN"/>
        <s v="Tu Uyen DINH THI"/>
        <s v="Tuan Thanh TRAN"/>
        <s v="Huy Tri NGUYEN"/>
        <s v="Thanh Duc LE"/>
        <s v="Ngoc Tran TA THI"/>
        <s v="Tran Nhat Duc NGUYEN"/>
        <s v="Minh Tri DO"/>
        <s v="Tien Manh NGUYEN"/>
        <s v="Thai An PHAM THUY"/>
        <s v="Quoc Trung KIEU"/>
        <s v="DINH Thanh Viet"/>
        <s v="Chi Cuong HUYNH"/>
        <s v="Thuy My Hao LA"/>
        <s v="The Trinh NGUYEN"/>
        <s v="Thi Nguyet NONG"/>
        <s v="Tri Hung NGUYEN"/>
        <s v="That Viet Anh TON"/>
        <s v="Truong An NGUYEN"/>
        <s v="Hoang Tuan Anh NGUYEN"/>
        <s v="Thi Ha My TRAN"/>
        <s v="Nam Kha LE"/>
        <s v="Thi Viet Trinh NGUYEN"/>
        <s v="Tan Hoang NGUYEN"/>
        <s v="Bao Khang HA"/>
        <s v="Thanh Duy CHAU"/>
        <s v="Khanh Gia CHUNG"/>
        <s v="Van Tien CAO"/>
        <s v="Phuong VU"/>
        <s v="Ngoc Trang Dai TRAN"/>
        <s v="Minh Tan TRAN"/>
        <s v="Anh Tuan - Tl NGUYEN"/>
        <s v="Nham Quy TRAN"/>
        <s v="Xuan Thuong TRINH"/>
        <s v="Huy Hoang NGUYEN"/>
        <s v="Van Hieu NGUYEN"/>
        <s v="Kim Gia Huy NGUYEN"/>
        <s v="Cong Quan PHAM"/>
        <s v="Thanh Xuan BUI"/>
        <s v="Thi Phuong Thao VU"/>
        <s v="Van Tinh PHAM"/>
        <s v="Cong Tuan VAN"/>
        <s v="Thanh Trung NGUYEN"/>
        <s v="Nguyen Ngoc NGUYEN SY"/>
        <s v="Anh Quoc PHAM"/>
        <s v="Hai Binh DANG"/>
        <s v="Trung Tin THAI"/>
        <s v="Nhat DANG MINH"/>
        <s v="Kim Nha DAO"/>
        <s v="Thi Minh Phuong NGUYEN"/>
        <s v="Chien Hao CAO"/>
        <s v="Do Nhat Minh PHAM"/>
        <s v="Duy Hanh LE"/>
        <s v="Huu Thinh NGUYEN"/>
        <s v="Thi Quynh Phuong NGUYEN"/>
        <s v="Duc Thanh VAN"/>
        <s v="Duan NGUYEN LE"/>
        <s v="Hoang Long NGUYEN"/>
        <s v="Tan Hoang - Bi NGUYEN"/>
        <s v="Hai Thien NGUYEN"/>
        <s v="Huu Khoi Nguyen PHAM"/>
        <s v="Huynh Nhat Tan TRAN"/>
        <s v="Ngoc Khanh Linh DANG"/>
        <s v="Phuoc Son LE"/>
        <s v="Thanh Tung LE"/>
        <s v="Vu Duy DINH"/>
        <s v="Tung Lam NGO"/>
        <s v="Chi Tam NGUYEN LE"/>
        <s v="Trần Quỳnh Anh"/>
        <s v="TRUONG Van Sang"/>
        <s v="NGUYEN Bao Ngoc"/>
        <s v="Trung Kien PHAM"/>
        <s v="Thai Hien LUONG"/>
        <s v="Van Ket VO"/>
        <s v="Vu Phuong NGUYEN"/>
        <s v="Duc Quy NGUYEN"/>
        <s v="Shuang XIA"/>
        <s v="Lan Vy LE"/>
        <s v="Hoang Mai Quyen PHAM"/>
        <s v="Xuan Tung LE"/>
        <s v="Ho Ngoc Tran NGUYEN"/>
        <s v="Tran Phuong Nga VO"/>
        <s v="Thi Thanh Thao NGUYEN"/>
        <s v="Thi Tu Quyen LE"/>
        <s v="Dang Quang LE"/>
        <s v="Quynh Mai NGUYEN"/>
        <s v="Thi Phuong Thao TRUONG"/>
        <s v="Minh Nhat BUI"/>
        <s v="Trung Kien NGUYEN"/>
        <s v="Tran Phuong Phuong NGUYEN"/>
        <s v="Geoffrey DUTERTRE"/>
        <s v="Hoang Phuc PHAM"/>
        <s v="Ha Nhi NGUYEN"/>
        <s v="Tue Quan DIEP"/>
        <s v="Ngoc Khanh LE"/>
        <s v="Hoang Thanh Thanh NGUYEN"/>
        <s v="Yen Xuan HONG"/>
        <s v="Khanh Linh PHAN"/>
        <s v="Huu Phuc - Tony TRAN"/>
        <s v="Thi Tram Anh LUONG"/>
        <s v="NGUYEN Vu Phuong Uyen"/>
        <s v="Ngoc Phuong Uyen TRAN"/>
        <s v="Chau Giang NGUYEN"/>
        <s v="Dinh Que Chau VO"/>
        <s v="Lam Tam Nhu HOANG"/>
        <s v="Uyen TRINH LE THAO"/>
        <s v="The Anh NGUYEN"/>
        <s v="Bao Quyen LAM"/>
        <s v="Quang Hung BUI"/>
        <s v="Guillaume DUQUESNAY"/>
        <s v="Ngoc Hoa HUYNH"/>
        <s v="Van Cop HUYNH"/>
        <s v="Hoang Minh NGUYEN"/>
        <s v="Thi Ha Trang NGUYEN"/>
        <s v="Thanh Huong HA"/>
        <s v="Hai Nam NGUYEN"/>
        <s v="Trung Thong HOANG"/>
        <s v="Dai Che Phuong TAI"/>
        <s v="Phu Qui CHAU"/>
        <s v="Nhat Minh TRAN"/>
        <s v="Ngoc Huy LE"/>
        <s v="Truong Thi NGUYEN"/>
        <s v="Khac Duy NGUYEN"/>
        <s v="Hoang Duy NGUYEN"/>
        <s v="Tuan Anh NGUYEN"/>
        <s v="Dinh Van LE"/>
        <s v="Ba Nghi HUYNH"/>
        <s v="Minh Tuan PHAM"/>
        <s v="Thai Hung TRAN"/>
        <s v="Thi My Hanh TA"/>
        <s v="Thanh Hoang NGUYEN"/>
        <s v="Anh Quan PHAN"/>
        <s v="Cuong BUI"/>
        <s v="Duy Phuong NGUYEN"/>
        <s v="Ngoc Thao My NGUYEN"/>
        <s v="Phu Loc HOANG"/>
        <s v="Nguyen Trong Tuan PHAM"/>
        <s v="Tien Khoi DINH"/>
        <s v="Thi Lanh HO"/>
        <s v="Trinh Quynh Nhu NGO"/>
        <s v="Clémence LIN"/>
        <s v="Khanh PHAM"/>
        <s v="Thi Khanh NGUYEN"/>
        <s v="Ngoc Quoc TRAN"/>
        <s v="Thi Hue DO"/>
        <s v="Tien Huynh NGUYEN"/>
        <s v="Tran Thuy Linh LU"/>
        <s v="Minh Thu DANG"/>
        <s v="Minh Quang TRAN"/>
        <s v="Van Tai PHAM"/>
        <s v="Tuan Khoi NGUYEN"/>
        <s v="Thuc Hao NGUYEN"/>
        <s v="Thi My Tam - Cindy LE"/>
        <s v="Dinh Anh Quoc HOANG"/>
        <s v="Dinh Lam TRAN"/>
        <s v="Chi Hau NGUYEN"/>
        <s v="Dai Duong PHAN"/>
        <s v="Duy Nguyen VO NGOC"/>
        <s v="Thi Mai Anh LE"/>
        <s v="Thi Quynh Lien NGUYEN"/>
        <s v="Le Kim Ngan NGUYEN"/>
        <s v="Le Bao Tram - Rachel DOAN"/>
        <s v="Bao Tram CAO"/>
        <s v="Anh Khoa NGUYEN"/>
        <s v="Nghi Lam PHAM"/>
        <s v="Viet Hoang TRAN"/>
        <s v="Dang Khoa PHAM"/>
        <s v="Kim Anh DO"/>
        <s v="Huu Thanh Tam TRAN"/>
        <s v="Thai Ly NGUYEN"/>
        <s v="Tu NGUYEN ANH"/>
        <s v="Phuong Thao NGUYEN"/>
        <s v="Ngoc Nguyen Ngan - Emily NGUYEN"/>
        <s v="Thi Minh Phuong TRAN"/>
        <s v="Xuan Quang PHAN"/>
        <s v="Kieu Anh HOANG"/>
        <s v="Triet HUYNH MINH"/>
        <s v="Dinh Tien Dung NGUYEN"/>
        <s v="Truong Tho DANG"/>
        <s v="Bao An HOANG"/>
        <s v="Chee Kiat LIM"/>
        <s v="Hoai Nhu Y NGUYEN"/>
        <s v="Thuy Phuong - Kaitlyn LE"/>
        <s v="Diem Thien Nga - Micky HUYNH"/>
        <s v="Clément GUIGUEN"/>
        <s v="Nguyen Phuong DO"/>
        <s v="Thi Anh Minh TRAN"/>
        <s v="Thu Hong NGUYEN"/>
        <s v="Thi Thanh Nhan NGUYEN"/>
        <s v="Linh Chau PHAN"/>
        <s v="Trung Hieu NGUYEN"/>
        <s v="Ho Khanh Vy NGUYEN"/>
        <s v="Thi Anh Thu TRAN"/>
        <s v="Arthur CAMARET"/>
        <s v="Hoang Bich Tran NGUYEN"/>
        <s v="Dang Thuy Duong NGUYEN"/>
        <s v="Nguyen Tu Nhi HONG"/>
        <s v="Thai An PHAM"/>
        <s v="Le Khanh Chi PHAM"/>
        <s v="Hoang Dung LE"/>
        <s v="Tran Thao Vy PHAM"/>
        <s v="Hieu Minh DO"/>
        <s v="Le Minh Trang NGUYEN"/>
        <s v="Ho Bao Thy LE"/>
        <s v="Tuong Khuyen LE"/>
        <s v="Hoang Le Nguyen VINH"/>
        <s v="Thi Ngoc Thuy DINH"/>
        <s v="Ngoc Nam NGO"/>
        <s v="Van Khanh LE"/>
        <s v="Thi Kieu Tien PHAN"/>
        <s v="Anh Dung Cuong PHAN"/>
        <s v="Quoc Hai Thanh NGUYEN"/>
        <s v="Thi Yen Khoa CAO"/>
        <s v="Huu Truong VU"/>
        <s v="Thi Hoa VUONG"/>
        <s v="Huyen Trang HA"/>
        <s v="Quoc Anh - Qc DANG"/>
        <s v="Quoc Anh DANG"/>
        <s v="Huu Phuc LE"/>
        <s v="Ho Gia Nguyen DINH"/>
        <s v="Hanh NGUYEN NGOC HONG"/>
        <s v="Thanh Phong HO"/>
        <s v="Thanh Phuc NGUYEN HUYNH"/>
        <s v="Huynh Duc Huy VO"/>
        <s v="Minh Khoi HUYNH"/>
        <s v="Hoang Quoc Bao LE"/>
        <s v="Hoang Hai NGUYEN"/>
        <s v="Do Gia Huy PHAN"/>
        <s v="Duc Quang Vinh NGUYEN"/>
        <s v="Nguyen Bang NGO"/>
        <s v="Minh Nghi LE"/>
        <s v="Thi Thuy Dung VU"/>
        <s v="Phuong LE NGUYEN HOANG"/>
        <s v="Tuan Huy HO"/>
        <s v="Vinh Thang HOANG"/>
        <s v="Huu Tung LE"/>
        <s v="Thien HOANG"/>
        <s v="Van Vinh HO"/>
        <s v="Thi Ngoc Diep LE"/>
        <s v="Hai Trieu DANG"/>
        <s v="Ngoc Bao Han VU"/>
        <s v="Ngoc Gia Thoai DAO"/>
        <s v="Thanh Nam NGUYEN HUU"/>
        <s v="Lam Chi Khang LY"/>
        <s v="Luu Bao NGUYEN"/>
        <s v="Hoang Minh DOAN"/>
        <s v="Phuc Thinh TRAN"/>
        <s v="Hoang Vu NGO"/>
        <s v="Binh Duong DO"/>
        <s v="Phuc Anh Khoi NGUYEN"/>
        <s v="Yen Duyen PHAM"/>
        <s v="Chau Sy Dat LE"/>
        <s v="Anh Tuan NGUYEN"/>
        <s v="Ba Hoang Viet VO"/>
        <s v="Van Toan PHAM"/>
        <s v="Thi Ngoc Mai LE"/>
        <s v="Duc Tung NGUYEN"/>
        <s v="Nguyễn Hoàng Tuấn"/>
        <s v="Quoc Hung PHUNG"/>
        <s v="Nhu Vien NGUYEN"/>
        <s v="Huu Vinh PHAM"/>
        <s v="Thi Quynh Nhu NGUYEN"/>
        <s v="Tien Dat PHAM"/>
        <s v="Nguyen Nhat Anh LE"/>
        <s v="Thuan Thanh LUONG"/>
        <s v="Hoang Duy Duc PHAM"/>
        <s v="Nguyen Duc Huy PHAM"/>
        <s v="LE Tien Thinh"/>
        <s v="BUI Thi Ngoc Minh"/>
        <s v="DO Hoai Trinh"/>
        <s v="Tien Thuan Hai Luong"/>
        <s v="BUI Quang Hung" u="1"/>
        <s v="Võ Tường Duy" u="1"/>
        <s v="Trương Văn Sang" u="1"/>
      </sharedItems>
    </cacheField>
    <cacheField name="Are you planning to join the company trip?" numFmtId="0">
      <sharedItems containsBlank="1" count="3">
        <s v="Yes, count me in!"/>
        <s v="Sorry, I won’t be able to join this time."/>
        <m u="1"/>
      </sharedItems>
    </cacheField>
    <cacheField name="Please enter your ID/Passport number." numFmtId="0">
      <sharedItems containsBlank="1"/>
    </cacheField>
    <cacheField name="Please enter your phone number (just in case we need to get in touch)" numFmtId="0">
      <sharedItems containsBlank="1"/>
    </cacheField>
    <cacheField name="Are you bringing any partner or family members along? " numFmtId="0">
      <sharedItems containsBlank="1"/>
    </cacheField>
    <cacheField name="If yes, please provide the details for each guest below" numFmtId="0">
      <sharedItems containsBlank="1"/>
    </cacheField>
    <cacheField name="How do you plan to travel to the trip location?" numFmtId="0">
      <sharedItems containsBlank="1" count="4">
        <s v="I’ll take the company bus"/>
        <m/>
        <s v="I’ll arrange my own transportation"/>
        <s v=""/>
      </sharedItems>
    </cacheField>
    <cacheField name="Anything else we should know?" numFmtId="0">
      <sharedItems containsBlank="1"/>
    </cacheField>
    <cacheField name="Gov" numFmtId="0">
      <sharedItems count="13">
        <s v="Amaris Consulting"/>
        <s v="Not joining"/>
        <s v="Administrative &amp; Finance"/>
        <s v="Real Estate and Support Services"/>
        <s v="Information Technology"/>
        <s v="Human Resources"/>
        <s v="ACT"/>
        <s v="Performance Management"/>
        <s v="Recruitment"/>
        <s v="Marketing &amp; Conversation"/>
        <e v="#REF!"/>
        <e v="#N/A" u="1"/>
        <s v="New Hire" u="1"/>
      </sharedItems>
    </cacheField>
    <cacheField name="Dep" numFmtId="0">
      <sharedItems count="34">
        <s v="Consultants"/>
        <s v="Managers"/>
        <s v="Directors"/>
        <s v="Not joining"/>
        <s v="Delivery"/>
        <s v="Financial Business Controlling"/>
        <s v="Group &amp; Corporate Controlling"/>
        <s v="Operational Finance"/>
        <s v="Finance Operations"/>
        <s v="Office Facillity Management"/>
        <s v="Group Accounting"/>
        <s v="Engineering &amp; Architecture"/>
        <s v="Quality Control"/>
        <s v="Software Engineering"/>
        <s v="Agile Center"/>
        <s v="Software Architecture"/>
        <s v="Product Management"/>
        <s v="Presales"/>
        <s v="Compensation &amp; Benefits"/>
        <s v="People Operations"/>
        <s v="Payroll Solutions"/>
        <s v="People Analytics"/>
        <s v="User Experience"/>
        <s v="Telephony"/>
        <s v="ACT Sales &amp; Pre-sales"/>
        <s v="Help Desk"/>
        <s v="System &amp; Network"/>
        <s v="Operational Controlling"/>
        <s v="Corporate Acquisition"/>
        <s v="Consulting Talent Acquisition"/>
        <s v="Design"/>
        <e v="#N/A"/>
        <s v="DevOps" u="1"/>
        <s v="New Hire" u="1"/>
      </sharedItems>
    </cacheField>
    <cacheField name="N+1" numFmtId="0">
      <sharedItems count="74">
        <s v="HA Phuong Thao"/>
        <s v="HO Nguyen Hong Uyen"/>
        <s v="NGUYEN Thai Ly"/>
        <s v="THEVELIN Chloe"/>
        <s v="NGUYEN Tien Nam"/>
        <s v="HOANG Thien"/>
        <s v="HUYNH Chi Cuong"/>
        <s v="LA Thuy My Hao"/>
        <s v="Not joining"/>
        <s v="NGUYEN The Trinh"/>
        <s v="VU Thanh Hang"/>
        <s v="NGUYEN Hoang Tuan Anh"/>
        <s v="TRAN Thi Ha My"/>
        <s v="HUYNH Minh Khoi"/>
        <s v="NGUYEN Duc Quy"/>
        <s v="NGUYEN Thi Minh Phuong"/>
        <s v="ALSHABANI Anas"/>
        <s v="BUI Quang Hung"/>
        <s v="BUI Thi Ngoc Minh"/>
        <s v="CATEL Agnès"/>
        <s v="CHECROUN Juliette"/>
        <s v="DE LACOMBE Romain"/>
        <s v="DUTERTRE Geoffrey"/>
        <s v="HERNANDEZ Laurine"/>
        <s v="NGUYEN The Anh"/>
        <s v="NGUYEN Vu Phuong Uyen"/>
        <s v="PHAM Hoang Phuc"/>
        <s v="PHAN Thi Ha Trang"/>
        <s v="RAVAIOLI Filippo"/>
        <s v="SEMERADT Corinne"/>
        <s v="VO Xuan Hung"/>
        <s v="XIA Shuang"/>
        <s v="BUZZACARO Alain"/>
        <s v="DUQUESNAY Guillaume"/>
        <s v="HUYNH Anh Tam"/>
        <s v="HUYNH Van Cop"/>
        <s v="IVAN Alex Constantin"/>
        <s v="LIM Chee Kiat"/>
        <s v="MATYSIAK Hervé"/>
        <s v="NGUYEN Anh Tuan - Richard"/>
        <s v="PHAM Bao Chung"/>
        <s v="PHAN Anh Dung Cuong"/>
        <s v="RAHMANI Rihab"/>
        <s v="CAMARET Arthur"/>
        <s v="CAP Kim Hoang"/>
        <s v="CAO Bao Tram"/>
        <s v="COMAS Mireille"/>
        <s v="NGUYEN Thai Bao"/>
        <s v="NGUYEN Thuc Hao"/>
        <s v="RAYNAUD Claire"/>
        <s v="NGUYEN Trung Hieu"/>
        <s v="VETTUKAD Amit"/>
        <s v="MAI Tan Ha"/>
        <s v="MAVANI Amit"/>
        <s v="NGO Ngoc Nam"/>
        <s v="SIOUDI Mohamed Amine"/>
        <s v="BUC Thomas"/>
        <s v="CARRILLO GIRONA Marina"/>
        <s v="GALLOT Brice"/>
        <s v="GUILLOTON Eve"/>
        <s v="HONG Nguyen Tu Nhi"/>
        <s v="JOLLIOT Marie-Benoîte"/>
        <s v="NGUYEN Ho Khanh Vy"/>
        <s v="NGUYEN Hoang Bich Tran"/>
        <s v="PHAM Thai An"/>
        <s v="PHAN Linh Chau"/>
        <s v="SANTANA Zulema"/>
        <s v="MATEI Aurel-George"/>
        <s v="GUÉRET Thomas"/>
        <e v="#N/A"/>
        <s v="NGUYEN Tran Phuong Phuong" u="1"/>
        <s v="NGUYEN Duc Tung" u="1"/>
        <s v="New Hire" u="1"/>
        <s v="TEIXEIRA Rui" u="1"/>
      </sharedItems>
    </cacheField>
    <cacheField name="Status" numFmtId="0">
      <sharedItems/>
    </cacheField>
    <cacheField name="With Fam" numFmtId="0">
      <sharedItems count="2">
        <s v="No"/>
        <s v="Yes"/>
      </sharedItems>
    </cacheField>
    <cacheField name="C Fam" numFmtId="0">
      <sharedItems containsString="0" containsBlank="1" containsNumber="1" containsInteger="1" minValue="0" maxValue="2"/>
    </cacheField>
    <cacheField name="A Fam" numFmtId="0">
      <sharedItems containsString="0" containsBlank="1" containsNumber="1" containsInteger="1" minValue="0" maxValue="1"/>
    </cacheField>
    <cacheField name="Fam Q" numFmtId="0">
      <sharedItems containsSemiMixedTypes="0" containsString="0" containsNumber="1" containsInteger="1" minValue="0" maxValue="3"/>
    </cacheField>
    <cacheField name="Total Hc" numFmtId="0">
      <sharedItems containsSemiMixedTypes="0" containsString="0" containsNumber="1" containsInteger="1" minValue="1" maxValue="4"/>
    </cacheField>
    <cacheField name="Bus No." numFmtId="0">
      <sharedItems containsString="0" containsBlank="1" containsNumber="1" containsInteger="1" minValue="1" maxValue="9" count="10">
        <n v="1"/>
        <n v="8"/>
        <n v="2"/>
        <m/>
        <n v="3"/>
        <n v="4"/>
        <n v="7"/>
        <n v="5"/>
        <n v="6"/>
        <n v="9" u="1"/>
      </sharedItems>
    </cacheField>
    <cacheField name="Room No." numFmtId="0">
      <sharedItems containsString="0" containsBlank="1" containsNumber="1" containsInteger="1" minValue="0" maxValue="146" count="148">
        <n v="45"/>
        <n v="1"/>
        <n v="2"/>
        <n v="85"/>
        <n v="88"/>
        <n v="4"/>
        <n v="5"/>
        <n v="3"/>
        <n v="6"/>
        <n v="7"/>
        <n v="8"/>
        <n v="13"/>
        <n v="9"/>
        <n v="14"/>
        <n v="11"/>
        <n v="12"/>
        <n v="10"/>
        <n v="73"/>
        <n v="15"/>
        <n v="110"/>
        <n v="16"/>
        <n v="65"/>
        <n v="66"/>
        <n v="67"/>
        <n v="20"/>
        <n v="17"/>
        <n v="31"/>
        <n v="21"/>
        <n v="32"/>
        <n v="22"/>
        <n v="23"/>
        <m/>
        <n v="24"/>
        <n v="25"/>
        <n v="33"/>
        <n v="26"/>
        <n v="34"/>
        <n v="27"/>
        <n v="28"/>
        <n v="29"/>
        <n v="30"/>
        <n v="86"/>
        <n v="87"/>
        <n v="35"/>
        <n v="36"/>
        <n v="61"/>
        <n v="58"/>
        <n v="44"/>
        <n v="37"/>
        <n v="38"/>
        <n v="39"/>
        <n v="40"/>
        <n v="74"/>
        <n v="72"/>
        <n v="57"/>
        <n v="75"/>
        <n v="41"/>
        <n v="76"/>
        <n v="42"/>
        <n v="43"/>
        <n v="71"/>
        <n v="46"/>
        <n v="47"/>
        <n v="48"/>
        <n v="89"/>
        <n v="50"/>
        <n v="51"/>
        <n v="60"/>
        <n v="52"/>
        <n v="53"/>
        <n v="56"/>
        <n v="55"/>
        <n v="70"/>
        <n v="62"/>
        <n v="59"/>
        <n v="69"/>
        <n v="49"/>
        <n v="54"/>
        <n v="68"/>
        <n v="101"/>
        <n v="98"/>
        <n v="109"/>
        <n v="97"/>
        <n v="96"/>
        <n v="106"/>
        <n v="99"/>
        <n v="107"/>
        <n v="104"/>
        <n v="108"/>
        <n v="105"/>
        <n v="103"/>
        <n v="125"/>
        <n v="95"/>
        <n v="100"/>
        <n v="94"/>
        <n v="102"/>
        <n v="138"/>
        <n v="131"/>
        <n v="139"/>
        <n v="130"/>
        <n v="140"/>
        <n v="141"/>
        <n v="142"/>
        <n v="137"/>
        <n v="136"/>
        <n v="135"/>
        <n v="143"/>
        <n v="129"/>
        <n v="144"/>
        <n v="134"/>
        <n v="133"/>
        <n v="132"/>
        <n v="127"/>
        <n v="128"/>
        <n v="79"/>
        <n v="83"/>
        <n v="80"/>
        <n v="81"/>
        <n v="82"/>
        <n v="19"/>
        <n v="18"/>
        <n v="84"/>
        <n v="64"/>
        <n v="63"/>
        <n v="115"/>
        <n v="124"/>
        <n v="113"/>
        <n v="114"/>
        <n v="92"/>
        <n v="112"/>
        <n v="126"/>
        <n v="111"/>
        <n v="123"/>
        <n v="122"/>
        <n v="90"/>
        <n v="118"/>
        <n v="119"/>
        <n v="121"/>
        <n v="120"/>
        <n v="117"/>
        <n v="116"/>
        <n v="93"/>
        <n v="78"/>
        <n v="77"/>
        <n v="91"/>
        <n v="146" u="1"/>
        <n v="145" u="1"/>
        <n v="0" u="1"/>
      </sharedItems>
    </cacheField>
    <cacheField name="Allergic Notice" numFmtId="0">
      <sharedItems containsNonDate="0" containsString="0" containsBlank="1"/>
    </cacheField>
    <cacheField name="Room Notice" numFmtId="0">
      <sharedItems containsNonDate="0" containsString="0" containsBlank="1"/>
    </cacheField>
    <cacheField name="Other Notice" numFmtId="0">
      <sharedItems containsNonDate="0" containsString="0" containsBlank="1"/>
    </cacheField>
    <cacheField name="Extra" numFmtId="0">
      <sharedItems containsNonDate="0" containsString="0" containsBlank="1"/>
    </cacheField>
    <cacheField name="Gender" numFmtId="0">
      <sharedItems containsMixedTypes="1" containsNumber="1" containsInteger="1" minValue="0" maxValue="0" count="4">
        <s v="Female"/>
        <s v="Male"/>
        <s v="Male                "/>
        <n v="0" u="1"/>
      </sharedItems>
    </cacheField>
    <cacheField name="Room Type" numFmtId="0">
      <sharedItems containsMixedTypes="1" containsNumber="1" containsInteger="1" minValue="0" maxValue="0" count="3">
        <s v="DBL"/>
        <s v="TWN"/>
        <n v="0" u="1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73">
  <r>
    <x v="0"/>
    <x v="0"/>
    <s v="044199002375"/>
    <s v="0823387274"/>
    <s v="No"/>
    <m/>
    <s v="I’ll take the company bus"/>
    <m/>
    <s v="Amaris Consulting"/>
    <s v="Consultants"/>
    <s v="HA Phuong Thao"/>
    <s v="In"/>
    <s v="No"/>
    <n v="0"/>
    <n v="0"/>
    <n v="0"/>
    <n v="1"/>
    <x v="0"/>
    <x v="0"/>
    <s v="Female"/>
  </r>
  <r>
    <x v="1"/>
    <x v="0"/>
    <s v="070194001945"/>
    <s v="0396744435"/>
    <s v="No"/>
    <m/>
    <s v="I’ll take the company bus"/>
    <m/>
    <s v="Amaris Consulting"/>
    <s v="Consultants"/>
    <s v="HO Nguyen Hong Uyen"/>
    <s v="In"/>
    <s v="No"/>
    <n v="0"/>
    <n v="0"/>
    <n v="0"/>
    <n v="1"/>
    <x v="0"/>
    <x v="0"/>
    <s v="Female"/>
  </r>
  <r>
    <x v="2"/>
    <x v="0"/>
    <s v="077300001719"/>
    <s v="0968963049"/>
    <s v="No"/>
    <m/>
    <s v="I’ll take the company bus"/>
    <m/>
    <s v="Amaris Consulting"/>
    <s v="Consultants"/>
    <s v="HO Nguyen Hong Uyen"/>
    <s v="In"/>
    <s v="No"/>
    <n v="0"/>
    <n v="0"/>
    <n v="0"/>
    <n v="1"/>
    <x v="0"/>
    <x v="1"/>
    <s v="Female"/>
  </r>
  <r>
    <x v="3"/>
    <x v="0"/>
    <s v="091300011455"/>
    <s v="0918626459"/>
    <s v="No"/>
    <m/>
    <s v="I’ll take the company bus"/>
    <s v="If there’s a single room, I wanna stay alone (if any)"/>
    <s v="Amaris Consulting"/>
    <s v="Consultants"/>
    <s v="HO Nguyen Hong Uyen"/>
    <s v="In"/>
    <s v="No"/>
    <n v="0"/>
    <n v="0"/>
    <n v="0"/>
    <n v="1"/>
    <x v="0"/>
    <x v="1"/>
    <s v="Female"/>
  </r>
  <r>
    <x v="4"/>
    <x v="0"/>
    <s v="086099002987"/>
    <s v="0968933873"/>
    <s v="No"/>
    <m/>
    <s v="I’ll take the company bus"/>
    <m/>
    <s v="Amaris Consulting"/>
    <s v="Consultants"/>
    <s v="HA Phuong Thao"/>
    <s v="In"/>
    <s v="No"/>
    <n v="0"/>
    <n v="0"/>
    <n v="0"/>
    <n v="1"/>
    <x v="0"/>
    <x v="2"/>
    <s v="Male                "/>
  </r>
  <r>
    <x v="5"/>
    <x v="0"/>
    <s v="080095004933"/>
    <s v="0793485644"/>
    <s v="No"/>
    <m/>
    <s v="I’ll take the company bus"/>
    <s v="I'd like to request to be booked in the same room as the IVB team."/>
    <s v="Amaris Consulting"/>
    <s v="Consultants"/>
    <s v="HA Phuong Thao"/>
    <s v="In"/>
    <s v="No"/>
    <n v="0"/>
    <n v="0"/>
    <n v="0"/>
    <n v="1"/>
    <x v="0"/>
    <x v="2"/>
    <s v="Male                "/>
  </r>
  <r>
    <x v="6"/>
    <x v="0"/>
    <s v="080202010719"/>
    <s v="0942198738"/>
    <s v="No"/>
    <m/>
    <s v="I’ll take the company bus"/>
    <m/>
    <s v="Amaris Consulting"/>
    <s v="Consultants"/>
    <s v="HA Phuong Thao"/>
    <s v="In"/>
    <s v="No"/>
    <n v="0"/>
    <n v="0"/>
    <n v="0"/>
    <n v="1"/>
    <x v="0"/>
    <x v="3"/>
    <s v="Male                "/>
  </r>
  <r>
    <x v="7"/>
    <x v="0"/>
    <s v="083097005277"/>
    <s v="0386788883"/>
    <s v="No"/>
    <m/>
    <s v="I’ll take the company bus"/>
    <m/>
    <s v="Amaris Consulting"/>
    <s v="Consultants"/>
    <s v="HA Phuong Thao"/>
    <s v="In"/>
    <s v="No"/>
    <n v="0"/>
    <n v="0"/>
    <n v="0"/>
    <n v="1"/>
    <x v="0"/>
    <x v="3"/>
    <s v="Male                "/>
  </r>
  <r>
    <x v="8"/>
    <x v="0"/>
    <s v="051094000961"/>
    <s v="0938945445"/>
    <s v="No"/>
    <m/>
    <s v="I’ll take the company bus"/>
    <m/>
    <s v="Amaris Consulting"/>
    <s v="Consultants"/>
    <s v="HA Phuong Thao"/>
    <s v="In"/>
    <s v="No"/>
    <n v="0"/>
    <n v="0"/>
    <n v="0"/>
    <n v="1"/>
    <x v="0"/>
    <x v="4"/>
    <s v="Male                "/>
  </r>
  <r>
    <x v="9"/>
    <x v="0"/>
    <s v="089097020361"/>
    <s v="0967513840"/>
    <s v="No"/>
    <m/>
    <s v="I’ll take the company bus"/>
    <m/>
    <s v="Amaris Consulting"/>
    <s v="Consultants"/>
    <s v="HA Phuong Thao"/>
    <s v="In"/>
    <s v="No"/>
    <n v="0"/>
    <n v="0"/>
    <n v="0"/>
    <n v="1"/>
    <x v="0"/>
    <x v="4"/>
    <s v="Male                "/>
  </r>
  <r>
    <x v="10"/>
    <x v="0"/>
    <s v="087099016549"/>
    <s v="0826759579"/>
    <s v="No"/>
    <m/>
    <s v="I’ll take the company bus"/>
    <m/>
    <s v="Amaris Consulting"/>
    <s v="Consultants"/>
    <s v="HA Phuong Thao"/>
    <s v="In"/>
    <s v="No"/>
    <n v="0"/>
    <n v="0"/>
    <n v="0"/>
    <n v="1"/>
    <x v="0"/>
    <x v="5"/>
    <s v="Male                "/>
  </r>
  <r>
    <x v="11"/>
    <x v="0"/>
    <s v="044099000541"/>
    <s v="0948527910"/>
    <s v="No"/>
    <m/>
    <s v="I’ll take the company bus"/>
    <m/>
    <s v="Amaris Consulting"/>
    <s v="Consultants"/>
    <s v="HA Phuong Thao"/>
    <s v="In"/>
    <s v="No"/>
    <n v="0"/>
    <n v="0"/>
    <n v="0"/>
    <n v="1"/>
    <x v="0"/>
    <x v="5"/>
    <s v="Male                "/>
  </r>
  <r>
    <x v="12"/>
    <x v="0"/>
    <s v="089200015516"/>
    <s v="+84 329 382 782"/>
    <s v="No"/>
    <m/>
    <s v="I’ll take the company bus"/>
    <s v="Team chị My"/>
    <s v="Amaris Consulting"/>
    <s v="Consultants"/>
    <s v="HA Phuong Thao"/>
    <s v="In"/>
    <s v="No"/>
    <n v="0"/>
    <n v="0"/>
    <n v="0"/>
    <n v="1"/>
    <x v="0"/>
    <x v="6"/>
    <s v="Male                "/>
  </r>
  <r>
    <x v="13"/>
    <x v="0"/>
    <s v="083084008265"/>
    <s v="0989600669"/>
    <s v="No"/>
    <m/>
    <s v="I’ll take the company bus"/>
    <m/>
    <s v="Amaris Consulting"/>
    <s v="Consultants"/>
    <s v="HA Phuong Thao"/>
    <s v="In"/>
    <s v="No"/>
    <n v="0"/>
    <n v="0"/>
    <n v="0"/>
    <n v="1"/>
    <x v="0"/>
    <x v="6"/>
    <s v="Male                "/>
  </r>
  <r>
    <x v="14"/>
    <x v="0"/>
    <s v="062201003205"/>
    <s v="+84 931 182 688"/>
    <s v="No"/>
    <m/>
    <s v="I’ll take the company bus"/>
    <m/>
    <s v="Amaris Consulting"/>
    <s v="Consultants"/>
    <s v="HA Phuong Thao"/>
    <s v="In"/>
    <s v="No"/>
    <n v="0"/>
    <n v="0"/>
    <n v="0"/>
    <n v="1"/>
    <x v="0"/>
    <x v="7"/>
    <s v="Male                "/>
  </r>
  <r>
    <x v="15"/>
    <x v="0"/>
    <s v="051099011537"/>
    <s v="0973724249"/>
    <s v="No"/>
    <m/>
    <s v="I’ll take the company bus"/>
    <m/>
    <s v="Amaris Consulting"/>
    <s v="Consultants"/>
    <s v="HO Nguyen Hong Uyen"/>
    <s v="In"/>
    <s v="No"/>
    <n v="0"/>
    <n v="0"/>
    <n v="0"/>
    <n v="1"/>
    <x v="0"/>
    <x v="7"/>
    <s v="Male                "/>
  </r>
  <r>
    <x v="16"/>
    <x v="0"/>
    <s v="079096015213"/>
    <s v="0392357076"/>
    <s v="No"/>
    <m/>
    <s v="I’ll take the company bus"/>
    <m/>
    <s v="Amaris Consulting"/>
    <s v="Consultants"/>
    <s v="HO Nguyen Hong Uyen"/>
    <s v="In"/>
    <s v="No"/>
    <n v="0"/>
    <n v="0"/>
    <n v="0"/>
    <n v="1"/>
    <x v="0"/>
    <x v="8"/>
    <s v="Male                "/>
  </r>
  <r>
    <x v="17"/>
    <x v="0"/>
    <s v="066201016152"/>
    <s v="0393688714"/>
    <s v="No"/>
    <m/>
    <s v="I’ll take the company bus"/>
    <m/>
    <s v="Amaris Consulting"/>
    <s v="Consultants"/>
    <s v="HO Nguyen Hong Uyen"/>
    <s v="In"/>
    <s v="No"/>
    <n v="0"/>
    <n v="0"/>
    <n v="0"/>
    <n v="1"/>
    <x v="0"/>
    <x v="8"/>
    <s v="Male                "/>
  </r>
  <r>
    <x v="18"/>
    <x v="0"/>
    <s v="075200024308"/>
    <s v="0938316793"/>
    <s v="No"/>
    <m/>
    <s v="I’ll take the company bus"/>
    <m/>
    <s v="Amaris Consulting"/>
    <s v="Consultants"/>
    <s v="HO Nguyen Hong Uyen"/>
    <s v="In"/>
    <s v="No"/>
    <n v="0"/>
    <n v="0"/>
    <n v="0"/>
    <n v="1"/>
    <x v="0"/>
    <x v="9"/>
    <s v="Male                "/>
  </r>
  <r>
    <x v="19"/>
    <x v="0"/>
    <s v="051098005098"/>
    <s v="0392497315"/>
    <s v="No"/>
    <m/>
    <s v="I’ll take the company bus"/>
    <m/>
    <s v="Amaris Consulting"/>
    <s v="Consultants"/>
    <s v="HO Nguyen Hong Uyen"/>
    <s v="In"/>
    <s v="No"/>
    <n v="0"/>
    <n v="0"/>
    <n v="0"/>
    <n v="1"/>
    <x v="0"/>
    <x v="9"/>
    <s v="Male                "/>
  </r>
  <r>
    <x v="20"/>
    <x v="0"/>
    <s v="068096007001"/>
    <s v="0357556867"/>
    <s v="No"/>
    <m/>
    <s v="I’ll take the company bus"/>
    <m/>
    <s v="Amaris Consulting"/>
    <s v="Consultants"/>
    <s v="HO Nguyen Hong Uyen"/>
    <s v="In"/>
    <s v="No"/>
    <n v="0"/>
    <n v="0"/>
    <n v="0"/>
    <n v="1"/>
    <x v="0"/>
    <x v="10"/>
    <s v="Male                "/>
  </r>
  <r>
    <x v="21"/>
    <x v="0"/>
    <s v=" 086200001291"/>
    <s v="0337804259"/>
    <s v="No"/>
    <m/>
    <s v="I’ll take the company bus"/>
    <m/>
    <s v="Amaris Consulting"/>
    <s v="Consultants"/>
    <s v="HO Nguyen Hong Uyen"/>
    <s v="In"/>
    <s v="No"/>
    <n v="0"/>
    <n v="0"/>
    <n v="0"/>
    <n v="1"/>
    <x v="0"/>
    <x v="10"/>
    <s v="Male                "/>
  </r>
  <r>
    <x v="22"/>
    <x v="0"/>
    <s v="046097000064"/>
    <s v="0333515756"/>
    <s v="No"/>
    <m/>
    <s v="I’ll take the company bus"/>
    <m/>
    <s v="Amaris Consulting"/>
    <s v="Consultants"/>
    <s v="HO Nguyen Hong Uyen"/>
    <s v="In"/>
    <s v="No"/>
    <n v="0"/>
    <n v="0"/>
    <n v="0"/>
    <n v="1"/>
    <x v="0"/>
    <x v="11"/>
    <s v="Male                "/>
  </r>
  <r>
    <x v="23"/>
    <x v="0"/>
    <s v="077203004018"/>
    <s v="0971007831"/>
    <s v="No"/>
    <m/>
    <s v="I’ll take the company bus"/>
    <m/>
    <s v="Amaris Consulting"/>
    <s v="Consultants"/>
    <s v="HO Nguyen Hong Uyen"/>
    <s v="In"/>
    <s v="No"/>
    <n v="0"/>
    <n v="0"/>
    <n v="0"/>
    <n v="1"/>
    <x v="0"/>
    <x v="11"/>
    <s v="Male                "/>
  </r>
  <r>
    <x v="24"/>
    <x v="0"/>
    <s v="089200019968"/>
    <s v="0974086701"/>
    <s v="No"/>
    <m/>
    <s v="I’ll take the company bus"/>
    <m/>
    <s v="Amaris Consulting"/>
    <s v="Consultants"/>
    <s v="HO Nguyen Hong Uyen"/>
    <s v="In"/>
    <s v="No"/>
    <n v="0"/>
    <n v="0"/>
    <n v="0"/>
    <n v="1"/>
    <x v="0"/>
    <x v="12"/>
    <s v="Male                "/>
  </r>
  <r>
    <x v="25"/>
    <x v="0"/>
    <s v="030080017185"/>
    <s v="0988143980"/>
    <s v="No"/>
    <m/>
    <s v="I’ll take the company bus"/>
    <m/>
    <s v="Amaris Consulting"/>
    <s v="Consultants"/>
    <s v="HO Nguyen Hong Uyen"/>
    <s v="In"/>
    <s v="No"/>
    <n v="0"/>
    <n v="0"/>
    <n v="0"/>
    <n v="1"/>
    <x v="0"/>
    <x v="12"/>
    <s v="Male                "/>
  </r>
  <r>
    <x v="26"/>
    <x v="0"/>
    <s v="072094005258"/>
    <s v="0354219319"/>
    <s v="No"/>
    <m/>
    <s v="I’ll take the company bus"/>
    <m/>
    <s v="Amaris Consulting"/>
    <s v="Consultants"/>
    <s v="HO Nguyen Hong Uyen"/>
    <s v="In"/>
    <s v="No"/>
    <n v="0"/>
    <n v="0"/>
    <n v="0"/>
    <n v="1"/>
    <x v="0"/>
    <x v="13"/>
    <s v="Male                "/>
  </r>
  <r>
    <x v="27"/>
    <x v="0"/>
    <s v="079099030686"/>
    <s v="0933284515"/>
    <s v="No"/>
    <m/>
    <s v="I’ll take the company bus"/>
    <m/>
    <s v="Amaris Consulting"/>
    <s v="Consultants"/>
    <s v="HO Nguyen Hong Uyen"/>
    <s v="In"/>
    <s v="No"/>
    <n v="0"/>
    <n v="0"/>
    <n v="0"/>
    <n v="1"/>
    <x v="0"/>
    <x v="13"/>
    <s v="Male                "/>
  </r>
  <r>
    <x v="28"/>
    <x v="0"/>
    <s v="058201000239"/>
    <s v="0855586358"/>
    <s v="No"/>
    <m/>
    <s v="I’ll take the company bus"/>
    <m/>
    <s v="Amaris Consulting"/>
    <s v="Consultants"/>
    <s v="HO Nguyen Hong Uyen"/>
    <s v="In"/>
    <s v="No"/>
    <n v="0"/>
    <n v="0"/>
    <n v="0"/>
    <n v="1"/>
    <x v="0"/>
    <x v="14"/>
    <s v="Male                "/>
  </r>
  <r>
    <x v="29"/>
    <x v="0"/>
    <s v="079201014939"/>
    <s v="0902891404"/>
    <s v="No"/>
    <m/>
    <s v="I’ll take the company bus"/>
    <s v="Motion sickness pills"/>
    <s v="Amaris Consulting"/>
    <s v="Consultants"/>
    <s v="NGUYEN Tien Nam"/>
    <s v="In"/>
    <s v="No"/>
    <n v="0"/>
    <n v="0"/>
    <n v="0"/>
    <n v="1"/>
    <x v="0"/>
    <x v="14"/>
    <s v="Male                "/>
  </r>
  <r>
    <x v="30"/>
    <x v="0"/>
    <s v="079095022758"/>
    <s v="0777104166"/>
    <s v="No"/>
    <m/>
    <s v="I’ll take the company bus"/>
    <m/>
    <s v="Amaris Consulting"/>
    <s v="Consultants"/>
    <s v="NGUYEN Tien Nam"/>
    <s v="In"/>
    <s v="No"/>
    <n v="0"/>
    <n v="0"/>
    <n v="0"/>
    <n v="1"/>
    <x v="0"/>
    <x v="15"/>
    <s v="Male                "/>
  </r>
  <r>
    <x v="31"/>
    <x v="0"/>
    <s v="064200012749"/>
    <s v="0396402696"/>
    <s v="No"/>
    <m/>
    <s v="I’ll take the company bus"/>
    <m/>
    <s v="Amaris Consulting"/>
    <s v="Consultants"/>
    <s v="NGUYEN Tien Nam"/>
    <s v="In"/>
    <s v="No"/>
    <n v="0"/>
    <n v="0"/>
    <n v="0"/>
    <n v="1"/>
    <x v="0"/>
    <x v="15"/>
    <s v="Male                "/>
  </r>
  <r>
    <x v="32"/>
    <x v="0"/>
    <s v="068097008720"/>
    <s v="0981212098"/>
    <s v="No"/>
    <m/>
    <s v="I’ll take the company bus"/>
    <m/>
    <s v="Amaris Consulting"/>
    <s v="Consultants"/>
    <s v="HOANG Thien"/>
    <s v="In"/>
    <s v="No"/>
    <n v="0"/>
    <n v="0"/>
    <n v="0"/>
    <n v="1"/>
    <x v="1"/>
    <x v="16"/>
    <s v="Male                "/>
  </r>
  <r>
    <x v="33"/>
    <x v="0"/>
    <s v="087201004021"/>
    <s v="0777905219"/>
    <s v="No"/>
    <m/>
    <s v="I’ll take the company bus"/>
    <m/>
    <s v="Amaris Consulting"/>
    <s v="Consultants"/>
    <s v="HUYNH Chi Cuong"/>
    <s v="In"/>
    <s v="No"/>
    <n v="0"/>
    <n v="0"/>
    <n v="0"/>
    <n v="1"/>
    <x v="1"/>
    <x v="16"/>
    <s v="Male                "/>
  </r>
  <r>
    <x v="34"/>
    <x v="0"/>
    <s v="075096016711"/>
    <s v="0932980033"/>
    <s v="No"/>
    <m/>
    <s v="I’ll take the company bus"/>
    <m/>
    <s v="Amaris Consulting"/>
    <s v="Consultants"/>
    <s v="HOANG Thien"/>
    <s v="In"/>
    <s v="No"/>
    <n v="0"/>
    <n v="0"/>
    <n v="0"/>
    <n v="1"/>
    <x v="1"/>
    <x v="17"/>
    <s v="Male                "/>
  </r>
  <r>
    <x v="35"/>
    <x v="0"/>
    <s v="048095001773"/>
    <s v="0335353685"/>
    <s v="No"/>
    <m/>
    <s v="I’ll take the company bus"/>
    <m/>
    <s v="Amaris Consulting"/>
    <s v="Consultants"/>
    <s v="HOANG Thien"/>
    <s v="In"/>
    <s v="No"/>
    <n v="0"/>
    <n v="0"/>
    <n v="0"/>
    <n v="1"/>
    <x v="1"/>
    <x v="17"/>
    <s v="Male                "/>
  </r>
  <r>
    <x v="36"/>
    <x v="0"/>
    <s v="058095001270"/>
    <s v="0349687204"/>
    <s v="No"/>
    <m/>
    <s v="I’ll take the company bus"/>
    <m/>
    <s v="Amaris Consulting"/>
    <s v="Consultants"/>
    <s v="HOANG Thien"/>
    <s v="In"/>
    <s v="No"/>
    <n v="0"/>
    <n v="0"/>
    <n v="0"/>
    <n v="1"/>
    <x v="1"/>
    <x v="18"/>
    <s v="Male                "/>
  </r>
  <r>
    <x v="37"/>
    <x v="0"/>
    <s v="079200028676"/>
    <s v="0397974403"/>
    <s v="No"/>
    <m/>
    <s v="I’ll take the company bus"/>
    <m/>
    <s v="Amaris Consulting"/>
    <s v="Consultants"/>
    <s v="HOANG Thien"/>
    <s v="In (Exit confirmed)"/>
    <s v="No"/>
    <m/>
    <m/>
    <n v="0"/>
    <n v="1"/>
    <x v="1"/>
    <x v="18"/>
    <s v="Male                "/>
  </r>
  <r>
    <x v="38"/>
    <x v="0"/>
    <s v="060094011465"/>
    <s v="0333950268"/>
    <s v="No"/>
    <m/>
    <s v="I’ll take the company bus"/>
    <m/>
    <s v="Amaris Consulting"/>
    <s v="Consultants"/>
    <s v="HUYNH Chi Cuong"/>
    <s v="In"/>
    <s v="No"/>
    <n v="0"/>
    <n v="0"/>
    <n v="0"/>
    <n v="1"/>
    <x v="1"/>
    <x v="19"/>
    <s v="Male                "/>
  </r>
  <r>
    <x v="39"/>
    <x v="0"/>
    <s v="046098001181"/>
    <s v="0327360123"/>
    <s v="No"/>
    <m/>
    <s v="I’ll take the company bus"/>
    <m/>
    <s v="Amaris Consulting"/>
    <s v="Consultants"/>
    <s v="HUYNH Chi Cuong"/>
    <s v="In"/>
    <s v="No"/>
    <n v="0"/>
    <n v="0"/>
    <n v="0"/>
    <n v="1"/>
    <x v="1"/>
    <x v="19"/>
    <s v="Male                "/>
  </r>
  <r>
    <x v="40"/>
    <x v="0"/>
    <s v="060099011492"/>
    <s v="0379738098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20"/>
    <s v="Male                "/>
  </r>
  <r>
    <x v="41"/>
    <x v="0"/>
    <s v="095203009143"/>
    <s v="0944552050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20"/>
    <s v="Male                "/>
  </r>
  <r>
    <x v="42"/>
    <x v="0"/>
    <s v="064201016123"/>
    <s v="0979409417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21"/>
    <s v="Male                "/>
  </r>
  <r>
    <x v="43"/>
    <x v="0"/>
    <s v="096099005690"/>
    <s v="0379218610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21"/>
    <s v="Male                "/>
  </r>
  <r>
    <x v="44"/>
    <x v="0"/>
    <s v="089097008685"/>
    <s v="0378462578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22"/>
    <s v="Male                "/>
  </r>
  <r>
    <x v="45"/>
    <x v="0"/>
    <s v="079094018368"/>
    <s v="0937686998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22"/>
    <s v="Male                "/>
  </r>
  <r>
    <x v="46"/>
    <x v="0"/>
    <s v="072200007361"/>
    <s v="0967524457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23"/>
    <s v="Male                "/>
  </r>
  <r>
    <x v="47"/>
    <x v="0"/>
    <s v="049202002958"/>
    <s v="0343734096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23"/>
    <s v="Male                "/>
  </r>
  <r>
    <x v="48"/>
    <x v="0"/>
    <s v="089201001783"/>
    <s v="0941967745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24"/>
    <s v="Male                "/>
  </r>
  <r>
    <x v="49"/>
    <x v="0"/>
    <s v="064098000457"/>
    <s v="0363543388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24"/>
    <s v="Male                "/>
  </r>
  <r>
    <x v="50"/>
    <x v="0"/>
    <s v="049200016142"/>
    <s v="0396428796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25"/>
    <s v="Male                "/>
  </r>
  <r>
    <x v="51"/>
    <x v="0"/>
    <s v="042200003160"/>
    <s v="0971850315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25"/>
    <s v="Male                "/>
  </r>
  <r>
    <x v="52"/>
    <x v="0"/>
    <s v="079203015788"/>
    <s v="0963698249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26"/>
    <s v="Male                "/>
  </r>
  <r>
    <x v="53"/>
    <x v="0"/>
    <s v="079200038775"/>
    <s v="0339310132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26"/>
    <s v="Male                "/>
  </r>
  <r>
    <x v="54"/>
    <x v="0"/>
    <s v="056200011360"/>
    <s v="0869885812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27"/>
    <s v="Male                "/>
  </r>
  <r>
    <x v="55"/>
    <x v="0"/>
    <s v="minhtri.do@amaris.com"/>
    <s v="0935919461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27"/>
    <s v="Male                "/>
  </r>
  <r>
    <x v="56"/>
    <x v="0"/>
    <s v="252203000013"/>
    <s v="0829622879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28"/>
    <s v="Male                "/>
  </r>
  <r>
    <x v="57"/>
    <x v="0"/>
    <s v="079200044816"/>
    <s v="0932535781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28"/>
    <s v="Male                "/>
  </r>
  <r>
    <x v="58"/>
    <x v="0"/>
    <s v="052200005034"/>
    <s v="+84 377130331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29"/>
    <s v="Male                "/>
  </r>
  <r>
    <x v="59"/>
    <x v="0"/>
    <s v="079095014706"/>
    <s v="0937251707"/>
    <s v="No"/>
    <m/>
    <s v="I’ll take the company bus"/>
    <s v="Dị ứng cồn"/>
    <s v="Amaris Consulting"/>
    <s v="Consultants"/>
    <s v="NGUYEN The Trinh"/>
    <s v="In"/>
    <s v="No"/>
    <n v="0"/>
    <n v="0"/>
    <n v="0"/>
    <n v="1"/>
    <x v="1"/>
    <x v="29"/>
    <s v="Male                "/>
  </r>
  <r>
    <x v="60"/>
    <x v="0"/>
    <s v="079302009777"/>
    <s v="0703264721"/>
    <s v="No"/>
    <m/>
    <s v="I’ll take the company bus"/>
    <m/>
    <s v="Amaris Consulting"/>
    <s v="Consultants"/>
    <s v="HUYNH Chi Cuong"/>
    <s v="In"/>
    <s v="No"/>
    <n v="0"/>
    <n v="0"/>
    <n v="0"/>
    <n v="1"/>
    <x v="1"/>
    <x v="30"/>
    <s v="Female"/>
  </r>
  <r>
    <x v="61"/>
    <x v="0"/>
    <s v="079186021679"/>
    <s v="0866876722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30"/>
    <s v="Female"/>
  </r>
  <r>
    <x v="62"/>
    <x v="0"/>
    <s v="087300002383"/>
    <s v="0939053112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31"/>
    <s v="Female"/>
  </r>
  <r>
    <x v="63"/>
    <x v="0"/>
    <s v="082300007349"/>
    <s v="0888745255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31"/>
    <s v="Female"/>
  </r>
  <r>
    <x v="64"/>
    <x v="0"/>
    <s v="079300022868"/>
    <s v="0707653589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32"/>
    <s v="Female"/>
  </r>
  <r>
    <x v="65"/>
    <x v="0"/>
    <s v="095304000976"/>
    <s v="0913854054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32"/>
    <s v="Female"/>
  </r>
  <r>
    <x v="66"/>
    <x v="0"/>
    <s v="070302002356"/>
    <s v="0383899275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33"/>
    <s v="Female"/>
  </r>
  <r>
    <x v="67"/>
    <x v="0"/>
    <s v="089196003991"/>
    <s v="0369040747"/>
    <s v="No"/>
    <m/>
    <s v="I’ll take the company bus"/>
    <m/>
    <s v="Amaris Consulting"/>
    <s v="Consultants"/>
    <s v="LA Thuy My Hao"/>
    <s v="In"/>
    <s v="No"/>
    <n v="0"/>
    <n v="0"/>
    <n v="0"/>
    <n v="1"/>
    <x v="1"/>
    <x v="33"/>
    <s v="Female"/>
  </r>
  <r>
    <x v="68"/>
    <x v="0"/>
    <s v="040099011473"/>
    <s v="0946650045"/>
    <s v="No"/>
    <m/>
    <s v="I’ll take the company bus"/>
    <m/>
    <s v="Amaris Consulting"/>
    <s v="Consultants"/>
    <s v="NGUYEN Hoang Tuan Anh"/>
    <s v="In"/>
    <s v="No"/>
    <n v="0"/>
    <n v="0"/>
    <n v="0"/>
    <n v="1"/>
    <x v="2"/>
    <x v="34"/>
    <s v="Male                "/>
  </r>
  <r>
    <x v="69"/>
    <x v="0"/>
    <s v="079096034588"/>
    <s v="0938282487"/>
    <s v="No"/>
    <m/>
    <s v="I’ll take the company bus"/>
    <m/>
    <s v="Amaris Consulting"/>
    <s v="Consultants"/>
    <s v="NGUYEN The Trinh"/>
    <s v="In"/>
    <s v="No"/>
    <n v="0"/>
    <n v="0"/>
    <n v="0"/>
    <n v="1"/>
    <x v="2"/>
    <x v="34"/>
    <s v="Male                "/>
  </r>
  <r>
    <x v="70"/>
    <x v="0"/>
    <s v="079096027174"/>
    <s v="0934297931"/>
    <s v="No"/>
    <m/>
    <s v="I’ll take the company bus"/>
    <m/>
    <s v="Amaris Consulting"/>
    <s v="Consultants"/>
    <s v="NGUYEN Hoang Tuan Anh"/>
    <s v="In"/>
    <s v="No"/>
    <n v="0"/>
    <n v="0"/>
    <n v="0"/>
    <n v="1"/>
    <x v="2"/>
    <x v="35"/>
    <s v="Male                "/>
  </r>
  <r>
    <x v="71"/>
    <x v="0"/>
    <s v="075095021646"/>
    <s v="0352680918"/>
    <s v="No"/>
    <m/>
    <s v="I’ll take the company bus"/>
    <m/>
    <s v="Amaris Consulting"/>
    <s v="Consultants"/>
    <s v="NGUYEN Hoang Tuan Anh"/>
    <s v="In"/>
    <s v="No"/>
    <n v="0"/>
    <n v="0"/>
    <n v="0"/>
    <n v="1"/>
    <x v="2"/>
    <x v="35"/>
    <s v="Male                "/>
  </r>
  <r>
    <x v="72"/>
    <x v="0"/>
    <s v="052097015080"/>
    <s v="0776756952"/>
    <s v="No"/>
    <m/>
    <s v="I’ll take the company bus"/>
    <m/>
    <s v="Amaris Consulting"/>
    <s v="Consultants"/>
    <s v="TRAN Thi Ha My"/>
    <s v="In"/>
    <s v="No"/>
    <n v="0"/>
    <n v="0"/>
    <n v="0"/>
    <n v="1"/>
    <x v="2"/>
    <x v="36"/>
    <s v="Male                "/>
  </r>
  <r>
    <x v="73"/>
    <x v="0"/>
    <s v="051202007406"/>
    <s v="0345717796"/>
    <s v="No"/>
    <m/>
    <s v="I’ll take the company bus"/>
    <m/>
    <s v="Amaris Consulting"/>
    <s v="Consultants"/>
    <s v="TRAN Thi Ha My"/>
    <s v="In"/>
    <s v="No"/>
    <n v="0"/>
    <n v="0"/>
    <n v="0"/>
    <n v="1"/>
    <x v="2"/>
    <x v="36"/>
    <s v="Male                "/>
  </r>
  <r>
    <x v="74"/>
    <x v="0"/>
    <s v="091201012114"/>
    <s v="0762922184"/>
    <s v="No"/>
    <m/>
    <s v="I’ll take the company bus"/>
    <m/>
    <s v="Amaris Consulting"/>
    <s v="Consultants"/>
    <s v="TRAN Thi Ha My"/>
    <s v="In"/>
    <s v="No"/>
    <n v="0"/>
    <n v="0"/>
    <n v="0"/>
    <n v="1"/>
    <x v="2"/>
    <x v="37"/>
    <s v="Male                "/>
  </r>
  <r>
    <x v="75"/>
    <x v="0"/>
    <s v="079098003185"/>
    <s v="0879295967"/>
    <s v="No"/>
    <m/>
    <s v="I’ll take the company bus"/>
    <m/>
    <s v="Amaris Consulting"/>
    <s v="Consultants"/>
    <s v="TRAN Thi Ha My"/>
    <s v="In"/>
    <s v="No"/>
    <n v="0"/>
    <n v="0"/>
    <n v="0"/>
    <n v="1"/>
    <x v="2"/>
    <x v="37"/>
    <s v="Male                "/>
  </r>
  <r>
    <x v="76"/>
    <x v="0"/>
    <s v="067098004566"/>
    <s v="0584106886"/>
    <s v="No"/>
    <m/>
    <s v="I’ll take the company bus"/>
    <m/>
    <s v="Amaris Consulting"/>
    <s v="Consultants"/>
    <s v="TRAN Thi Ha My"/>
    <s v="In"/>
    <s v="No"/>
    <n v="0"/>
    <n v="0"/>
    <n v="0"/>
    <n v="1"/>
    <x v="2"/>
    <x v="38"/>
    <s v="Male                "/>
  </r>
  <r>
    <x v="77"/>
    <x v="0"/>
    <s v="089096021770"/>
    <s v="0962359719"/>
    <s v="No"/>
    <m/>
    <s v="I’ll take the company bus"/>
    <m/>
    <s v="Amaris Consulting"/>
    <s v="Consultants"/>
    <s v="TRAN Thi Ha My"/>
    <s v="In"/>
    <s v="No"/>
    <n v="0"/>
    <n v="0"/>
    <n v="0"/>
    <n v="1"/>
    <x v="2"/>
    <x v="38"/>
    <s v="Male                "/>
  </r>
  <r>
    <x v="78"/>
    <x v="0"/>
    <s v="082097013452"/>
    <s v="0332548027"/>
    <s v="No"/>
    <m/>
    <s v="I’ll take the company bus"/>
    <m/>
    <s v="Amaris Consulting"/>
    <s v="Consultants"/>
    <s v="TRAN Thi Ha My"/>
    <s v="In"/>
    <s v="No"/>
    <n v="0"/>
    <n v="0"/>
    <n v="0"/>
    <n v="1"/>
    <x v="2"/>
    <x v="39"/>
    <s v="Male                "/>
  </r>
  <r>
    <x v="79"/>
    <x v="0"/>
    <s v="049092003884"/>
    <s v="0973718347"/>
    <s v="No"/>
    <m/>
    <s v="I’ll take the company bus"/>
    <m/>
    <s v="Amaris Consulting"/>
    <s v="Consultants"/>
    <s v="TRAN Thi Ha My"/>
    <s v="In"/>
    <s v="No"/>
    <n v="0"/>
    <n v="0"/>
    <n v="0"/>
    <n v="1"/>
    <x v="2"/>
    <x v="39"/>
    <s v="Male                "/>
  </r>
  <r>
    <x v="80"/>
    <x v="0"/>
    <s v="052096015341"/>
    <s v="0397459642"/>
    <s v="No"/>
    <m/>
    <s v="I’ll take the company bus"/>
    <m/>
    <s v="Amaris Consulting"/>
    <s v="Consultants"/>
    <s v="TRAN Thi Ha My"/>
    <s v="In"/>
    <s v="No"/>
    <n v="0"/>
    <n v="0"/>
    <n v="0"/>
    <n v="1"/>
    <x v="2"/>
    <x v="40"/>
    <s v="Male                "/>
  </r>
  <r>
    <x v="81"/>
    <x v="0"/>
    <s v="079099027044"/>
    <s v="0335618057"/>
    <s v="No"/>
    <m/>
    <s v="I’ll take the company bus"/>
    <m/>
    <s v="Amaris Consulting"/>
    <s v="Consultants"/>
    <s v="TRAN Thi Ha My"/>
    <s v="In"/>
    <s v="No"/>
    <n v="0"/>
    <n v="0"/>
    <n v="0"/>
    <n v="1"/>
    <x v="2"/>
    <x v="40"/>
    <s v="Male                "/>
  </r>
  <r>
    <x v="82"/>
    <x v="0"/>
    <s v="075090010849"/>
    <s v="0778836595"/>
    <s v="No"/>
    <m/>
    <s v="I’ll take the company bus"/>
    <m/>
    <s v="Amaris Consulting"/>
    <s v="Consultants"/>
    <s v="TRAN Thi Ha My"/>
    <s v="In"/>
    <s v="No"/>
    <n v="0"/>
    <n v="0"/>
    <n v="0"/>
    <n v="1"/>
    <x v="2"/>
    <x v="41"/>
    <s v="Male                "/>
  </r>
  <r>
    <x v="83"/>
    <x v="0"/>
    <s v="052092015218"/>
    <s v="0346726479"/>
    <s v="No"/>
    <m/>
    <s v="I’ll take the company bus"/>
    <m/>
    <s v="Amaris Consulting"/>
    <s v="Consultants"/>
    <s v="TRAN Thi Ha My"/>
    <s v="In"/>
    <s v="No"/>
    <n v="0"/>
    <n v="0"/>
    <n v="0"/>
    <n v="1"/>
    <x v="2"/>
    <x v="41"/>
    <s v="Male                "/>
  </r>
  <r>
    <x v="84"/>
    <x v="0"/>
    <s v="035198005801"/>
    <s v="0961393725"/>
    <s v="Yes"/>
    <s v="Cao Thi Truc Duyen - Female - 15/06/1997 - 083197002767"/>
    <s v="I’ll take the company bus"/>
    <m/>
    <s v="Amaris Consulting"/>
    <s v="Consultants"/>
    <s v="TRAN Thi Ha My"/>
    <s v="In"/>
    <s v="Yes"/>
    <n v="0"/>
    <n v="1"/>
    <n v="1"/>
    <n v="2"/>
    <x v="2"/>
    <x v="42"/>
    <s v="Female"/>
  </r>
  <r>
    <x v="85"/>
    <x v="0"/>
    <s v="091301010042"/>
    <s v="0768811159"/>
    <s v="No"/>
    <m/>
    <s v="I’ll take the company bus"/>
    <m/>
    <s v="Amaris Consulting"/>
    <s v="Consultants"/>
    <s v="NGUYEN Hoang Tuan Anh"/>
    <s v="In"/>
    <s v="No"/>
    <n v="0"/>
    <n v="0"/>
    <n v="0"/>
    <n v="1"/>
    <x v="2"/>
    <x v="43"/>
    <s v="Female"/>
  </r>
  <r>
    <x v="86"/>
    <x v="0"/>
    <s v="075193013225"/>
    <s v="0356055190"/>
    <s v="No"/>
    <m/>
    <s v="I’ll take the company bus"/>
    <m/>
    <s v="Amaris Consulting"/>
    <s v="Consultants"/>
    <s v="TRAN Thi Ha My"/>
    <s v="In"/>
    <s v="No"/>
    <n v="0"/>
    <n v="0"/>
    <n v="0"/>
    <n v="1"/>
    <x v="2"/>
    <x v="43"/>
    <s v="Female"/>
  </r>
  <r>
    <x v="87"/>
    <x v="0"/>
    <s v="079301006935"/>
    <s v="0779911643"/>
    <s v="No"/>
    <m/>
    <s v="I’ll take the company bus"/>
    <m/>
    <s v="Amaris Consulting"/>
    <s v="Consultants"/>
    <s v="TRAN Thi Ha My"/>
    <s v="In"/>
    <s v="No"/>
    <n v="0"/>
    <n v="0"/>
    <n v="0"/>
    <n v="1"/>
    <x v="2"/>
    <x v="44"/>
    <s v="Female"/>
  </r>
  <r>
    <x v="88"/>
    <x v="0"/>
    <s v="084197000010"/>
    <s v="0936610147"/>
    <s v="No"/>
    <m/>
    <s v="I’ll take the company bus"/>
    <m/>
    <s v="Amaris Consulting"/>
    <s v="Consultants"/>
    <s v="TRAN Thi Ha My"/>
    <s v="In"/>
    <s v="No"/>
    <n v="0"/>
    <n v="0"/>
    <n v="0"/>
    <n v="1"/>
    <x v="2"/>
    <x v="44"/>
    <s v="Female"/>
  </r>
  <r>
    <x v="89"/>
    <x v="0"/>
    <s v="031202004177"/>
    <s v="0886895676"/>
    <s v="No"/>
    <m/>
    <s v="I’ll take the company bus"/>
    <m/>
    <s v="Amaris Consulting"/>
    <s v="Consultants"/>
    <s v="HUYNH Minh Khoi"/>
    <s v="In"/>
    <s v="No"/>
    <n v="0"/>
    <n v="0"/>
    <n v="0"/>
    <n v="1"/>
    <x v="3"/>
    <x v="45"/>
    <s v="Male                "/>
  </r>
  <r>
    <x v="90"/>
    <x v="0"/>
    <s v="079202021638"/>
    <s v="0899337446"/>
    <s v="No"/>
    <m/>
    <s v="I’ll take the company bus"/>
    <m/>
    <s v="Amaris Consulting"/>
    <s v="Consultants"/>
    <s v="HUYNH Minh Khoi"/>
    <s v="In"/>
    <s v="No"/>
    <n v="0"/>
    <n v="0"/>
    <n v="0"/>
    <n v="1"/>
    <x v="3"/>
    <x v="45"/>
    <s v="Male                "/>
  </r>
  <r>
    <x v="91"/>
    <x v="0"/>
    <s v="079201003742"/>
    <s v="0896116155"/>
    <s v="No"/>
    <m/>
    <s v="I’ll take the company bus"/>
    <m/>
    <s v="Amaris Consulting"/>
    <s v="Consultants"/>
    <s v="HUYNH Minh Khoi"/>
    <s v="In"/>
    <s v="No"/>
    <n v="0"/>
    <n v="0"/>
    <n v="0"/>
    <n v="1"/>
    <x v="3"/>
    <x v="46"/>
    <s v="Male                "/>
  </r>
  <r>
    <x v="92"/>
    <x v="0"/>
    <s v="031202010766"/>
    <s v="0981412159"/>
    <s v="No"/>
    <m/>
    <s v="I’ll take the company bus"/>
    <m/>
    <s v="Amaris Consulting"/>
    <s v="Consultants"/>
    <s v="HUYNH Minh Khoi"/>
    <s v="In"/>
    <s v="No"/>
    <n v="0"/>
    <n v="0"/>
    <n v="0"/>
    <n v="1"/>
    <x v="3"/>
    <x v="46"/>
    <s v="Male                "/>
  </r>
  <r>
    <x v="93"/>
    <x v="0"/>
    <s v="064201004428"/>
    <s v="0337399029"/>
    <s v="No"/>
    <m/>
    <s v="I’ll take the company bus"/>
    <m/>
    <s v="Amaris Consulting"/>
    <s v="Consultants"/>
    <s v="HUYNH Minh Khoi"/>
    <s v="In"/>
    <s v="No"/>
    <n v="0"/>
    <n v="0"/>
    <n v="0"/>
    <n v="1"/>
    <x v="3"/>
    <x v="47"/>
    <s v="Male                "/>
  </r>
  <r>
    <x v="94"/>
    <x v="0"/>
    <s v="048203001699"/>
    <s v="0905054228"/>
    <s v="No"/>
    <m/>
    <s v="I’ll take the company bus"/>
    <m/>
    <s v="Amaris Consulting"/>
    <s v="Consultants"/>
    <s v="HUYNH Minh Khoi"/>
    <s v="In"/>
    <s v="No"/>
    <n v="0"/>
    <n v="0"/>
    <n v="0"/>
    <n v="1"/>
    <x v="3"/>
    <x v="47"/>
    <s v="Male                "/>
  </r>
  <r>
    <x v="95"/>
    <x v="0"/>
    <s v="030098008566"/>
    <s v="0348997157"/>
    <s v="Yes"/>
    <s v="TRẦN DIỆP HUY - 046098011753 - 0766669006 - Male - 07/01/1998"/>
    <s v="I’ll take the company bus"/>
    <m/>
    <s v="Amaris Consulting"/>
    <s v="Consultants"/>
    <s v="NGUYEN Duc Quy"/>
    <s v="In"/>
    <s v="Yes"/>
    <n v="0"/>
    <n v="1"/>
    <n v="1"/>
    <n v="2"/>
    <x v="3"/>
    <x v="48"/>
    <s v="Male                "/>
  </r>
  <r>
    <x v="96"/>
    <x v="0"/>
    <s v="066200009584"/>
    <s v="0764290520"/>
    <s v="No"/>
    <m/>
    <s v="I’ll take the company bus"/>
    <m/>
    <s v="Amaris Consulting"/>
    <s v="Consultants"/>
    <s v="NGUYEN Thi Minh Phuong"/>
    <s v="In"/>
    <s v="No"/>
    <n v="0"/>
    <n v="0"/>
    <n v="0"/>
    <n v="1"/>
    <x v="3"/>
    <x v="49"/>
    <s v="Male                "/>
  </r>
  <r>
    <x v="97"/>
    <x v="0"/>
    <s v="079099034668"/>
    <s v="0906659850"/>
    <s v="No"/>
    <m/>
    <s v="I’ll take the company bus"/>
    <m/>
    <s v="Amaris Consulting"/>
    <s v="Consultants"/>
    <s v="NGUYEN Thi Minh Phuong"/>
    <s v="In"/>
    <s v="No"/>
    <n v="0"/>
    <n v="0"/>
    <n v="0"/>
    <n v="1"/>
    <x v="3"/>
    <x v="49"/>
    <s v="Male                "/>
  </r>
  <r>
    <x v="98"/>
    <x v="0"/>
    <s v="079090028751"/>
    <s v="0937308357"/>
    <s v="No"/>
    <m/>
    <s v="I’ll take the company bus"/>
    <m/>
    <s v="Amaris Consulting"/>
    <s v="Consultants"/>
    <s v="NGUYEN Thi Minh Phuong"/>
    <s v="In"/>
    <s v="No"/>
    <n v="0"/>
    <n v="0"/>
    <n v="0"/>
    <n v="1"/>
    <x v="3"/>
    <x v="50"/>
    <s v="Male                "/>
  </r>
  <r>
    <x v="99"/>
    <x v="0"/>
    <s v="066096004066"/>
    <s v="0868415847"/>
    <s v="No"/>
    <m/>
    <s v="I’ll take the company bus"/>
    <m/>
    <s v="Amaris Consulting"/>
    <s v="Consultants"/>
    <s v="NGUYEN Thi Minh Phuong"/>
    <s v="In"/>
    <s v="No"/>
    <n v="0"/>
    <n v="0"/>
    <n v="0"/>
    <n v="1"/>
    <x v="3"/>
    <x v="50"/>
    <s v="Male                "/>
  </r>
  <r>
    <x v="100"/>
    <x v="0"/>
    <s v="079090038513"/>
    <s v="0356154210"/>
    <s v="No"/>
    <m/>
    <s v="I’ll take the company bus"/>
    <m/>
    <s v="Amaris Consulting"/>
    <s v="Consultants"/>
    <s v="NGUYEN Thi Minh Phuong"/>
    <s v="In"/>
    <s v="No"/>
    <n v="0"/>
    <n v="0"/>
    <n v="0"/>
    <n v="1"/>
    <x v="3"/>
    <x v="51"/>
    <s v="Male                "/>
  </r>
  <r>
    <x v="101"/>
    <x v="0"/>
    <s v="080096010523"/>
    <s v="0966441600"/>
    <s v="No"/>
    <m/>
    <s v="I’ll take the company bus"/>
    <m/>
    <s v="Amaris Consulting"/>
    <s v="Consultants"/>
    <s v="NGUYEN Thi Minh Phuong"/>
    <s v="In"/>
    <s v="No"/>
    <n v="0"/>
    <n v="0"/>
    <n v="0"/>
    <n v="1"/>
    <x v="3"/>
    <x v="51"/>
    <s v="Male                "/>
  </r>
  <r>
    <x v="102"/>
    <x v="0"/>
    <s v="056098000238"/>
    <s v="0392707949"/>
    <s v="No"/>
    <m/>
    <s v="I’ll take the company bus"/>
    <m/>
    <s v="Amaris Consulting"/>
    <s v="Consultants"/>
    <s v="NGUYEN Thi Minh Phuong"/>
    <s v="In"/>
    <s v="No"/>
    <n v="0"/>
    <n v="0"/>
    <n v="0"/>
    <n v="1"/>
    <x v="3"/>
    <x v="52"/>
    <s v="Male                "/>
  </r>
  <r>
    <x v="103"/>
    <x v="0"/>
    <s v="079203011720"/>
    <s v="0938080935"/>
    <s v="No"/>
    <m/>
    <s v="I’ll take the company bus"/>
    <m/>
    <s v="Amaris Consulting"/>
    <s v="Consultants"/>
    <s v="NGUYEN Thi Minh Phuong"/>
    <s v="In"/>
    <s v="No"/>
    <n v="0"/>
    <n v="0"/>
    <n v="0"/>
    <n v="1"/>
    <x v="3"/>
    <x v="52"/>
    <s v="Male                "/>
  </r>
  <r>
    <x v="104"/>
    <x v="0"/>
    <s v="048087005724"/>
    <s v="0968678149"/>
    <s v="No"/>
    <m/>
    <s v="I’ll take the company bus"/>
    <m/>
    <s v="Amaris Consulting"/>
    <s v="Consultants"/>
    <s v="NGUYEN Duc Quy"/>
    <s v="In"/>
    <s v="No"/>
    <n v="0"/>
    <n v="0"/>
    <n v="0"/>
    <n v="1"/>
    <x v="3"/>
    <x v="53"/>
    <s v="Male                "/>
  </r>
  <r>
    <x v="105"/>
    <x v="0"/>
    <s v="051091012099"/>
    <s v="0902898110"/>
    <s v="No"/>
    <m/>
    <s v="I’ll take the company bus"/>
    <m/>
    <s v="Amaris Consulting"/>
    <s v="Consultants"/>
    <s v="NGUYEN Duc Quy"/>
    <s v="In"/>
    <s v="No"/>
    <n v="0"/>
    <n v="0"/>
    <n v="0"/>
    <n v="1"/>
    <x v="3"/>
    <x v="53"/>
    <s v="Male                "/>
  </r>
  <r>
    <x v="106"/>
    <x v="0"/>
    <s v="086096004777"/>
    <s v="0705731919"/>
    <s v="No"/>
    <m/>
    <s v="I’ll take the company bus"/>
    <m/>
    <s v="Amaris Consulting"/>
    <s v="Consultants"/>
    <s v="NGUYEN Duc Quy"/>
    <s v="In"/>
    <s v="No"/>
    <n v="0"/>
    <n v="0"/>
    <n v="0"/>
    <n v="1"/>
    <x v="3"/>
    <x v="54"/>
    <s v="Male                "/>
  </r>
  <r>
    <x v="107"/>
    <x v="0"/>
    <s v="082093010991"/>
    <s v="0345864246"/>
    <s v="No"/>
    <m/>
    <s v="I’ll arrange my own transportation"/>
    <m/>
    <s v="Amaris Consulting"/>
    <s v="Consultants"/>
    <s v="TRAN Thi Ha My"/>
    <s v="In"/>
    <s v="No"/>
    <n v="0"/>
    <n v="0"/>
    <n v="0"/>
    <n v="1"/>
    <x v="4"/>
    <x v="54"/>
    <s v="Male                "/>
  </r>
  <r>
    <x v="108"/>
    <x v="0"/>
    <s v="37598"/>
    <s v="0385094422"/>
    <s v="No"/>
    <m/>
    <s v="I’ll take the company bus"/>
    <m/>
    <s v="Amaris Consulting"/>
    <s v="Consultants"/>
    <s v="NGUYEN Thi Minh Phuong"/>
    <s v="In"/>
    <s v="No"/>
    <n v="0"/>
    <n v="0"/>
    <n v="0"/>
    <n v="1"/>
    <x v="3"/>
    <x v="55"/>
    <s v="Male                "/>
  </r>
  <r>
    <x v="109"/>
    <x v="0"/>
    <s v="068201006525"/>
    <s v="0908725648"/>
    <s v="No"/>
    <m/>
    <s v="I’ll take the company bus"/>
    <m/>
    <s v="Amaris Consulting"/>
    <s v="Consultants"/>
    <s v="TRAN Thi Ha My"/>
    <s v="In"/>
    <s v="No"/>
    <n v="0"/>
    <n v="0"/>
    <n v="0"/>
    <n v="1"/>
    <x v="3"/>
    <x v="55"/>
    <s v="Male                "/>
  </r>
  <r>
    <x v="110"/>
    <x v="0"/>
    <s v="045091003975"/>
    <s v="0915004496"/>
    <s v="No"/>
    <m/>
    <s v="I’ll take the company bus"/>
    <m/>
    <s v="Amaris Consulting"/>
    <s v="Consultants"/>
    <s v="TRAN Thi Ha My"/>
    <s v="In"/>
    <s v="No"/>
    <n v="0"/>
    <n v="0"/>
    <n v="0"/>
    <n v="1"/>
    <x v="3"/>
    <x v="56"/>
    <s v="Male                "/>
  </r>
  <r>
    <x v="111"/>
    <x v="0"/>
    <s v="091095009127"/>
    <s v="0988438042"/>
    <s v="No"/>
    <m/>
    <s v="I’ll take the company bus"/>
    <m/>
    <s v="Amaris Consulting"/>
    <s v="Consultants"/>
    <s v="TRAN Thi Ha My"/>
    <s v="In"/>
    <s v="No"/>
    <n v="0"/>
    <n v="0"/>
    <n v="0"/>
    <n v="1"/>
    <x v="3"/>
    <x v="56"/>
    <s v="Male                "/>
  </r>
  <r>
    <x v="112"/>
    <x v="0"/>
    <s v="068087004573"/>
    <s v="0938112129"/>
    <s v="No"/>
    <m/>
    <s v="I’ll take the company bus"/>
    <m/>
    <s v="Amaris Consulting"/>
    <s v="Consultants"/>
    <s v="TRAN Thi Ha My"/>
    <s v="In"/>
    <s v="No"/>
    <n v="0"/>
    <n v="0"/>
    <n v="0"/>
    <n v="1"/>
    <x v="3"/>
    <x v="57"/>
    <s v="Male                "/>
  </r>
  <r>
    <x v="113"/>
    <x v="0"/>
    <s v="001203015512"/>
    <s v="0397810603"/>
    <s v="No"/>
    <m/>
    <s v="I’ll take the company bus"/>
    <m/>
    <s v="Amaris Consulting"/>
    <s v="Consultants"/>
    <s v="TRAN Thi Ha My"/>
    <s v="In"/>
    <s v="No"/>
    <n v="0"/>
    <n v="0"/>
    <n v="0"/>
    <n v="1"/>
    <x v="3"/>
    <x v="57"/>
    <s v="Male                "/>
  </r>
  <r>
    <x v="114"/>
    <x v="0"/>
    <s v="080201013658"/>
    <s v="0847827897"/>
    <s v="No"/>
    <m/>
    <s v="I’ll take the company bus"/>
    <m/>
    <s v="Amaris Consulting"/>
    <s v="Consultants"/>
    <s v="TRAN Thi Ha My"/>
    <s v="In"/>
    <s v="No"/>
    <n v="0"/>
    <n v="0"/>
    <n v="0"/>
    <n v="1"/>
    <x v="3"/>
    <x v="58"/>
    <s v="Male                "/>
  </r>
  <r>
    <x v="115"/>
    <x v="0"/>
    <s v="066098009860"/>
    <s v="+84376275238"/>
    <s v="No"/>
    <m/>
    <s v="I’ll take the company bus"/>
    <m/>
    <s v="Amaris Consulting"/>
    <s v="Consultants"/>
    <s v="TRAN Thi Ha My"/>
    <s v="In"/>
    <s v="No"/>
    <n v="0"/>
    <n v="0"/>
    <n v="0"/>
    <n v="1"/>
    <x v="3"/>
    <x v="58"/>
    <s v="Male                "/>
  </r>
  <r>
    <x v="116"/>
    <x v="0"/>
    <s v="079196001003"/>
    <s v="0931173302"/>
    <s v="No"/>
    <m/>
    <s v="I’ll take the company bus"/>
    <m/>
    <s v="Amaris Consulting"/>
    <s v="Consultants"/>
    <s v="NGUYEN Thi Minh Phuong"/>
    <s v="In"/>
    <s v="No"/>
    <n v="0"/>
    <n v="0"/>
    <n v="0"/>
    <n v="1"/>
    <x v="3"/>
    <x v="59"/>
    <s v="Female"/>
  </r>
  <r>
    <x v="117"/>
    <x v="0"/>
    <s v="079197010801"/>
    <s v="0704954529"/>
    <s v="No"/>
    <m/>
    <s v="I’ll take the company bus"/>
    <m/>
    <s v="Amaris Consulting"/>
    <s v="Consultants"/>
    <s v="TRAN Thi Ha My"/>
    <s v="In"/>
    <s v="No"/>
    <n v="0"/>
    <n v="0"/>
    <n v="0"/>
    <n v="1"/>
    <x v="3"/>
    <x v="59"/>
    <s v="Female"/>
  </r>
  <r>
    <x v="118"/>
    <x v="0"/>
    <s v="001196042675"/>
    <s v="+84 583 032 919"/>
    <s v="No"/>
    <m/>
    <s v="I’ll take the company bus"/>
    <s v="Team chị My"/>
    <s v="Amaris Consulting"/>
    <s v="Consultants"/>
    <s v="TRAN Thi Ha My"/>
    <s v="In"/>
    <s v="No"/>
    <n v="0"/>
    <n v="0"/>
    <n v="0"/>
    <n v="1"/>
    <x v="3"/>
    <x v="60"/>
    <s v="Female"/>
  </r>
  <r>
    <x v="119"/>
    <x v="0"/>
    <s v="080196014207"/>
    <s v="+84348592628"/>
    <s v="No"/>
    <m/>
    <s v="I’ll take the company bus"/>
    <m/>
    <s v="Amaris Consulting"/>
    <s v="Consultants"/>
    <s v="TRAN Thi Ha My"/>
    <s v="In"/>
    <s v="No"/>
    <n v="0"/>
    <n v="0"/>
    <n v="0"/>
    <n v="1"/>
    <x v="3"/>
    <x v="60"/>
    <s v="Female"/>
  </r>
  <r>
    <x v="120"/>
    <x v="0"/>
    <s v="079198003401"/>
    <s v="0397430707"/>
    <s v="No"/>
    <m/>
    <s v="I’ll take the company bus"/>
    <m/>
    <s v="Amaris Consulting"/>
    <s v="Consultants"/>
    <s v="TRAN Thi Ha My"/>
    <s v="In"/>
    <s v="No"/>
    <n v="0"/>
    <n v="0"/>
    <n v="0"/>
    <n v="1"/>
    <x v="5"/>
    <x v="61"/>
    <s v="Female"/>
  </r>
  <r>
    <x v="121"/>
    <x v="0"/>
    <s v="079192033623"/>
    <s v="0903747427"/>
    <s v="No"/>
    <m/>
    <s v="I’ll take the company bus"/>
    <s v="Dị ứng Hải sản, phô mai, sữa "/>
    <s v="Amaris Consulting"/>
    <s v="Consultants"/>
    <s v="NGUYEN Thai Ly"/>
    <s v="In"/>
    <s v="No"/>
    <n v="0"/>
    <n v="0"/>
    <n v="0"/>
    <n v="1"/>
    <x v="5"/>
    <x v="61"/>
    <s v="Female"/>
  </r>
  <r>
    <x v="122"/>
    <x v="0"/>
    <s v="079094014846"/>
    <s v="0338330044"/>
    <s v="No"/>
    <m/>
    <s v="I’ll take the company bus"/>
    <m/>
    <s v="Amaris Consulting"/>
    <s v="Consultants"/>
    <s v="NGUYEN Thai Ly"/>
    <s v="In"/>
    <s v="No"/>
    <n v="0"/>
    <n v="0"/>
    <n v="0"/>
    <n v="1"/>
    <x v="5"/>
    <x v="62"/>
    <s v="Male                "/>
  </r>
  <r>
    <x v="123"/>
    <x v="0"/>
    <s v="045099007148"/>
    <s v="0335533732"/>
    <s v="No"/>
    <m/>
    <s v="I’ll take the company bus"/>
    <m/>
    <s v="Amaris Consulting"/>
    <s v="Consultants"/>
    <s v="NGUYEN Thai Ly"/>
    <s v="In"/>
    <s v="No"/>
    <n v="0"/>
    <n v="0"/>
    <n v="0"/>
    <n v="1"/>
    <x v="5"/>
    <x v="62"/>
    <s v="Male                "/>
  </r>
  <r>
    <x v="124"/>
    <x v="0"/>
    <s v="075096010782"/>
    <s v="0985788540"/>
    <s v="No"/>
    <m/>
    <s v="I’ll take the company bus"/>
    <m/>
    <s v="Amaris Consulting"/>
    <s v="Consultants"/>
    <s v="NGUYEN Thai Ly"/>
    <s v="In"/>
    <s v="No"/>
    <n v="0"/>
    <n v="0"/>
    <n v="0"/>
    <n v="1"/>
    <x v="5"/>
    <x v="63"/>
    <s v="Male                "/>
  </r>
  <r>
    <x v="125"/>
    <x v="0"/>
    <s v="001201015108"/>
    <s v="0328005399"/>
    <s v="No"/>
    <m/>
    <s v="I’ll take the company bus"/>
    <m/>
    <s v="Amaris Consulting"/>
    <s v="Consultants"/>
    <s v="NGUYEN Thai Ly"/>
    <s v="In"/>
    <s v="No"/>
    <n v="0"/>
    <n v="0"/>
    <n v="0"/>
    <n v="1"/>
    <x v="5"/>
    <x v="63"/>
    <s v="Male                "/>
  </r>
  <r>
    <x v="126"/>
    <x v="0"/>
    <s v="079201007186"/>
    <s v="0919990145"/>
    <s v="No"/>
    <m/>
    <s v="I’ll take the company bus"/>
    <m/>
    <s v="Amaris Consulting"/>
    <s v="Consultants"/>
    <s v="LA Thuy My Hao"/>
    <s v="In"/>
    <s v="No"/>
    <n v="0"/>
    <n v="0"/>
    <n v="0"/>
    <n v="1"/>
    <x v="5"/>
    <x v="64"/>
    <s v="Male                "/>
  </r>
  <r>
    <x v="127"/>
    <x v="0"/>
    <s v="079085028522"/>
    <s v="0909988822"/>
    <s v="No"/>
    <m/>
    <s v="I’ll take the company bus"/>
    <m/>
    <s v="Amaris Consulting"/>
    <s v="Consultants"/>
    <s v="NGUYEN Thai Ly"/>
    <s v="In"/>
    <s v="No"/>
    <n v="0"/>
    <n v="0"/>
    <n v="0"/>
    <n v="1"/>
    <x v="5"/>
    <x v="64"/>
    <s v="Male                "/>
  </r>
  <r>
    <x v="128"/>
    <x v="0"/>
    <s v="086203010658"/>
    <s v="0799549878"/>
    <s v="No"/>
    <m/>
    <s v="I’ll take the company bus"/>
    <m/>
    <s v="Amaris Consulting"/>
    <s v="Consultants"/>
    <s v="LA Thuy My Hao"/>
    <s v="In"/>
    <s v="No"/>
    <n v="0"/>
    <n v="0"/>
    <n v="0"/>
    <n v="1"/>
    <x v="5"/>
    <x v="65"/>
    <s v="Male                "/>
  </r>
  <r>
    <x v="129"/>
    <x v="0"/>
    <s v="052201013763"/>
    <s v="0398324011"/>
    <s v="No"/>
    <m/>
    <s v="I’ll take the company bus"/>
    <m/>
    <s v="Amaris Consulting"/>
    <s v="Consultants"/>
    <s v="LA Thuy My Hao"/>
    <s v="In"/>
    <s v="No"/>
    <n v="0"/>
    <n v="0"/>
    <n v="0"/>
    <n v="1"/>
    <x v="5"/>
    <x v="65"/>
    <s v="Male                "/>
  </r>
  <r>
    <x v="130"/>
    <x v="0"/>
    <s v="079202006608"/>
    <s v="0983941396"/>
    <s v="No"/>
    <m/>
    <s v="I’ll take the company bus"/>
    <m/>
    <s v="Amaris Consulting"/>
    <s v="Consultants"/>
    <s v="LA Thuy My Hao"/>
    <s v="In"/>
    <s v="No"/>
    <n v="0"/>
    <n v="0"/>
    <n v="0"/>
    <n v="1"/>
    <x v="5"/>
    <x v="66"/>
    <s v="Male                "/>
  </r>
  <r>
    <x v="131"/>
    <x v="0"/>
    <s v="066200002973"/>
    <s v="0769781003"/>
    <s v="No"/>
    <m/>
    <s v="I’ll take the company bus"/>
    <s v="I have a mild seafood allergy"/>
    <s v="Amaris Consulting"/>
    <s v="Consultants"/>
    <s v="LA Thuy My Hao"/>
    <s v="In"/>
    <s v="No"/>
    <n v="0"/>
    <n v="0"/>
    <n v="0"/>
    <n v="1"/>
    <x v="5"/>
    <x v="66"/>
    <s v="Male                "/>
  </r>
  <r>
    <x v="132"/>
    <x v="0"/>
    <s v="079093005091"/>
    <s v="0906793262"/>
    <s v="No"/>
    <m/>
    <s v="I’ll take the company bus"/>
    <m/>
    <s v="Amaris Consulting"/>
    <s v="Managers"/>
    <s v="VU Thanh Hang"/>
    <s v="In"/>
    <s v="No"/>
    <n v="0"/>
    <n v="0"/>
    <n v="0"/>
    <n v="1"/>
    <x v="3"/>
    <x v="67"/>
    <s v="Male                "/>
  </r>
  <r>
    <x v="133"/>
    <x v="0"/>
    <s v="048195006450"/>
    <s v="0943149780"/>
    <s v="No"/>
    <m/>
    <s v="I’ll take the company bus"/>
    <m/>
    <s v="Amaris Consulting"/>
    <s v="Managers"/>
    <s v="VU Thanh Hang"/>
    <s v="In"/>
    <s v="No"/>
    <n v="0"/>
    <n v="0"/>
    <n v="0"/>
    <n v="1"/>
    <x v="5"/>
    <x v="67"/>
    <s v="Female"/>
  </r>
  <r>
    <x v="134"/>
    <x v="0"/>
    <s v="082196012509"/>
    <s v="0793830996"/>
    <s v="No"/>
    <m/>
    <s v="I’ll take the company bus"/>
    <m/>
    <s v="Amaris Consulting"/>
    <s v="Consultants"/>
    <s v="TRAN Thi Ha My"/>
    <s v="In"/>
    <s v="No"/>
    <n v="0"/>
    <n v="0"/>
    <n v="0"/>
    <n v="1"/>
    <x v="5"/>
    <x v="68"/>
    <s v="Female"/>
  </r>
  <r>
    <x v="135"/>
    <x v="0"/>
    <s v="096197008684"/>
    <s v="0971732462"/>
    <s v="No"/>
    <m/>
    <s v="I’ll take the company bus"/>
    <m/>
    <s v="Amaris Consulting"/>
    <s v="Consultants"/>
    <s v="TRAN Thi Ha My"/>
    <s v="In"/>
    <s v="No"/>
    <n v="0"/>
    <n v="0"/>
    <n v="0"/>
    <n v="1"/>
    <x v="5"/>
    <x v="68"/>
    <s v="Female"/>
  </r>
  <r>
    <x v="136"/>
    <x v="0"/>
    <s v="064096009158"/>
    <s v="0367776115"/>
    <s v="Yes"/>
    <s v="Nguyễn Thị Bích Duyên - Female - 05/08/1995"/>
    <s v="I’ll take the company bus"/>
    <m/>
    <s v="Amaris Consulting"/>
    <s v="Consultants"/>
    <s v="TRAN Thi Ha My"/>
    <s v="In"/>
    <s v="Yes"/>
    <n v="0"/>
    <n v="1"/>
    <n v="1"/>
    <n v="2"/>
    <x v="3"/>
    <x v="69"/>
    <s v="Male                "/>
  </r>
  <r>
    <x v="137"/>
    <x v="0"/>
    <s v="052092002529"/>
    <s v="0977794203"/>
    <s v="Yes"/>
    <s v="Nguyen Thi Viet Le - Female - 20/11/1997 - 049197010026"/>
    <s v="I’ll take the company bus"/>
    <m/>
    <s v="Amaris Consulting"/>
    <s v="Consultants"/>
    <s v="TRAN Thi Ha My"/>
    <s v="In"/>
    <s v="Yes"/>
    <n v="0"/>
    <n v="1"/>
    <n v="1"/>
    <n v="2"/>
    <x v="2"/>
    <x v="70"/>
    <s v="Male                "/>
  </r>
  <r>
    <x v="138"/>
    <x v="0"/>
    <s v="052092016286"/>
    <s v="0972326052"/>
    <s v="Yes"/>
    <s v="Lam Vi Phuong - Female - 25/05/1994 - 084194007540"/>
    <s v="I’ll take the company bus"/>
    <m/>
    <s v="Amaris Consulting"/>
    <s v="Consultants"/>
    <s v="TRAN Thi Ha My"/>
    <s v="In"/>
    <s v="Yes"/>
    <n v="0"/>
    <n v="1"/>
    <n v="1"/>
    <n v="2"/>
    <x v="2"/>
    <x v="71"/>
    <s v="Male                "/>
  </r>
  <r>
    <x v="139"/>
    <x v="0"/>
    <s v="051090016586"/>
    <s v="0988383049"/>
    <s v="Yes"/>
    <s v="1. Nguyen Thu Huyen - Female - 1991 - TBD_x000a_2. Nguyen Kha Han - Female - 2017 - TBD"/>
    <s v="I’ll take the company bus"/>
    <m/>
    <s v="Amaris Consulting"/>
    <s v="Consultants"/>
    <s v="HO Nguyen Hong Uyen"/>
    <s v="In"/>
    <s v="Yes"/>
    <n v="1"/>
    <n v="1"/>
    <n v="2"/>
    <n v="3"/>
    <x v="0"/>
    <x v="72"/>
    <s v="Male                "/>
  </r>
  <r>
    <x v="140"/>
    <x v="0"/>
    <s v="079085007940"/>
    <s v="0878886446"/>
    <s v="Yes"/>
    <s v="1. TRẦN THỊ KIM THUỶ Ngày sinh: 07/10/1998 CCCD: 079198004873 _x000a_2. NGUYỄN NGỌC KIM ANH Ngày sinh: 04/09/2022 CCCD: 079322018996 _x000a_3. NGUYỄN NGỌC TUỆ NHI Ngày sinh: 01/03/2024 CCCD: 079324006070"/>
    <s v="I’ll take the company bus"/>
    <m/>
    <s v="Amaris Consulting"/>
    <s v="Consultants"/>
    <s v="TRAN Thi Ha My"/>
    <s v="In"/>
    <s v="Yes"/>
    <n v="2"/>
    <n v="1"/>
    <n v="3"/>
    <n v="4"/>
    <x v="2"/>
    <x v="73"/>
    <s v="Male                "/>
  </r>
  <r>
    <x v="141"/>
    <x v="0"/>
    <s v="049092003884"/>
    <s v="0975193219"/>
    <s v="Yes"/>
    <s v="1. Lương Thị Lưu - Female - 06/03/1993 - 040193036578_x000a_2. Nguyễn Lương Hoàng Yến - Female - 19/10/2021 - 086321006062_x000a_3. Nguyễn Lương Thanh Thảo - Female -  06/03/2024 - 086324001119"/>
    <s v="I’ll take the company bus"/>
    <m/>
    <s v="Amaris Consulting"/>
    <s v="Consultants"/>
    <s v="TRAN Thi Ha My"/>
    <s v="In"/>
    <s v="Yes"/>
    <n v="2"/>
    <n v="1"/>
    <n v="3"/>
    <n v="4"/>
    <x v="2"/>
    <x v="74"/>
    <s v="Male                "/>
  </r>
  <r>
    <x v="142"/>
    <x v="0"/>
    <s v="049095015282"/>
    <s v="0386987100"/>
    <s v="Yes"/>
    <s v="1. Ung Thụy Song Quỳnh - Female - 11/11/1995 - 049195000151_x000a_2. Phạm Công Quang - Male - 26/05/2024 - 049224004390"/>
    <s v="I’ll take the company bus"/>
    <m/>
    <s v="Amaris Consulting"/>
    <s v="Consultants"/>
    <s v="TRAN Thi Ha My"/>
    <s v="In"/>
    <s v="Yes"/>
    <n v="1"/>
    <n v="1"/>
    <n v="2"/>
    <n v="3"/>
    <x v="2"/>
    <x v="75"/>
    <s v="Male                "/>
  </r>
  <r>
    <x v="143"/>
    <x v="0"/>
    <s v="079084023994"/>
    <s v="0909009984"/>
    <s v="Yes"/>
    <s v="Hồ Thị Minh Hoàng- Female-19/11/1984-046184001362"/>
    <s v="I’ll arrange my own transportation"/>
    <m/>
    <s v="Amaris Consulting"/>
    <s v="Consultants"/>
    <s v="TRAN Thi Ha My"/>
    <s v="In"/>
    <s v="Yes"/>
    <n v="0"/>
    <n v="1"/>
    <n v="1"/>
    <n v="2"/>
    <x v="4"/>
    <x v="76"/>
    <s v="Male                "/>
  </r>
  <r>
    <x v="144"/>
    <x v="0"/>
    <s v="079204009259"/>
    <s v="0834132707"/>
    <s v="No"/>
    <m/>
    <s v="I’ll arrange my own transportation"/>
    <m/>
    <s v="Amaris Consulting"/>
    <s v="Consultants"/>
    <s v="HOANG Thien"/>
    <s v="In"/>
    <s v="No"/>
    <n v="0"/>
    <n v="0"/>
    <n v="0"/>
    <n v="1"/>
    <x v="4"/>
    <x v="77"/>
    <s v="Male                "/>
  </r>
  <r>
    <x v="145"/>
    <x v="0"/>
    <s v="079200004309"/>
    <s v="0963357143"/>
    <s v="No"/>
    <m/>
    <s v="I’ll arrange my own transportation"/>
    <m/>
    <s v="Amaris Consulting"/>
    <s v="Consultants"/>
    <s v="LA Thuy My Hao"/>
    <s v="In"/>
    <s v="No"/>
    <n v="0"/>
    <n v="0"/>
    <n v="0"/>
    <n v="1"/>
    <x v="4"/>
    <x v="77"/>
    <s v="Male                "/>
  </r>
  <r>
    <x v="146"/>
    <x v="0"/>
    <s v="048097003639"/>
    <s v="0799010869"/>
    <s v="No"/>
    <m/>
    <s v="I’ll take the company bus"/>
    <m/>
    <s v="Amaris Consulting"/>
    <s v="Consultants"/>
    <s v="TRAN Thi Ha My"/>
    <s v="In"/>
    <s v="No"/>
    <n v="0"/>
    <n v="0"/>
    <n v="0"/>
    <n v="1"/>
    <x v="5"/>
    <x v="78"/>
    <s v="Male                "/>
  </r>
  <r>
    <x v="147"/>
    <x v="0"/>
    <s v="067094005805"/>
    <s v="0976551265"/>
    <s v="No"/>
    <m/>
    <s v="I’ll take the company bus"/>
    <m/>
    <s v="Amaris Consulting"/>
    <s v="Consultants"/>
    <s v="TRAN Thi Ha My"/>
    <s v="In"/>
    <s v="No"/>
    <n v="0"/>
    <n v="0"/>
    <n v="0"/>
    <n v="1"/>
    <x v="5"/>
    <x v="78"/>
    <s v="Male                "/>
  </r>
  <r>
    <x v="148"/>
    <x v="0"/>
    <s v="075203000646"/>
    <s v="0986245303"/>
    <s v="No"/>
    <m/>
    <s v="I’ll take the company bus"/>
    <m/>
    <s v="Human Resources"/>
    <s v="Compensation &amp; Benefits"/>
    <s v="CAP Kim Hoang"/>
    <s v="In"/>
    <s v="No"/>
    <n v="0"/>
    <n v="0"/>
    <n v="0"/>
    <n v="1"/>
    <x v="5"/>
    <x v="79"/>
    <s v="Male                "/>
  </r>
  <r>
    <x v="149"/>
    <x v="0"/>
    <s v="079201011530"/>
    <s v="0965654937"/>
    <s v="No"/>
    <m/>
    <s v="I’ll take the company bus"/>
    <m/>
    <s v="Human Resources"/>
    <s v="Compensation &amp; Benefits"/>
    <s v="CAP Kim Hoang"/>
    <s v="In"/>
    <s v="No"/>
    <n v="0"/>
    <n v="0"/>
    <n v="0"/>
    <n v="1"/>
    <x v="5"/>
    <x v="79"/>
    <s v="Male                "/>
  </r>
  <r>
    <x v="150"/>
    <x v="0"/>
    <s v="079203008685"/>
    <s v="0776932589"/>
    <s v="No"/>
    <m/>
    <s v="I’ll take the company bus"/>
    <m/>
    <s v="Human Resources"/>
    <s v="Compensation &amp; Benefits"/>
    <s v="CAP Kim Hoang"/>
    <s v="In"/>
    <s v="No"/>
    <n v="0"/>
    <n v="0"/>
    <n v="0"/>
    <n v="1"/>
    <x v="5"/>
    <x v="80"/>
    <s v="Male                "/>
  </r>
  <r>
    <x v="151"/>
    <x v="0"/>
    <s v="079096012234"/>
    <s v="0909120296"/>
    <s v="No"/>
    <m/>
    <s v="I’ll take the company bus"/>
    <s v="Team event cho Hào đi bus chung từ Bến Tre đến Cần Thơ nhé, chiều về Hào đi xe riêng. Cảm ơn mọi người!"/>
    <s v="Human Resources"/>
    <s v="People Operations"/>
    <s v="CAO Bao Tram"/>
    <s v="In"/>
    <s v="No"/>
    <n v="0"/>
    <n v="0"/>
    <n v="0"/>
    <n v="1"/>
    <x v="5"/>
    <x v="80"/>
    <s v="Male                "/>
  </r>
  <r>
    <x v="152"/>
    <x v="0"/>
    <s v="062195004991"/>
    <s v="0964455190"/>
    <s v="No"/>
    <m/>
    <s v="I’ll take the company bus"/>
    <s v="I wont take company bus on the depart day but i will take the return, pls help to count on me"/>
    <s v="Human Resources"/>
    <s v="Payroll Solutions"/>
    <s v="COMAS Mireille"/>
    <s v="In"/>
    <s v="No"/>
    <n v="0"/>
    <n v="0"/>
    <n v="0"/>
    <n v="1"/>
    <x v="5"/>
    <x v="81"/>
    <s v="Female"/>
  </r>
  <r>
    <x v="153"/>
    <x v="0"/>
    <s v="077199007614"/>
    <s v="0778819618"/>
    <s v="No"/>
    <m/>
    <s v="I’ll take the company bus"/>
    <m/>
    <s v="Human Resources"/>
    <s v="People Operations"/>
    <s v="NGUYEN Thuc Hao"/>
    <s v="In"/>
    <s v="No"/>
    <n v="0"/>
    <n v="0"/>
    <n v="0"/>
    <n v="1"/>
    <x v="5"/>
    <x v="81"/>
    <s v="Female"/>
  </r>
  <r>
    <x v="154"/>
    <x v="0"/>
    <s v="077302000543"/>
    <s v="0931231740"/>
    <s v="No"/>
    <m/>
    <s v="I’ll take the company bus"/>
    <m/>
    <s v="Human Resources"/>
    <s v="Compensation &amp; Benefits"/>
    <s v="CAP Kim Hoang"/>
    <s v="In"/>
    <s v="No"/>
    <n v="0"/>
    <n v="0"/>
    <n v="0"/>
    <n v="1"/>
    <x v="5"/>
    <x v="82"/>
    <s v="Female"/>
  </r>
  <r>
    <x v="155"/>
    <x v="0"/>
    <s v="'048300007642"/>
    <s v="'0984060780"/>
    <s v="No"/>
    <m/>
    <s v="I’ll take the company bus"/>
    <s v="Dạ từ HCM -&gt; Bến Tre: em tự đi xe riêng. Từ Tiền Giang -&gt; HCM: em đi bus với cty nha. Em cảm ơn mn đã hỗ trợ"/>
    <s v="Human Resources"/>
    <s v="People Operations"/>
    <s v="NGUYEN Thuc Hao"/>
    <s v="In"/>
    <s v="No"/>
    <n v="0"/>
    <n v="0"/>
    <n v="0"/>
    <n v="1"/>
    <x v="5"/>
    <x v="82"/>
    <s v="Female"/>
  </r>
  <r>
    <x v="156"/>
    <x v="0"/>
    <s v="064301004400"/>
    <s v="0961910015"/>
    <s v="No"/>
    <m/>
    <s v="I’ll take the company bus"/>
    <m/>
    <s v="Human Resources"/>
    <s v="People Analytics"/>
    <s v="NGUYEN Thai Bao"/>
    <s v="In"/>
    <s v="No"/>
    <n v="0"/>
    <n v="0"/>
    <n v="0"/>
    <n v="1"/>
    <x v="5"/>
    <x v="83"/>
    <s v="Female"/>
  </r>
  <r>
    <x v="157"/>
    <x v="0"/>
    <s v="079193025094"/>
    <s v="+84901393648"/>
    <s v="No"/>
    <m/>
    <s v="I’ll take the company bus"/>
    <s v="I take company bus the way back only. "/>
    <s v="Human Resources"/>
    <s v="People Operations"/>
    <s v="RAYNAUD Claire"/>
    <s v="In"/>
    <s v="No"/>
    <n v="0"/>
    <n v="0"/>
    <n v="0"/>
    <n v="1"/>
    <x v="5"/>
    <x v="83"/>
    <s v="Female"/>
  </r>
  <r>
    <x v="158"/>
    <x v="0"/>
    <s v="079197003545"/>
    <s v="0901936418"/>
    <s v="No"/>
    <m/>
    <s v="I’ll take the company bus"/>
    <m/>
    <s v="Amaris Consulting"/>
    <s v="Managers"/>
    <s v="NGUYEN Thai Ly"/>
    <s v="In"/>
    <s v="No"/>
    <n v="0"/>
    <n v="0"/>
    <n v="0"/>
    <n v="1"/>
    <x v="0"/>
    <x v="84"/>
    <s v="Female"/>
  </r>
  <r>
    <x v="159"/>
    <x v="0"/>
    <s v="079197023976"/>
    <s v="0909324150"/>
    <s v="No"/>
    <m/>
    <s v="I’ll take the company bus"/>
    <m/>
    <s v="Amaris Consulting"/>
    <s v="Managers"/>
    <s v="NGUYEN Thai Ly"/>
    <s v="In"/>
    <s v="No"/>
    <n v="0"/>
    <n v="0"/>
    <n v="0"/>
    <n v="1"/>
    <x v="0"/>
    <x v="84"/>
    <s v="Female"/>
  </r>
  <r>
    <x v="160"/>
    <x v="0"/>
    <s v="001188049157"/>
    <s v="0901401929"/>
    <s v="No"/>
    <m/>
    <s v="I’ll take the company bus"/>
    <m/>
    <s v="Amaris Consulting"/>
    <s v="Directors"/>
    <s v="THEVELIN Chloe"/>
    <s v="In"/>
    <s v="No"/>
    <n v="0"/>
    <n v="0"/>
    <n v="0"/>
    <n v="1"/>
    <x v="0"/>
    <x v="85"/>
    <s v="Female"/>
  </r>
  <r>
    <x v="161"/>
    <x v="0"/>
    <s v="049192000750"/>
    <s v="0983068421"/>
    <s v="No"/>
    <m/>
    <s v="I’ll take the company bus"/>
    <m/>
    <s v="Amaris Consulting"/>
    <s v="Delivery"/>
    <s v="VU Thanh Hang"/>
    <s v="In"/>
    <s v="No"/>
    <n v="0"/>
    <n v="0"/>
    <n v="0"/>
    <n v="1"/>
    <x v="2"/>
    <x v="85"/>
    <s v="Female"/>
  </r>
  <r>
    <x v="162"/>
    <x v="0"/>
    <s v="087190011453"/>
    <s v="0375225989"/>
    <s v="No"/>
    <m/>
    <s v="I’ll take the company bus"/>
    <m/>
    <s v="Amaris Consulting"/>
    <s v="Delivery"/>
    <s v="NGUYEN The Trinh"/>
    <s v="In"/>
    <s v="No"/>
    <n v="0"/>
    <n v="0"/>
    <n v="0"/>
    <n v="1"/>
    <x v="1"/>
    <x v="86"/>
    <s v="Female"/>
  </r>
  <r>
    <x v="163"/>
    <x v="0"/>
    <s v="040195009694"/>
    <s v="0966272279"/>
    <s v="No"/>
    <m/>
    <s v="I’ll take the company bus"/>
    <m/>
    <s v="Amaris Consulting"/>
    <s v="Delivery"/>
    <s v="NGUYEN The Trinh"/>
    <s v="In"/>
    <s v="No"/>
    <n v="0"/>
    <n v="0"/>
    <n v="0"/>
    <n v="1"/>
    <x v="2"/>
    <x v="86"/>
    <s v="Female"/>
  </r>
  <r>
    <x v="164"/>
    <x v="0"/>
    <s v="008193007229"/>
    <s v="0559852579"/>
    <s v="No"/>
    <m/>
    <s v="I’ll take the company bus"/>
    <m/>
    <n v="76777"/>
    <s v="Managers"/>
    <s v="NGUYEN Duc Quy"/>
    <s v="In"/>
    <s v="No"/>
    <n v="0"/>
    <n v="0"/>
    <n v="0"/>
    <n v="1"/>
    <x v="3"/>
    <x v="87"/>
    <s v="Female"/>
  </r>
  <r>
    <x v="165"/>
    <x v="0"/>
    <s v="031198014430"/>
    <s v="0901857690"/>
    <s v="No"/>
    <m/>
    <s v="I’ll take the company bus"/>
    <m/>
    <s v="Amaris Consulting"/>
    <s v="Managers"/>
    <s v="NGUYEN Duc Quy"/>
    <s v="In"/>
    <s v="No"/>
    <n v="0"/>
    <n v="0"/>
    <n v="0"/>
    <n v="1"/>
    <x v="5"/>
    <x v="87"/>
    <s v="Female"/>
  </r>
  <r>
    <x v="166"/>
    <x v="0"/>
    <s v="079300041083"/>
    <s v="0778605436"/>
    <s v="No"/>
    <m/>
    <s v="I’ll take the company bus"/>
    <m/>
    <s v="Amaris Consulting"/>
    <s v="Consultants"/>
    <s v="HUYNH Minh Khoi"/>
    <s v="In"/>
    <s v="No"/>
    <n v="0"/>
    <n v="0"/>
    <n v="0"/>
    <n v="1"/>
    <x v="3"/>
    <x v="88"/>
    <s v="Female"/>
  </r>
  <r>
    <x v="167"/>
    <x v="0"/>
    <s v="049303014137"/>
    <s v="+84868772661"/>
    <s v="No"/>
    <m/>
    <s v="I’ll take the company bus"/>
    <m/>
    <s v="Amaris Consulting"/>
    <s v="Consulting Talent Acquisition"/>
    <s v="PHAM Thai An"/>
    <s v="In"/>
    <s v="No"/>
    <n v="0"/>
    <n v="0"/>
    <n v="0"/>
    <n v="1"/>
    <x v="6"/>
    <x v="88"/>
    <s v="Female"/>
  </r>
  <r>
    <x v="168"/>
    <x v="0"/>
    <s v="077097008033"/>
    <s v="0979040971"/>
    <s v="No"/>
    <m/>
    <s v="I’ll take the company bus"/>
    <m/>
    <s v="Amaris Consulting"/>
    <s v="Managers"/>
    <s v="NGUYEN Thai Ly"/>
    <s v="In"/>
    <s v="No"/>
    <n v="0"/>
    <n v="0"/>
    <n v="0"/>
    <n v="1"/>
    <x v="0"/>
    <x v="89"/>
    <s v="Male                "/>
  </r>
  <r>
    <x v="169"/>
    <x v="0"/>
    <s v="079076006834"/>
    <s v="0913676060"/>
    <s v="No"/>
    <m/>
    <s v="I’ll take the company bus"/>
    <m/>
    <s v="Amaris Consulting"/>
    <s v="Delivery"/>
    <s v="GALLOT Brice"/>
    <s v="In"/>
    <s v="No"/>
    <n v="0"/>
    <n v="0"/>
    <n v="0"/>
    <n v="1"/>
    <x v="6"/>
    <x v="89"/>
    <s v="Male                "/>
  </r>
  <r>
    <x v="170"/>
    <x v="0"/>
    <s v="079093042207"/>
    <s v="0937756145"/>
    <s v="No"/>
    <m/>
    <s v="I’ll arrange my own transportation"/>
    <m/>
    <s v="Information Technology"/>
    <s v="System &amp; Network"/>
    <s v="SIOUDI Mohamed Amine"/>
    <s v="In"/>
    <s v="No"/>
    <n v="0"/>
    <n v="0"/>
    <n v="0"/>
    <n v="1"/>
    <x v="4"/>
    <x v="90"/>
    <s v="Male                "/>
  </r>
  <r>
    <x v="171"/>
    <x v="0"/>
    <s v="079091022899"/>
    <s v="0987646085"/>
    <s v="No"/>
    <m/>
    <s v="I’ll arrange my own transportation"/>
    <m/>
    <s v="Information Technology"/>
    <s v="Help Desk"/>
    <s v="MATEI Aurel-George"/>
    <s v="In"/>
    <s v="No"/>
    <n v="0"/>
    <n v="0"/>
    <n v="0"/>
    <n v="1"/>
    <x v="4"/>
    <x v="90"/>
    <s v="Male                "/>
  </r>
  <r>
    <x v="172"/>
    <x v="0"/>
    <s v="079092012567"/>
    <s v="0972708318"/>
    <s v="Yes"/>
    <s v="1. Truong Ngoc Tinh Anh - 10/12/1993 - 060193015462_x000a_2. Phan Nhat Thien Dang - 28/11/2023 - 079223047176"/>
    <s v="I’ll arrange my own transportation"/>
    <m/>
    <s v="Information Technology"/>
    <s v="Software Engineering"/>
    <s v="DUQUESNAY Guillaume"/>
    <s v="In"/>
    <s v="Yes"/>
    <n v="1"/>
    <n v="1"/>
    <n v="2"/>
    <n v="3"/>
    <x v="4"/>
    <x v="91"/>
    <s v="Male                "/>
  </r>
  <r>
    <x v="173"/>
    <x v="0"/>
    <s v="079302023454"/>
    <s v="0902912836"/>
    <s v="No"/>
    <m/>
    <s v="I’ll take the company bus"/>
    <m/>
    <s v="Administrative &amp; Finance"/>
    <s v="Financial Business Controlling"/>
    <s v="PHAN Thi Ha Trang"/>
    <s v="In"/>
    <s v="No"/>
    <n v="0"/>
    <n v="0"/>
    <n v="0"/>
    <n v="1"/>
    <x v="7"/>
    <x v="92"/>
    <s v="Female"/>
  </r>
  <r>
    <x v="174"/>
    <x v="0"/>
    <s v="095304000809"/>
    <s v="0941219254"/>
    <s v="No"/>
    <m/>
    <s v="I’ll take the company bus"/>
    <m/>
    <s v="Administrative &amp; Finance"/>
    <s v="Financial Business Controlling"/>
    <s v="RAVAIOLI Filippo"/>
    <s v="In"/>
    <s v="No"/>
    <n v="0"/>
    <n v="0"/>
    <n v="0"/>
    <n v="1"/>
    <x v="7"/>
    <x v="92"/>
    <s v="Female"/>
  </r>
  <r>
    <x v="175"/>
    <x v="0"/>
    <s v="095190000250"/>
    <s v="0934831283"/>
    <s v="No"/>
    <m/>
    <s v="I’ll take the company bus"/>
    <m/>
    <s v="Real Estate and Support Services"/>
    <s v="Office Facillity Management"/>
    <s v="NGUYEN The Trinh"/>
    <s v="In"/>
    <s v="No"/>
    <n v="0"/>
    <n v="0"/>
    <n v="0"/>
    <n v="1"/>
    <x v="7"/>
    <x v="93"/>
    <s v="Female"/>
  </r>
  <r>
    <x v="176"/>
    <x v="0"/>
    <s v="066304003315"/>
    <s v="0345814997"/>
    <s v="No"/>
    <m/>
    <s v="I’ll take the company bus"/>
    <m/>
    <s v="Administrative &amp; Finance"/>
    <s v="Group Accounting"/>
    <s v="NGUYEN Vu Phuong Uyen"/>
    <s v="In"/>
    <s v="No"/>
    <n v="0"/>
    <n v="0"/>
    <n v="0"/>
    <n v="1"/>
    <x v="7"/>
    <x v="93"/>
    <s v="Female"/>
  </r>
  <r>
    <x v="177"/>
    <x v="0"/>
    <s v="060303003328"/>
    <s v="0947047885"/>
    <s v="No"/>
    <m/>
    <s v="I’ll take the company bus"/>
    <s v="I’m allergic to beef"/>
    <s v="Administrative &amp; Finance"/>
    <s v="Financial Business Controlling"/>
    <s v="BUI Quang Hung"/>
    <s v="In"/>
    <s v="No"/>
    <n v="0"/>
    <n v="0"/>
    <n v="0"/>
    <n v="1"/>
    <x v="7"/>
    <x v="94"/>
    <s v="Female"/>
  </r>
  <r>
    <x v="178"/>
    <x v="0"/>
    <s v="048198002437"/>
    <s v="0335767961"/>
    <s v="No"/>
    <m/>
    <s v="I’ll take the company bus"/>
    <m/>
    <s v="Administrative &amp; Finance"/>
    <s v="Operational Finance"/>
    <s v="DUTERTRE Geoffrey"/>
    <s v="In"/>
    <s v="No"/>
    <n v="0"/>
    <n v="0"/>
    <n v="0"/>
    <n v="1"/>
    <x v="7"/>
    <x v="94"/>
    <s v="Female"/>
  </r>
  <r>
    <x v="179"/>
    <x v="0"/>
    <s v="066304009657"/>
    <s v="0917810796"/>
    <s v="No"/>
    <m/>
    <s v="I’ll take the company bus"/>
    <m/>
    <s v="Administrative &amp; Finance"/>
    <s v="Financial Business Controlling"/>
    <s v="BUI Quang Hung"/>
    <s v="In"/>
    <s v="No"/>
    <n v="0"/>
    <n v="0"/>
    <n v="0"/>
    <n v="1"/>
    <x v="7"/>
    <x v="95"/>
    <s v="Female"/>
  </r>
  <r>
    <x v="180"/>
    <x v="0"/>
    <s v="077304002316"/>
    <s v="0971917272"/>
    <s v="No"/>
    <m/>
    <s v="I’ll take the company bus"/>
    <m/>
    <s v="Administrative &amp; Finance"/>
    <s v="Financial Business Controlling"/>
    <s v="BUI Quang Hung"/>
    <s v="In"/>
    <s v="No"/>
    <n v="0"/>
    <n v="0"/>
    <n v="0"/>
    <n v="1"/>
    <x v="7"/>
    <x v="95"/>
    <s v="Female"/>
  </r>
  <r>
    <x v="181"/>
    <x v="0"/>
    <s v="079304008486"/>
    <s v="0933557924"/>
    <s v="No"/>
    <m/>
    <s v="I’ll take the company bus"/>
    <m/>
    <s v="Administrative &amp; Finance"/>
    <s v="Financial Business Controlling"/>
    <s v="BUI Quang Hung"/>
    <s v="In"/>
    <s v="No"/>
    <n v="0"/>
    <n v="0"/>
    <n v="0"/>
    <n v="1"/>
    <x v="7"/>
    <x v="96"/>
    <s v="Female"/>
  </r>
  <r>
    <x v="182"/>
    <x v="0"/>
    <s v="077304005352"/>
    <s v="0917827457"/>
    <s v="No"/>
    <m/>
    <s v="I’ll take the company bus"/>
    <m/>
    <s v="Administrative &amp; Finance"/>
    <s v="Financial Business Controlling"/>
    <s v="BUI Quang Hung"/>
    <s v="In"/>
    <s v="No"/>
    <n v="0"/>
    <n v="0"/>
    <n v="0"/>
    <n v="1"/>
    <x v="7"/>
    <x v="96"/>
    <s v="Female"/>
  </r>
  <r>
    <x v="183"/>
    <x v="0"/>
    <s v="079302030108"/>
    <s v="0868120502"/>
    <s v="No"/>
    <m/>
    <s v="I’ll take the company bus"/>
    <m/>
    <s v="Administrative &amp; Finance"/>
    <s v="Group &amp; Corporate Controlling"/>
    <s v="BUI Thi Ngoc Minh"/>
    <s v="In"/>
    <s v="No"/>
    <n v="0"/>
    <n v="0"/>
    <n v="0"/>
    <n v="1"/>
    <x v="7"/>
    <x v="97"/>
    <s v="Female"/>
  </r>
  <r>
    <x v="184"/>
    <x v="0"/>
    <s v="034300013120"/>
    <s v="0986555347"/>
    <s v="No"/>
    <m/>
    <s v="I’ll take the company bus"/>
    <m/>
    <s v="Administrative &amp; Finance"/>
    <s v="Group &amp; Corporate Controlling"/>
    <s v="BUI Thi Ngoc Minh"/>
    <s v="In"/>
    <s v="No"/>
    <n v="0"/>
    <n v="0"/>
    <n v="0"/>
    <n v="1"/>
    <x v="7"/>
    <x v="97"/>
    <s v="Female"/>
  </r>
  <r>
    <x v="185"/>
    <x v="0"/>
    <s v="051198007784"/>
    <s v="0356703207"/>
    <s v="No"/>
    <m/>
    <s v="I’ll take the company bus"/>
    <m/>
    <s v="Administrative &amp; Finance"/>
    <s v="Financial Business Controlling"/>
    <s v="ALSHABANI Anas"/>
    <s v="In"/>
    <s v="No"/>
    <n v="0"/>
    <n v="0"/>
    <n v="0"/>
    <n v="1"/>
    <x v="7"/>
    <x v="98"/>
    <s v="Female"/>
  </r>
  <r>
    <x v="186"/>
    <x v="0"/>
    <s v="079195029833"/>
    <s v="0765217394"/>
    <s v="No"/>
    <m/>
    <s v="I’ll take the company bus"/>
    <m/>
    <s v="Administrative &amp; Finance"/>
    <s v="Group Accounting"/>
    <s v="PHAM Hoang Phuc"/>
    <s v="In"/>
    <s v="No"/>
    <n v="0"/>
    <n v="0"/>
    <n v="0"/>
    <n v="1"/>
    <x v="7"/>
    <x v="98"/>
    <s v="Female"/>
  </r>
  <r>
    <x v="187"/>
    <x v="0"/>
    <s v="045302005235"/>
    <s v="0824988225"/>
    <s v="No"/>
    <m/>
    <s v="I’ll take the company bus"/>
    <m/>
    <s v="Administrative &amp; Finance"/>
    <s v="Financial Business Controlling"/>
    <s v="NGUYEN The Anh"/>
    <s v="In"/>
    <s v="No"/>
    <n v="0"/>
    <n v="0"/>
    <n v="0"/>
    <n v="1"/>
    <x v="7"/>
    <x v="99"/>
    <s v="Female"/>
  </r>
  <r>
    <x v="188"/>
    <x v="0"/>
    <s v="066303001193"/>
    <s v="0971993024"/>
    <s v="No"/>
    <m/>
    <s v="I’ll take the company bus"/>
    <m/>
    <s v="Administrative &amp; Finance"/>
    <s v="Financial Business Controlling"/>
    <s v="RAVAIOLI Filippo"/>
    <s v="In"/>
    <s v="No"/>
    <n v="0"/>
    <n v="0"/>
    <n v="0"/>
    <n v="1"/>
    <x v="7"/>
    <x v="99"/>
    <s v="Female"/>
  </r>
  <r>
    <x v="189"/>
    <x v="0"/>
    <s v="079303023390"/>
    <s v="0828740008"/>
    <s v="No"/>
    <m/>
    <s v="I’ll take the company bus"/>
    <m/>
    <s v="Administrative &amp; Finance"/>
    <s v="Financial Business Controlling"/>
    <s v="RAVAIOLI Filippo"/>
    <s v="In"/>
    <s v="No"/>
    <n v="0"/>
    <n v="0"/>
    <n v="0"/>
    <n v="1"/>
    <x v="7"/>
    <x v="100"/>
    <s v="Female"/>
  </r>
  <r>
    <x v="190"/>
    <x v="0"/>
    <s v="052303001134"/>
    <s v="0394301209"/>
    <s v="No"/>
    <m/>
    <s v="I’ll take the company bus"/>
    <m/>
    <s v="Administrative &amp; Finance"/>
    <s v="Financial Business Controlling"/>
    <s v="VO Xuan Hung"/>
    <s v="In"/>
    <s v="No"/>
    <n v="0"/>
    <n v="0"/>
    <n v="0"/>
    <n v="1"/>
    <x v="7"/>
    <x v="100"/>
    <s v="Female"/>
  </r>
  <r>
    <x v="191"/>
    <x v="0"/>
    <s v="031303000776"/>
    <s v="0393991003"/>
    <s v="No"/>
    <m/>
    <s v="I’ll take the company bus"/>
    <m/>
    <s v="Administrative &amp; Finance"/>
    <s v="Financial Business Controlling"/>
    <s v="NGUYEN The Anh"/>
    <s v="In"/>
    <s v="No"/>
    <n v="0"/>
    <n v="0"/>
    <n v="0"/>
    <n v="1"/>
    <x v="7"/>
    <x v="101"/>
    <s v="Female"/>
  </r>
  <r>
    <x v="192"/>
    <x v="0"/>
    <s v="060303007588"/>
    <s v="0835255477"/>
    <s v="No"/>
    <m/>
    <s v="I’ll take the company bus"/>
    <m/>
    <s v="Administrative &amp; Finance"/>
    <s v="Financial Business Controlling"/>
    <s v="PHAN Thi Ha Trang"/>
    <s v="In"/>
    <s v="No"/>
    <n v="0"/>
    <n v="0"/>
    <n v="0"/>
    <n v="1"/>
    <x v="7"/>
    <x v="101"/>
    <s v="Female"/>
  </r>
  <r>
    <x v="193"/>
    <x v="0"/>
    <s v="077198000661"/>
    <s v="0933655795"/>
    <s v="No"/>
    <m/>
    <s v="I’ll take the company bus"/>
    <m/>
    <s v="Administrative &amp; Finance"/>
    <s v="Financial Business Controlling"/>
    <s v="CHECROUN Juliette"/>
    <s v="In"/>
    <s v="No"/>
    <n v="0"/>
    <n v="0"/>
    <n v="0"/>
    <n v="1"/>
    <x v="7"/>
    <x v="102"/>
    <s v="Female"/>
  </r>
  <r>
    <x v="194"/>
    <x v="0"/>
    <s v="079198036919"/>
    <s v="0903376980"/>
    <s v="No"/>
    <m/>
    <s v="I’ll take the company bus"/>
    <s v="food allergy - all types of fish"/>
    <s v="Administrative &amp; Finance"/>
    <s v="Financial Business Controlling"/>
    <s v="NGUYEN Tran Phuong Phuong"/>
    <s v="In"/>
    <s v="No"/>
    <n v="0"/>
    <n v="0"/>
    <n v="0"/>
    <n v="1"/>
    <x v="7"/>
    <x v="102"/>
    <s v="Female"/>
  </r>
  <r>
    <x v="195"/>
    <x v="0"/>
    <s v="079199001035"/>
    <s v="0906982803"/>
    <s v="Yes"/>
    <s v="Nguyen The Anh - Male - 21/07/2000 - 040200000125"/>
    <s v="I’ll take the company bus"/>
    <m/>
    <s v="Administrative &amp; Finance"/>
    <s v="Financial Business Controlling"/>
    <s v="HERNANDEZ Laurine"/>
    <s v="In"/>
    <s v="Yes"/>
    <n v="0"/>
    <n v="1"/>
    <n v="1"/>
    <n v="2"/>
    <x v="7"/>
    <x v="103"/>
    <s v="Female"/>
  </r>
  <r>
    <x v="196"/>
    <x v="0"/>
    <s v="060099008043"/>
    <s v="0933726329"/>
    <s v="No"/>
    <m/>
    <s v="I’ll take the company bus"/>
    <m/>
    <s v="Administrative &amp; Finance"/>
    <s v="Group &amp; Corporate Controlling"/>
    <s v="BUI Thi Ngoc Minh"/>
    <s v="In"/>
    <s v="No"/>
    <n v="0"/>
    <n v="0"/>
    <n v="0"/>
    <n v="1"/>
    <x v="7"/>
    <x v="104"/>
    <s v="Male                "/>
  </r>
  <r>
    <x v="197"/>
    <x v="0"/>
    <s v="070093006594"/>
    <s v="0909321830"/>
    <s v="No"/>
    <m/>
    <s v="I’ll take the company bus"/>
    <m/>
    <s v="Administrative &amp; Finance"/>
    <s v="Finance Operations"/>
    <s v="SEMERADT Corinne"/>
    <s v="In"/>
    <s v="No"/>
    <n v="0"/>
    <n v="0"/>
    <n v="0"/>
    <n v="1"/>
    <x v="7"/>
    <x v="104"/>
    <s v="Male                "/>
  </r>
  <r>
    <x v="198"/>
    <x v="0"/>
    <s v="077097003655"/>
    <s v="0355327017"/>
    <s v="No"/>
    <m/>
    <s v="I’ll take the company bus"/>
    <m/>
    <s v="Administrative &amp; Finance"/>
    <s v="Group &amp; Corporate Controlling"/>
    <s v="CATEL Agnès"/>
    <s v="In"/>
    <s v="No"/>
    <n v="0"/>
    <n v="0"/>
    <n v="0"/>
    <n v="1"/>
    <x v="7"/>
    <x v="105"/>
    <s v="Male                "/>
  </r>
  <r>
    <x v="199"/>
    <x v="0"/>
    <s v="079096020132"/>
    <s v="0917923778"/>
    <s v="No"/>
    <m/>
    <s v="I’ll take the company bus"/>
    <m/>
    <s v="Administrative &amp; Finance"/>
    <s v="Group Accounting"/>
    <s v="NGUYEN Vu Phuong Uyen"/>
    <s v="In"/>
    <s v="No"/>
    <n v="0"/>
    <n v="0"/>
    <n v="0"/>
    <n v="1"/>
    <x v="7"/>
    <x v="105"/>
    <s v="Male                "/>
  </r>
  <r>
    <x v="200"/>
    <x v="0"/>
    <s v="079086003000"/>
    <s v="0903177922"/>
    <s v="No"/>
    <m/>
    <s v="I’ll take the company bus"/>
    <m/>
    <s v="Administrative &amp; Finance"/>
    <s v="Finance Operations"/>
    <s v="DE LACOMBE Romain"/>
    <s v="In"/>
    <s v="No"/>
    <n v="0"/>
    <n v="0"/>
    <n v="0"/>
    <n v="1"/>
    <x v="7"/>
    <x v="106"/>
    <s v="Male                "/>
  </r>
  <r>
    <x v="201"/>
    <x v="0"/>
    <s v="074092001617"/>
    <s v="0944234096"/>
    <s v="No"/>
    <m/>
    <s v="I’ll take the company bus"/>
    <m/>
    <s v="Administrative &amp; Finance"/>
    <s v="Finance Operations"/>
    <s v="XIA Shuang"/>
    <s v="In"/>
    <s v="No"/>
    <n v="0"/>
    <n v="0"/>
    <n v="0"/>
    <n v="1"/>
    <x v="7"/>
    <x v="106"/>
    <s v="Male                "/>
  </r>
  <r>
    <x v="202"/>
    <x v="0"/>
    <s v="054204000568"/>
    <s v="0377887851"/>
    <s v="No"/>
    <m/>
    <s v="I’ll take the company bus"/>
    <s v="No spicy"/>
    <s v="Administrative &amp; Finance"/>
    <s v="Financial Business Controlling"/>
    <s v="BUI Quang Hung"/>
    <s v="In"/>
    <s v="No"/>
    <n v="0"/>
    <n v="0"/>
    <n v="0"/>
    <n v="1"/>
    <x v="7"/>
    <x v="107"/>
    <s v="Male                "/>
  </r>
  <r>
    <x v="203"/>
    <x v="0"/>
    <s v="'079202030875"/>
    <s v="'0902788713"/>
    <s v="No"/>
    <m/>
    <s v="I’ll take the company bus"/>
    <m/>
    <s v="Administrative &amp; Finance"/>
    <s v="Financial Business Controlling"/>
    <s v="BUI Thi Ngoc Minh"/>
    <s v="In"/>
    <s v="No"/>
    <n v="0"/>
    <n v="0"/>
    <n v="0"/>
    <n v="1"/>
    <x v="7"/>
    <x v="107"/>
    <s v="Male                "/>
  </r>
  <r>
    <x v="204"/>
    <x v="0"/>
    <s v="25HD56242"/>
    <s v="0902411648"/>
    <s v="No"/>
    <m/>
    <s v="I’ll take the company bus"/>
    <m/>
    <s v="Administrative &amp; Finance"/>
    <s v="Operational Finance"/>
    <s v="DE LACOMBE Romain"/>
    <s v="In"/>
    <s v="No"/>
    <n v="0"/>
    <n v="0"/>
    <n v="0"/>
    <n v="1"/>
    <x v="7"/>
    <x v="108"/>
    <s v="Male                "/>
  </r>
  <r>
    <x v="205"/>
    <x v="0"/>
    <s v="22IK50629"/>
    <s v="0902612360"/>
    <s v="No"/>
    <m/>
    <s v="I’ll take the company bus"/>
    <m/>
    <s v="Amaris Consulting"/>
    <s v="Presales"/>
    <s v="JOLLIOT Marie-Benoîte"/>
    <s v="In"/>
    <s v="No"/>
    <n v="0"/>
    <n v="0"/>
    <n v="0"/>
    <n v="1"/>
    <x v="6"/>
    <x v="108"/>
    <s v="Male                "/>
  </r>
  <r>
    <x v="206"/>
    <x v="0"/>
    <s v="079202015216"/>
    <s v="0812900824"/>
    <s v="No"/>
    <m/>
    <s v="I’ll take the company bus"/>
    <m/>
    <s v="Information Technology"/>
    <s v="Product Management"/>
    <s v="LIM Chee Kiat"/>
    <s v="In"/>
    <s v="No"/>
    <n v="0"/>
    <n v="0"/>
    <n v="0"/>
    <n v="1"/>
    <x v="6"/>
    <x v="109"/>
    <s v="Male                "/>
  </r>
  <r>
    <x v="207"/>
    <x v="0"/>
    <s v="068203012626"/>
    <s v="0985291931"/>
    <s v="No"/>
    <m/>
    <s v="I’ll take the company bus"/>
    <s v="I am allergic to seafood and eggs"/>
    <s v="Amaris Consulting"/>
    <s v="Consulting Talent Acquisition"/>
    <s v="NGUYEN Hoang Bich Tran"/>
    <s v="In"/>
    <s v="No"/>
    <n v="0"/>
    <n v="0"/>
    <n v="0"/>
    <n v="1"/>
    <x v="6"/>
    <x v="109"/>
    <s v="Male                "/>
  </r>
  <r>
    <x v="208"/>
    <x v="0"/>
    <s v="079097016581"/>
    <s v="0942229030"/>
    <s v="No"/>
    <m/>
    <s v="I’ll take the company bus"/>
    <m/>
    <s v="Information Technology"/>
    <s v="Product Management"/>
    <s v="DUQUESNAY Guillaume"/>
    <s v="In"/>
    <s v="No"/>
    <n v="0"/>
    <n v="0"/>
    <n v="0"/>
    <n v="1"/>
    <x v="6"/>
    <x v="110"/>
    <s v="Male                "/>
  </r>
  <r>
    <x v="209"/>
    <x v="0"/>
    <s v="17EH77400"/>
    <s v="+33679194344"/>
    <s v="No"/>
    <m/>
    <s v="I’ll take the company bus"/>
    <m/>
    <s v="Information Technology"/>
    <s v="Product Management"/>
    <s v="LIM Chee Kiat"/>
    <s v="In"/>
    <s v="No"/>
    <n v="0"/>
    <n v="0"/>
    <n v="0"/>
    <n v="1"/>
    <x v="6"/>
    <x v="110"/>
    <s v="Male                "/>
  </r>
  <r>
    <x v="210"/>
    <x v="0"/>
    <s v="051202007260"/>
    <s v="0943527674"/>
    <s v="No"/>
    <m/>
    <s v="I’ll take the company bus"/>
    <m/>
    <s v="Information Technology"/>
    <s v="Telephony"/>
    <s v="MAI Tan Ha"/>
    <s v="In"/>
    <s v="No"/>
    <n v="0"/>
    <n v="0"/>
    <n v="0"/>
    <n v="1"/>
    <x v="6"/>
    <x v="111"/>
    <s v="Male                "/>
  </r>
  <r>
    <x v="211"/>
    <x v="0"/>
    <s v="075200000345"/>
    <s v="0339526385"/>
    <s v="No"/>
    <m/>
    <s v="I’ll take the company bus"/>
    <m/>
    <s v="Information Technology"/>
    <s v="System &amp; Network"/>
    <s v="SIOUDI Mohamed Amine"/>
    <s v="In"/>
    <s v="No"/>
    <n v="0"/>
    <n v="0"/>
    <n v="0"/>
    <n v="1"/>
    <x v="6"/>
    <x v="111"/>
    <s v="Male                "/>
  </r>
  <r>
    <x v="212"/>
    <x v="0"/>
    <s v="079203005175"/>
    <s v="0968412361"/>
    <s v="No"/>
    <m/>
    <s v="I’ll take the company bus"/>
    <m/>
    <s v="Information Technology"/>
    <s v="Help Desk"/>
    <s v="NGO Ngoc Nam"/>
    <s v="In"/>
    <s v="No"/>
    <n v="0"/>
    <n v="0"/>
    <n v="0"/>
    <n v="1"/>
    <x v="6"/>
    <x v="112"/>
    <s v="Male                "/>
  </r>
  <r>
    <x v="213"/>
    <x v="0"/>
    <s v="074093002317"/>
    <s v="0906 406 613 "/>
    <s v="No"/>
    <m/>
    <s v="I’ll take the company bus"/>
    <m/>
    <s v="Information Technology"/>
    <s v="Help Desk"/>
    <s v="NGO Ngoc Nam"/>
    <s v="In"/>
    <s v="No"/>
    <n v="0"/>
    <n v="0"/>
    <n v="0"/>
    <n v="1"/>
    <x v="6"/>
    <x v="112"/>
    <s v="Male                "/>
  </r>
  <r>
    <x v="214"/>
    <x v="0"/>
    <s v="056079000075"/>
    <s v="0974674081"/>
    <s v="No"/>
    <m/>
    <s v="I’ll take the company bus"/>
    <m/>
    <s v="Amaris Consulting"/>
    <s v="Delivery"/>
    <s v="NGUYEN Trung Hieu"/>
    <s v="In"/>
    <s v="No"/>
    <n v="0"/>
    <n v="0"/>
    <n v="0"/>
    <n v="1"/>
    <x v="6"/>
    <x v="113"/>
    <s v="Male                "/>
  </r>
  <r>
    <x v="215"/>
    <x v="0"/>
    <s v="079202019928"/>
    <s v="0898313181"/>
    <s v="No"/>
    <m/>
    <s v="I’ll take the company bus"/>
    <m/>
    <s v="ACT"/>
    <s v="ACT Sales &amp; Pre-sales"/>
    <s v="MAVANI Amit"/>
    <s v="In"/>
    <s v="No"/>
    <n v="0"/>
    <n v="0"/>
    <n v="0"/>
    <n v="1"/>
    <x v="6"/>
    <x v="113"/>
    <s v="Male                "/>
  </r>
  <r>
    <x v="216"/>
    <x v="0"/>
    <s v="079193009931"/>
    <s v="0909083103"/>
    <s v="No"/>
    <m/>
    <s v="I’ll take the company bus"/>
    <m/>
    <s v="Marketing &amp; Conversation"/>
    <s v="Design"/>
    <s v="SANTANA Zulema"/>
    <s v="In"/>
    <s v="No"/>
    <n v="0"/>
    <n v="0"/>
    <n v="0"/>
    <n v="1"/>
    <x v="6"/>
    <x v="114"/>
    <s v="Female"/>
  </r>
  <r>
    <x v="217"/>
    <x v="0"/>
    <s v="079193040594"/>
    <s v="0931439977"/>
    <s v="No"/>
    <m/>
    <s v="I’ll take the company bus"/>
    <m/>
    <s v="Marketing &amp; Conversation"/>
    <s v="Design"/>
    <s v="SANTANA Zulema"/>
    <s v="In"/>
    <s v="No"/>
    <n v="0"/>
    <n v="0"/>
    <n v="0"/>
    <n v="1"/>
    <x v="6"/>
    <x v="114"/>
    <s v="Female"/>
  </r>
  <r>
    <x v="218"/>
    <x v="0"/>
    <s v="079 303 003 034"/>
    <s v="0903 175 838"/>
    <s v="No"/>
    <m/>
    <s v="I’ll take the company bus"/>
    <m/>
    <s v="Amaris Consulting"/>
    <s v="Consulting Talent Acquisition"/>
    <s v="NGUYEN Hoang Bich Tran"/>
    <s v="In"/>
    <s v="No"/>
    <n v="0"/>
    <n v="0"/>
    <n v="0"/>
    <n v="1"/>
    <x v="6"/>
    <x v="115"/>
    <s v="Female"/>
  </r>
  <r>
    <x v="219"/>
    <x v="0"/>
    <s v="064304011457"/>
    <s v="0905435679"/>
    <s v="No"/>
    <m/>
    <s v="I’ll take the company bus"/>
    <m/>
    <s v="Amaris Consulting"/>
    <s v="Consulting Talent Acquisition"/>
    <s v="NGUYEN Hoang Bich Tran"/>
    <s v="In"/>
    <s v="No"/>
    <n v="0"/>
    <n v="0"/>
    <n v="0"/>
    <n v="1"/>
    <x v="6"/>
    <x v="115"/>
    <s v="Female"/>
  </r>
  <r>
    <x v="220"/>
    <x v="0"/>
    <s v="082196015477"/>
    <s v="0984016140"/>
    <s v="No"/>
    <m/>
    <s v="I’ll take the company bus"/>
    <m/>
    <s v="Amaris Consulting"/>
    <s v="Consulting Talent Acquisition"/>
    <s v="GUILLOTON Eve"/>
    <s v="In"/>
    <s v="No"/>
    <n v="0"/>
    <n v="0"/>
    <n v="0"/>
    <n v="1"/>
    <x v="6"/>
    <x v="116"/>
    <s v="Female"/>
  </r>
  <r>
    <x v="221"/>
    <x v="0"/>
    <s v="079302019770"/>
    <s v="0708319701"/>
    <s v="No"/>
    <m/>
    <s v="I’ll take the company bus"/>
    <m/>
    <s v="Amaris Consulting"/>
    <s v="Consulting Talent Acquisition"/>
    <s v="NGUYEN Ho Khanh Vy"/>
    <s v="In"/>
    <s v="No"/>
    <n v="0"/>
    <n v="0"/>
    <n v="0"/>
    <n v="1"/>
    <x v="6"/>
    <x v="116"/>
    <s v="Female"/>
  </r>
  <r>
    <x v="222"/>
    <x v="0"/>
    <s v="079301005911"/>
    <s v="0327649437"/>
    <s v="No"/>
    <m/>
    <s v="I’ll take the company bus"/>
    <m/>
    <s v="Amaris Consulting"/>
    <s v="Consulting Talent Acquisition"/>
    <s v="HONG Nguyen Tu Nhi"/>
    <s v="In"/>
    <s v="No"/>
    <n v="0"/>
    <n v="0"/>
    <n v="0"/>
    <n v="1"/>
    <x v="6"/>
    <x v="117"/>
    <s v="Female"/>
  </r>
  <r>
    <x v="223"/>
    <x v="0"/>
    <s v="079198027964"/>
    <s v="0374428877"/>
    <s v="No"/>
    <m/>
    <s v="I’ll take the company bus"/>
    <m/>
    <s v="Amaris Consulting"/>
    <s v="Consulting Talent Acquisition"/>
    <s v="NGUYEN Ho Khanh Vy"/>
    <s v="In"/>
    <s v="No"/>
    <n v="0"/>
    <n v="0"/>
    <n v="0"/>
    <n v="1"/>
    <x v="6"/>
    <x v="117"/>
    <s v="Female"/>
  </r>
  <r>
    <x v="224"/>
    <x v="0"/>
    <s v="031199002762"/>
    <s v="0363031131"/>
    <s v="Yes"/>
    <s v="Do Chi Thanh - Male - 20/10/2002 - 001202005933"/>
    <s v="I’ll take the company bus"/>
    <m/>
    <s v="Amaris Consulting"/>
    <s v="Consulting Talent Acquisition"/>
    <s v="NGUYEN Ho Khanh Vy"/>
    <s v="In"/>
    <s v="Yes"/>
    <n v="0"/>
    <n v="1"/>
    <n v="1"/>
    <n v="2"/>
    <x v="6"/>
    <x v="118"/>
    <s v="Female"/>
  </r>
  <r>
    <x v="225"/>
    <x v="0"/>
    <s v="060199000392"/>
    <s v="0975488340"/>
    <s v="Yes"/>
    <s v="Nguyen Tran Bao Phu - Male - 28/03/1999 - 080099002154"/>
    <s v="I’ll take the company bus"/>
    <m/>
    <s v="Amaris Consulting"/>
    <s v="Consulting Talent Acquisition"/>
    <s v="NGUYEN Ho Khanh Vy"/>
    <s v="In"/>
    <s v="Yes"/>
    <n v="0"/>
    <n v="1"/>
    <n v="1"/>
    <n v="2"/>
    <x v="6"/>
    <x v="119"/>
    <s v="Female"/>
  </r>
  <r>
    <x v="226"/>
    <x v="0"/>
    <s v="068300004128"/>
    <s v="+84 389420759 "/>
    <s v="No"/>
    <m/>
    <s v="I’ll take the company bus"/>
    <m/>
    <s v="Recruitment"/>
    <s v="Corporate Acquisition"/>
    <s v="CARRILLO GIRONA Marina"/>
    <s v="In"/>
    <s v="No"/>
    <n v="0"/>
    <n v="0"/>
    <n v="0"/>
    <n v="1"/>
    <x v="6"/>
    <x v="120"/>
    <s v="Female"/>
  </r>
  <r>
    <x v="227"/>
    <x v="0"/>
    <s v="037303000012"/>
    <s v="0961760721"/>
    <s v="No"/>
    <m/>
    <s v="I’ll take the company bus"/>
    <m/>
    <s v="Recruitment"/>
    <s v="Corporate Acquisition"/>
    <s v="PHAN Linh Chau"/>
    <s v="In"/>
    <s v="No"/>
    <n v="0"/>
    <n v="0"/>
    <n v="0"/>
    <n v="1"/>
    <x v="6"/>
    <x v="120"/>
    <s v="Female"/>
  </r>
  <r>
    <x v="228"/>
    <x v="0"/>
    <s v="077197001261"/>
    <s v="0785670597"/>
    <s v="No"/>
    <m/>
    <s v="I’ll take the company bus"/>
    <m/>
    <s v="Performance Management"/>
    <s v="Operational Controlling"/>
    <s v="BUC Thomas"/>
    <s v="In"/>
    <s v="No"/>
    <n v="0"/>
    <n v="0"/>
    <n v="0"/>
    <n v="1"/>
    <x v="6"/>
    <x v="121"/>
    <s v="Female"/>
  </r>
  <r>
    <x v="229"/>
    <x v="0"/>
    <s v="074301006998"/>
    <s v="0967486292"/>
    <s v="No"/>
    <m/>
    <s v="I’ll take the company bus"/>
    <m/>
    <s v="Performance Management"/>
    <s v="Operational Controlling"/>
    <s v="BUC Thomas"/>
    <s v="In"/>
    <s v="No"/>
    <n v="0"/>
    <n v="0"/>
    <n v="0"/>
    <n v="1"/>
    <x v="6"/>
    <x v="121"/>
    <s v="Female"/>
  </r>
  <r>
    <x v="230"/>
    <x v="0"/>
    <s v="045198003359"/>
    <s v="0355042483"/>
    <s v="No"/>
    <m/>
    <s v="I’ll take the company bus"/>
    <s v="Mình muốn request ở phòng 3 người với team OC: NGUYEN Thi Thanh Nhan, TRAN Thị Anh Minh và NGUYEN Thu Hong"/>
    <s v="Performance Management"/>
    <s v="Operational Controlling"/>
    <s v="BUC Thomas"/>
    <s v="In"/>
    <s v="No"/>
    <n v="0"/>
    <n v="0"/>
    <n v="0"/>
    <n v="1"/>
    <x v="6"/>
    <x v="121"/>
    <s v="Female"/>
  </r>
  <r>
    <x v="231"/>
    <x v="0"/>
    <s v="075184001102"/>
    <s v="0945745944"/>
    <s v="No"/>
    <m/>
    <s v="I’ll take the company bus"/>
    <m/>
    <s v="Information Technology"/>
    <s v="Telephony"/>
    <s v="MAI Tan Ha"/>
    <s v="In"/>
    <s v="No"/>
    <n v="0"/>
    <n v="0"/>
    <n v="0"/>
    <n v="1"/>
    <x v="6"/>
    <x v="122"/>
    <s v="Female"/>
  </r>
  <r>
    <x v="232"/>
    <x v="0"/>
    <s v="079199035294"/>
    <s v="84899286919"/>
    <s v="No"/>
    <m/>
    <s v="I’ll take the company bus"/>
    <m/>
    <s v="ACT"/>
    <s v="ACT Sales &amp; Pre-sales"/>
    <s v="MAVANI Amit"/>
    <s v="In"/>
    <s v="No"/>
    <n v="0"/>
    <n v="0"/>
    <n v="0"/>
    <n v="1"/>
    <x v="6"/>
    <x v="122"/>
    <s v="Female"/>
  </r>
  <r>
    <x v="233"/>
    <x v="0"/>
    <s v="079197000483"/>
    <s v="0909915834"/>
    <s v="No"/>
    <m/>
    <s v="I’ll take the company bus"/>
    <m/>
    <s v="Amaris Consulting"/>
    <s v="Consultants"/>
    <s v="VETTUKAD Amit"/>
    <s v="In"/>
    <s v="No"/>
    <n v="0"/>
    <n v="0"/>
    <n v="0"/>
    <n v="1"/>
    <x v="6"/>
    <x v="123"/>
    <s v="Female"/>
  </r>
  <r>
    <x v="234"/>
    <x v="0"/>
    <s v="079197014206"/>
    <s v="0839022665"/>
    <s v="No"/>
    <m/>
    <s v="I’ll take the company bus"/>
    <m/>
    <s v="Information Technology"/>
    <s v="User Experience"/>
    <s v="LIM Chee Kiat"/>
    <s v="In"/>
    <s v="No"/>
    <n v="0"/>
    <n v="0"/>
    <n v="0"/>
    <n v="1"/>
    <x v="6"/>
    <x v="123"/>
    <s v="Female"/>
  </r>
  <r>
    <x v="235"/>
    <x v="0"/>
    <s v="079195004762"/>
    <s v="0945686674"/>
    <s v="No"/>
    <m/>
    <s v="I’ll take the company bus"/>
    <m/>
    <s v="Information Technology"/>
    <s v="Product Management"/>
    <s v="DUQUESNAY Guillaume"/>
    <s v="In"/>
    <s v="No"/>
    <n v="0"/>
    <n v="0"/>
    <n v="0"/>
    <n v="1"/>
    <x v="6"/>
    <x v="124"/>
    <s v="Female"/>
  </r>
  <r>
    <x v="236"/>
    <x v="0"/>
    <s v="079301028966"/>
    <s v="0763889811"/>
    <s v="No"/>
    <m/>
    <s v="I’ll take the company bus"/>
    <m/>
    <s v="Information Technology"/>
    <s v="Product Management"/>
    <s v="HUYNH Anh Tam"/>
    <s v="In"/>
    <s v="No"/>
    <n v="0"/>
    <n v="0"/>
    <n v="0"/>
    <n v="1"/>
    <x v="6"/>
    <x v="124"/>
    <s v="Female"/>
  </r>
  <r>
    <x v="237"/>
    <x v="0"/>
    <s v="089192001289"/>
    <s v="0933595559"/>
    <s v="No"/>
    <m/>
    <s v="I’ll take the company bus"/>
    <s v="Food allergies: shrimps"/>
    <s v="Information Technology"/>
    <s v="Quality Control"/>
    <s v="RAHMANI Rihab"/>
    <s v="In"/>
    <s v="No"/>
    <n v="0"/>
    <n v="0"/>
    <n v="0"/>
    <n v="1"/>
    <x v="8"/>
    <x v="125"/>
    <s v="Female"/>
  </r>
  <r>
    <x v="238"/>
    <x v="0"/>
    <s v="038301000546"/>
    <s v="0376622565"/>
    <s v="No"/>
    <m/>
    <s v="I’ll take the company bus"/>
    <m/>
    <s v="Information Technology"/>
    <s v="Product Management"/>
    <s v="HUYNH Anh Tam"/>
    <s v="In"/>
    <s v="No"/>
    <n v="0"/>
    <n v="0"/>
    <n v="0"/>
    <n v="1"/>
    <x v="6"/>
    <x v="125"/>
    <s v="Female"/>
  </r>
  <r>
    <x v="239"/>
    <x v="0"/>
    <s v="079188037007"/>
    <s v="0886311686"/>
    <s v="No"/>
    <m/>
    <s v="I’ll take the company bus"/>
    <m/>
    <s v="Information Technology"/>
    <s v="Product Management"/>
    <s v="NGUYEN Anh Tuan - Richard"/>
    <s v="In"/>
    <s v="No"/>
    <n v="0"/>
    <n v="0"/>
    <n v="0"/>
    <n v="1"/>
    <x v="8"/>
    <x v="126"/>
    <s v="Female"/>
  </r>
  <r>
    <x v="240"/>
    <x v="0"/>
    <s v="24HC90633"/>
    <s v="0896948417"/>
    <s v="No"/>
    <m/>
    <s v="I’ll take the company bus"/>
    <s v="Xếp chung phòng với Ruby"/>
    <s v="Amaris Consulting"/>
    <s v="Presales"/>
    <s v="CAMARET Arthur"/>
    <s v="In"/>
    <s v="No"/>
    <n v="0"/>
    <n v="0"/>
    <n v="0"/>
    <n v="1"/>
    <x v="8"/>
    <x v="126"/>
    <s v="Female"/>
  </r>
  <r>
    <x v="241"/>
    <x v="0"/>
    <s v="066303014236"/>
    <s v="0852489626"/>
    <s v="No"/>
    <m/>
    <s v="I’ll take the company bus"/>
    <m/>
    <s v="Information Technology"/>
    <s v="Quality Control"/>
    <s v="NGUYEN Anh Tuan - Richard"/>
    <s v="In"/>
    <s v="No"/>
    <n v="0"/>
    <n v="0"/>
    <n v="0"/>
    <n v="1"/>
    <x v="8"/>
    <x v="127"/>
    <s v="Female"/>
  </r>
  <r>
    <x v="242"/>
    <x v="0"/>
    <s v="079302018741"/>
    <s v="0773215575"/>
    <s v="No"/>
    <m/>
    <s v="I’ll take the company bus"/>
    <s v="motion sickness medicine"/>
    <s v="Information Technology"/>
    <s v="Software Engineering"/>
    <s v="PHAM Bao Chung"/>
    <s v="In"/>
    <s v="No"/>
    <n v="0"/>
    <n v="0"/>
    <n v="0"/>
    <n v="1"/>
    <x v="8"/>
    <x v="127"/>
    <s v="Female"/>
  </r>
  <r>
    <x v="243"/>
    <x v="0"/>
    <s v="079196031161"/>
    <s v="0707205096"/>
    <s v="No"/>
    <m/>
    <s v="I’ll take the company bus"/>
    <m/>
    <s v="Information Technology"/>
    <s v="Quality Control"/>
    <s v="HUYNH Anh Tam"/>
    <s v="In"/>
    <s v="No"/>
    <n v="0"/>
    <n v="0"/>
    <n v="0"/>
    <n v="1"/>
    <x v="8"/>
    <x v="128"/>
    <s v="Female"/>
  </r>
  <r>
    <x v="244"/>
    <x v="0"/>
    <s v="079302019473"/>
    <s v="0918597387"/>
    <s v="No"/>
    <m/>
    <s v="I’ll take the company bus"/>
    <m/>
    <s v="Information Technology"/>
    <s v="Software Engineering"/>
    <s v="HUYNH Van Cop"/>
    <s v="In"/>
    <s v="No"/>
    <n v="0"/>
    <n v="0"/>
    <n v="0"/>
    <n v="1"/>
    <x v="8"/>
    <x v="128"/>
    <s v="Female"/>
  </r>
  <r>
    <x v="245"/>
    <x v="0"/>
    <s v="079301029723"/>
    <s v="0908488723"/>
    <s v="No"/>
    <m/>
    <s v="I’ll take the company bus"/>
    <m/>
    <s v="Information Technology"/>
    <s v="Quality Control"/>
    <s v="DUQUESNAY Guillaume"/>
    <s v="In"/>
    <s v="No"/>
    <n v="0"/>
    <n v="0"/>
    <n v="0"/>
    <n v="1"/>
    <x v="8"/>
    <x v="129"/>
    <s v="Female"/>
  </r>
  <r>
    <x v="246"/>
    <x v="0"/>
    <s v="040302018133"/>
    <s v="0826900204"/>
    <s v="No"/>
    <m/>
    <s v="I’ll take the company bus"/>
    <s v="I have plans after the next two days, so I’ll arrange my own travel back to HCM."/>
    <s v="Information Technology"/>
    <s v="Agile Center"/>
    <s v="HUYNH Anh Tam"/>
    <s v="In"/>
    <s v="No"/>
    <n v="0"/>
    <n v="0"/>
    <n v="0"/>
    <n v="1"/>
    <x v="8"/>
    <x v="129"/>
    <s v="Female"/>
  </r>
  <r>
    <x v="247"/>
    <x v="0"/>
    <s v="049203006602"/>
    <s v="0367304351"/>
    <s v="No"/>
    <m/>
    <s v="I’ll take the company bus"/>
    <m/>
    <s v="Information Technology"/>
    <s v="Software Engineering"/>
    <s v="PHAN Anh Dung Cuong"/>
    <s v="In"/>
    <s v="No"/>
    <n v="0"/>
    <n v="0"/>
    <n v="0"/>
    <n v="1"/>
    <x v="8"/>
    <x v="130"/>
    <s v="Male                "/>
  </r>
  <r>
    <x v="248"/>
    <x v="0"/>
    <s v="067202006321"/>
    <s v="0867455918"/>
    <s v="No"/>
    <m/>
    <s v="I’ll take the company bus"/>
    <m/>
    <s v="Information Technology"/>
    <s v="Software Engineering"/>
    <s v="PHAN Anh Dung Cuong"/>
    <s v="In"/>
    <s v="No"/>
    <n v="0"/>
    <n v="0"/>
    <n v="0"/>
    <n v="1"/>
    <x v="8"/>
    <x v="130"/>
    <s v="Male                "/>
  </r>
  <r>
    <x v="249"/>
    <x v="0"/>
    <s v="080094006419"/>
    <s v="0979891673"/>
    <s v="No"/>
    <m/>
    <s v="I’ll take the company bus"/>
    <m/>
    <s v="Information Technology"/>
    <s v="Software Engineering"/>
    <s v="PHAM Bao Chung"/>
    <s v="In"/>
    <s v="No"/>
    <n v="0"/>
    <n v="0"/>
    <n v="0"/>
    <n v="1"/>
    <x v="8"/>
    <x v="131"/>
    <s v="Male                "/>
  </r>
  <r>
    <x v="250"/>
    <x v="0"/>
    <s v="001203053053"/>
    <s v="0853355397"/>
    <s v="No"/>
    <m/>
    <s v="I’ll take the company bus"/>
    <m/>
    <s v="Information Technology"/>
    <s v="Software Engineering"/>
    <s v="PHAM Bao Chung"/>
    <s v="In"/>
    <s v="No"/>
    <n v="0"/>
    <n v="0"/>
    <n v="0"/>
    <n v="1"/>
    <x v="8"/>
    <x v="131"/>
    <s v="Male                "/>
  </r>
  <r>
    <x v="251"/>
    <x v="0"/>
    <s v="045201007690"/>
    <s v="0973743542"/>
    <s v="No"/>
    <m/>
    <s v="I’ll take the company bus"/>
    <m/>
    <s v="Information Technology"/>
    <s v="Software Engineering"/>
    <s v="PHAM Bao Chung"/>
    <s v="In"/>
    <s v="No"/>
    <n v="0"/>
    <n v="0"/>
    <n v="0"/>
    <n v="1"/>
    <x v="8"/>
    <x v="132"/>
    <s v="Male                "/>
  </r>
  <r>
    <x v="252"/>
    <x v="0"/>
    <s v="066203000250"/>
    <s v="0914 119 624"/>
    <s v="No"/>
    <m/>
    <s v="I’ll take the company bus"/>
    <m/>
    <s v="Information Technology"/>
    <s v="Software Engineering"/>
    <s v="PHAM Bao Chung"/>
    <s v="In"/>
    <s v="No"/>
    <n v="0"/>
    <n v="0"/>
    <n v="0"/>
    <n v="1"/>
    <x v="8"/>
    <x v="132"/>
    <s v="Male                "/>
  </r>
  <r>
    <x v="253"/>
    <x v="0"/>
    <s v="075099004545"/>
    <s v="0792909998"/>
    <s v="No"/>
    <m/>
    <s v="I’ll take the company bus"/>
    <s v="please have low fat, low cholesterol, easy to chew food_x000a_I want to be fit and have a nice body :)"/>
    <s v="Information Technology"/>
    <s v="Agile Center"/>
    <s v="LIM Chee Kiat"/>
    <s v="In"/>
    <s v="No"/>
    <n v="0"/>
    <n v="0"/>
    <n v="0"/>
    <n v="1"/>
    <x v="8"/>
    <x v="133"/>
    <s v="Male                "/>
  </r>
  <r>
    <x v="254"/>
    <x v="0"/>
    <s v="068088003980"/>
    <s v="0773820182"/>
    <s v="No"/>
    <m/>
    <s v="I’ll arrange my own transportation"/>
    <m/>
    <s v="Information Technology"/>
    <s v="Software Architecture"/>
    <s v="MATYSIAK Hervé"/>
    <s v="In"/>
    <s v="No"/>
    <n v="0"/>
    <n v="0"/>
    <n v="0"/>
    <n v="1"/>
    <x v="4"/>
    <x v="133"/>
    <s v="Male                "/>
  </r>
  <r>
    <x v="255"/>
    <x v="0"/>
    <s v="079096007068"/>
    <s v="0328971812"/>
    <s v="No"/>
    <m/>
    <s v="I’ll take the company bus"/>
    <m/>
    <s v="Information Technology"/>
    <s v="Software Engineering"/>
    <s v="IVAN Alex Constantin"/>
    <s v="In"/>
    <s v="No"/>
    <n v="0"/>
    <n v="0"/>
    <n v="0"/>
    <n v="1"/>
    <x v="8"/>
    <x v="134"/>
    <s v="Male                "/>
  </r>
  <r>
    <x v="256"/>
    <x v="0"/>
    <s v="082098005823"/>
    <s v="0979622203"/>
    <s v="No"/>
    <m/>
    <s v="I’ll take the company bus"/>
    <m/>
    <s v="Information Technology"/>
    <s v="Software Engineering"/>
    <s v="IVAN Alex Constantin"/>
    <s v="In"/>
    <s v="No"/>
    <n v="0"/>
    <n v="0"/>
    <n v="0"/>
    <n v="1"/>
    <x v="8"/>
    <x v="134"/>
    <s v="Male                "/>
  </r>
  <r>
    <x v="257"/>
    <x v="0"/>
    <s v="079087016493"/>
    <s v="0362685720"/>
    <s v="No"/>
    <m/>
    <s v="I’ll take the company bus"/>
    <m/>
    <s v="Information Technology"/>
    <s v="Software Engineering"/>
    <s v="HUYNH Van Cop"/>
    <s v="In"/>
    <s v="No"/>
    <n v="0"/>
    <n v="0"/>
    <n v="0"/>
    <n v="1"/>
    <x v="8"/>
    <x v="135"/>
    <s v="Male                "/>
  </r>
  <r>
    <x v="258"/>
    <x v="0"/>
    <s v="082089018141"/>
    <s v="0909857832"/>
    <s v="No"/>
    <m/>
    <s v="I’ll take the company bus"/>
    <m/>
    <s v="Information Technology"/>
    <s v="Software Engineering"/>
    <s v="IVAN Alex Constantin"/>
    <s v="In"/>
    <s v="No"/>
    <n v="0"/>
    <n v="0"/>
    <n v="0"/>
    <n v="1"/>
    <x v="8"/>
    <x v="135"/>
    <s v="Male                "/>
  </r>
  <r>
    <x v="259"/>
    <x v="0"/>
    <s v="23FV09763"/>
    <s v="+33613234722"/>
    <s v="No"/>
    <m/>
    <s v="I’ll take the company bus"/>
    <s v="Any quality whisky (or wine) will do"/>
    <s v="Information Technology"/>
    <s v="Engineering &amp; Architecture"/>
    <s v="BUZZACARO Alain"/>
    <s v="In"/>
    <s v="No"/>
    <n v="0"/>
    <n v="0"/>
    <n v="0"/>
    <n v="1"/>
    <x v="8"/>
    <x v="136"/>
    <s v="Male                "/>
  </r>
  <r>
    <x v="260"/>
    <x v="0"/>
    <s v="091086018626"/>
    <s v="0935717578"/>
    <s v="No"/>
    <m/>
    <s v="I’ll take the company bus"/>
    <m/>
    <s v="Information Technology"/>
    <s v="Software Engineering"/>
    <s v="DUQUESNAY Guillaume"/>
    <s v="In"/>
    <s v="No"/>
    <n v="0"/>
    <n v="0"/>
    <n v="0"/>
    <n v="1"/>
    <x v="8"/>
    <x v="136"/>
    <s v="Male                "/>
  </r>
  <r>
    <x v="261"/>
    <x v="0"/>
    <s v="079095017425"/>
    <s v="0984678726"/>
    <s v="No"/>
    <m/>
    <s v="I’ll take the company bus"/>
    <m/>
    <s v="Information Technology"/>
    <s v="Software Engineering"/>
    <s v="DUQUESNAY Guillaume"/>
    <s v="In"/>
    <s v="No"/>
    <n v="0"/>
    <n v="0"/>
    <n v="0"/>
    <n v="1"/>
    <x v="8"/>
    <x v="137"/>
    <s v="Male                "/>
  </r>
  <r>
    <x v="262"/>
    <x v="0"/>
    <s v="079203014457"/>
    <s v="0968080085"/>
    <s v="No"/>
    <m/>
    <s v="I’ll take the company bus"/>
    <m/>
    <s v="Information Technology"/>
    <s v="Quality Control"/>
    <s v="HUYNH Anh Tam"/>
    <s v="In"/>
    <s v="No"/>
    <n v="0"/>
    <n v="0"/>
    <n v="0"/>
    <n v="1"/>
    <x v="8"/>
    <x v="137"/>
    <s v="Male                "/>
  </r>
  <r>
    <x v="263"/>
    <x v="0"/>
    <s v="066201002422"/>
    <s v="0372015192"/>
    <s v="No"/>
    <m/>
    <s v="I’ll take the company bus"/>
    <m/>
    <s v="Information Technology"/>
    <s v="Software Engineering"/>
    <s v="HUYNH Van Cop"/>
    <s v="In"/>
    <s v="No"/>
    <n v="0"/>
    <n v="0"/>
    <n v="0"/>
    <n v="1"/>
    <x v="8"/>
    <x v="138"/>
    <s v="Male                "/>
  </r>
  <r>
    <x v="264"/>
    <x v="0"/>
    <s v="080087011699"/>
    <s v="0352176769"/>
    <s v="No"/>
    <m/>
    <s v="I’ll take the company bus"/>
    <m/>
    <s v="Information Technology"/>
    <s v="Software Engineering"/>
    <s v="HUYNH Van Cop"/>
    <s v="In"/>
    <s v="No"/>
    <n v="0"/>
    <n v="0"/>
    <n v="0"/>
    <n v="1"/>
    <x v="8"/>
    <x v="138"/>
    <s v="Male                "/>
  </r>
  <r>
    <x v="265"/>
    <x v="0"/>
    <s v="079087017793"/>
    <s v="0903322044"/>
    <s v="No"/>
    <m/>
    <s v="I’ll take the company bus"/>
    <m/>
    <s v="Information Technology"/>
    <s v="Software Engineering"/>
    <s v="HUYNH Van Cop"/>
    <s v="In"/>
    <s v="No"/>
    <n v="0"/>
    <n v="0"/>
    <n v="0"/>
    <n v="1"/>
    <x v="8"/>
    <x v="139"/>
    <s v="Male                "/>
  </r>
  <r>
    <x v="266"/>
    <x v="0"/>
    <s v="051095009095 "/>
    <s v="0985752395"/>
    <s v="No"/>
    <m/>
    <s v="I’ll take the company bus"/>
    <m/>
    <s v="Information Technology"/>
    <s v="Software Engineering"/>
    <s v="HUYNH Van Cop"/>
    <s v="In"/>
    <s v="No"/>
    <n v="0"/>
    <n v="0"/>
    <n v="0"/>
    <n v="1"/>
    <x v="8"/>
    <x v="139"/>
    <s v="Male                "/>
  </r>
  <r>
    <x v="267"/>
    <x v="0"/>
    <s v="079078022487"/>
    <s v="0934181732"/>
    <s v="No"/>
    <m/>
    <s v="I’ll take the company bus"/>
    <m/>
    <s v="Information Technology"/>
    <s v="Software Engineering"/>
    <s v="HUYNH Van Cop"/>
    <s v="In"/>
    <s v="No"/>
    <n v="0"/>
    <n v="0"/>
    <n v="0"/>
    <n v="1"/>
    <x v="8"/>
    <x v="140"/>
    <s v="Male                "/>
  </r>
  <r>
    <x v="268"/>
    <x v="0"/>
    <s v="083096004407"/>
    <s v="0964072710"/>
    <s v="No"/>
    <m/>
    <s v="I’ll take the company bus"/>
    <m/>
    <s v="Information Technology"/>
    <s v="Software Engineering"/>
    <s v="HUYNH Van Cop"/>
    <s v="In"/>
    <s v="No"/>
    <n v="0"/>
    <n v="0"/>
    <n v="0"/>
    <n v="1"/>
    <x v="8"/>
    <x v="140"/>
    <s v="Male                "/>
  </r>
  <r>
    <x v="269"/>
    <x v="0"/>
    <s v="066087005950"/>
    <s v="0948912119"/>
    <s v="Yes"/>
    <s v="1. Lưu Hồng Phương Thủy - Female - 27/10/1990 - 06619007476_x000a_2. Trần Hồng Như Ý - Female - 13/7/2025 - 079325017288"/>
    <s v="I’ll take the company bus"/>
    <m/>
    <s v="Information Technology"/>
    <s v="Software Architecture"/>
    <s v="MATYSIAK Hervé"/>
    <s v="In"/>
    <s v="Yes"/>
    <n v="1"/>
    <n v="1"/>
    <n v="2"/>
    <n v="3"/>
    <x v="8"/>
    <x v="141"/>
    <s v="Male                "/>
  </r>
  <r>
    <x v="270"/>
    <x v="0"/>
    <s v="079088031980"/>
    <s v="0938004161"/>
    <s v="No"/>
    <m/>
    <s v="I’ll take the company bus"/>
    <s v="I need a private room"/>
    <s v="Information Technology"/>
    <s v="Agile Center"/>
    <s v="NGUYEN Anh Tuan - Richard"/>
    <s v="In"/>
    <s v="No"/>
    <n v="0"/>
    <n v="0"/>
    <n v="0"/>
    <n v="1"/>
    <x v="8"/>
    <x v="142"/>
    <s v="Male                "/>
  </r>
  <r>
    <x v="271"/>
    <x v="1"/>
    <m/>
    <m/>
    <m/>
    <m/>
    <m/>
    <m/>
    <m/>
    <m/>
    <m/>
    <m/>
    <m/>
    <m/>
    <m/>
    <m/>
    <m/>
    <x v="9"/>
    <x v="143"/>
    <m/>
  </r>
  <r>
    <x v="271"/>
    <x v="1"/>
    <m/>
    <m/>
    <m/>
    <m/>
    <m/>
    <m/>
    <m/>
    <m/>
    <m/>
    <m/>
    <m/>
    <m/>
    <m/>
    <m/>
    <m/>
    <x v="9"/>
    <x v="143"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6">
  <r>
    <x v="0"/>
    <x v="0"/>
    <s v="044199002375"/>
    <s v="0823387274"/>
    <s v="No"/>
    <m/>
    <s v="I’ll take the company bus"/>
    <m/>
    <s v="Amaris Consulting"/>
    <s v="Consultants"/>
    <s v="HA Phuong Thao"/>
    <s v="In"/>
    <x v="0"/>
    <n v="0"/>
    <n v="0"/>
    <n v="0"/>
    <n v="1"/>
    <x v="0"/>
    <x v="0"/>
    <x v="0"/>
  </r>
  <r>
    <x v="1"/>
    <x v="0"/>
    <s v="070194001945"/>
    <s v="0396744435"/>
    <s v="No"/>
    <m/>
    <s v="I’ll take the company bus"/>
    <m/>
    <s v="Amaris Consulting"/>
    <s v="Consultants"/>
    <s v="HO Nguyen Hong Uyen"/>
    <s v="In"/>
    <x v="0"/>
    <n v="0"/>
    <n v="0"/>
    <n v="0"/>
    <n v="1"/>
    <x v="0"/>
    <x v="0"/>
    <x v="0"/>
  </r>
  <r>
    <x v="2"/>
    <x v="0"/>
    <s v="077300001719"/>
    <s v="0968963049"/>
    <s v="No"/>
    <m/>
    <s v="I’ll take the company bus"/>
    <m/>
    <s v="Amaris Consulting"/>
    <s v="Consultants"/>
    <s v="HO Nguyen Hong Uyen"/>
    <s v="In"/>
    <x v="0"/>
    <n v="0"/>
    <n v="0"/>
    <n v="0"/>
    <n v="1"/>
    <x v="0"/>
    <x v="1"/>
    <x v="0"/>
  </r>
  <r>
    <x v="3"/>
    <x v="0"/>
    <s v="091300011455"/>
    <s v="0918626459"/>
    <s v="No"/>
    <m/>
    <s v="I’ll take the company bus"/>
    <s v="If there’s a single room, I wanna stay alone (if any)"/>
    <s v="Amaris Consulting"/>
    <s v="Consultants"/>
    <s v="HO Nguyen Hong Uyen"/>
    <s v="In"/>
    <x v="0"/>
    <n v="0"/>
    <n v="0"/>
    <n v="0"/>
    <n v="1"/>
    <x v="0"/>
    <x v="1"/>
    <x v="0"/>
  </r>
  <r>
    <x v="4"/>
    <x v="0"/>
    <s v="086099002987"/>
    <s v="0968933873"/>
    <s v="No"/>
    <m/>
    <s v="I’ll take the company bus"/>
    <m/>
    <s v="Amaris Consulting"/>
    <s v="Consultants"/>
    <s v="HA Phuong Thao"/>
    <s v="In"/>
    <x v="0"/>
    <n v="0"/>
    <n v="0"/>
    <n v="0"/>
    <n v="1"/>
    <x v="0"/>
    <x v="2"/>
    <x v="1"/>
  </r>
  <r>
    <x v="5"/>
    <x v="0"/>
    <s v="080095004933"/>
    <s v="0793485644"/>
    <s v="No"/>
    <m/>
    <s v="I’ll take the company bus"/>
    <s v="I'd like to request to be booked in the same room as the IVB team."/>
    <s v="Amaris Consulting"/>
    <s v="Consultants"/>
    <s v="HA Phuong Thao"/>
    <s v="In"/>
    <x v="0"/>
    <n v="0"/>
    <n v="0"/>
    <n v="0"/>
    <n v="1"/>
    <x v="0"/>
    <x v="2"/>
    <x v="1"/>
  </r>
  <r>
    <x v="6"/>
    <x v="0"/>
    <s v="080202010719"/>
    <s v="0942198738"/>
    <s v="No"/>
    <m/>
    <s v="I’ll take the company bus"/>
    <m/>
    <s v="Amaris Consulting"/>
    <s v="Consultants"/>
    <s v="HA Phuong Thao"/>
    <s v="In"/>
    <x v="0"/>
    <n v="0"/>
    <n v="0"/>
    <n v="0"/>
    <n v="1"/>
    <x v="0"/>
    <x v="3"/>
    <x v="1"/>
  </r>
  <r>
    <x v="7"/>
    <x v="0"/>
    <s v="083097005277"/>
    <s v="0386788883"/>
    <s v="No"/>
    <m/>
    <s v="I’ll take the company bus"/>
    <m/>
    <s v="Amaris Consulting"/>
    <s v="Consultants"/>
    <s v="HA Phuong Thao"/>
    <s v="In"/>
    <x v="0"/>
    <n v="0"/>
    <n v="0"/>
    <n v="0"/>
    <n v="1"/>
    <x v="0"/>
    <x v="3"/>
    <x v="1"/>
  </r>
  <r>
    <x v="8"/>
    <x v="0"/>
    <s v="051094000961"/>
    <s v="0938945445"/>
    <s v="No"/>
    <m/>
    <s v="I’ll take the company bus"/>
    <m/>
    <s v="Amaris Consulting"/>
    <s v="Consultants"/>
    <s v="HA Phuong Thao"/>
    <s v="In"/>
    <x v="0"/>
    <n v="0"/>
    <n v="0"/>
    <n v="0"/>
    <n v="1"/>
    <x v="0"/>
    <x v="4"/>
    <x v="1"/>
  </r>
  <r>
    <x v="9"/>
    <x v="0"/>
    <s v="089097020361"/>
    <s v="0967513840"/>
    <s v="No"/>
    <m/>
    <s v="I’ll take the company bus"/>
    <m/>
    <s v="Amaris Consulting"/>
    <s v="Consultants"/>
    <s v="HA Phuong Thao"/>
    <s v="In"/>
    <x v="0"/>
    <n v="0"/>
    <n v="0"/>
    <n v="0"/>
    <n v="1"/>
    <x v="0"/>
    <x v="4"/>
    <x v="1"/>
  </r>
  <r>
    <x v="10"/>
    <x v="0"/>
    <s v="087099016549"/>
    <s v="0826759579"/>
    <s v="No"/>
    <m/>
    <s v="I’ll take the company bus"/>
    <m/>
    <s v="Amaris Consulting"/>
    <s v="Consultants"/>
    <s v="HA Phuong Thao"/>
    <s v="In"/>
    <x v="0"/>
    <n v="0"/>
    <n v="0"/>
    <n v="0"/>
    <n v="1"/>
    <x v="0"/>
    <x v="5"/>
    <x v="1"/>
  </r>
  <r>
    <x v="11"/>
    <x v="0"/>
    <s v="044099000541"/>
    <s v="0948527910"/>
    <s v="No"/>
    <m/>
    <s v="I’ll take the company bus"/>
    <m/>
    <s v="Amaris Consulting"/>
    <s v="Consultants"/>
    <s v="HA Phuong Thao"/>
    <s v="In"/>
    <x v="0"/>
    <n v="0"/>
    <n v="0"/>
    <n v="0"/>
    <n v="1"/>
    <x v="0"/>
    <x v="5"/>
    <x v="1"/>
  </r>
  <r>
    <x v="12"/>
    <x v="0"/>
    <s v="089200015516"/>
    <s v="+84 329 382 782"/>
    <s v="No"/>
    <m/>
    <s v="I’ll take the company bus"/>
    <s v="Team chị My"/>
    <s v="Amaris Consulting"/>
    <s v="Consultants"/>
    <s v="HA Phuong Thao"/>
    <s v="In"/>
    <x v="0"/>
    <n v="0"/>
    <n v="0"/>
    <n v="0"/>
    <n v="1"/>
    <x v="0"/>
    <x v="6"/>
    <x v="1"/>
  </r>
  <r>
    <x v="13"/>
    <x v="0"/>
    <s v="083084008265"/>
    <s v="0989600669"/>
    <s v="No"/>
    <m/>
    <s v="I’ll take the company bus"/>
    <m/>
    <s v="Amaris Consulting"/>
    <s v="Consultants"/>
    <s v="HA Phuong Thao"/>
    <s v="In"/>
    <x v="0"/>
    <n v="0"/>
    <n v="0"/>
    <n v="0"/>
    <n v="1"/>
    <x v="0"/>
    <x v="6"/>
    <x v="1"/>
  </r>
  <r>
    <x v="14"/>
    <x v="0"/>
    <s v="062201003205"/>
    <s v="+84 931 182 688"/>
    <s v="No"/>
    <m/>
    <s v="I’ll take the company bus"/>
    <m/>
    <s v="Amaris Consulting"/>
    <s v="Consultants"/>
    <s v="HA Phuong Thao"/>
    <s v="In"/>
    <x v="0"/>
    <n v="0"/>
    <n v="0"/>
    <n v="0"/>
    <n v="1"/>
    <x v="0"/>
    <x v="7"/>
    <x v="1"/>
  </r>
  <r>
    <x v="15"/>
    <x v="0"/>
    <s v="051099011537"/>
    <s v="0973724249"/>
    <s v="No"/>
    <m/>
    <s v="I’ll take the company bus"/>
    <m/>
    <s v="Amaris Consulting"/>
    <s v="Consultants"/>
    <s v="HO Nguyen Hong Uyen"/>
    <s v="In"/>
    <x v="0"/>
    <n v="0"/>
    <n v="0"/>
    <n v="0"/>
    <n v="1"/>
    <x v="0"/>
    <x v="7"/>
    <x v="1"/>
  </r>
  <r>
    <x v="16"/>
    <x v="0"/>
    <s v="079096015213"/>
    <s v="0392357076"/>
    <s v="No"/>
    <m/>
    <s v="I’ll take the company bus"/>
    <m/>
    <s v="Amaris Consulting"/>
    <s v="Consultants"/>
    <s v="HO Nguyen Hong Uyen"/>
    <s v="In"/>
    <x v="0"/>
    <n v="0"/>
    <n v="0"/>
    <n v="0"/>
    <n v="1"/>
    <x v="0"/>
    <x v="8"/>
    <x v="1"/>
  </r>
  <r>
    <x v="17"/>
    <x v="0"/>
    <s v="066201016152"/>
    <s v="0393688714"/>
    <s v="No"/>
    <m/>
    <s v="I’ll take the company bus"/>
    <m/>
    <s v="Amaris Consulting"/>
    <s v="Consultants"/>
    <s v="HO Nguyen Hong Uyen"/>
    <s v="In"/>
    <x v="0"/>
    <n v="0"/>
    <n v="0"/>
    <n v="0"/>
    <n v="1"/>
    <x v="0"/>
    <x v="8"/>
    <x v="1"/>
  </r>
  <r>
    <x v="18"/>
    <x v="0"/>
    <s v="075200024308"/>
    <s v="0938316793"/>
    <s v="No"/>
    <m/>
    <s v="I’ll take the company bus"/>
    <m/>
    <s v="Amaris Consulting"/>
    <s v="Consultants"/>
    <s v="HO Nguyen Hong Uyen"/>
    <s v="In"/>
    <x v="0"/>
    <n v="0"/>
    <n v="0"/>
    <n v="0"/>
    <n v="1"/>
    <x v="0"/>
    <x v="9"/>
    <x v="1"/>
  </r>
  <r>
    <x v="19"/>
    <x v="0"/>
    <s v="051098005098"/>
    <s v="0392497315"/>
    <s v="No"/>
    <m/>
    <s v="I’ll take the company bus"/>
    <m/>
    <s v="Amaris Consulting"/>
    <s v="Consultants"/>
    <s v="HO Nguyen Hong Uyen"/>
    <s v="In"/>
    <x v="0"/>
    <n v="0"/>
    <n v="0"/>
    <n v="0"/>
    <n v="1"/>
    <x v="0"/>
    <x v="9"/>
    <x v="1"/>
  </r>
  <r>
    <x v="20"/>
    <x v="0"/>
    <s v="068096007001"/>
    <s v="0357556867"/>
    <s v="No"/>
    <m/>
    <s v="I’ll take the company bus"/>
    <m/>
    <s v="Amaris Consulting"/>
    <s v="Consultants"/>
    <s v="HO Nguyen Hong Uyen"/>
    <s v="In"/>
    <x v="0"/>
    <n v="0"/>
    <n v="0"/>
    <n v="0"/>
    <n v="1"/>
    <x v="0"/>
    <x v="10"/>
    <x v="1"/>
  </r>
  <r>
    <x v="21"/>
    <x v="0"/>
    <s v=" 086200001291"/>
    <s v="0337804259"/>
    <s v="No"/>
    <m/>
    <s v="I’ll take the company bus"/>
    <m/>
    <s v="Amaris Consulting"/>
    <s v="Consultants"/>
    <s v="HO Nguyen Hong Uyen"/>
    <s v="In"/>
    <x v="0"/>
    <n v="0"/>
    <n v="0"/>
    <n v="0"/>
    <n v="1"/>
    <x v="0"/>
    <x v="10"/>
    <x v="1"/>
  </r>
  <r>
    <x v="22"/>
    <x v="0"/>
    <s v="046097000064"/>
    <s v="0333515756"/>
    <s v="No"/>
    <m/>
    <s v="I’ll take the company bus"/>
    <m/>
    <s v="Amaris Consulting"/>
    <s v="Consultants"/>
    <s v="HO Nguyen Hong Uyen"/>
    <s v="In"/>
    <x v="0"/>
    <n v="0"/>
    <n v="0"/>
    <n v="0"/>
    <n v="1"/>
    <x v="0"/>
    <x v="11"/>
    <x v="1"/>
  </r>
  <r>
    <x v="23"/>
    <x v="0"/>
    <s v="077203004018"/>
    <s v="0971007831"/>
    <s v="No"/>
    <m/>
    <s v="I’ll take the company bus"/>
    <m/>
    <s v="Amaris Consulting"/>
    <s v="Consultants"/>
    <s v="HO Nguyen Hong Uyen"/>
    <s v="In"/>
    <x v="0"/>
    <n v="0"/>
    <n v="0"/>
    <n v="0"/>
    <n v="1"/>
    <x v="0"/>
    <x v="11"/>
    <x v="1"/>
  </r>
  <r>
    <x v="24"/>
    <x v="0"/>
    <s v="089200019968"/>
    <s v="0974086701"/>
    <s v="No"/>
    <m/>
    <s v="I’ll take the company bus"/>
    <m/>
    <s v="Amaris Consulting"/>
    <s v="Consultants"/>
    <s v="HO Nguyen Hong Uyen"/>
    <s v="In"/>
    <x v="0"/>
    <n v="0"/>
    <n v="0"/>
    <n v="0"/>
    <n v="1"/>
    <x v="0"/>
    <x v="12"/>
    <x v="1"/>
  </r>
  <r>
    <x v="25"/>
    <x v="0"/>
    <s v="030080017185"/>
    <s v="0988143980"/>
    <s v="No"/>
    <m/>
    <s v="I’ll take the company bus"/>
    <m/>
    <s v="Amaris Consulting"/>
    <s v="Consultants"/>
    <s v="HO Nguyen Hong Uyen"/>
    <s v="In"/>
    <x v="0"/>
    <n v="0"/>
    <n v="0"/>
    <n v="0"/>
    <n v="1"/>
    <x v="0"/>
    <x v="12"/>
    <x v="1"/>
  </r>
  <r>
    <x v="26"/>
    <x v="0"/>
    <s v="072094005258"/>
    <s v="0354219319"/>
    <s v="No"/>
    <m/>
    <s v="I’ll take the company bus"/>
    <m/>
    <s v="Amaris Consulting"/>
    <s v="Consultants"/>
    <s v="HO Nguyen Hong Uyen"/>
    <s v="In"/>
    <x v="0"/>
    <n v="0"/>
    <n v="0"/>
    <n v="0"/>
    <n v="1"/>
    <x v="0"/>
    <x v="13"/>
    <x v="1"/>
  </r>
  <r>
    <x v="27"/>
    <x v="0"/>
    <s v="079099030686"/>
    <s v="0933284515"/>
    <s v="No"/>
    <m/>
    <s v="I’ll take the company bus"/>
    <m/>
    <s v="Amaris Consulting"/>
    <s v="Consultants"/>
    <s v="HO Nguyen Hong Uyen"/>
    <s v="In"/>
    <x v="0"/>
    <n v="0"/>
    <n v="0"/>
    <n v="0"/>
    <n v="1"/>
    <x v="0"/>
    <x v="13"/>
    <x v="1"/>
  </r>
  <r>
    <x v="28"/>
    <x v="0"/>
    <s v="058201000239"/>
    <s v="0855586358"/>
    <s v="No"/>
    <m/>
    <s v="I’ll take the company bus"/>
    <m/>
    <s v="Amaris Consulting"/>
    <s v="Consultants"/>
    <s v="HO Nguyen Hong Uyen"/>
    <s v="In"/>
    <x v="0"/>
    <n v="0"/>
    <n v="0"/>
    <n v="0"/>
    <n v="1"/>
    <x v="0"/>
    <x v="14"/>
    <x v="1"/>
  </r>
  <r>
    <x v="29"/>
    <x v="0"/>
    <s v="079201014939"/>
    <s v="0902891404"/>
    <s v="No"/>
    <m/>
    <s v="I’ll take the company bus"/>
    <s v="Motion sickness pills"/>
    <s v="Amaris Consulting"/>
    <s v="Consultants"/>
    <s v="NGUYEN Tien Nam"/>
    <s v="In"/>
    <x v="0"/>
    <n v="0"/>
    <n v="0"/>
    <n v="0"/>
    <n v="1"/>
    <x v="0"/>
    <x v="14"/>
    <x v="1"/>
  </r>
  <r>
    <x v="30"/>
    <x v="0"/>
    <s v="079095022758"/>
    <s v="0777104166"/>
    <s v="No"/>
    <m/>
    <s v="I’ll take the company bus"/>
    <m/>
    <s v="Amaris Consulting"/>
    <s v="Consultants"/>
    <s v="NGUYEN Tien Nam"/>
    <s v="In"/>
    <x v="0"/>
    <n v="0"/>
    <n v="0"/>
    <n v="0"/>
    <n v="1"/>
    <x v="0"/>
    <x v="15"/>
    <x v="1"/>
  </r>
  <r>
    <x v="31"/>
    <x v="0"/>
    <s v="064200012749"/>
    <s v="0396402696"/>
    <s v="No"/>
    <m/>
    <s v="I’ll take the company bus"/>
    <m/>
    <s v="Amaris Consulting"/>
    <s v="Consultants"/>
    <s v="NGUYEN Tien Nam"/>
    <s v="In"/>
    <x v="0"/>
    <n v="0"/>
    <n v="0"/>
    <n v="0"/>
    <n v="1"/>
    <x v="0"/>
    <x v="15"/>
    <x v="1"/>
  </r>
  <r>
    <x v="32"/>
    <x v="0"/>
    <s v="068097008720"/>
    <s v="0981212098"/>
    <s v="No"/>
    <m/>
    <s v="I’ll take the company bus"/>
    <m/>
    <s v="Amaris Consulting"/>
    <s v="Consultants"/>
    <s v="HOANG Thien"/>
    <s v="In"/>
    <x v="0"/>
    <n v="0"/>
    <n v="0"/>
    <n v="0"/>
    <n v="1"/>
    <x v="1"/>
    <x v="16"/>
    <x v="1"/>
  </r>
  <r>
    <x v="33"/>
    <x v="0"/>
    <s v="087201004021"/>
    <s v="0777905219"/>
    <s v="No"/>
    <m/>
    <s v="I’ll take the company bus"/>
    <m/>
    <s v="Amaris Consulting"/>
    <s v="Consultants"/>
    <s v="HUYNH Chi Cuong"/>
    <s v="In"/>
    <x v="0"/>
    <n v="0"/>
    <n v="0"/>
    <n v="0"/>
    <n v="1"/>
    <x v="1"/>
    <x v="16"/>
    <x v="1"/>
  </r>
  <r>
    <x v="34"/>
    <x v="0"/>
    <s v="075096016711"/>
    <s v="0932980033"/>
    <s v="No"/>
    <m/>
    <s v="I’ll take the company bus"/>
    <m/>
    <s v="Amaris Consulting"/>
    <s v="Consultants"/>
    <s v="HOANG Thien"/>
    <s v="In"/>
    <x v="0"/>
    <n v="0"/>
    <n v="0"/>
    <n v="0"/>
    <n v="1"/>
    <x v="1"/>
    <x v="17"/>
    <x v="1"/>
  </r>
  <r>
    <x v="35"/>
    <x v="0"/>
    <s v="048095001773"/>
    <s v="0335353685"/>
    <s v="No"/>
    <m/>
    <s v="I’ll take the company bus"/>
    <m/>
    <s v="Amaris Consulting"/>
    <s v="Consultants"/>
    <s v="HOANG Thien"/>
    <s v="In"/>
    <x v="0"/>
    <n v="0"/>
    <n v="0"/>
    <n v="0"/>
    <n v="1"/>
    <x v="1"/>
    <x v="17"/>
    <x v="1"/>
  </r>
  <r>
    <x v="36"/>
    <x v="0"/>
    <s v="058095001270"/>
    <s v="0349687204"/>
    <s v="No"/>
    <m/>
    <s v="I’ll take the company bus"/>
    <m/>
    <s v="Amaris Consulting"/>
    <s v="Consultants"/>
    <s v="HOANG Thien"/>
    <s v="In"/>
    <x v="0"/>
    <n v="0"/>
    <n v="0"/>
    <n v="0"/>
    <n v="1"/>
    <x v="1"/>
    <x v="18"/>
    <x v="1"/>
  </r>
  <r>
    <x v="37"/>
    <x v="0"/>
    <s v="079200028676"/>
    <s v="0397974403"/>
    <s v="No"/>
    <m/>
    <s v="I’ll take the company bus"/>
    <m/>
    <s v="Amaris Consulting"/>
    <s v="Consultants"/>
    <s v="HOANG Thien"/>
    <s v="In (Exit confirmed)"/>
    <x v="0"/>
    <m/>
    <m/>
    <n v="0"/>
    <n v="1"/>
    <x v="1"/>
    <x v="18"/>
    <x v="1"/>
  </r>
  <r>
    <x v="38"/>
    <x v="0"/>
    <s v="060094011465"/>
    <s v="0333950268"/>
    <s v="No"/>
    <m/>
    <s v="I’ll take the company bus"/>
    <m/>
    <s v="Amaris Consulting"/>
    <s v="Consultants"/>
    <s v="HUYNH Chi Cuong"/>
    <s v="In"/>
    <x v="0"/>
    <n v="0"/>
    <n v="0"/>
    <n v="0"/>
    <n v="1"/>
    <x v="1"/>
    <x v="19"/>
    <x v="1"/>
  </r>
  <r>
    <x v="39"/>
    <x v="0"/>
    <s v="046098001181"/>
    <s v="0327360123"/>
    <s v="No"/>
    <m/>
    <s v="I’ll take the company bus"/>
    <m/>
    <s v="Amaris Consulting"/>
    <s v="Consultants"/>
    <s v="HUYNH Chi Cuong"/>
    <s v="In"/>
    <x v="0"/>
    <n v="0"/>
    <n v="0"/>
    <n v="0"/>
    <n v="1"/>
    <x v="1"/>
    <x v="19"/>
    <x v="1"/>
  </r>
  <r>
    <x v="40"/>
    <x v="0"/>
    <s v="060099011492"/>
    <s v="0379738098"/>
    <s v="No"/>
    <m/>
    <s v="I’ll take the company bus"/>
    <m/>
    <s v="Amaris Consulting"/>
    <s v="Consultants"/>
    <s v="LA Thuy My Hao"/>
    <s v="In"/>
    <x v="0"/>
    <n v="0"/>
    <n v="0"/>
    <n v="0"/>
    <n v="1"/>
    <x v="1"/>
    <x v="20"/>
    <x v="1"/>
  </r>
  <r>
    <x v="41"/>
    <x v="0"/>
    <s v="095203009143"/>
    <s v="0944552050"/>
    <s v="No"/>
    <m/>
    <s v="I’ll take the company bus"/>
    <m/>
    <s v="Amaris Consulting"/>
    <s v="Consultants"/>
    <s v="LA Thuy My Hao"/>
    <s v="In"/>
    <x v="0"/>
    <n v="0"/>
    <n v="0"/>
    <n v="0"/>
    <n v="1"/>
    <x v="1"/>
    <x v="20"/>
    <x v="1"/>
  </r>
  <r>
    <x v="42"/>
    <x v="0"/>
    <s v="064201016123"/>
    <s v="0979409417"/>
    <s v="No"/>
    <m/>
    <s v="I’ll take the company bus"/>
    <m/>
    <s v="Amaris Consulting"/>
    <s v="Consultants"/>
    <s v="LA Thuy My Hao"/>
    <s v="In"/>
    <x v="0"/>
    <n v="0"/>
    <n v="0"/>
    <n v="0"/>
    <n v="1"/>
    <x v="1"/>
    <x v="21"/>
    <x v="1"/>
  </r>
  <r>
    <x v="43"/>
    <x v="0"/>
    <s v="096099005690"/>
    <s v="0379218610"/>
    <s v="No"/>
    <m/>
    <s v="I’ll take the company bus"/>
    <m/>
    <s v="Amaris Consulting"/>
    <s v="Consultants"/>
    <s v="LA Thuy My Hao"/>
    <s v="In"/>
    <x v="0"/>
    <n v="0"/>
    <n v="0"/>
    <n v="0"/>
    <n v="1"/>
    <x v="1"/>
    <x v="21"/>
    <x v="1"/>
  </r>
  <r>
    <x v="44"/>
    <x v="0"/>
    <s v="089097008685"/>
    <s v="0378462578"/>
    <s v="No"/>
    <m/>
    <s v="I’ll take the company bus"/>
    <m/>
    <s v="Amaris Consulting"/>
    <s v="Consultants"/>
    <s v="LA Thuy My Hao"/>
    <s v="In"/>
    <x v="0"/>
    <n v="0"/>
    <n v="0"/>
    <n v="0"/>
    <n v="1"/>
    <x v="1"/>
    <x v="22"/>
    <x v="1"/>
  </r>
  <r>
    <x v="45"/>
    <x v="0"/>
    <s v="079094018368"/>
    <s v="0937686998"/>
    <s v="No"/>
    <m/>
    <s v="I’ll take the company bus"/>
    <m/>
    <s v="Amaris Consulting"/>
    <s v="Consultants"/>
    <s v="LA Thuy My Hao"/>
    <s v="In"/>
    <x v="0"/>
    <n v="0"/>
    <n v="0"/>
    <n v="0"/>
    <n v="1"/>
    <x v="1"/>
    <x v="22"/>
    <x v="1"/>
  </r>
  <r>
    <x v="46"/>
    <x v="0"/>
    <s v="072200007361"/>
    <s v="0967524457"/>
    <s v="No"/>
    <m/>
    <s v="I’ll take the company bus"/>
    <m/>
    <s v="Amaris Consulting"/>
    <s v="Consultants"/>
    <s v="LA Thuy My Hao"/>
    <s v="In"/>
    <x v="0"/>
    <n v="0"/>
    <n v="0"/>
    <n v="0"/>
    <n v="1"/>
    <x v="1"/>
    <x v="23"/>
    <x v="1"/>
  </r>
  <r>
    <x v="47"/>
    <x v="0"/>
    <s v="049202002958"/>
    <s v="0343734096"/>
    <s v="No"/>
    <m/>
    <s v="I’ll take the company bus"/>
    <m/>
    <s v="Amaris Consulting"/>
    <s v="Consultants"/>
    <s v="LA Thuy My Hao"/>
    <s v="In"/>
    <x v="0"/>
    <n v="0"/>
    <n v="0"/>
    <n v="0"/>
    <n v="1"/>
    <x v="1"/>
    <x v="23"/>
    <x v="1"/>
  </r>
  <r>
    <x v="48"/>
    <x v="0"/>
    <s v="089201001783"/>
    <s v="0941967745"/>
    <s v="No"/>
    <m/>
    <s v="I’ll take the company bus"/>
    <m/>
    <s v="Amaris Consulting"/>
    <s v="Consultants"/>
    <s v="LA Thuy My Hao"/>
    <s v="In"/>
    <x v="0"/>
    <n v="0"/>
    <n v="0"/>
    <n v="0"/>
    <n v="1"/>
    <x v="1"/>
    <x v="24"/>
    <x v="1"/>
  </r>
  <r>
    <x v="49"/>
    <x v="0"/>
    <s v="064098000457"/>
    <s v="0363543388"/>
    <s v="No"/>
    <m/>
    <s v="I’ll take the company bus"/>
    <m/>
    <s v="Amaris Consulting"/>
    <s v="Consultants"/>
    <s v="LA Thuy My Hao"/>
    <s v="In"/>
    <x v="0"/>
    <n v="0"/>
    <n v="0"/>
    <n v="0"/>
    <n v="1"/>
    <x v="1"/>
    <x v="24"/>
    <x v="1"/>
  </r>
  <r>
    <x v="50"/>
    <x v="0"/>
    <s v="049200016142"/>
    <s v="0396428796"/>
    <s v="No"/>
    <m/>
    <s v="I’ll take the company bus"/>
    <m/>
    <s v="Amaris Consulting"/>
    <s v="Consultants"/>
    <s v="LA Thuy My Hao"/>
    <s v="In"/>
    <x v="0"/>
    <n v="0"/>
    <n v="0"/>
    <n v="0"/>
    <n v="1"/>
    <x v="1"/>
    <x v="25"/>
    <x v="1"/>
  </r>
  <r>
    <x v="51"/>
    <x v="0"/>
    <s v="042200003160"/>
    <s v="0971850315"/>
    <s v="No"/>
    <m/>
    <s v="I’ll take the company bus"/>
    <m/>
    <s v="Amaris Consulting"/>
    <s v="Consultants"/>
    <s v="LA Thuy My Hao"/>
    <s v="In"/>
    <x v="0"/>
    <n v="0"/>
    <n v="0"/>
    <n v="0"/>
    <n v="1"/>
    <x v="1"/>
    <x v="25"/>
    <x v="1"/>
  </r>
  <r>
    <x v="52"/>
    <x v="0"/>
    <s v="079203015788"/>
    <s v="0963698249"/>
    <s v="No"/>
    <m/>
    <s v="I’ll take the company bus"/>
    <m/>
    <s v="Amaris Consulting"/>
    <s v="Consultants"/>
    <s v="LA Thuy My Hao"/>
    <s v="In"/>
    <x v="0"/>
    <n v="0"/>
    <n v="0"/>
    <n v="0"/>
    <n v="1"/>
    <x v="1"/>
    <x v="26"/>
    <x v="1"/>
  </r>
  <r>
    <x v="53"/>
    <x v="0"/>
    <s v="079200038775"/>
    <s v="0339310132"/>
    <s v="No"/>
    <m/>
    <s v="I’ll take the company bus"/>
    <m/>
    <s v="Amaris Consulting"/>
    <s v="Consultants"/>
    <s v="LA Thuy My Hao"/>
    <s v="In"/>
    <x v="0"/>
    <n v="0"/>
    <n v="0"/>
    <n v="0"/>
    <n v="1"/>
    <x v="1"/>
    <x v="26"/>
    <x v="1"/>
  </r>
  <r>
    <x v="54"/>
    <x v="0"/>
    <s v="056200011360"/>
    <s v="0869885812"/>
    <s v="No"/>
    <m/>
    <s v="I’ll take the company bus"/>
    <m/>
    <s v="Amaris Consulting"/>
    <s v="Consultants"/>
    <s v="LA Thuy My Hao"/>
    <s v="In"/>
    <x v="0"/>
    <n v="0"/>
    <n v="0"/>
    <n v="0"/>
    <n v="1"/>
    <x v="1"/>
    <x v="27"/>
    <x v="1"/>
  </r>
  <r>
    <x v="55"/>
    <x v="0"/>
    <s v="minhtri.do@amaris.com"/>
    <s v="0935919461"/>
    <s v="No"/>
    <m/>
    <s v="I’ll take the company bus"/>
    <m/>
    <s v="Amaris Consulting"/>
    <s v="Consultants"/>
    <s v="LA Thuy My Hao"/>
    <s v="In"/>
    <x v="0"/>
    <n v="0"/>
    <n v="0"/>
    <n v="0"/>
    <n v="1"/>
    <x v="1"/>
    <x v="27"/>
    <x v="1"/>
  </r>
  <r>
    <x v="56"/>
    <x v="0"/>
    <s v="252203000013"/>
    <s v="0829622879"/>
    <s v="No"/>
    <m/>
    <s v="I’ll take the company bus"/>
    <m/>
    <s v="Amaris Consulting"/>
    <s v="Consultants"/>
    <s v="LA Thuy My Hao"/>
    <s v="In"/>
    <x v="0"/>
    <n v="0"/>
    <n v="0"/>
    <n v="0"/>
    <n v="1"/>
    <x v="1"/>
    <x v="28"/>
    <x v="1"/>
  </r>
  <r>
    <x v="57"/>
    <x v="0"/>
    <s v="079200044816"/>
    <s v="0932535781"/>
    <s v="No"/>
    <m/>
    <s v="I’ll take the company bus"/>
    <m/>
    <s v="Amaris Consulting"/>
    <s v="Consultants"/>
    <s v="LA Thuy My Hao"/>
    <s v="In"/>
    <x v="0"/>
    <n v="0"/>
    <n v="0"/>
    <n v="0"/>
    <n v="1"/>
    <x v="1"/>
    <x v="28"/>
    <x v="1"/>
  </r>
  <r>
    <x v="58"/>
    <x v="0"/>
    <s v="052200005034"/>
    <s v="+84 377130331"/>
    <s v="No"/>
    <m/>
    <s v="I’ll take the company bus"/>
    <m/>
    <s v="Amaris Consulting"/>
    <s v="Consultants"/>
    <s v="LA Thuy My Hao"/>
    <s v="In"/>
    <x v="0"/>
    <n v="0"/>
    <n v="0"/>
    <n v="0"/>
    <n v="1"/>
    <x v="1"/>
    <x v="29"/>
    <x v="1"/>
  </r>
  <r>
    <x v="59"/>
    <x v="0"/>
    <s v="079095014706"/>
    <s v="0937251707"/>
    <s v="No"/>
    <m/>
    <s v="I’ll take the company bus"/>
    <s v="Dị ứng cồn"/>
    <s v="Amaris Consulting"/>
    <s v="Consultants"/>
    <s v="NGUYEN The Trinh"/>
    <s v="In"/>
    <x v="0"/>
    <n v="0"/>
    <n v="0"/>
    <n v="0"/>
    <n v="1"/>
    <x v="1"/>
    <x v="29"/>
    <x v="1"/>
  </r>
  <r>
    <x v="60"/>
    <x v="0"/>
    <s v="079302009777"/>
    <s v="0703264721"/>
    <s v="No"/>
    <m/>
    <s v="I’ll take the company bus"/>
    <m/>
    <s v="Amaris Consulting"/>
    <s v="Consultants"/>
    <s v="HUYNH Chi Cuong"/>
    <s v="In"/>
    <x v="0"/>
    <n v="0"/>
    <n v="0"/>
    <n v="0"/>
    <n v="1"/>
    <x v="1"/>
    <x v="30"/>
    <x v="0"/>
  </r>
  <r>
    <x v="61"/>
    <x v="0"/>
    <s v="079186021679"/>
    <s v="0866876722"/>
    <s v="No"/>
    <m/>
    <s v="I’ll take the company bus"/>
    <m/>
    <s v="Amaris Consulting"/>
    <s v="Consultants"/>
    <s v="LA Thuy My Hao"/>
    <s v="In"/>
    <x v="0"/>
    <n v="0"/>
    <n v="0"/>
    <n v="0"/>
    <n v="1"/>
    <x v="1"/>
    <x v="30"/>
    <x v="0"/>
  </r>
  <r>
    <x v="62"/>
    <x v="0"/>
    <s v="087300002383"/>
    <s v="0939053112"/>
    <s v="No"/>
    <m/>
    <s v="I’ll take the company bus"/>
    <m/>
    <s v="Amaris Consulting"/>
    <s v="Consultants"/>
    <s v="LA Thuy My Hao"/>
    <s v="In"/>
    <x v="0"/>
    <n v="0"/>
    <n v="0"/>
    <n v="0"/>
    <n v="1"/>
    <x v="1"/>
    <x v="31"/>
    <x v="0"/>
  </r>
  <r>
    <x v="63"/>
    <x v="0"/>
    <s v="082300007349"/>
    <s v="0888745255"/>
    <s v="No"/>
    <m/>
    <s v="I’ll take the company bus"/>
    <m/>
    <s v="Amaris Consulting"/>
    <s v="Consultants"/>
    <s v="LA Thuy My Hao"/>
    <s v="In"/>
    <x v="0"/>
    <n v="0"/>
    <n v="0"/>
    <n v="0"/>
    <n v="1"/>
    <x v="1"/>
    <x v="31"/>
    <x v="0"/>
  </r>
  <r>
    <x v="64"/>
    <x v="0"/>
    <s v="079300022868"/>
    <s v="0707653589"/>
    <s v="No"/>
    <m/>
    <s v="I’ll take the company bus"/>
    <m/>
    <s v="Amaris Consulting"/>
    <s v="Consultants"/>
    <s v="LA Thuy My Hao"/>
    <s v="In"/>
    <x v="0"/>
    <n v="0"/>
    <n v="0"/>
    <n v="0"/>
    <n v="1"/>
    <x v="1"/>
    <x v="32"/>
    <x v="0"/>
  </r>
  <r>
    <x v="65"/>
    <x v="0"/>
    <s v="095304000976"/>
    <s v="0913854054"/>
    <s v="No"/>
    <m/>
    <s v="I’ll take the company bus"/>
    <m/>
    <s v="Amaris Consulting"/>
    <s v="Consultants"/>
    <s v="LA Thuy My Hao"/>
    <s v="In"/>
    <x v="0"/>
    <n v="0"/>
    <n v="0"/>
    <n v="0"/>
    <n v="1"/>
    <x v="1"/>
    <x v="32"/>
    <x v="0"/>
  </r>
  <r>
    <x v="66"/>
    <x v="0"/>
    <s v="070302002356"/>
    <s v="0383899275"/>
    <s v="No"/>
    <m/>
    <s v="I’ll take the company bus"/>
    <m/>
    <s v="Amaris Consulting"/>
    <s v="Consultants"/>
    <s v="LA Thuy My Hao"/>
    <s v="In"/>
    <x v="0"/>
    <n v="0"/>
    <n v="0"/>
    <n v="0"/>
    <n v="1"/>
    <x v="1"/>
    <x v="33"/>
    <x v="0"/>
  </r>
  <r>
    <x v="67"/>
    <x v="0"/>
    <s v="089196003991"/>
    <s v="0369040747"/>
    <s v="No"/>
    <m/>
    <s v="I’ll take the company bus"/>
    <m/>
    <s v="Amaris Consulting"/>
    <s v="Consultants"/>
    <s v="LA Thuy My Hao"/>
    <s v="In"/>
    <x v="0"/>
    <n v="0"/>
    <n v="0"/>
    <n v="0"/>
    <n v="1"/>
    <x v="1"/>
    <x v="33"/>
    <x v="0"/>
  </r>
  <r>
    <x v="68"/>
    <x v="0"/>
    <s v="040099011473"/>
    <s v="0946650045"/>
    <s v="No"/>
    <m/>
    <s v="I’ll take the company bus"/>
    <m/>
    <s v="Amaris Consulting"/>
    <s v="Consultants"/>
    <s v="NGUYEN Hoang Tuan Anh"/>
    <s v="In"/>
    <x v="0"/>
    <n v="0"/>
    <n v="0"/>
    <n v="0"/>
    <n v="1"/>
    <x v="2"/>
    <x v="34"/>
    <x v="1"/>
  </r>
  <r>
    <x v="69"/>
    <x v="0"/>
    <s v="079096034588"/>
    <s v="0938282487"/>
    <s v="No"/>
    <m/>
    <s v="I’ll take the company bus"/>
    <m/>
    <s v="Amaris Consulting"/>
    <s v="Consultants"/>
    <s v="NGUYEN The Trinh"/>
    <s v="In"/>
    <x v="0"/>
    <n v="0"/>
    <n v="0"/>
    <n v="0"/>
    <n v="1"/>
    <x v="2"/>
    <x v="34"/>
    <x v="1"/>
  </r>
  <r>
    <x v="70"/>
    <x v="0"/>
    <s v="079096027174"/>
    <s v="0934297931"/>
    <s v="No"/>
    <m/>
    <s v="I’ll take the company bus"/>
    <m/>
    <s v="Amaris Consulting"/>
    <s v="Consultants"/>
    <s v="NGUYEN Hoang Tuan Anh"/>
    <s v="In"/>
    <x v="0"/>
    <n v="0"/>
    <n v="0"/>
    <n v="0"/>
    <n v="1"/>
    <x v="2"/>
    <x v="35"/>
    <x v="1"/>
  </r>
  <r>
    <x v="71"/>
    <x v="0"/>
    <s v="075095021646"/>
    <s v="0352680918"/>
    <s v="No"/>
    <m/>
    <s v="I’ll take the company bus"/>
    <m/>
    <s v="Amaris Consulting"/>
    <s v="Consultants"/>
    <s v="NGUYEN Hoang Tuan Anh"/>
    <s v="In"/>
    <x v="0"/>
    <n v="0"/>
    <n v="0"/>
    <n v="0"/>
    <n v="1"/>
    <x v="2"/>
    <x v="35"/>
    <x v="1"/>
  </r>
  <r>
    <x v="72"/>
    <x v="0"/>
    <s v="052097015080"/>
    <s v="0776756952"/>
    <s v="No"/>
    <m/>
    <s v="I’ll take the company bus"/>
    <m/>
    <s v="Amaris Consulting"/>
    <s v="Consultants"/>
    <s v="TRAN Thi Ha My"/>
    <s v="In"/>
    <x v="0"/>
    <n v="0"/>
    <n v="0"/>
    <n v="0"/>
    <n v="1"/>
    <x v="2"/>
    <x v="36"/>
    <x v="1"/>
  </r>
  <r>
    <x v="73"/>
    <x v="0"/>
    <s v="051202007406"/>
    <s v="0345717796"/>
    <s v="No"/>
    <m/>
    <s v="I’ll take the company bus"/>
    <m/>
    <s v="Amaris Consulting"/>
    <s v="Consultants"/>
    <s v="TRAN Thi Ha My"/>
    <s v="In"/>
    <x v="0"/>
    <n v="0"/>
    <n v="0"/>
    <n v="0"/>
    <n v="1"/>
    <x v="2"/>
    <x v="36"/>
    <x v="1"/>
  </r>
  <r>
    <x v="74"/>
    <x v="0"/>
    <s v="091201012114"/>
    <s v="0762922184"/>
    <s v="No"/>
    <m/>
    <s v="I’ll take the company bus"/>
    <m/>
    <s v="Amaris Consulting"/>
    <s v="Consultants"/>
    <s v="TRAN Thi Ha My"/>
    <s v="In"/>
    <x v="0"/>
    <n v="0"/>
    <n v="0"/>
    <n v="0"/>
    <n v="1"/>
    <x v="2"/>
    <x v="37"/>
    <x v="1"/>
  </r>
  <r>
    <x v="75"/>
    <x v="0"/>
    <s v="079098003185"/>
    <s v="0879295967"/>
    <s v="No"/>
    <m/>
    <s v="I’ll take the company bus"/>
    <m/>
    <s v="Amaris Consulting"/>
    <s v="Consultants"/>
    <s v="TRAN Thi Ha My"/>
    <s v="In"/>
    <x v="0"/>
    <n v="0"/>
    <n v="0"/>
    <n v="0"/>
    <n v="1"/>
    <x v="2"/>
    <x v="37"/>
    <x v="1"/>
  </r>
  <r>
    <x v="76"/>
    <x v="0"/>
    <s v="067098004566"/>
    <s v="0584106886"/>
    <s v="No"/>
    <m/>
    <s v="I’ll take the company bus"/>
    <m/>
    <s v="Amaris Consulting"/>
    <s v="Consultants"/>
    <s v="TRAN Thi Ha My"/>
    <s v="In"/>
    <x v="0"/>
    <n v="0"/>
    <n v="0"/>
    <n v="0"/>
    <n v="1"/>
    <x v="2"/>
    <x v="38"/>
    <x v="1"/>
  </r>
  <r>
    <x v="77"/>
    <x v="0"/>
    <s v="089096021770"/>
    <s v="0962359719"/>
    <s v="No"/>
    <m/>
    <s v="I’ll take the company bus"/>
    <m/>
    <s v="Amaris Consulting"/>
    <s v="Consultants"/>
    <s v="TRAN Thi Ha My"/>
    <s v="In"/>
    <x v="0"/>
    <n v="0"/>
    <n v="0"/>
    <n v="0"/>
    <n v="1"/>
    <x v="2"/>
    <x v="38"/>
    <x v="1"/>
  </r>
  <r>
    <x v="78"/>
    <x v="0"/>
    <s v="082097013452"/>
    <s v="0332548027"/>
    <s v="No"/>
    <m/>
    <s v="I’ll take the company bus"/>
    <m/>
    <s v="Amaris Consulting"/>
    <s v="Consultants"/>
    <s v="TRAN Thi Ha My"/>
    <s v="In"/>
    <x v="0"/>
    <n v="0"/>
    <n v="0"/>
    <n v="0"/>
    <n v="1"/>
    <x v="2"/>
    <x v="39"/>
    <x v="1"/>
  </r>
  <r>
    <x v="79"/>
    <x v="0"/>
    <s v="049092003884"/>
    <s v="0973718347"/>
    <s v="No"/>
    <m/>
    <s v="I’ll take the company bus"/>
    <m/>
    <s v="Amaris Consulting"/>
    <s v="Consultants"/>
    <s v="TRAN Thi Ha My"/>
    <s v="In"/>
    <x v="0"/>
    <n v="0"/>
    <n v="0"/>
    <n v="0"/>
    <n v="1"/>
    <x v="2"/>
    <x v="39"/>
    <x v="1"/>
  </r>
  <r>
    <x v="80"/>
    <x v="0"/>
    <s v="052096015341"/>
    <s v="0397459642"/>
    <s v="No"/>
    <m/>
    <s v="I’ll take the company bus"/>
    <m/>
    <s v="Amaris Consulting"/>
    <s v="Consultants"/>
    <s v="TRAN Thi Ha My"/>
    <s v="In"/>
    <x v="0"/>
    <n v="0"/>
    <n v="0"/>
    <n v="0"/>
    <n v="1"/>
    <x v="2"/>
    <x v="40"/>
    <x v="1"/>
  </r>
  <r>
    <x v="81"/>
    <x v="0"/>
    <s v="079099027044"/>
    <s v="0335618057"/>
    <s v="No"/>
    <m/>
    <s v="I’ll take the company bus"/>
    <m/>
    <s v="Amaris Consulting"/>
    <s v="Consultants"/>
    <s v="TRAN Thi Ha My"/>
    <s v="In"/>
    <x v="0"/>
    <n v="0"/>
    <n v="0"/>
    <n v="0"/>
    <n v="1"/>
    <x v="2"/>
    <x v="40"/>
    <x v="1"/>
  </r>
  <r>
    <x v="82"/>
    <x v="0"/>
    <s v="075090010849"/>
    <s v="0778836595"/>
    <s v="No"/>
    <m/>
    <s v="I’ll take the company bus"/>
    <m/>
    <s v="Amaris Consulting"/>
    <s v="Consultants"/>
    <s v="TRAN Thi Ha My"/>
    <s v="In"/>
    <x v="0"/>
    <n v="0"/>
    <n v="0"/>
    <n v="0"/>
    <n v="1"/>
    <x v="2"/>
    <x v="41"/>
    <x v="1"/>
  </r>
  <r>
    <x v="83"/>
    <x v="0"/>
    <s v="052092015218"/>
    <s v="0346726479"/>
    <s v="No"/>
    <m/>
    <s v="I’ll take the company bus"/>
    <m/>
    <s v="Amaris Consulting"/>
    <s v="Consultants"/>
    <s v="TRAN Thi Ha My"/>
    <s v="In"/>
    <x v="0"/>
    <n v="0"/>
    <n v="0"/>
    <n v="0"/>
    <n v="1"/>
    <x v="2"/>
    <x v="41"/>
    <x v="1"/>
  </r>
  <r>
    <x v="84"/>
    <x v="0"/>
    <s v="035198005801"/>
    <s v="0961393725"/>
    <s v="Yes"/>
    <s v="Cao Thi Truc Duyen - Female - 15/06/1997 - 083197002767"/>
    <s v="I’ll take the company bus"/>
    <m/>
    <s v="Amaris Consulting"/>
    <s v="Consultants"/>
    <s v="TRAN Thi Ha My"/>
    <s v="In"/>
    <x v="1"/>
    <n v="0"/>
    <n v="1"/>
    <n v="1"/>
    <n v="2"/>
    <x v="2"/>
    <x v="42"/>
    <x v="0"/>
  </r>
  <r>
    <x v="85"/>
    <x v="0"/>
    <s v="091301010042"/>
    <s v="0768811159"/>
    <s v="No"/>
    <m/>
    <s v="I’ll take the company bus"/>
    <m/>
    <s v="Amaris Consulting"/>
    <s v="Consultants"/>
    <s v="NGUYEN Hoang Tuan Anh"/>
    <s v="In"/>
    <x v="0"/>
    <n v="0"/>
    <n v="0"/>
    <n v="0"/>
    <n v="1"/>
    <x v="2"/>
    <x v="43"/>
    <x v="0"/>
  </r>
  <r>
    <x v="86"/>
    <x v="0"/>
    <s v="075193013225"/>
    <s v="0356055190"/>
    <s v="No"/>
    <m/>
    <s v="I’ll take the company bus"/>
    <m/>
    <s v="Amaris Consulting"/>
    <s v="Consultants"/>
    <s v="TRAN Thi Ha My"/>
    <s v="In"/>
    <x v="0"/>
    <n v="0"/>
    <n v="0"/>
    <n v="0"/>
    <n v="1"/>
    <x v="2"/>
    <x v="43"/>
    <x v="0"/>
  </r>
  <r>
    <x v="87"/>
    <x v="0"/>
    <s v="079301006935"/>
    <s v="0779911643"/>
    <s v="No"/>
    <m/>
    <s v="I’ll take the company bus"/>
    <m/>
    <s v="Amaris Consulting"/>
    <s v="Consultants"/>
    <s v="TRAN Thi Ha My"/>
    <s v="In"/>
    <x v="0"/>
    <n v="0"/>
    <n v="0"/>
    <n v="0"/>
    <n v="1"/>
    <x v="2"/>
    <x v="44"/>
    <x v="0"/>
  </r>
  <r>
    <x v="88"/>
    <x v="0"/>
    <s v="084197000010"/>
    <s v="0936610147"/>
    <s v="No"/>
    <m/>
    <s v="I’ll take the company bus"/>
    <m/>
    <s v="Amaris Consulting"/>
    <s v="Consultants"/>
    <s v="TRAN Thi Ha My"/>
    <s v="In"/>
    <x v="0"/>
    <n v="0"/>
    <n v="0"/>
    <n v="0"/>
    <n v="1"/>
    <x v="2"/>
    <x v="44"/>
    <x v="0"/>
  </r>
  <r>
    <x v="89"/>
    <x v="0"/>
    <s v="031202004177"/>
    <s v="0886895676"/>
    <s v="No"/>
    <m/>
    <s v="I’ll take the company bus"/>
    <m/>
    <s v="Amaris Consulting"/>
    <s v="Consultants"/>
    <s v="HUYNH Minh Khoi"/>
    <s v="In"/>
    <x v="0"/>
    <n v="0"/>
    <n v="0"/>
    <n v="0"/>
    <n v="1"/>
    <x v="3"/>
    <x v="45"/>
    <x v="1"/>
  </r>
  <r>
    <x v="90"/>
    <x v="0"/>
    <s v="079202021638"/>
    <s v="0899337446"/>
    <s v="No"/>
    <m/>
    <s v="I’ll take the company bus"/>
    <m/>
    <s v="Amaris Consulting"/>
    <s v="Consultants"/>
    <s v="HUYNH Minh Khoi"/>
    <s v="In"/>
    <x v="0"/>
    <n v="0"/>
    <n v="0"/>
    <n v="0"/>
    <n v="1"/>
    <x v="3"/>
    <x v="45"/>
    <x v="1"/>
  </r>
  <r>
    <x v="91"/>
    <x v="0"/>
    <s v="079201003742"/>
    <s v="0896116155"/>
    <s v="No"/>
    <m/>
    <s v="I’ll take the company bus"/>
    <m/>
    <s v="Amaris Consulting"/>
    <s v="Consultants"/>
    <s v="HUYNH Minh Khoi"/>
    <s v="In"/>
    <x v="0"/>
    <n v="0"/>
    <n v="0"/>
    <n v="0"/>
    <n v="1"/>
    <x v="3"/>
    <x v="46"/>
    <x v="1"/>
  </r>
  <r>
    <x v="92"/>
    <x v="0"/>
    <s v="031202010766"/>
    <s v="0981412159"/>
    <s v="No"/>
    <m/>
    <s v="I’ll take the company bus"/>
    <m/>
    <s v="Amaris Consulting"/>
    <s v="Consultants"/>
    <s v="HUYNH Minh Khoi"/>
    <s v="In"/>
    <x v="0"/>
    <n v="0"/>
    <n v="0"/>
    <n v="0"/>
    <n v="1"/>
    <x v="3"/>
    <x v="46"/>
    <x v="1"/>
  </r>
  <r>
    <x v="93"/>
    <x v="0"/>
    <s v="064201004428"/>
    <s v="0337399029"/>
    <s v="No"/>
    <m/>
    <s v="I’ll take the company bus"/>
    <m/>
    <s v="Amaris Consulting"/>
    <s v="Consultants"/>
    <s v="HUYNH Minh Khoi"/>
    <s v="In"/>
    <x v="0"/>
    <n v="0"/>
    <n v="0"/>
    <n v="0"/>
    <n v="1"/>
    <x v="3"/>
    <x v="47"/>
    <x v="1"/>
  </r>
  <r>
    <x v="94"/>
    <x v="0"/>
    <s v="048203001699"/>
    <s v="0905054228"/>
    <s v="No"/>
    <m/>
    <s v="I’ll take the company bus"/>
    <m/>
    <s v="Amaris Consulting"/>
    <s v="Consultants"/>
    <s v="HUYNH Minh Khoi"/>
    <s v="In"/>
    <x v="0"/>
    <n v="0"/>
    <n v="0"/>
    <n v="0"/>
    <n v="1"/>
    <x v="3"/>
    <x v="47"/>
    <x v="1"/>
  </r>
  <r>
    <x v="95"/>
    <x v="0"/>
    <s v="030098008566"/>
    <s v="0348997157"/>
    <s v="Yes"/>
    <s v="TRẦN DIỆP HUY - 046098011753 - 0766669006 - Male - 07/01/1998"/>
    <s v="I’ll take the company bus"/>
    <m/>
    <s v="Amaris Consulting"/>
    <s v="Consultants"/>
    <s v="NGUYEN Duc Quy"/>
    <s v="In"/>
    <x v="1"/>
    <n v="0"/>
    <n v="1"/>
    <n v="1"/>
    <n v="2"/>
    <x v="3"/>
    <x v="48"/>
    <x v="1"/>
  </r>
  <r>
    <x v="96"/>
    <x v="0"/>
    <s v="066200009584"/>
    <s v="0764290520"/>
    <s v="No"/>
    <m/>
    <s v="I’ll take the company bus"/>
    <m/>
    <s v="Amaris Consulting"/>
    <s v="Consultants"/>
    <s v="NGUYEN Thi Minh Phuong"/>
    <s v="In"/>
    <x v="0"/>
    <n v="0"/>
    <n v="0"/>
    <n v="0"/>
    <n v="1"/>
    <x v="3"/>
    <x v="49"/>
    <x v="1"/>
  </r>
  <r>
    <x v="97"/>
    <x v="0"/>
    <s v="079099034668"/>
    <s v="0906659850"/>
    <s v="No"/>
    <m/>
    <s v="I’ll take the company bus"/>
    <m/>
    <s v="Amaris Consulting"/>
    <s v="Consultants"/>
    <s v="NGUYEN Thi Minh Phuong"/>
    <s v="In"/>
    <x v="0"/>
    <n v="0"/>
    <n v="0"/>
    <n v="0"/>
    <n v="1"/>
    <x v="3"/>
    <x v="49"/>
    <x v="1"/>
  </r>
  <r>
    <x v="98"/>
    <x v="0"/>
    <s v="079090028751"/>
    <s v="0937308357"/>
    <s v="No"/>
    <m/>
    <s v="I’ll take the company bus"/>
    <m/>
    <s v="Amaris Consulting"/>
    <s v="Consultants"/>
    <s v="NGUYEN Thi Minh Phuong"/>
    <s v="In"/>
    <x v="0"/>
    <n v="0"/>
    <n v="0"/>
    <n v="0"/>
    <n v="1"/>
    <x v="3"/>
    <x v="50"/>
    <x v="1"/>
  </r>
  <r>
    <x v="99"/>
    <x v="0"/>
    <s v="066096004066"/>
    <s v="0868415847"/>
    <s v="No"/>
    <m/>
    <s v="I’ll take the company bus"/>
    <m/>
    <s v="Amaris Consulting"/>
    <s v="Consultants"/>
    <s v="NGUYEN Thi Minh Phuong"/>
    <s v="In"/>
    <x v="0"/>
    <n v="0"/>
    <n v="0"/>
    <n v="0"/>
    <n v="1"/>
    <x v="3"/>
    <x v="50"/>
    <x v="1"/>
  </r>
  <r>
    <x v="100"/>
    <x v="0"/>
    <s v="079090038513"/>
    <s v="0356154210"/>
    <s v="No"/>
    <m/>
    <s v="I’ll take the company bus"/>
    <m/>
    <s v="Amaris Consulting"/>
    <s v="Consultants"/>
    <s v="NGUYEN Thi Minh Phuong"/>
    <s v="In"/>
    <x v="0"/>
    <n v="0"/>
    <n v="0"/>
    <n v="0"/>
    <n v="1"/>
    <x v="3"/>
    <x v="51"/>
    <x v="1"/>
  </r>
  <r>
    <x v="101"/>
    <x v="0"/>
    <s v="080096010523"/>
    <s v="0966441600"/>
    <s v="No"/>
    <m/>
    <s v="I’ll take the company bus"/>
    <m/>
    <s v="Amaris Consulting"/>
    <s v="Consultants"/>
    <s v="NGUYEN Thi Minh Phuong"/>
    <s v="In"/>
    <x v="0"/>
    <n v="0"/>
    <n v="0"/>
    <n v="0"/>
    <n v="1"/>
    <x v="3"/>
    <x v="51"/>
    <x v="1"/>
  </r>
  <r>
    <x v="102"/>
    <x v="0"/>
    <s v="056098000238"/>
    <s v="0392707949"/>
    <s v="No"/>
    <m/>
    <s v="I’ll take the company bus"/>
    <m/>
    <s v="Amaris Consulting"/>
    <s v="Consultants"/>
    <s v="NGUYEN Thi Minh Phuong"/>
    <s v="In"/>
    <x v="0"/>
    <n v="0"/>
    <n v="0"/>
    <n v="0"/>
    <n v="1"/>
    <x v="3"/>
    <x v="52"/>
    <x v="1"/>
  </r>
  <r>
    <x v="103"/>
    <x v="0"/>
    <s v="079203011720"/>
    <s v="0938080935"/>
    <s v="No"/>
    <m/>
    <s v="I’ll take the company bus"/>
    <m/>
    <s v="Amaris Consulting"/>
    <s v="Consultants"/>
    <s v="NGUYEN Thi Minh Phuong"/>
    <s v="In"/>
    <x v="0"/>
    <n v="0"/>
    <n v="0"/>
    <n v="0"/>
    <n v="1"/>
    <x v="3"/>
    <x v="52"/>
    <x v="1"/>
  </r>
  <r>
    <x v="104"/>
    <x v="0"/>
    <s v="048087005724"/>
    <s v="0968678149"/>
    <s v="No"/>
    <m/>
    <s v="I’ll take the company bus"/>
    <m/>
    <s v="Amaris Consulting"/>
    <s v="Consultants"/>
    <s v="NGUYEN Duc Quy"/>
    <s v="In"/>
    <x v="0"/>
    <n v="0"/>
    <n v="0"/>
    <n v="0"/>
    <n v="1"/>
    <x v="3"/>
    <x v="53"/>
    <x v="1"/>
  </r>
  <r>
    <x v="105"/>
    <x v="0"/>
    <s v="051091012099"/>
    <s v="0902898110"/>
    <s v="No"/>
    <m/>
    <s v="I’ll take the company bus"/>
    <m/>
    <s v="Amaris Consulting"/>
    <s v="Consultants"/>
    <s v="NGUYEN Duc Quy"/>
    <s v="In"/>
    <x v="0"/>
    <n v="0"/>
    <n v="0"/>
    <n v="0"/>
    <n v="1"/>
    <x v="3"/>
    <x v="53"/>
    <x v="1"/>
  </r>
  <r>
    <x v="106"/>
    <x v="0"/>
    <s v="086096004777"/>
    <s v="0705731919"/>
    <s v="No"/>
    <m/>
    <s v="I’ll take the company bus"/>
    <m/>
    <s v="Amaris Consulting"/>
    <s v="Consultants"/>
    <s v="NGUYEN Duc Quy"/>
    <s v="In"/>
    <x v="0"/>
    <n v="0"/>
    <n v="0"/>
    <n v="0"/>
    <n v="1"/>
    <x v="3"/>
    <x v="54"/>
    <x v="1"/>
  </r>
  <r>
    <x v="107"/>
    <x v="0"/>
    <s v="082093010991"/>
    <s v="0345864246"/>
    <s v="No"/>
    <m/>
    <s v="I’ll arrange my own transportation"/>
    <m/>
    <s v="Amaris Consulting"/>
    <s v="Consultants"/>
    <s v="TRAN Thi Ha My"/>
    <s v="In"/>
    <x v="0"/>
    <n v="0"/>
    <n v="0"/>
    <n v="0"/>
    <n v="1"/>
    <x v="4"/>
    <x v="54"/>
    <x v="1"/>
  </r>
  <r>
    <x v="108"/>
    <x v="0"/>
    <s v="37598"/>
    <s v="0385094422"/>
    <s v="No"/>
    <m/>
    <s v="I’ll take the company bus"/>
    <m/>
    <s v="Amaris Consulting"/>
    <s v="Consultants"/>
    <s v="NGUYEN Thi Minh Phuong"/>
    <s v="In"/>
    <x v="0"/>
    <n v="0"/>
    <n v="0"/>
    <n v="0"/>
    <n v="1"/>
    <x v="3"/>
    <x v="55"/>
    <x v="1"/>
  </r>
  <r>
    <x v="109"/>
    <x v="0"/>
    <s v="068201006525"/>
    <s v="0908725648"/>
    <s v="No"/>
    <m/>
    <s v="I’ll take the company bus"/>
    <m/>
    <s v="Amaris Consulting"/>
    <s v="Consultants"/>
    <s v="TRAN Thi Ha My"/>
    <s v="In"/>
    <x v="0"/>
    <n v="0"/>
    <n v="0"/>
    <n v="0"/>
    <n v="1"/>
    <x v="3"/>
    <x v="55"/>
    <x v="1"/>
  </r>
  <r>
    <x v="110"/>
    <x v="0"/>
    <s v="045091003975"/>
    <s v="0915004496"/>
    <s v="No"/>
    <m/>
    <s v="I’ll take the company bus"/>
    <m/>
    <s v="Amaris Consulting"/>
    <s v="Consultants"/>
    <s v="TRAN Thi Ha My"/>
    <s v="In"/>
    <x v="0"/>
    <n v="0"/>
    <n v="0"/>
    <n v="0"/>
    <n v="1"/>
    <x v="3"/>
    <x v="56"/>
    <x v="1"/>
  </r>
  <r>
    <x v="111"/>
    <x v="0"/>
    <s v="091095009127"/>
    <s v="0988438042"/>
    <s v="No"/>
    <m/>
    <s v="I’ll take the company bus"/>
    <m/>
    <s v="Amaris Consulting"/>
    <s v="Consultants"/>
    <s v="TRAN Thi Ha My"/>
    <s v="In"/>
    <x v="0"/>
    <n v="0"/>
    <n v="0"/>
    <n v="0"/>
    <n v="1"/>
    <x v="3"/>
    <x v="56"/>
    <x v="1"/>
  </r>
  <r>
    <x v="112"/>
    <x v="0"/>
    <s v="068087004573"/>
    <s v="0938112129"/>
    <s v="No"/>
    <m/>
    <s v="I’ll take the company bus"/>
    <m/>
    <s v="Amaris Consulting"/>
    <s v="Consultants"/>
    <s v="TRAN Thi Ha My"/>
    <s v="In"/>
    <x v="0"/>
    <n v="0"/>
    <n v="0"/>
    <n v="0"/>
    <n v="1"/>
    <x v="3"/>
    <x v="57"/>
    <x v="1"/>
  </r>
  <r>
    <x v="113"/>
    <x v="0"/>
    <s v="001203015512"/>
    <s v="0397810603"/>
    <s v="No"/>
    <m/>
    <s v="I’ll take the company bus"/>
    <m/>
    <s v="Amaris Consulting"/>
    <s v="Consultants"/>
    <s v="TRAN Thi Ha My"/>
    <s v="In"/>
    <x v="0"/>
    <n v="0"/>
    <n v="0"/>
    <n v="0"/>
    <n v="1"/>
    <x v="3"/>
    <x v="57"/>
    <x v="1"/>
  </r>
  <r>
    <x v="114"/>
    <x v="0"/>
    <s v="080201013658"/>
    <s v="0847827897"/>
    <s v="No"/>
    <m/>
    <s v="I’ll take the company bus"/>
    <m/>
    <s v="Amaris Consulting"/>
    <s v="Consultants"/>
    <s v="TRAN Thi Ha My"/>
    <s v="In"/>
    <x v="0"/>
    <n v="0"/>
    <n v="0"/>
    <n v="0"/>
    <n v="1"/>
    <x v="3"/>
    <x v="58"/>
    <x v="1"/>
  </r>
  <r>
    <x v="115"/>
    <x v="0"/>
    <s v="066098009860"/>
    <s v="+84376275238"/>
    <s v="No"/>
    <m/>
    <s v="I’ll take the company bus"/>
    <m/>
    <s v="Amaris Consulting"/>
    <s v="Consultants"/>
    <s v="TRAN Thi Ha My"/>
    <s v="In"/>
    <x v="0"/>
    <n v="0"/>
    <n v="0"/>
    <n v="0"/>
    <n v="1"/>
    <x v="3"/>
    <x v="58"/>
    <x v="1"/>
  </r>
  <r>
    <x v="116"/>
    <x v="0"/>
    <s v="079196001003"/>
    <s v="0931173302"/>
    <s v="No"/>
    <m/>
    <s v="I’ll take the company bus"/>
    <m/>
    <s v="Amaris Consulting"/>
    <s v="Consultants"/>
    <s v="NGUYEN Thi Minh Phuong"/>
    <s v="In"/>
    <x v="0"/>
    <n v="0"/>
    <n v="0"/>
    <n v="0"/>
    <n v="1"/>
    <x v="3"/>
    <x v="59"/>
    <x v="0"/>
  </r>
  <r>
    <x v="117"/>
    <x v="0"/>
    <s v="079197010801"/>
    <s v="0704954529"/>
    <s v="No"/>
    <m/>
    <s v="I’ll take the company bus"/>
    <m/>
    <s v="Amaris Consulting"/>
    <s v="Consultants"/>
    <s v="TRAN Thi Ha My"/>
    <s v="In"/>
    <x v="0"/>
    <n v="0"/>
    <n v="0"/>
    <n v="0"/>
    <n v="1"/>
    <x v="3"/>
    <x v="59"/>
    <x v="0"/>
  </r>
  <r>
    <x v="118"/>
    <x v="0"/>
    <s v="001196042675"/>
    <s v="+84 583 032 919"/>
    <s v="No"/>
    <m/>
    <s v="I’ll take the company bus"/>
    <s v="Team chị My"/>
    <s v="Amaris Consulting"/>
    <s v="Consultants"/>
    <s v="TRAN Thi Ha My"/>
    <s v="In"/>
    <x v="0"/>
    <n v="0"/>
    <n v="0"/>
    <n v="0"/>
    <n v="1"/>
    <x v="3"/>
    <x v="60"/>
    <x v="0"/>
  </r>
  <r>
    <x v="119"/>
    <x v="0"/>
    <s v="080196014207"/>
    <s v="+84348592628"/>
    <s v="No"/>
    <m/>
    <s v="I’ll take the company bus"/>
    <m/>
    <s v="Amaris Consulting"/>
    <s v="Consultants"/>
    <s v="TRAN Thi Ha My"/>
    <s v="In"/>
    <x v="0"/>
    <n v="0"/>
    <n v="0"/>
    <n v="0"/>
    <n v="1"/>
    <x v="3"/>
    <x v="60"/>
    <x v="0"/>
  </r>
  <r>
    <x v="120"/>
    <x v="0"/>
    <s v="079198003401"/>
    <s v="0397430707"/>
    <s v="No"/>
    <m/>
    <s v="I’ll take the company bus"/>
    <m/>
    <s v="Amaris Consulting"/>
    <s v="Consultants"/>
    <s v="TRAN Thi Ha My"/>
    <s v="In"/>
    <x v="0"/>
    <n v="0"/>
    <n v="0"/>
    <n v="0"/>
    <n v="1"/>
    <x v="5"/>
    <x v="61"/>
    <x v="0"/>
  </r>
  <r>
    <x v="121"/>
    <x v="0"/>
    <s v="079192033623"/>
    <s v="0903747427"/>
    <s v="No"/>
    <m/>
    <s v="I’ll take the company bus"/>
    <s v="Dị ứng Hải sản, phô mai, sữa "/>
    <s v="Amaris Consulting"/>
    <s v="Consultants"/>
    <s v="NGUYEN Thai Ly"/>
    <s v="In"/>
    <x v="0"/>
    <n v="0"/>
    <n v="0"/>
    <n v="0"/>
    <n v="1"/>
    <x v="5"/>
    <x v="61"/>
    <x v="0"/>
  </r>
  <r>
    <x v="122"/>
    <x v="0"/>
    <s v="079094014846"/>
    <s v="0338330044"/>
    <s v="No"/>
    <m/>
    <s v="I’ll take the company bus"/>
    <m/>
    <s v="Amaris Consulting"/>
    <s v="Consultants"/>
    <s v="NGUYEN Thai Ly"/>
    <s v="In"/>
    <x v="0"/>
    <n v="0"/>
    <n v="0"/>
    <n v="0"/>
    <n v="1"/>
    <x v="5"/>
    <x v="62"/>
    <x v="1"/>
  </r>
  <r>
    <x v="123"/>
    <x v="0"/>
    <s v="045099007148"/>
    <s v="0335533732"/>
    <s v="No"/>
    <m/>
    <s v="I’ll take the company bus"/>
    <m/>
    <s v="Amaris Consulting"/>
    <s v="Consultants"/>
    <s v="NGUYEN Thai Ly"/>
    <s v="In"/>
    <x v="0"/>
    <n v="0"/>
    <n v="0"/>
    <n v="0"/>
    <n v="1"/>
    <x v="5"/>
    <x v="62"/>
    <x v="1"/>
  </r>
  <r>
    <x v="124"/>
    <x v="0"/>
    <s v="075096010782"/>
    <s v="0985788540"/>
    <s v="No"/>
    <m/>
    <s v="I’ll take the company bus"/>
    <m/>
    <s v="Amaris Consulting"/>
    <s v="Consultants"/>
    <s v="NGUYEN Thai Ly"/>
    <s v="In"/>
    <x v="0"/>
    <n v="0"/>
    <n v="0"/>
    <n v="0"/>
    <n v="1"/>
    <x v="5"/>
    <x v="63"/>
    <x v="1"/>
  </r>
  <r>
    <x v="125"/>
    <x v="0"/>
    <s v="001201015108"/>
    <s v="0328005399"/>
    <s v="No"/>
    <m/>
    <s v="I’ll take the company bus"/>
    <m/>
    <s v="Amaris Consulting"/>
    <s v="Consultants"/>
    <s v="NGUYEN Thai Ly"/>
    <s v="In"/>
    <x v="0"/>
    <n v="0"/>
    <n v="0"/>
    <n v="0"/>
    <n v="1"/>
    <x v="5"/>
    <x v="63"/>
    <x v="1"/>
  </r>
  <r>
    <x v="126"/>
    <x v="0"/>
    <s v="079201007186"/>
    <s v="0919990145"/>
    <s v="No"/>
    <m/>
    <s v="I’ll take the company bus"/>
    <m/>
    <s v="Amaris Consulting"/>
    <s v="Consultants"/>
    <s v="LA Thuy My Hao"/>
    <s v="In"/>
    <x v="0"/>
    <n v="0"/>
    <n v="0"/>
    <n v="0"/>
    <n v="1"/>
    <x v="5"/>
    <x v="64"/>
    <x v="1"/>
  </r>
  <r>
    <x v="127"/>
    <x v="0"/>
    <s v="079085028522"/>
    <s v="0909988822"/>
    <s v="No"/>
    <m/>
    <s v="I’ll take the company bus"/>
    <m/>
    <s v="Amaris Consulting"/>
    <s v="Consultants"/>
    <s v="NGUYEN Thai Ly"/>
    <s v="In"/>
    <x v="0"/>
    <n v="0"/>
    <n v="0"/>
    <n v="0"/>
    <n v="1"/>
    <x v="5"/>
    <x v="64"/>
    <x v="1"/>
  </r>
  <r>
    <x v="128"/>
    <x v="0"/>
    <s v="086203010658"/>
    <s v="0799549878"/>
    <s v="No"/>
    <m/>
    <s v="I’ll take the company bus"/>
    <m/>
    <s v="Amaris Consulting"/>
    <s v="Consultants"/>
    <s v="LA Thuy My Hao"/>
    <s v="In"/>
    <x v="0"/>
    <n v="0"/>
    <n v="0"/>
    <n v="0"/>
    <n v="1"/>
    <x v="5"/>
    <x v="65"/>
    <x v="1"/>
  </r>
  <r>
    <x v="129"/>
    <x v="0"/>
    <s v="052201013763"/>
    <s v="0398324011"/>
    <s v="No"/>
    <m/>
    <s v="I’ll take the company bus"/>
    <m/>
    <s v="Amaris Consulting"/>
    <s v="Consultants"/>
    <s v="LA Thuy My Hao"/>
    <s v="In"/>
    <x v="0"/>
    <n v="0"/>
    <n v="0"/>
    <n v="0"/>
    <n v="1"/>
    <x v="5"/>
    <x v="65"/>
    <x v="1"/>
  </r>
  <r>
    <x v="130"/>
    <x v="0"/>
    <s v="079202006608"/>
    <s v="0983941396"/>
    <s v="No"/>
    <m/>
    <s v="I’ll take the company bus"/>
    <m/>
    <s v="Amaris Consulting"/>
    <s v="Consultants"/>
    <s v="LA Thuy My Hao"/>
    <s v="In"/>
    <x v="0"/>
    <n v="0"/>
    <n v="0"/>
    <n v="0"/>
    <n v="1"/>
    <x v="5"/>
    <x v="66"/>
    <x v="1"/>
  </r>
  <r>
    <x v="131"/>
    <x v="0"/>
    <s v="066200002973"/>
    <s v="0769781003"/>
    <s v="No"/>
    <m/>
    <s v="I’ll take the company bus"/>
    <s v="I have a mild seafood allergy"/>
    <s v="Amaris Consulting"/>
    <s v="Consultants"/>
    <s v="LA Thuy My Hao"/>
    <s v="In"/>
    <x v="0"/>
    <n v="0"/>
    <n v="0"/>
    <n v="0"/>
    <n v="1"/>
    <x v="5"/>
    <x v="66"/>
    <x v="1"/>
  </r>
  <r>
    <x v="132"/>
    <x v="0"/>
    <s v="079093005091"/>
    <s v="0906793262"/>
    <s v="No"/>
    <m/>
    <s v="I’ll take the company bus"/>
    <m/>
    <s v="Amaris Consulting"/>
    <s v="Managers"/>
    <s v="VU Thanh Hang"/>
    <s v="In"/>
    <x v="0"/>
    <n v="0"/>
    <n v="0"/>
    <n v="0"/>
    <n v="1"/>
    <x v="3"/>
    <x v="67"/>
    <x v="1"/>
  </r>
  <r>
    <x v="133"/>
    <x v="0"/>
    <s v="048195006450"/>
    <s v="0943149780"/>
    <s v="No"/>
    <m/>
    <s v="I’ll take the company bus"/>
    <m/>
    <s v="Amaris Consulting"/>
    <s v="Managers"/>
    <s v="VU Thanh Hang"/>
    <s v="In"/>
    <x v="0"/>
    <n v="0"/>
    <n v="0"/>
    <n v="0"/>
    <n v="1"/>
    <x v="5"/>
    <x v="67"/>
    <x v="0"/>
  </r>
  <r>
    <x v="134"/>
    <x v="0"/>
    <s v="082196012509"/>
    <s v="0793830996"/>
    <s v="No"/>
    <m/>
    <s v="I’ll take the company bus"/>
    <m/>
    <s v="Amaris Consulting"/>
    <s v="Consultants"/>
    <s v="TRAN Thi Ha My"/>
    <s v="In"/>
    <x v="0"/>
    <n v="0"/>
    <n v="0"/>
    <n v="0"/>
    <n v="1"/>
    <x v="5"/>
    <x v="68"/>
    <x v="0"/>
  </r>
  <r>
    <x v="135"/>
    <x v="0"/>
    <s v="096197008684"/>
    <s v="0971732462"/>
    <s v="No"/>
    <m/>
    <s v="I’ll take the company bus"/>
    <m/>
    <s v="Amaris Consulting"/>
    <s v="Consultants"/>
    <s v="TRAN Thi Ha My"/>
    <s v="In"/>
    <x v="0"/>
    <n v="0"/>
    <n v="0"/>
    <n v="0"/>
    <n v="1"/>
    <x v="5"/>
    <x v="68"/>
    <x v="0"/>
  </r>
  <r>
    <x v="136"/>
    <x v="0"/>
    <s v="064096009158"/>
    <s v="0367776115"/>
    <s v="Yes"/>
    <s v="Nguyễn Thị Bích Duyên - Female - 05/08/1995"/>
    <s v="I’ll take the company bus"/>
    <m/>
    <s v="Amaris Consulting"/>
    <s v="Consultants"/>
    <s v="TRAN Thi Ha My"/>
    <s v="In"/>
    <x v="1"/>
    <n v="0"/>
    <n v="1"/>
    <n v="1"/>
    <n v="2"/>
    <x v="3"/>
    <x v="69"/>
    <x v="1"/>
  </r>
  <r>
    <x v="137"/>
    <x v="0"/>
    <s v="052092002529"/>
    <s v="0977794203"/>
    <s v="Yes"/>
    <s v="Nguyen Thi Viet Le - Female - 20/11/1997 - 049197010026"/>
    <s v="I’ll take the company bus"/>
    <m/>
    <s v="Amaris Consulting"/>
    <s v="Consultants"/>
    <s v="TRAN Thi Ha My"/>
    <s v="In"/>
    <x v="1"/>
    <n v="0"/>
    <n v="1"/>
    <n v="1"/>
    <n v="2"/>
    <x v="2"/>
    <x v="70"/>
    <x v="1"/>
  </r>
  <r>
    <x v="138"/>
    <x v="0"/>
    <s v="052092016286"/>
    <s v="0972326052"/>
    <s v="Yes"/>
    <s v="Lam Vi Phuong - Female - 25/05/1994 - 084194007540"/>
    <s v="I’ll take the company bus"/>
    <m/>
    <s v="Amaris Consulting"/>
    <s v="Consultants"/>
    <s v="TRAN Thi Ha My"/>
    <s v="In"/>
    <x v="1"/>
    <n v="0"/>
    <n v="1"/>
    <n v="1"/>
    <n v="2"/>
    <x v="2"/>
    <x v="71"/>
    <x v="1"/>
  </r>
  <r>
    <x v="139"/>
    <x v="0"/>
    <s v="051090016586"/>
    <s v="0988383049"/>
    <s v="Yes"/>
    <s v="1. Nguyen Thu Huyen - Female - 1991 - TBD_x000a_2. Nguyen Kha Han - Female - 2017 - TBD"/>
    <s v="I’ll take the company bus"/>
    <m/>
    <s v="Amaris Consulting"/>
    <s v="Consultants"/>
    <s v="HO Nguyen Hong Uyen"/>
    <s v="In"/>
    <x v="1"/>
    <n v="1"/>
    <n v="1"/>
    <n v="2"/>
    <n v="3"/>
    <x v="0"/>
    <x v="72"/>
    <x v="1"/>
  </r>
  <r>
    <x v="140"/>
    <x v="0"/>
    <s v="079085007940"/>
    <s v="0878886446"/>
    <s v="Yes"/>
    <s v="1. TRẦN THỊ KIM THUỶ Ngày sinh: 07/10/1998 CCCD: 079198004873 _x000a_2. NGUYỄN NGỌC KIM ANH Ngày sinh: 04/09/2022 CCCD: 079322018996 _x000a_3. NGUYỄN NGỌC TUỆ NHI Ngày sinh: 01/03/2024 CCCD: 079324006070"/>
    <s v="I’ll take the company bus"/>
    <m/>
    <s v="Amaris Consulting"/>
    <s v="Consultants"/>
    <s v="TRAN Thi Ha My"/>
    <s v="In"/>
    <x v="1"/>
    <n v="2"/>
    <n v="1"/>
    <n v="3"/>
    <n v="4"/>
    <x v="2"/>
    <x v="73"/>
    <x v="1"/>
  </r>
  <r>
    <x v="141"/>
    <x v="0"/>
    <s v="049092003884"/>
    <s v="0975193219"/>
    <s v="Yes"/>
    <s v="1. Lương Thị Lưu - Female - 06/03/1993 - 040193036578_x000a_2. Nguyễn Lương Hoàng Yến - Female - 19/10/2021 - 086321006062_x000a_3. Nguyễn Lương Thanh Thảo - Female -  06/03/2024 - 086324001119"/>
    <s v="I’ll take the company bus"/>
    <m/>
    <s v="Amaris Consulting"/>
    <s v="Consultants"/>
    <s v="TRAN Thi Ha My"/>
    <s v="In"/>
    <x v="1"/>
    <n v="2"/>
    <n v="1"/>
    <n v="3"/>
    <n v="4"/>
    <x v="2"/>
    <x v="74"/>
    <x v="1"/>
  </r>
  <r>
    <x v="142"/>
    <x v="0"/>
    <s v="049095015282"/>
    <s v="0386987100"/>
    <s v="Yes"/>
    <s v="1. Ung Thụy Song Quỳnh - Female - 11/11/1995 - 049195000151_x000a_2. Phạm Công Quang - Male - 26/05/2024 - 049224004390"/>
    <s v="I’ll take the company bus"/>
    <m/>
    <s v="Amaris Consulting"/>
    <s v="Consultants"/>
    <s v="TRAN Thi Ha My"/>
    <s v="In"/>
    <x v="1"/>
    <n v="1"/>
    <n v="1"/>
    <n v="2"/>
    <n v="3"/>
    <x v="2"/>
    <x v="75"/>
    <x v="1"/>
  </r>
  <r>
    <x v="143"/>
    <x v="0"/>
    <s v="079084023994"/>
    <s v="0909009984"/>
    <s v="Yes"/>
    <s v="Hồ Thị Minh Hoàng- Female-19/11/1984-046184001362"/>
    <s v="I’ll arrange my own transportation"/>
    <m/>
    <s v="Amaris Consulting"/>
    <s v="Consultants"/>
    <s v="TRAN Thi Ha My"/>
    <s v="In"/>
    <x v="1"/>
    <n v="0"/>
    <n v="1"/>
    <n v="1"/>
    <n v="2"/>
    <x v="4"/>
    <x v="76"/>
    <x v="1"/>
  </r>
  <r>
    <x v="144"/>
    <x v="0"/>
    <s v="079204009259"/>
    <s v="0834132707"/>
    <s v="No"/>
    <m/>
    <s v="I’ll arrange my own transportation"/>
    <m/>
    <s v="Amaris Consulting"/>
    <s v="Consultants"/>
    <s v="HOANG Thien"/>
    <s v="In"/>
    <x v="0"/>
    <n v="0"/>
    <n v="0"/>
    <n v="0"/>
    <n v="1"/>
    <x v="4"/>
    <x v="77"/>
    <x v="1"/>
  </r>
  <r>
    <x v="145"/>
    <x v="0"/>
    <s v="079200004309"/>
    <s v="0963357143"/>
    <s v="No"/>
    <m/>
    <s v="I’ll arrange my own transportation"/>
    <m/>
    <s v="Amaris Consulting"/>
    <s v="Consultants"/>
    <s v="LA Thuy My Hao"/>
    <s v="In"/>
    <x v="0"/>
    <n v="0"/>
    <n v="0"/>
    <n v="0"/>
    <n v="1"/>
    <x v="4"/>
    <x v="77"/>
    <x v="1"/>
  </r>
  <r>
    <x v="146"/>
    <x v="0"/>
    <s v="048097003639"/>
    <s v="0799010869"/>
    <s v="No"/>
    <m/>
    <s v="I’ll take the company bus"/>
    <m/>
    <s v="Amaris Consulting"/>
    <s v="Consultants"/>
    <s v="TRAN Thi Ha My"/>
    <s v="In"/>
    <x v="0"/>
    <n v="0"/>
    <n v="0"/>
    <n v="0"/>
    <n v="1"/>
    <x v="5"/>
    <x v="78"/>
    <x v="1"/>
  </r>
  <r>
    <x v="147"/>
    <x v="0"/>
    <s v="067094005805"/>
    <s v="0976551265"/>
    <s v="No"/>
    <m/>
    <s v="I’ll take the company bus"/>
    <m/>
    <s v="Amaris Consulting"/>
    <s v="Consultants"/>
    <s v="TRAN Thi Ha My"/>
    <s v="In"/>
    <x v="0"/>
    <n v="0"/>
    <n v="0"/>
    <n v="0"/>
    <n v="1"/>
    <x v="5"/>
    <x v="78"/>
    <x v="1"/>
  </r>
  <r>
    <x v="148"/>
    <x v="0"/>
    <s v="075203000646"/>
    <s v="0986245303"/>
    <s v="No"/>
    <m/>
    <s v="I’ll take the company bus"/>
    <m/>
    <s v="Human Resources"/>
    <s v="Compensation &amp; Benefits"/>
    <s v="CAP Kim Hoang"/>
    <s v="In"/>
    <x v="0"/>
    <n v="0"/>
    <n v="0"/>
    <n v="0"/>
    <n v="1"/>
    <x v="5"/>
    <x v="79"/>
    <x v="1"/>
  </r>
  <r>
    <x v="149"/>
    <x v="0"/>
    <s v="079201011530"/>
    <s v="0965654937"/>
    <s v="No"/>
    <m/>
    <s v="I’ll take the company bus"/>
    <m/>
    <s v="Human Resources"/>
    <s v="Compensation &amp; Benefits"/>
    <s v="CAP Kim Hoang"/>
    <s v="In"/>
    <x v="0"/>
    <n v="0"/>
    <n v="0"/>
    <n v="0"/>
    <n v="1"/>
    <x v="5"/>
    <x v="79"/>
    <x v="1"/>
  </r>
  <r>
    <x v="150"/>
    <x v="0"/>
    <s v="079203008685"/>
    <s v="0776932589"/>
    <s v="No"/>
    <m/>
    <s v="I’ll take the company bus"/>
    <m/>
    <s v="Human Resources"/>
    <s v="Compensation &amp; Benefits"/>
    <s v="CAP Kim Hoang"/>
    <s v="In"/>
    <x v="0"/>
    <n v="0"/>
    <n v="0"/>
    <n v="0"/>
    <n v="1"/>
    <x v="5"/>
    <x v="80"/>
    <x v="1"/>
  </r>
  <r>
    <x v="151"/>
    <x v="0"/>
    <s v="079096012234"/>
    <s v="0909120296"/>
    <s v="No"/>
    <m/>
    <s v="I’ll take the company bus"/>
    <s v="Team event cho Hào đi bus chung từ Bến Tre đến Cần Thơ nhé, chiều về Hào đi xe riêng. Cảm ơn mọi người!"/>
    <s v="Human Resources"/>
    <s v="People Operations"/>
    <s v="CAO Bao Tram"/>
    <s v="In"/>
    <x v="0"/>
    <n v="0"/>
    <n v="0"/>
    <n v="0"/>
    <n v="1"/>
    <x v="5"/>
    <x v="80"/>
    <x v="1"/>
  </r>
  <r>
    <x v="152"/>
    <x v="0"/>
    <s v="062195004991"/>
    <s v="0964455190"/>
    <s v="No"/>
    <m/>
    <s v="I’ll take the company bus"/>
    <s v="I wont take company bus on the depart day but i will take the return, pls help to count on me"/>
    <s v="Human Resources"/>
    <s v="Payroll Solutions"/>
    <s v="COMAS Mireille"/>
    <s v="In"/>
    <x v="0"/>
    <n v="0"/>
    <n v="0"/>
    <n v="0"/>
    <n v="1"/>
    <x v="5"/>
    <x v="81"/>
    <x v="0"/>
  </r>
  <r>
    <x v="153"/>
    <x v="0"/>
    <s v="077199007614"/>
    <s v="0778819618"/>
    <s v="No"/>
    <m/>
    <s v="I’ll take the company bus"/>
    <m/>
    <s v="Human Resources"/>
    <s v="People Operations"/>
    <s v="NGUYEN Thuc Hao"/>
    <s v="In"/>
    <x v="0"/>
    <n v="0"/>
    <n v="0"/>
    <n v="0"/>
    <n v="1"/>
    <x v="5"/>
    <x v="81"/>
    <x v="0"/>
  </r>
  <r>
    <x v="154"/>
    <x v="0"/>
    <s v="077302000543"/>
    <s v="0931231740"/>
    <s v="No"/>
    <m/>
    <s v="I’ll take the company bus"/>
    <m/>
    <s v="Human Resources"/>
    <s v="Compensation &amp; Benefits"/>
    <s v="CAP Kim Hoang"/>
    <s v="In"/>
    <x v="0"/>
    <n v="0"/>
    <n v="0"/>
    <n v="0"/>
    <n v="1"/>
    <x v="5"/>
    <x v="82"/>
    <x v="0"/>
  </r>
  <r>
    <x v="155"/>
    <x v="0"/>
    <s v="'048300007642"/>
    <s v="'0984060780"/>
    <s v="No"/>
    <m/>
    <s v="I’ll take the company bus"/>
    <s v="Dạ từ HCM -&gt; Bến Tre: em tự đi xe riêng. Từ Tiền Giang -&gt; HCM: em đi bus với cty nha. Em cảm ơn mn đã hỗ trợ"/>
    <s v="Human Resources"/>
    <s v="People Operations"/>
    <s v="NGUYEN Thuc Hao"/>
    <s v="In"/>
    <x v="0"/>
    <n v="0"/>
    <n v="0"/>
    <n v="0"/>
    <n v="1"/>
    <x v="5"/>
    <x v="82"/>
    <x v="0"/>
  </r>
  <r>
    <x v="156"/>
    <x v="0"/>
    <s v="064301004400"/>
    <s v="0961910015"/>
    <s v="No"/>
    <m/>
    <s v="I’ll take the company bus"/>
    <m/>
    <s v="Human Resources"/>
    <s v="People Analytics"/>
    <s v="NGUYEN Thai Bao"/>
    <s v="In"/>
    <x v="0"/>
    <n v="0"/>
    <n v="0"/>
    <n v="0"/>
    <n v="1"/>
    <x v="5"/>
    <x v="83"/>
    <x v="0"/>
  </r>
  <r>
    <x v="157"/>
    <x v="0"/>
    <s v="079193025094"/>
    <s v="+84901393648"/>
    <s v="No"/>
    <m/>
    <s v="I’ll take the company bus"/>
    <s v="I take company bus the way back only. "/>
    <s v="Human Resources"/>
    <s v="People Operations"/>
    <s v="RAYNAUD Claire"/>
    <s v="In"/>
    <x v="0"/>
    <n v="0"/>
    <n v="0"/>
    <n v="0"/>
    <n v="1"/>
    <x v="5"/>
    <x v="83"/>
    <x v="0"/>
  </r>
  <r>
    <x v="158"/>
    <x v="0"/>
    <s v="079197003545"/>
    <s v="0901936418"/>
    <s v="No"/>
    <m/>
    <s v="I’ll take the company bus"/>
    <m/>
    <s v="Amaris Consulting"/>
    <s v="Managers"/>
    <s v="NGUYEN Thai Ly"/>
    <s v="In"/>
    <x v="0"/>
    <n v="0"/>
    <n v="0"/>
    <n v="0"/>
    <n v="1"/>
    <x v="0"/>
    <x v="84"/>
    <x v="0"/>
  </r>
  <r>
    <x v="159"/>
    <x v="0"/>
    <s v="079197023976"/>
    <s v="0909324150"/>
    <s v="No"/>
    <m/>
    <s v="I’ll take the company bus"/>
    <m/>
    <s v="Amaris Consulting"/>
    <s v="Managers"/>
    <s v="NGUYEN Thai Ly"/>
    <s v="In"/>
    <x v="0"/>
    <n v="0"/>
    <n v="0"/>
    <n v="0"/>
    <n v="1"/>
    <x v="0"/>
    <x v="84"/>
    <x v="0"/>
  </r>
  <r>
    <x v="160"/>
    <x v="0"/>
    <s v="001188049157"/>
    <s v="0901401929"/>
    <s v="No"/>
    <m/>
    <s v="I’ll take the company bus"/>
    <m/>
    <s v="Amaris Consulting"/>
    <s v="Directors"/>
    <s v="THEVELIN Chloe"/>
    <s v="In"/>
    <x v="0"/>
    <n v="0"/>
    <n v="0"/>
    <n v="0"/>
    <n v="1"/>
    <x v="0"/>
    <x v="85"/>
    <x v="0"/>
  </r>
  <r>
    <x v="161"/>
    <x v="0"/>
    <s v="049192000750"/>
    <s v="0983068421"/>
    <s v="No"/>
    <m/>
    <s v="I’ll take the company bus"/>
    <m/>
    <s v="Amaris Consulting"/>
    <s v="Delivery"/>
    <s v="VU Thanh Hang"/>
    <s v="In"/>
    <x v="0"/>
    <n v="0"/>
    <n v="0"/>
    <n v="0"/>
    <n v="1"/>
    <x v="2"/>
    <x v="85"/>
    <x v="0"/>
  </r>
  <r>
    <x v="162"/>
    <x v="0"/>
    <s v="087190011453"/>
    <s v="0375225989"/>
    <s v="No"/>
    <m/>
    <s v="I’ll take the company bus"/>
    <m/>
    <s v="Amaris Consulting"/>
    <s v="Delivery"/>
    <s v="NGUYEN The Trinh"/>
    <s v="In"/>
    <x v="0"/>
    <n v="0"/>
    <n v="0"/>
    <n v="0"/>
    <n v="1"/>
    <x v="1"/>
    <x v="86"/>
    <x v="0"/>
  </r>
  <r>
    <x v="163"/>
    <x v="0"/>
    <s v="040195009694"/>
    <s v="0966272279"/>
    <s v="No"/>
    <m/>
    <s v="I’ll take the company bus"/>
    <m/>
    <s v="Amaris Consulting"/>
    <s v="Delivery"/>
    <s v="NGUYEN The Trinh"/>
    <s v="In"/>
    <x v="0"/>
    <n v="0"/>
    <n v="0"/>
    <n v="0"/>
    <n v="1"/>
    <x v="2"/>
    <x v="86"/>
    <x v="0"/>
  </r>
  <r>
    <x v="164"/>
    <x v="0"/>
    <s v="008193007229"/>
    <s v="0559852579"/>
    <s v="No"/>
    <m/>
    <s v="I’ll take the company bus"/>
    <m/>
    <n v="76777"/>
    <s v="Managers"/>
    <s v="NGUYEN Duc Quy"/>
    <s v="In"/>
    <x v="0"/>
    <n v="0"/>
    <n v="0"/>
    <n v="0"/>
    <n v="1"/>
    <x v="3"/>
    <x v="87"/>
    <x v="0"/>
  </r>
  <r>
    <x v="165"/>
    <x v="0"/>
    <s v="031198014430"/>
    <s v="0901857690"/>
    <s v="No"/>
    <m/>
    <s v="I’ll take the company bus"/>
    <m/>
    <s v="Amaris Consulting"/>
    <s v="Managers"/>
    <s v="NGUYEN Duc Quy"/>
    <s v="In"/>
    <x v="0"/>
    <n v="0"/>
    <n v="0"/>
    <n v="0"/>
    <n v="1"/>
    <x v="5"/>
    <x v="87"/>
    <x v="0"/>
  </r>
  <r>
    <x v="166"/>
    <x v="0"/>
    <s v="079300041083"/>
    <s v="0778605436"/>
    <s v="No"/>
    <m/>
    <s v="I’ll take the company bus"/>
    <m/>
    <s v="Amaris Consulting"/>
    <s v="Consultants"/>
    <s v="HUYNH Minh Khoi"/>
    <s v="In"/>
    <x v="0"/>
    <n v="0"/>
    <n v="0"/>
    <n v="0"/>
    <n v="1"/>
    <x v="3"/>
    <x v="88"/>
    <x v="0"/>
  </r>
  <r>
    <x v="167"/>
    <x v="0"/>
    <s v="049303014137"/>
    <s v="+84868772661"/>
    <s v="No"/>
    <m/>
    <s v="I’ll take the company bus"/>
    <m/>
    <s v="Amaris Consulting"/>
    <s v="Consulting Talent Acquisition"/>
    <s v="PHAM Thai An"/>
    <s v="In"/>
    <x v="0"/>
    <n v="0"/>
    <n v="0"/>
    <n v="0"/>
    <n v="1"/>
    <x v="6"/>
    <x v="88"/>
    <x v="0"/>
  </r>
  <r>
    <x v="168"/>
    <x v="0"/>
    <s v="077097008033"/>
    <s v="0979040971"/>
    <s v="No"/>
    <m/>
    <s v="I’ll take the company bus"/>
    <m/>
    <s v="Amaris Consulting"/>
    <s v="Managers"/>
    <s v="NGUYEN Thai Ly"/>
    <s v="In"/>
    <x v="0"/>
    <n v="0"/>
    <n v="0"/>
    <n v="0"/>
    <n v="1"/>
    <x v="0"/>
    <x v="89"/>
    <x v="1"/>
  </r>
  <r>
    <x v="169"/>
    <x v="0"/>
    <s v="079076006834"/>
    <s v="0913676060"/>
    <s v="No"/>
    <m/>
    <s v="I’ll take the company bus"/>
    <m/>
    <s v="Amaris Consulting"/>
    <s v="Delivery"/>
    <s v="GALLOT Brice"/>
    <s v="In"/>
    <x v="0"/>
    <n v="0"/>
    <n v="0"/>
    <n v="0"/>
    <n v="1"/>
    <x v="6"/>
    <x v="89"/>
    <x v="1"/>
  </r>
  <r>
    <x v="170"/>
    <x v="0"/>
    <s v="079093042207"/>
    <s v="0937756145"/>
    <s v="No"/>
    <m/>
    <s v="I’ll arrange my own transportation"/>
    <m/>
    <s v="Information Technology"/>
    <s v="System &amp; Network"/>
    <s v="SIOUDI Mohamed Amine"/>
    <s v="In"/>
    <x v="0"/>
    <n v="0"/>
    <n v="0"/>
    <n v="0"/>
    <n v="1"/>
    <x v="4"/>
    <x v="90"/>
    <x v="1"/>
  </r>
  <r>
    <x v="171"/>
    <x v="0"/>
    <s v="079091022899"/>
    <s v="0987646085"/>
    <s v="No"/>
    <m/>
    <s v="I’ll arrange my own transportation"/>
    <m/>
    <s v="Information Technology"/>
    <s v="Help Desk"/>
    <s v="MATEI Aurel-George"/>
    <s v="In"/>
    <x v="0"/>
    <n v="0"/>
    <n v="0"/>
    <n v="0"/>
    <n v="1"/>
    <x v="4"/>
    <x v="90"/>
    <x v="1"/>
  </r>
  <r>
    <x v="172"/>
    <x v="0"/>
    <s v="079092012567"/>
    <s v="0972708318"/>
    <s v="Yes"/>
    <s v="1. Truong Ngoc Tinh Anh - 10/12/1993 - 060193015462_x000a_2. Phan Nhat Thien Dang - 28/11/2023 - 079223047176"/>
    <s v="I’ll arrange my own transportation"/>
    <m/>
    <s v="Information Technology"/>
    <s v="Software Engineering"/>
    <s v="DUQUESNAY Guillaume"/>
    <s v="In"/>
    <x v="1"/>
    <n v="1"/>
    <n v="1"/>
    <n v="2"/>
    <n v="3"/>
    <x v="4"/>
    <x v="91"/>
    <x v="1"/>
  </r>
  <r>
    <x v="173"/>
    <x v="0"/>
    <s v="079302023454"/>
    <s v="0902912836"/>
    <s v="No"/>
    <m/>
    <s v="I’ll take the company bus"/>
    <m/>
    <s v="Administrative &amp; Finance"/>
    <s v="Financial Business Controlling"/>
    <s v="PHAN Thi Ha Trang"/>
    <s v="In"/>
    <x v="0"/>
    <n v="0"/>
    <n v="0"/>
    <n v="0"/>
    <n v="1"/>
    <x v="7"/>
    <x v="92"/>
    <x v="0"/>
  </r>
  <r>
    <x v="174"/>
    <x v="0"/>
    <s v="095304000809"/>
    <s v="0941219254"/>
    <s v="No"/>
    <m/>
    <s v="I’ll take the company bus"/>
    <m/>
    <s v="Administrative &amp; Finance"/>
    <s v="Financial Business Controlling"/>
    <s v="RAVAIOLI Filippo"/>
    <s v="In"/>
    <x v="0"/>
    <n v="0"/>
    <n v="0"/>
    <n v="0"/>
    <n v="1"/>
    <x v="7"/>
    <x v="92"/>
    <x v="0"/>
  </r>
  <r>
    <x v="175"/>
    <x v="0"/>
    <s v="095190000250"/>
    <s v="0934831283"/>
    <s v="No"/>
    <m/>
    <s v="I’ll take the company bus"/>
    <m/>
    <s v="Real Estate and Support Services"/>
    <s v="Office Facillity Management"/>
    <s v="NGUYEN The Trinh"/>
    <s v="In"/>
    <x v="0"/>
    <n v="0"/>
    <n v="0"/>
    <n v="0"/>
    <n v="1"/>
    <x v="7"/>
    <x v="93"/>
    <x v="0"/>
  </r>
  <r>
    <x v="176"/>
    <x v="0"/>
    <s v="066304003315"/>
    <s v="0345814997"/>
    <s v="No"/>
    <m/>
    <s v="I’ll take the company bus"/>
    <m/>
    <s v="Administrative &amp; Finance"/>
    <s v="Group Accounting"/>
    <s v="NGUYEN Vu Phuong Uyen"/>
    <s v="In"/>
    <x v="0"/>
    <n v="0"/>
    <n v="0"/>
    <n v="0"/>
    <n v="1"/>
    <x v="7"/>
    <x v="93"/>
    <x v="0"/>
  </r>
  <r>
    <x v="177"/>
    <x v="0"/>
    <s v="060303003328"/>
    <s v="0947047885"/>
    <s v="No"/>
    <m/>
    <s v="I’ll take the company bus"/>
    <s v="I’m allergic to beef"/>
    <s v="Administrative &amp; Finance"/>
    <s v="Financial Business Controlling"/>
    <s v="BUI Quang Hung"/>
    <s v="In"/>
    <x v="0"/>
    <n v="0"/>
    <n v="0"/>
    <n v="0"/>
    <n v="1"/>
    <x v="7"/>
    <x v="94"/>
    <x v="0"/>
  </r>
  <r>
    <x v="178"/>
    <x v="0"/>
    <s v="048198002437"/>
    <s v="0335767961"/>
    <s v="No"/>
    <m/>
    <s v="I’ll take the company bus"/>
    <m/>
    <s v="Administrative &amp; Finance"/>
    <s v="Operational Finance"/>
    <s v="DUTERTRE Geoffrey"/>
    <s v="In"/>
    <x v="0"/>
    <n v="0"/>
    <n v="0"/>
    <n v="0"/>
    <n v="1"/>
    <x v="7"/>
    <x v="94"/>
    <x v="0"/>
  </r>
  <r>
    <x v="179"/>
    <x v="0"/>
    <s v="066304009657"/>
    <s v="0917810796"/>
    <s v="No"/>
    <m/>
    <s v="I’ll take the company bus"/>
    <m/>
    <s v="Administrative &amp; Finance"/>
    <s v="Financial Business Controlling"/>
    <s v="BUI Quang Hung"/>
    <s v="In"/>
    <x v="0"/>
    <n v="0"/>
    <n v="0"/>
    <n v="0"/>
    <n v="1"/>
    <x v="7"/>
    <x v="95"/>
    <x v="0"/>
  </r>
  <r>
    <x v="180"/>
    <x v="0"/>
    <s v="077304002316"/>
    <s v="0971917272"/>
    <s v="No"/>
    <m/>
    <s v="I’ll take the company bus"/>
    <m/>
    <s v="Administrative &amp; Finance"/>
    <s v="Financial Business Controlling"/>
    <s v="BUI Quang Hung"/>
    <s v="In"/>
    <x v="0"/>
    <n v="0"/>
    <n v="0"/>
    <n v="0"/>
    <n v="1"/>
    <x v="7"/>
    <x v="95"/>
    <x v="0"/>
  </r>
  <r>
    <x v="181"/>
    <x v="0"/>
    <s v="079304008486"/>
    <s v="0933557924"/>
    <s v="No"/>
    <m/>
    <s v="I’ll take the company bus"/>
    <m/>
    <s v="Administrative &amp; Finance"/>
    <s v="Financial Business Controlling"/>
    <s v="BUI Quang Hung"/>
    <s v="In"/>
    <x v="0"/>
    <n v="0"/>
    <n v="0"/>
    <n v="0"/>
    <n v="1"/>
    <x v="7"/>
    <x v="96"/>
    <x v="0"/>
  </r>
  <r>
    <x v="182"/>
    <x v="0"/>
    <s v="077304005352"/>
    <s v="0917827457"/>
    <s v="No"/>
    <m/>
    <s v="I’ll take the company bus"/>
    <m/>
    <s v="Administrative &amp; Finance"/>
    <s v="Financial Business Controlling"/>
    <s v="BUI Quang Hung"/>
    <s v="In"/>
    <x v="0"/>
    <n v="0"/>
    <n v="0"/>
    <n v="0"/>
    <n v="1"/>
    <x v="7"/>
    <x v="96"/>
    <x v="0"/>
  </r>
  <r>
    <x v="183"/>
    <x v="0"/>
    <s v="079302030108"/>
    <s v="0868120502"/>
    <s v="No"/>
    <m/>
    <s v="I’ll take the company bus"/>
    <m/>
    <s v="Administrative &amp; Finance"/>
    <s v="Group &amp; Corporate Controlling"/>
    <s v="BUI Thi Ngoc Minh"/>
    <s v="In"/>
    <x v="0"/>
    <n v="0"/>
    <n v="0"/>
    <n v="0"/>
    <n v="1"/>
    <x v="7"/>
    <x v="97"/>
    <x v="0"/>
  </r>
  <r>
    <x v="184"/>
    <x v="0"/>
    <s v="034300013120"/>
    <s v="0986555347"/>
    <s v="No"/>
    <m/>
    <s v="I’ll take the company bus"/>
    <m/>
    <s v="Administrative &amp; Finance"/>
    <s v="Group &amp; Corporate Controlling"/>
    <s v="BUI Thi Ngoc Minh"/>
    <s v="In"/>
    <x v="0"/>
    <n v="0"/>
    <n v="0"/>
    <n v="0"/>
    <n v="1"/>
    <x v="7"/>
    <x v="97"/>
    <x v="0"/>
  </r>
  <r>
    <x v="185"/>
    <x v="0"/>
    <s v="051198007784"/>
    <s v="0356703207"/>
    <s v="No"/>
    <m/>
    <s v="I’ll take the company bus"/>
    <m/>
    <s v="Administrative &amp; Finance"/>
    <s v="Financial Business Controlling"/>
    <s v="ALSHABANI Anas"/>
    <s v="In"/>
    <x v="0"/>
    <n v="0"/>
    <n v="0"/>
    <n v="0"/>
    <n v="1"/>
    <x v="7"/>
    <x v="98"/>
    <x v="0"/>
  </r>
  <r>
    <x v="186"/>
    <x v="0"/>
    <s v="079195029833"/>
    <s v="0765217394"/>
    <s v="No"/>
    <m/>
    <s v="I’ll take the company bus"/>
    <m/>
    <s v="Administrative &amp; Finance"/>
    <s v="Group Accounting"/>
    <s v="PHAM Hoang Phuc"/>
    <s v="In"/>
    <x v="0"/>
    <n v="0"/>
    <n v="0"/>
    <n v="0"/>
    <n v="1"/>
    <x v="7"/>
    <x v="98"/>
    <x v="0"/>
  </r>
  <r>
    <x v="187"/>
    <x v="0"/>
    <s v="045302005235"/>
    <s v="0824988225"/>
    <s v="No"/>
    <m/>
    <s v="I’ll take the company bus"/>
    <m/>
    <s v="Administrative &amp; Finance"/>
    <s v="Financial Business Controlling"/>
    <s v="NGUYEN The Anh"/>
    <s v="In"/>
    <x v="0"/>
    <n v="0"/>
    <n v="0"/>
    <n v="0"/>
    <n v="1"/>
    <x v="7"/>
    <x v="99"/>
    <x v="0"/>
  </r>
  <r>
    <x v="188"/>
    <x v="0"/>
    <s v="066303001193"/>
    <s v="0971993024"/>
    <s v="No"/>
    <m/>
    <s v="I’ll take the company bus"/>
    <m/>
    <s v="Administrative &amp; Finance"/>
    <s v="Financial Business Controlling"/>
    <s v="RAVAIOLI Filippo"/>
    <s v="In"/>
    <x v="0"/>
    <n v="0"/>
    <n v="0"/>
    <n v="0"/>
    <n v="1"/>
    <x v="7"/>
    <x v="99"/>
    <x v="0"/>
  </r>
  <r>
    <x v="189"/>
    <x v="0"/>
    <s v="079303023390"/>
    <s v="0828740008"/>
    <s v="No"/>
    <m/>
    <s v="I’ll take the company bus"/>
    <m/>
    <s v="Administrative &amp; Finance"/>
    <s v="Financial Business Controlling"/>
    <s v="RAVAIOLI Filippo"/>
    <s v="In"/>
    <x v="0"/>
    <n v="0"/>
    <n v="0"/>
    <n v="0"/>
    <n v="1"/>
    <x v="7"/>
    <x v="100"/>
    <x v="0"/>
  </r>
  <r>
    <x v="190"/>
    <x v="0"/>
    <s v="052303001134"/>
    <s v="0394301209"/>
    <s v="No"/>
    <m/>
    <s v="I’ll take the company bus"/>
    <m/>
    <s v="Administrative &amp; Finance"/>
    <s v="Financial Business Controlling"/>
    <s v="VO Xuan Hung"/>
    <s v="In"/>
    <x v="0"/>
    <n v="0"/>
    <n v="0"/>
    <n v="0"/>
    <n v="1"/>
    <x v="7"/>
    <x v="100"/>
    <x v="0"/>
  </r>
  <r>
    <x v="191"/>
    <x v="0"/>
    <s v="031303000776"/>
    <s v="0393991003"/>
    <s v="No"/>
    <m/>
    <s v="I’ll take the company bus"/>
    <m/>
    <s v="Administrative &amp; Finance"/>
    <s v="Financial Business Controlling"/>
    <s v="NGUYEN The Anh"/>
    <s v="In"/>
    <x v="0"/>
    <n v="0"/>
    <n v="0"/>
    <n v="0"/>
    <n v="1"/>
    <x v="7"/>
    <x v="101"/>
    <x v="0"/>
  </r>
  <r>
    <x v="192"/>
    <x v="0"/>
    <s v="060303007588"/>
    <s v="0835255477"/>
    <s v="No"/>
    <m/>
    <s v="I’ll take the company bus"/>
    <m/>
    <s v="Administrative &amp; Finance"/>
    <s v="Financial Business Controlling"/>
    <s v="PHAN Thi Ha Trang"/>
    <s v="In"/>
    <x v="0"/>
    <n v="0"/>
    <n v="0"/>
    <n v="0"/>
    <n v="1"/>
    <x v="7"/>
    <x v="101"/>
    <x v="0"/>
  </r>
  <r>
    <x v="193"/>
    <x v="0"/>
    <s v="077198000661"/>
    <s v="0933655795"/>
    <s v="No"/>
    <m/>
    <s v="I’ll take the company bus"/>
    <m/>
    <s v="Administrative &amp; Finance"/>
    <s v="Financial Business Controlling"/>
    <s v="CHECROUN Juliette"/>
    <s v="In"/>
    <x v="0"/>
    <n v="0"/>
    <n v="0"/>
    <n v="0"/>
    <n v="1"/>
    <x v="7"/>
    <x v="102"/>
    <x v="0"/>
  </r>
  <r>
    <x v="194"/>
    <x v="0"/>
    <s v="079198036919"/>
    <s v="0903376980"/>
    <s v="No"/>
    <m/>
    <s v="I’ll take the company bus"/>
    <s v="food allergy - all types of fish"/>
    <s v="Administrative &amp; Finance"/>
    <s v="Financial Business Controlling"/>
    <s v="NGUYEN Tran Phuong Phuong"/>
    <s v="In"/>
    <x v="0"/>
    <n v="0"/>
    <n v="0"/>
    <n v="0"/>
    <n v="1"/>
    <x v="7"/>
    <x v="102"/>
    <x v="0"/>
  </r>
  <r>
    <x v="195"/>
    <x v="0"/>
    <s v="079199001035"/>
    <s v="0906982803"/>
    <s v="Yes"/>
    <s v="Nguyen The Anh - Male - 21/07/2000 - 040200000125"/>
    <s v="I’ll take the company bus"/>
    <m/>
    <s v="Administrative &amp; Finance"/>
    <s v="Financial Business Controlling"/>
    <s v="HERNANDEZ Laurine"/>
    <s v="In"/>
    <x v="1"/>
    <n v="0"/>
    <n v="1"/>
    <n v="1"/>
    <n v="2"/>
    <x v="7"/>
    <x v="103"/>
    <x v="0"/>
  </r>
  <r>
    <x v="196"/>
    <x v="0"/>
    <s v="060099008043"/>
    <s v="0933726329"/>
    <s v="No"/>
    <m/>
    <s v="I’ll take the company bus"/>
    <m/>
    <s v="Administrative &amp; Finance"/>
    <s v="Group &amp; Corporate Controlling"/>
    <s v="BUI Thi Ngoc Minh"/>
    <s v="In"/>
    <x v="0"/>
    <n v="0"/>
    <n v="0"/>
    <n v="0"/>
    <n v="1"/>
    <x v="7"/>
    <x v="104"/>
    <x v="1"/>
  </r>
  <r>
    <x v="197"/>
    <x v="0"/>
    <s v="070093006594"/>
    <s v="0909321830"/>
    <s v="No"/>
    <m/>
    <s v="I’ll take the company bus"/>
    <m/>
    <s v="Administrative &amp; Finance"/>
    <s v="Finance Operations"/>
    <s v="SEMERADT Corinne"/>
    <s v="In"/>
    <x v="0"/>
    <n v="0"/>
    <n v="0"/>
    <n v="0"/>
    <n v="1"/>
    <x v="7"/>
    <x v="104"/>
    <x v="1"/>
  </r>
  <r>
    <x v="198"/>
    <x v="0"/>
    <s v="077097003655"/>
    <s v="0355327017"/>
    <s v="No"/>
    <m/>
    <s v="I’ll take the company bus"/>
    <m/>
    <s v="Administrative &amp; Finance"/>
    <s v="Group &amp; Corporate Controlling"/>
    <s v="CATEL Agnès"/>
    <s v="In"/>
    <x v="0"/>
    <n v="0"/>
    <n v="0"/>
    <n v="0"/>
    <n v="1"/>
    <x v="7"/>
    <x v="105"/>
    <x v="1"/>
  </r>
  <r>
    <x v="199"/>
    <x v="0"/>
    <s v="079096020132"/>
    <s v="0917923778"/>
    <s v="No"/>
    <m/>
    <s v="I’ll take the company bus"/>
    <m/>
    <s v="Administrative &amp; Finance"/>
    <s v="Group Accounting"/>
    <s v="NGUYEN Vu Phuong Uyen"/>
    <s v="In"/>
    <x v="0"/>
    <n v="0"/>
    <n v="0"/>
    <n v="0"/>
    <n v="1"/>
    <x v="7"/>
    <x v="105"/>
    <x v="1"/>
  </r>
  <r>
    <x v="200"/>
    <x v="0"/>
    <s v="079086003000"/>
    <s v="0903177922"/>
    <s v="No"/>
    <m/>
    <s v="I’ll take the company bus"/>
    <m/>
    <s v="Administrative &amp; Finance"/>
    <s v="Finance Operations"/>
    <s v="DE LACOMBE Romain"/>
    <s v="In"/>
    <x v="0"/>
    <n v="0"/>
    <n v="0"/>
    <n v="0"/>
    <n v="1"/>
    <x v="7"/>
    <x v="106"/>
    <x v="1"/>
  </r>
  <r>
    <x v="201"/>
    <x v="0"/>
    <s v="074092001617"/>
    <s v="0944234096"/>
    <s v="No"/>
    <m/>
    <s v="I’ll take the company bus"/>
    <m/>
    <s v="Administrative &amp; Finance"/>
    <s v="Finance Operations"/>
    <s v="XIA Shuang"/>
    <s v="In"/>
    <x v="0"/>
    <n v="0"/>
    <n v="0"/>
    <n v="0"/>
    <n v="1"/>
    <x v="7"/>
    <x v="106"/>
    <x v="1"/>
  </r>
  <r>
    <x v="202"/>
    <x v="0"/>
    <s v="054204000568"/>
    <s v="0377887851"/>
    <s v="No"/>
    <m/>
    <s v="I’ll take the company bus"/>
    <s v="No spicy"/>
    <s v="Administrative &amp; Finance"/>
    <s v="Financial Business Controlling"/>
    <s v="BUI Quang Hung"/>
    <s v="In"/>
    <x v="0"/>
    <n v="0"/>
    <n v="0"/>
    <n v="0"/>
    <n v="1"/>
    <x v="7"/>
    <x v="107"/>
    <x v="1"/>
  </r>
  <r>
    <x v="203"/>
    <x v="0"/>
    <s v="'079202030875"/>
    <s v="'0902788713"/>
    <s v="No"/>
    <m/>
    <s v="I’ll take the company bus"/>
    <m/>
    <s v="Administrative &amp; Finance"/>
    <s v="Financial Business Controlling"/>
    <s v="BUI Thi Ngoc Minh"/>
    <s v="In"/>
    <x v="0"/>
    <n v="0"/>
    <n v="0"/>
    <n v="0"/>
    <n v="1"/>
    <x v="7"/>
    <x v="107"/>
    <x v="1"/>
  </r>
  <r>
    <x v="204"/>
    <x v="0"/>
    <s v="25HD56242"/>
    <s v="0902411648"/>
    <s v="No"/>
    <m/>
    <s v="I’ll take the company bus"/>
    <m/>
    <s v="Administrative &amp; Finance"/>
    <s v="Operational Finance"/>
    <s v="DE LACOMBE Romain"/>
    <s v="In"/>
    <x v="0"/>
    <n v="0"/>
    <n v="0"/>
    <n v="0"/>
    <n v="1"/>
    <x v="7"/>
    <x v="108"/>
    <x v="1"/>
  </r>
  <r>
    <x v="205"/>
    <x v="0"/>
    <s v="22IK50629"/>
    <s v="0902612360"/>
    <s v="No"/>
    <m/>
    <s v="I’ll take the company bus"/>
    <m/>
    <s v="Amaris Consulting"/>
    <s v="Presales"/>
    <s v="JOLLIOT Marie-Benoîte"/>
    <s v="In"/>
    <x v="0"/>
    <n v="0"/>
    <n v="0"/>
    <n v="0"/>
    <n v="1"/>
    <x v="6"/>
    <x v="108"/>
    <x v="1"/>
  </r>
  <r>
    <x v="206"/>
    <x v="0"/>
    <s v="079202015216"/>
    <s v="0812900824"/>
    <s v="No"/>
    <m/>
    <s v="I’ll take the company bus"/>
    <m/>
    <s v="Information Technology"/>
    <s v="Product Management"/>
    <s v="LIM Chee Kiat"/>
    <s v="In"/>
    <x v="0"/>
    <n v="0"/>
    <n v="0"/>
    <n v="0"/>
    <n v="1"/>
    <x v="6"/>
    <x v="109"/>
    <x v="1"/>
  </r>
  <r>
    <x v="207"/>
    <x v="0"/>
    <s v="068203012626"/>
    <s v="0985291931"/>
    <s v="No"/>
    <m/>
    <s v="I’ll take the company bus"/>
    <s v="I am allergic to seafood and eggs"/>
    <s v="Amaris Consulting"/>
    <s v="Consulting Talent Acquisition"/>
    <s v="NGUYEN Hoang Bich Tran"/>
    <s v="In"/>
    <x v="0"/>
    <n v="0"/>
    <n v="0"/>
    <n v="0"/>
    <n v="1"/>
    <x v="6"/>
    <x v="109"/>
    <x v="1"/>
  </r>
  <r>
    <x v="208"/>
    <x v="0"/>
    <s v="079097016581"/>
    <s v="0942229030"/>
    <s v="No"/>
    <m/>
    <s v="I’ll take the company bus"/>
    <m/>
    <s v="Information Technology"/>
    <s v="Product Management"/>
    <s v="DUQUESNAY Guillaume"/>
    <s v="In"/>
    <x v="0"/>
    <n v="0"/>
    <n v="0"/>
    <n v="0"/>
    <n v="1"/>
    <x v="6"/>
    <x v="110"/>
    <x v="1"/>
  </r>
  <r>
    <x v="209"/>
    <x v="0"/>
    <s v="17EH77400"/>
    <s v="+33679194344"/>
    <s v="No"/>
    <m/>
    <s v="I’ll take the company bus"/>
    <m/>
    <s v="Information Technology"/>
    <s v="Product Management"/>
    <s v="LIM Chee Kiat"/>
    <s v="In"/>
    <x v="0"/>
    <n v="0"/>
    <n v="0"/>
    <n v="0"/>
    <n v="1"/>
    <x v="6"/>
    <x v="110"/>
    <x v="1"/>
  </r>
  <r>
    <x v="210"/>
    <x v="0"/>
    <s v="051202007260"/>
    <s v="0943527674"/>
    <s v="No"/>
    <m/>
    <s v="I’ll take the company bus"/>
    <m/>
    <s v="Information Technology"/>
    <s v="Telephony"/>
    <s v="MAI Tan Ha"/>
    <s v="In"/>
    <x v="0"/>
    <n v="0"/>
    <n v="0"/>
    <n v="0"/>
    <n v="1"/>
    <x v="6"/>
    <x v="111"/>
    <x v="1"/>
  </r>
  <r>
    <x v="211"/>
    <x v="0"/>
    <s v="075200000345"/>
    <s v="0339526385"/>
    <s v="No"/>
    <m/>
    <s v="I’ll take the company bus"/>
    <m/>
    <s v="Information Technology"/>
    <s v="System &amp; Network"/>
    <s v="SIOUDI Mohamed Amine"/>
    <s v="In"/>
    <x v="0"/>
    <n v="0"/>
    <n v="0"/>
    <n v="0"/>
    <n v="1"/>
    <x v="6"/>
    <x v="111"/>
    <x v="1"/>
  </r>
  <r>
    <x v="212"/>
    <x v="0"/>
    <s v="079203005175"/>
    <s v="0968412361"/>
    <s v="No"/>
    <m/>
    <s v="I’ll take the company bus"/>
    <m/>
    <s v="Information Technology"/>
    <s v="Help Desk"/>
    <s v="NGO Ngoc Nam"/>
    <s v="In"/>
    <x v="0"/>
    <n v="0"/>
    <n v="0"/>
    <n v="0"/>
    <n v="1"/>
    <x v="6"/>
    <x v="112"/>
    <x v="1"/>
  </r>
  <r>
    <x v="213"/>
    <x v="0"/>
    <s v="074093002317"/>
    <s v="0906 406 613 "/>
    <s v="No"/>
    <m/>
    <s v="I’ll take the company bus"/>
    <m/>
    <s v="Information Technology"/>
    <s v="Help Desk"/>
    <s v="NGO Ngoc Nam"/>
    <s v="In"/>
    <x v="0"/>
    <n v="0"/>
    <n v="0"/>
    <n v="0"/>
    <n v="1"/>
    <x v="6"/>
    <x v="112"/>
    <x v="1"/>
  </r>
  <r>
    <x v="214"/>
    <x v="0"/>
    <s v="056079000075"/>
    <s v="0974674081"/>
    <s v="No"/>
    <m/>
    <s v="I’ll take the company bus"/>
    <m/>
    <s v="Amaris Consulting"/>
    <s v="Delivery"/>
    <s v="NGUYEN Trung Hieu"/>
    <s v="In"/>
    <x v="0"/>
    <n v="0"/>
    <n v="0"/>
    <n v="0"/>
    <n v="1"/>
    <x v="6"/>
    <x v="113"/>
    <x v="1"/>
  </r>
  <r>
    <x v="215"/>
    <x v="0"/>
    <s v="079202019928"/>
    <s v="0898313181"/>
    <s v="No"/>
    <m/>
    <s v="I’ll take the company bus"/>
    <m/>
    <s v="ACT"/>
    <s v="ACT Sales &amp; Pre-sales"/>
    <s v="MAVANI Amit"/>
    <s v="In"/>
    <x v="0"/>
    <n v="0"/>
    <n v="0"/>
    <n v="0"/>
    <n v="1"/>
    <x v="6"/>
    <x v="113"/>
    <x v="1"/>
  </r>
  <r>
    <x v="216"/>
    <x v="0"/>
    <s v="079193009931"/>
    <s v="0909083103"/>
    <s v="No"/>
    <m/>
    <s v="I’ll take the company bus"/>
    <m/>
    <s v="Marketing &amp; Conversation"/>
    <s v="Design"/>
    <s v="SANTANA Zulema"/>
    <s v="In"/>
    <x v="0"/>
    <n v="0"/>
    <n v="0"/>
    <n v="0"/>
    <n v="1"/>
    <x v="6"/>
    <x v="114"/>
    <x v="0"/>
  </r>
  <r>
    <x v="217"/>
    <x v="0"/>
    <s v="079193040594"/>
    <s v="0931439977"/>
    <s v="No"/>
    <m/>
    <s v="I’ll take the company bus"/>
    <m/>
    <s v="Marketing &amp; Conversation"/>
    <s v="Design"/>
    <s v="SANTANA Zulema"/>
    <s v="In"/>
    <x v="0"/>
    <n v="0"/>
    <n v="0"/>
    <n v="0"/>
    <n v="1"/>
    <x v="6"/>
    <x v="114"/>
    <x v="0"/>
  </r>
  <r>
    <x v="218"/>
    <x v="0"/>
    <s v="079 303 003 034"/>
    <s v="0903 175 838"/>
    <s v="No"/>
    <m/>
    <s v="I’ll take the company bus"/>
    <m/>
    <s v="Amaris Consulting"/>
    <s v="Consulting Talent Acquisition"/>
    <s v="NGUYEN Hoang Bich Tran"/>
    <s v="In"/>
    <x v="0"/>
    <n v="0"/>
    <n v="0"/>
    <n v="0"/>
    <n v="1"/>
    <x v="6"/>
    <x v="115"/>
    <x v="0"/>
  </r>
  <r>
    <x v="219"/>
    <x v="0"/>
    <s v="064304011457"/>
    <s v="0905435679"/>
    <s v="No"/>
    <m/>
    <s v="I’ll take the company bus"/>
    <m/>
    <s v="Amaris Consulting"/>
    <s v="Consulting Talent Acquisition"/>
    <s v="NGUYEN Hoang Bich Tran"/>
    <s v="In"/>
    <x v="0"/>
    <n v="0"/>
    <n v="0"/>
    <n v="0"/>
    <n v="1"/>
    <x v="6"/>
    <x v="115"/>
    <x v="0"/>
  </r>
  <r>
    <x v="220"/>
    <x v="0"/>
    <s v="082196015477"/>
    <s v="0984016140"/>
    <s v="No"/>
    <m/>
    <s v="I’ll take the company bus"/>
    <m/>
    <s v="Amaris Consulting"/>
    <s v="Consulting Talent Acquisition"/>
    <s v="GUILLOTON Eve"/>
    <s v="In"/>
    <x v="0"/>
    <n v="0"/>
    <n v="0"/>
    <n v="0"/>
    <n v="1"/>
    <x v="6"/>
    <x v="116"/>
    <x v="0"/>
  </r>
  <r>
    <x v="221"/>
    <x v="0"/>
    <s v="079302019770"/>
    <s v="0708319701"/>
    <s v="No"/>
    <m/>
    <s v="I’ll take the company bus"/>
    <m/>
    <s v="Amaris Consulting"/>
    <s v="Consulting Talent Acquisition"/>
    <s v="NGUYEN Ho Khanh Vy"/>
    <s v="In"/>
    <x v="0"/>
    <n v="0"/>
    <n v="0"/>
    <n v="0"/>
    <n v="1"/>
    <x v="6"/>
    <x v="116"/>
    <x v="0"/>
  </r>
  <r>
    <x v="222"/>
    <x v="0"/>
    <s v="079301005911"/>
    <s v="0327649437"/>
    <s v="No"/>
    <m/>
    <s v="I’ll take the company bus"/>
    <m/>
    <s v="Amaris Consulting"/>
    <s v="Consulting Talent Acquisition"/>
    <s v="HONG Nguyen Tu Nhi"/>
    <s v="In"/>
    <x v="0"/>
    <n v="0"/>
    <n v="0"/>
    <n v="0"/>
    <n v="1"/>
    <x v="6"/>
    <x v="117"/>
    <x v="0"/>
  </r>
  <r>
    <x v="223"/>
    <x v="0"/>
    <s v="079198027964"/>
    <s v="0374428877"/>
    <s v="No"/>
    <m/>
    <s v="I’ll take the company bus"/>
    <m/>
    <s v="Amaris Consulting"/>
    <s v="Consulting Talent Acquisition"/>
    <s v="NGUYEN Ho Khanh Vy"/>
    <s v="In"/>
    <x v="0"/>
    <n v="0"/>
    <n v="0"/>
    <n v="0"/>
    <n v="1"/>
    <x v="6"/>
    <x v="117"/>
    <x v="0"/>
  </r>
  <r>
    <x v="224"/>
    <x v="0"/>
    <s v="031199002762"/>
    <s v="0363031131"/>
    <s v="Yes"/>
    <s v="Do Chi Thanh - Male - 20/10/2002 - 001202005933"/>
    <s v="I’ll take the company bus"/>
    <m/>
    <s v="Amaris Consulting"/>
    <s v="Consulting Talent Acquisition"/>
    <s v="NGUYEN Ho Khanh Vy"/>
    <s v="In"/>
    <x v="1"/>
    <n v="0"/>
    <n v="1"/>
    <n v="1"/>
    <n v="2"/>
    <x v="6"/>
    <x v="118"/>
    <x v="0"/>
  </r>
  <r>
    <x v="225"/>
    <x v="0"/>
    <s v="060199000392"/>
    <s v="0975488340"/>
    <s v="Yes"/>
    <s v="Nguyen Tran Bao Phu - Male - 28/03/1999 - 080099002154"/>
    <s v="I’ll take the company bus"/>
    <m/>
    <s v="Amaris Consulting"/>
    <s v="Consulting Talent Acquisition"/>
    <s v="NGUYEN Ho Khanh Vy"/>
    <s v="In"/>
    <x v="1"/>
    <n v="0"/>
    <n v="1"/>
    <n v="1"/>
    <n v="2"/>
    <x v="6"/>
    <x v="119"/>
    <x v="0"/>
  </r>
  <r>
    <x v="226"/>
    <x v="0"/>
    <s v="068300004128"/>
    <s v="+84 389420759 "/>
    <s v="No"/>
    <m/>
    <s v="I’ll take the company bus"/>
    <m/>
    <s v="Recruitment"/>
    <s v="Corporate Acquisition"/>
    <s v="CARRILLO GIRONA Marina"/>
    <s v="In"/>
    <x v="0"/>
    <n v="0"/>
    <n v="0"/>
    <n v="0"/>
    <n v="1"/>
    <x v="6"/>
    <x v="120"/>
    <x v="0"/>
  </r>
  <r>
    <x v="227"/>
    <x v="0"/>
    <s v="037303000012"/>
    <s v="0961760721"/>
    <s v="No"/>
    <m/>
    <s v="I’ll take the company bus"/>
    <m/>
    <s v="Recruitment"/>
    <s v="Corporate Acquisition"/>
    <s v="PHAN Linh Chau"/>
    <s v="In"/>
    <x v="0"/>
    <n v="0"/>
    <n v="0"/>
    <n v="0"/>
    <n v="1"/>
    <x v="6"/>
    <x v="120"/>
    <x v="0"/>
  </r>
  <r>
    <x v="228"/>
    <x v="0"/>
    <s v="077197001261"/>
    <s v="0785670597"/>
    <s v="No"/>
    <m/>
    <s v="I’ll take the company bus"/>
    <m/>
    <s v="Performance Management"/>
    <s v="Operational Controlling"/>
    <s v="BUC Thomas"/>
    <s v="In"/>
    <x v="0"/>
    <n v="0"/>
    <n v="0"/>
    <n v="0"/>
    <n v="1"/>
    <x v="6"/>
    <x v="121"/>
    <x v="0"/>
  </r>
  <r>
    <x v="229"/>
    <x v="0"/>
    <s v="074301006998"/>
    <s v="0967486292"/>
    <s v="No"/>
    <m/>
    <s v="I’ll take the company bus"/>
    <m/>
    <s v="Performance Management"/>
    <s v="Operational Controlling"/>
    <s v="BUC Thomas"/>
    <s v="In"/>
    <x v="0"/>
    <n v="0"/>
    <n v="0"/>
    <n v="0"/>
    <n v="1"/>
    <x v="6"/>
    <x v="121"/>
    <x v="0"/>
  </r>
  <r>
    <x v="230"/>
    <x v="0"/>
    <s v="045198003359"/>
    <s v="0355042483"/>
    <s v="No"/>
    <m/>
    <s v="I’ll take the company bus"/>
    <s v="Mình muốn request ở phòng 3 người với team OC: NGUYEN Thi Thanh Nhan, TRAN Thị Anh Minh và NGUYEN Thu Hong"/>
    <s v="Performance Management"/>
    <s v="Operational Controlling"/>
    <s v="BUC Thomas"/>
    <s v="In"/>
    <x v="0"/>
    <n v="0"/>
    <n v="0"/>
    <n v="0"/>
    <n v="1"/>
    <x v="6"/>
    <x v="121"/>
    <x v="0"/>
  </r>
  <r>
    <x v="231"/>
    <x v="0"/>
    <s v="075184001102"/>
    <s v="0945745944"/>
    <s v="No"/>
    <m/>
    <s v="I’ll take the company bus"/>
    <m/>
    <s v="Information Technology"/>
    <s v="Telephony"/>
    <s v="MAI Tan Ha"/>
    <s v="In"/>
    <x v="0"/>
    <n v="0"/>
    <n v="0"/>
    <n v="0"/>
    <n v="1"/>
    <x v="6"/>
    <x v="122"/>
    <x v="0"/>
  </r>
  <r>
    <x v="232"/>
    <x v="0"/>
    <s v="079199035294"/>
    <s v="84899286919"/>
    <s v="No"/>
    <m/>
    <s v="I’ll take the company bus"/>
    <m/>
    <s v="ACT"/>
    <s v="ACT Sales &amp; Pre-sales"/>
    <s v="MAVANI Amit"/>
    <s v="In"/>
    <x v="0"/>
    <n v="0"/>
    <n v="0"/>
    <n v="0"/>
    <n v="1"/>
    <x v="6"/>
    <x v="122"/>
    <x v="0"/>
  </r>
  <r>
    <x v="233"/>
    <x v="0"/>
    <s v="079197000483"/>
    <s v="0909915834"/>
    <s v="No"/>
    <m/>
    <s v="I’ll take the company bus"/>
    <m/>
    <s v="Amaris Consulting"/>
    <s v="Consultants"/>
    <s v="VETTUKAD Amit"/>
    <s v="In"/>
    <x v="0"/>
    <n v="0"/>
    <n v="0"/>
    <n v="0"/>
    <n v="1"/>
    <x v="6"/>
    <x v="123"/>
    <x v="0"/>
  </r>
  <r>
    <x v="234"/>
    <x v="0"/>
    <s v="079197014206"/>
    <s v="0839022665"/>
    <s v="No"/>
    <m/>
    <s v="I’ll take the company bus"/>
    <m/>
    <s v="Information Technology"/>
    <s v="User Experience"/>
    <s v="LIM Chee Kiat"/>
    <s v="In"/>
    <x v="0"/>
    <n v="0"/>
    <n v="0"/>
    <n v="0"/>
    <n v="1"/>
    <x v="6"/>
    <x v="123"/>
    <x v="0"/>
  </r>
  <r>
    <x v="235"/>
    <x v="0"/>
    <s v="079195004762"/>
    <s v="0945686674"/>
    <s v="No"/>
    <m/>
    <s v="I’ll take the company bus"/>
    <m/>
    <s v="Information Technology"/>
    <s v="Product Management"/>
    <s v="DUQUESNAY Guillaume"/>
    <s v="In"/>
    <x v="0"/>
    <n v="0"/>
    <n v="0"/>
    <n v="0"/>
    <n v="1"/>
    <x v="6"/>
    <x v="124"/>
    <x v="0"/>
  </r>
  <r>
    <x v="236"/>
    <x v="0"/>
    <s v="079301028966"/>
    <s v="0763889811"/>
    <s v="No"/>
    <m/>
    <s v="I’ll take the company bus"/>
    <m/>
    <s v="Information Technology"/>
    <s v="Product Management"/>
    <s v="HUYNH Anh Tam"/>
    <s v="In"/>
    <x v="0"/>
    <n v="0"/>
    <n v="0"/>
    <n v="0"/>
    <n v="1"/>
    <x v="6"/>
    <x v="124"/>
    <x v="0"/>
  </r>
  <r>
    <x v="237"/>
    <x v="0"/>
    <s v="089192001289"/>
    <s v="0933595559"/>
    <s v="No"/>
    <m/>
    <s v="I’ll take the company bus"/>
    <s v="Food allergies: shrimps"/>
    <s v="Information Technology"/>
    <s v="Quality Control"/>
    <s v="RAHMANI Rihab"/>
    <s v="In"/>
    <x v="0"/>
    <n v="0"/>
    <n v="0"/>
    <n v="0"/>
    <n v="1"/>
    <x v="8"/>
    <x v="125"/>
    <x v="0"/>
  </r>
  <r>
    <x v="238"/>
    <x v="0"/>
    <s v="038301000546"/>
    <s v="0376622565"/>
    <s v="No"/>
    <m/>
    <s v="I’ll take the company bus"/>
    <m/>
    <s v="Information Technology"/>
    <s v="Product Management"/>
    <s v="HUYNH Anh Tam"/>
    <s v="In"/>
    <x v="0"/>
    <n v="0"/>
    <n v="0"/>
    <n v="0"/>
    <n v="1"/>
    <x v="6"/>
    <x v="125"/>
    <x v="0"/>
  </r>
  <r>
    <x v="239"/>
    <x v="0"/>
    <s v="079188037007"/>
    <s v="0886311686"/>
    <s v="No"/>
    <m/>
    <s v="I’ll take the company bus"/>
    <m/>
    <s v="Information Technology"/>
    <s v="Product Management"/>
    <s v="NGUYEN Anh Tuan - Richard"/>
    <s v="In"/>
    <x v="0"/>
    <n v="0"/>
    <n v="0"/>
    <n v="0"/>
    <n v="1"/>
    <x v="8"/>
    <x v="126"/>
    <x v="0"/>
  </r>
  <r>
    <x v="240"/>
    <x v="0"/>
    <s v="24HC90633"/>
    <s v="0896948417"/>
    <s v="No"/>
    <m/>
    <s v="I’ll take the company bus"/>
    <s v="Xếp chung phòng với Ruby"/>
    <s v="Amaris Consulting"/>
    <s v="Presales"/>
    <s v="CAMARET Arthur"/>
    <s v="In"/>
    <x v="0"/>
    <n v="0"/>
    <n v="0"/>
    <n v="0"/>
    <n v="1"/>
    <x v="8"/>
    <x v="126"/>
    <x v="0"/>
  </r>
  <r>
    <x v="241"/>
    <x v="0"/>
    <s v="066303014236"/>
    <s v="0852489626"/>
    <s v="No"/>
    <m/>
    <s v="I’ll take the company bus"/>
    <m/>
    <s v="Information Technology"/>
    <s v="Quality Control"/>
    <s v="NGUYEN Anh Tuan - Richard"/>
    <s v="In"/>
    <x v="0"/>
    <n v="0"/>
    <n v="0"/>
    <n v="0"/>
    <n v="1"/>
    <x v="8"/>
    <x v="127"/>
    <x v="0"/>
  </r>
  <r>
    <x v="242"/>
    <x v="0"/>
    <s v="079302018741"/>
    <s v="0773215575"/>
    <s v="No"/>
    <m/>
    <s v="I’ll take the company bus"/>
    <s v="motion sickness medicine"/>
    <s v="Information Technology"/>
    <s v="Software Engineering"/>
    <s v="PHAM Bao Chung"/>
    <s v="In"/>
    <x v="0"/>
    <n v="0"/>
    <n v="0"/>
    <n v="0"/>
    <n v="1"/>
    <x v="8"/>
    <x v="127"/>
    <x v="0"/>
  </r>
  <r>
    <x v="243"/>
    <x v="0"/>
    <s v="079196031161"/>
    <s v="0707205096"/>
    <s v="No"/>
    <m/>
    <s v="I’ll take the company bus"/>
    <m/>
    <s v="Information Technology"/>
    <s v="Quality Control"/>
    <s v="HUYNH Anh Tam"/>
    <s v="In"/>
    <x v="0"/>
    <n v="0"/>
    <n v="0"/>
    <n v="0"/>
    <n v="1"/>
    <x v="8"/>
    <x v="128"/>
    <x v="0"/>
  </r>
  <r>
    <x v="244"/>
    <x v="0"/>
    <s v="079302019473"/>
    <s v="0918597387"/>
    <s v="No"/>
    <m/>
    <s v="I’ll take the company bus"/>
    <m/>
    <s v="Information Technology"/>
    <s v="Software Engineering"/>
    <s v="HUYNH Van Cop"/>
    <s v="In"/>
    <x v="0"/>
    <n v="0"/>
    <n v="0"/>
    <n v="0"/>
    <n v="1"/>
    <x v="8"/>
    <x v="128"/>
    <x v="0"/>
  </r>
  <r>
    <x v="245"/>
    <x v="0"/>
    <s v="079301029723"/>
    <s v="0908488723"/>
    <s v="No"/>
    <m/>
    <s v="I’ll take the company bus"/>
    <m/>
    <s v="Information Technology"/>
    <s v="Quality Control"/>
    <s v="DUQUESNAY Guillaume"/>
    <s v="In"/>
    <x v="0"/>
    <n v="0"/>
    <n v="0"/>
    <n v="0"/>
    <n v="1"/>
    <x v="8"/>
    <x v="129"/>
    <x v="0"/>
  </r>
  <r>
    <x v="246"/>
    <x v="0"/>
    <s v="040302018133"/>
    <s v="0826900204"/>
    <s v="No"/>
    <m/>
    <s v="I’ll take the company bus"/>
    <s v="I have plans after the next two days, so I’ll arrange my own travel back to HCM."/>
    <s v="Information Technology"/>
    <s v="Agile Center"/>
    <s v="HUYNH Anh Tam"/>
    <s v="In"/>
    <x v="0"/>
    <n v="0"/>
    <n v="0"/>
    <n v="0"/>
    <n v="1"/>
    <x v="8"/>
    <x v="129"/>
    <x v="0"/>
  </r>
  <r>
    <x v="247"/>
    <x v="0"/>
    <s v="049203006602"/>
    <s v="0367304351"/>
    <s v="No"/>
    <m/>
    <s v="I’ll take the company bus"/>
    <m/>
    <s v="Information Technology"/>
    <s v="Software Engineering"/>
    <s v="PHAN Anh Dung Cuong"/>
    <s v="In"/>
    <x v="0"/>
    <n v="0"/>
    <n v="0"/>
    <n v="0"/>
    <n v="1"/>
    <x v="8"/>
    <x v="130"/>
    <x v="1"/>
  </r>
  <r>
    <x v="248"/>
    <x v="0"/>
    <s v="067202006321"/>
    <s v="0867455918"/>
    <s v="No"/>
    <m/>
    <s v="I’ll take the company bus"/>
    <m/>
    <s v="Information Technology"/>
    <s v="Software Engineering"/>
    <s v="PHAN Anh Dung Cuong"/>
    <s v="In"/>
    <x v="0"/>
    <n v="0"/>
    <n v="0"/>
    <n v="0"/>
    <n v="1"/>
    <x v="8"/>
    <x v="130"/>
    <x v="1"/>
  </r>
  <r>
    <x v="249"/>
    <x v="0"/>
    <s v="080094006419"/>
    <s v="0979891673"/>
    <s v="No"/>
    <m/>
    <s v="I’ll take the company bus"/>
    <m/>
    <s v="Information Technology"/>
    <s v="Software Engineering"/>
    <s v="PHAM Bao Chung"/>
    <s v="In"/>
    <x v="0"/>
    <n v="0"/>
    <n v="0"/>
    <n v="0"/>
    <n v="1"/>
    <x v="8"/>
    <x v="131"/>
    <x v="1"/>
  </r>
  <r>
    <x v="250"/>
    <x v="0"/>
    <s v="001203053053"/>
    <s v="0853355397"/>
    <s v="No"/>
    <m/>
    <s v="I’ll take the company bus"/>
    <m/>
    <s v="Information Technology"/>
    <s v="Software Engineering"/>
    <s v="PHAM Bao Chung"/>
    <s v="In"/>
    <x v="0"/>
    <n v="0"/>
    <n v="0"/>
    <n v="0"/>
    <n v="1"/>
    <x v="8"/>
    <x v="131"/>
    <x v="1"/>
  </r>
  <r>
    <x v="251"/>
    <x v="0"/>
    <s v="045201007690"/>
    <s v="0973743542"/>
    <s v="No"/>
    <m/>
    <s v="I’ll take the company bus"/>
    <m/>
    <s v="Information Technology"/>
    <s v="Software Engineering"/>
    <s v="PHAM Bao Chung"/>
    <s v="In"/>
    <x v="0"/>
    <n v="0"/>
    <n v="0"/>
    <n v="0"/>
    <n v="1"/>
    <x v="8"/>
    <x v="132"/>
    <x v="1"/>
  </r>
  <r>
    <x v="252"/>
    <x v="0"/>
    <s v="066203000250"/>
    <s v="0914 119 624"/>
    <s v="No"/>
    <m/>
    <s v="I’ll take the company bus"/>
    <m/>
    <s v="Information Technology"/>
    <s v="Software Engineering"/>
    <s v="PHAM Bao Chung"/>
    <s v="In"/>
    <x v="0"/>
    <n v="0"/>
    <n v="0"/>
    <n v="0"/>
    <n v="1"/>
    <x v="8"/>
    <x v="132"/>
    <x v="1"/>
  </r>
  <r>
    <x v="253"/>
    <x v="0"/>
    <s v="075099004545"/>
    <s v="0792909998"/>
    <s v="No"/>
    <m/>
    <s v="I’ll take the company bus"/>
    <s v="please have low fat, low cholesterol, easy to chew food_x000a_I want to be fit and have a nice body :)"/>
    <s v="Information Technology"/>
    <s v="Agile Center"/>
    <s v="LIM Chee Kiat"/>
    <s v="In"/>
    <x v="0"/>
    <n v="0"/>
    <n v="0"/>
    <n v="0"/>
    <n v="1"/>
    <x v="8"/>
    <x v="133"/>
    <x v="1"/>
  </r>
  <r>
    <x v="254"/>
    <x v="0"/>
    <s v="068088003980"/>
    <s v="0773820182"/>
    <s v="No"/>
    <m/>
    <s v="I’ll arrange my own transportation"/>
    <m/>
    <s v="Information Technology"/>
    <s v="Software Architecture"/>
    <s v="MATYSIAK Hervé"/>
    <s v="In"/>
    <x v="0"/>
    <n v="0"/>
    <n v="0"/>
    <n v="0"/>
    <n v="1"/>
    <x v="4"/>
    <x v="133"/>
    <x v="1"/>
  </r>
  <r>
    <x v="255"/>
    <x v="0"/>
    <s v="079096007068"/>
    <s v="0328971812"/>
    <s v="No"/>
    <m/>
    <s v="I’ll take the company bus"/>
    <m/>
    <s v="Information Technology"/>
    <s v="Software Engineering"/>
    <s v="IVAN Alex Constantin"/>
    <s v="In"/>
    <x v="0"/>
    <n v="0"/>
    <n v="0"/>
    <n v="0"/>
    <n v="1"/>
    <x v="8"/>
    <x v="134"/>
    <x v="1"/>
  </r>
  <r>
    <x v="256"/>
    <x v="0"/>
    <s v="082098005823"/>
    <s v="0979622203"/>
    <s v="No"/>
    <m/>
    <s v="I’ll take the company bus"/>
    <m/>
    <s v="Information Technology"/>
    <s v="Software Engineering"/>
    <s v="IVAN Alex Constantin"/>
    <s v="In"/>
    <x v="0"/>
    <n v="0"/>
    <n v="0"/>
    <n v="0"/>
    <n v="1"/>
    <x v="8"/>
    <x v="134"/>
    <x v="1"/>
  </r>
  <r>
    <x v="257"/>
    <x v="0"/>
    <s v="079087016493"/>
    <s v="0362685720"/>
    <s v="No"/>
    <m/>
    <s v="I’ll take the company bus"/>
    <m/>
    <s v="Information Technology"/>
    <s v="Software Engineering"/>
    <s v="HUYNH Van Cop"/>
    <s v="In"/>
    <x v="0"/>
    <n v="0"/>
    <n v="0"/>
    <n v="0"/>
    <n v="1"/>
    <x v="8"/>
    <x v="135"/>
    <x v="1"/>
  </r>
  <r>
    <x v="258"/>
    <x v="0"/>
    <s v="082089018141"/>
    <s v="0909857832"/>
    <s v="No"/>
    <m/>
    <s v="I’ll take the company bus"/>
    <m/>
    <s v="Information Technology"/>
    <s v="Software Engineering"/>
    <s v="IVAN Alex Constantin"/>
    <s v="In"/>
    <x v="0"/>
    <n v="0"/>
    <n v="0"/>
    <n v="0"/>
    <n v="1"/>
    <x v="8"/>
    <x v="135"/>
    <x v="1"/>
  </r>
  <r>
    <x v="259"/>
    <x v="0"/>
    <s v="23FV09763"/>
    <s v="+33613234722"/>
    <s v="No"/>
    <m/>
    <s v="I’ll take the company bus"/>
    <s v="Any quality whisky (or wine) will do"/>
    <s v="Information Technology"/>
    <s v="Engineering &amp; Architecture"/>
    <s v="BUZZACARO Alain"/>
    <s v="In"/>
    <x v="0"/>
    <n v="0"/>
    <n v="0"/>
    <n v="0"/>
    <n v="1"/>
    <x v="8"/>
    <x v="136"/>
    <x v="1"/>
  </r>
  <r>
    <x v="260"/>
    <x v="0"/>
    <s v="091086018626"/>
    <s v="0935717578"/>
    <s v="No"/>
    <m/>
    <s v="I’ll take the company bus"/>
    <m/>
    <s v="Information Technology"/>
    <s v="Software Engineering"/>
    <s v="DUQUESNAY Guillaume"/>
    <s v="In"/>
    <x v="0"/>
    <n v="0"/>
    <n v="0"/>
    <n v="0"/>
    <n v="1"/>
    <x v="8"/>
    <x v="136"/>
    <x v="1"/>
  </r>
  <r>
    <x v="261"/>
    <x v="0"/>
    <s v="079095017425"/>
    <s v="0984678726"/>
    <s v="No"/>
    <m/>
    <s v="I’ll take the company bus"/>
    <m/>
    <s v="Information Technology"/>
    <s v="Software Engineering"/>
    <s v="DUQUESNAY Guillaume"/>
    <s v="In"/>
    <x v="0"/>
    <n v="0"/>
    <n v="0"/>
    <n v="0"/>
    <n v="1"/>
    <x v="8"/>
    <x v="137"/>
    <x v="1"/>
  </r>
  <r>
    <x v="262"/>
    <x v="0"/>
    <s v="079203014457"/>
    <s v="0968080085"/>
    <s v="No"/>
    <m/>
    <s v="I’ll take the company bus"/>
    <m/>
    <s v="Information Technology"/>
    <s v="Quality Control"/>
    <s v="HUYNH Anh Tam"/>
    <s v="In"/>
    <x v="0"/>
    <n v="0"/>
    <n v="0"/>
    <n v="0"/>
    <n v="1"/>
    <x v="8"/>
    <x v="137"/>
    <x v="1"/>
  </r>
  <r>
    <x v="263"/>
    <x v="0"/>
    <s v="066201002422"/>
    <s v="0372015192"/>
    <s v="No"/>
    <m/>
    <s v="I’ll take the company bus"/>
    <m/>
    <s v="Information Technology"/>
    <s v="Software Engineering"/>
    <s v="HUYNH Van Cop"/>
    <s v="In"/>
    <x v="0"/>
    <n v="0"/>
    <n v="0"/>
    <n v="0"/>
    <n v="1"/>
    <x v="8"/>
    <x v="138"/>
    <x v="1"/>
  </r>
  <r>
    <x v="264"/>
    <x v="0"/>
    <s v="080087011699"/>
    <s v="0352176769"/>
    <s v="No"/>
    <m/>
    <s v="I’ll take the company bus"/>
    <m/>
    <s v="Information Technology"/>
    <s v="Software Engineering"/>
    <s v="HUYNH Van Cop"/>
    <s v="In"/>
    <x v="0"/>
    <n v="0"/>
    <n v="0"/>
    <n v="0"/>
    <n v="1"/>
    <x v="8"/>
    <x v="138"/>
    <x v="1"/>
  </r>
  <r>
    <x v="265"/>
    <x v="0"/>
    <s v="079087017793"/>
    <s v="0903322044"/>
    <s v="No"/>
    <m/>
    <s v="I’ll take the company bus"/>
    <m/>
    <s v="Information Technology"/>
    <s v="Software Engineering"/>
    <s v="HUYNH Van Cop"/>
    <s v="In"/>
    <x v="0"/>
    <n v="0"/>
    <n v="0"/>
    <n v="0"/>
    <n v="1"/>
    <x v="8"/>
    <x v="139"/>
    <x v="1"/>
  </r>
  <r>
    <x v="266"/>
    <x v="0"/>
    <s v="051095009095 "/>
    <s v="0985752395"/>
    <s v="No"/>
    <m/>
    <s v="I’ll take the company bus"/>
    <m/>
    <s v="Information Technology"/>
    <s v="Software Engineering"/>
    <s v="HUYNH Van Cop"/>
    <s v="In"/>
    <x v="0"/>
    <n v="0"/>
    <n v="0"/>
    <n v="0"/>
    <n v="1"/>
    <x v="8"/>
    <x v="139"/>
    <x v="1"/>
  </r>
  <r>
    <x v="267"/>
    <x v="0"/>
    <s v="079078022487"/>
    <s v="0934181732"/>
    <s v="No"/>
    <m/>
    <s v="I’ll take the company bus"/>
    <m/>
    <s v="Information Technology"/>
    <s v="Software Engineering"/>
    <s v="HUYNH Van Cop"/>
    <s v="In"/>
    <x v="0"/>
    <n v="0"/>
    <n v="0"/>
    <n v="0"/>
    <n v="1"/>
    <x v="8"/>
    <x v="140"/>
    <x v="1"/>
  </r>
  <r>
    <x v="268"/>
    <x v="0"/>
    <s v="083096004407"/>
    <s v="0964072710"/>
    <s v="No"/>
    <m/>
    <s v="I’ll take the company bus"/>
    <m/>
    <s v="Information Technology"/>
    <s v="Software Engineering"/>
    <s v="HUYNH Van Cop"/>
    <s v="In"/>
    <x v="0"/>
    <n v="0"/>
    <n v="0"/>
    <n v="0"/>
    <n v="1"/>
    <x v="8"/>
    <x v="140"/>
    <x v="1"/>
  </r>
  <r>
    <x v="269"/>
    <x v="0"/>
    <s v="066087005950"/>
    <s v="0948912119"/>
    <s v="Yes"/>
    <s v="1. Lưu Hồng Phương Thủy - Female - 27/10/1990 - 06619007476_x000a_2. Trần Hồng Như Ý - Female - 13/7/2025 - 079325017288"/>
    <s v="I’ll take the company bus"/>
    <m/>
    <s v="Information Technology"/>
    <s v="Software Architecture"/>
    <s v="MATYSIAK Hervé"/>
    <s v="In"/>
    <x v="1"/>
    <n v="1"/>
    <n v="1"/>
    <n v="2"/>
    <n v="3"/>
    <x v="8"/>
    <x v="141"/>
    <x v="1"/>
  </r>
  <r>
    <x v="270"/>
    <x v="0"/>
    <s v="079088031980"/>
    <s v="0938004161"/>
    <s v="No"/>
    <m/>
    <s v="I’ll take the company bus"/>
    <s v="I need a private room"/>
    <s v="Information Technology"/>
    <s v="Agile Center"/>
    <s v="NGUYEN Anh Tuan - Richard"/>
    <s v="In"/>
    <x v="0"/>
    <n v="0"/>
    <n v="0"/>
    <n v="0"/>
    <n v="1"/>
    <x v="8"/>
    <x v="142"/>
    <x v="1"/>
  </r>
  <r>
    <x v="271"/>
    <x v="1"/>
    <m/>
    <m/>
    <m/>
    <m/>
    <m/>
    <m/>
    <m/>
    <m/>
    <m/>
    <m/>
    <x v="2"/>
    <m/>
    <m/>
    <m/>
    <m/>
    <x v="9"/>
    <x v="143"/>
    <x v="2"/>
  </r>
  <r>
    <x v="271"/>
    <x v="1"/>
    <m/>
    <m/>
    <m/>
    <m/>
    <m/>
    <m/>
    <m/>
    <m/>
    <m/>
    <m/>
    <x v="2"/>
    <m/>
    <m/>
    <m/>
    <m/>
    <x v="9"/>
    <x v="143"/>
    <x v="2"/>
  </r>
  <r>
    <x v="271"/>
    <x v="1"/>
    <m/>
    <m/>
    <m/>
    <m/>
    <m/>
    <m/>
    <m/>
    <m/>
    <m/>
    <m/>
    <x v="2"/>
    <m/>
    <m/>
    <m/>
    <m/>
    <x v="9"/>
    <x v="143"/>
    <x v="2"/>
  </r>
  <r>
    <x v="271"/>
    <x v="1"/>
    <m/>
    <m/>
    <m/>
    <m/>
    <m/>
    <m/>
    <m/>
    <m/>
    <m/>
    <m/>
    <x v="2"/>
    <m/>
    <m/>
    <m/>
    <m/>
    <x v="9"/>
    <x v="143"/>
    <x v="2"/>
  </r>
  <r>
    <x v="271"/>
    <x v="1"/>
    <m/>
    <m/>
    <m/>
    <m/>
    <m/>
    <m/>
    <m/>
    <m/>
    <m/>
    <m/>
    <x v="2"/>
    <m/>
    <m/>
    <m/>
    <m/>
    <x v="9"/>
    <x v="143"/>
    <x v="2"/>
  </r>
  <r>
    <x v="271"/>
    <x v="1"/>
    <m/>
    <m/>
    <m/>
    <m/>
    <m/>
    <m/>
    <m/>
    <m/>
    <m/>
    <m/>
    <x v="2"/>
    <m/>
    <m/>
    <m/>
    <m/>
    <x v="9"/>
    <x v="143"/>
    <x v="2"/>
  </r>
  <r>
    <x v="271"/>
    <x v="1"/>
    <m/>
    <m/>
    <m/>
    <m/>
    <m/>
    <m/>
    <m/>
    <m/>
    <m/>
    <m/>
    <x v="2"/>
    <m/>
    <m/>
    <m/>
    <m/>
    <x v="9"/>
    <x v="143"/>
    <x v="2"/>
  </r>
  <r>
    <x v="271"/>
    <x v="1"/>
    <m/>
    <m/>
    <m/>
    <m/>
    <m/>
    <m/>
    <m/>
    <m/>
    <m/>
    <m/>
    <x v="2"/>
    <m/>
    <m/>
    <m/>
    <m/>
    <x v="9"/>
    <x v="143"/>
    <x v="2"/>
  </r>
  <r>
    <x v="271"/>
    <x v="1"/>
    <m/>
    <m/>
    <m/>
    <m/>
    <m/>
    <m/>
    <m/>
    <m/>
    <m/>
    <m/>
    <x v="2"/>
    <m/>
    <m/>
    <m/>
    <m/>
    <x v="9"/>
    <x v="143"/>
    <x v="2"/>
  </r>
  <r>
    <x v="271"/>
    <x v="1"/>
    <m/>
    <m/>
    <m/>
    <m/>
    <m/>
    <m/>
    <m/>
    <m/>
    <m/>
    <m/>
    <x v="2"/>
    <m/>
    <m/>
    <m/>
    <m/>
    <x v="9"/>
    <x v="143"/>
    <x v="2"/>
  </r>
  <r>
    <x v="271"/>
    <x v="1"/>
    <m/>
    <m/>
    <m/>
    <m/>
    <m/>
    <m/>
    <m/>
    <m/>
    <m/>
    <m/>
    <x v="2"/>
    <m/>
    <m/>
    <m/>
    <m/>
    <x v="9"/>
    <x v="143"/>
    <x v="2"/>
  </r>
  <r>
    <x v="271"/>
    <x v="1"/>
    <m/>
    <m/>
    <m/>
    <m/>
    <m/>
    <m/>
    <m/>
    <m/>
    <m/>
    <m/>
    <x v="2"/>
    <m/>
    <m/>
    <m/>
    <m/>
    <x v="9"/>
    <x v="143"/>
    <x v="2"/>
  </r>
  <r>
    <x v="271"/>
    <x v="1"/>
    <m/>
    <m/>
    <m/>
    <m/>
    <m/>
    <m/>
    <m/>
    <m/>
    <m/>
    <m/>
    <x v="2"/>
    <m/>
    <m/>
    <m/>
    <m/>
    <x v="9"/>
    <x v="143"/>
    <x v="2"/>
  </r>
  <r>
    <x v="271"/>
    <x v="1"/>
    <m/>
    <m/>
    <m/>
    <m/>
    <m/>
    <m/>
    <m/>
    <m/>
    <m/>
    <m/>
    <x v="2"/>
    <m/>
    <m/>
    <m/>
    <m/>
    <x v="9"/>
    <x v="143"/>
    <x v="2"/>
  </r>
  <r>
    <x v="271"/>
    <x v="1"/>
    <m/>
    <m/>
    <m/>
    <m/>
    <m/>
    <m/>
    <m/>
    <m/>
    <m/>
    <m/>
    <x v="2"/>
    <m/>
    <m/>
    <m/>
    <m/>
    <x v="9"/>
    <x v="143"/>
    <x v="2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71">
  <r>
    <s v="Pham Khanh Linh TRAN"/>
    <s v="Yes, count me in!"/>
    <s v="044199002375"/>
    <s v="0823387274"/>
    <s v="No"/>
    <m/>
    <s v="I’ll take the company bus"/>
    <m/>
    <s v="Amaris Consulting"/>
    <s v="Consultants"/>
    <s v="HA Phuong Thao"/>
    <s v="In"/>
    <x v="0"/>
    <n v="0"/>
    <n v="0"/>
    <n v="0"/>
    <n v="1"/>
    <n v="3"/>
    <x v="0"/>
  </r>
  <r>
    <s v="Do Thuy Tien PHAM"/>
    <s v="Yes, count me in!"/>
    <s v="070194001945"/>
    <s v="0396744435"/>
    <s v="No"/>
    <m/>
    <s v="I’ll take the company bus"/>
    <m/>
    <s v="Amaris Consulting"/>
    <s v="Consultants"/>
    <s v="HO Nguyen Hong Uyen"/>
    <s v="In"/>
    <x v="0"/>
    <n v="0"/>
    <n v="0"/>
    <n v="0"/>
    <n v="1"/>
    <n v="1"/>
    <x v="1"/>
  </r>
  <r>
    <s v="Hoang Ha Quyen NGUYEN"/>
    <s v="Yes, count me in!"/>
    <s v="077300001719"/>
    <s v="0968963049"/>
    <s v="No"/>
    <m/>
    <s v="I’ll take the company bus"/>
    <m/>
    <s v="Amaris Consulting"/>
    <s v="Consultants"/>
    <s v="HO Nguyen Hong Uyen"/>
    <s v="In"/>
    <x v="0"/>
    <n v="0"/>
    <n v="0"/>
    <n v="0"/>
    <n v="1"/>
    <n v="1"/>
    <x v="2"/>
  </r>
  <r>
    <s v="Thien Trang DOAN"/>
    <s v="Yes, count me in!"/>
    <s v="091300011455"/>
    <s v="0918626459"/>
    <s v="No"/>
    <m/>
    <s v="I’ll take the company bus"/>
    <s v="If there’s a single room, I wanna stay alone (if any)"/>
    <s v="Amaris Consulting"/>
    <s v="Consultants"/>
    <s v="HO Nguyen Hong Uyen"/>
    <s v="In"/>
    <x v="0"/>
    <n v="0"/>
    <n v="0"/>
    <n v="0"/>
    <n v="1"/>
    <n v="1"/>
    <x v="2"/>
  </r>
  <r>
    <s v="Minh Thuan LE"/>
    <s v="Yes, count me in!"/>
    <s v="086099002987"/>
    <s v="0968933873"/>
    <s v="No"/>
    <m/>
    <s v="I’ll take the company bus"/>
    <m/>
    <s v="Amaris Consulting"/>
    <s v="Consultants"/>
    <s v="HA Phuong Thao"/>
    <s v="In"/>
    <x v="0"/>
    <n v="0"/>
    <n v="0"/>
    <n v="0"/>
    <n v="1"/>
    <n v="1"/>
    <x v="3"/>
  </r>
  <r>
    <s v="Van Thanh Thuan NGUYEN"/>
    <s v="Yes, count me in!"/>
    <s v="080095004933"/>
    <s v="0793485644"/>
    <s v="No"/>
    <m/>
    <s v="I’ll take the company bus"/>
    <s v="I'd like to request to be booked in the same room as the IVB team."/>
    <s v="Amaris Consulting"/>
    <s v="Consultants"/>
    <s v="HA Phuong Thao"/>
    <s v="In"/>
    <x v="0"/>
    <n v="0"/>
    <n v="0"/>
    <n v="0"/>
    <n v="1"/>
    <n v="1"/>
    <x v="3"/>
  </r>
  <r>
    <s v="Duc Minh CAO"/>
    <s v="Yes, count me in!"/>
    <s v="080202010719"/>
    <s v="0942198738"/>
    <s v="No"/>
    <m/>
    <s v="I’ll take the company bus"/>
    <m/>
    <s v="Amaris Consulting"/>
    <s v="Consultants"/>
    <s v="HA Phuong Thao"/>
    <s v="In"/>
    <x v="0"/>
    <n v="0"/>
    <n v="0"/>
    <n v="0"/>
    <n v="1"/>
    <n v="1"/>
    <x v="4"/>
  </r>
  <r>
    <s v="Hoang Tu LA"/>
    <s v="Yes, count me in!"/>
    <s v="083097005277"/>
    <s v="0386788883"/>
    <s v="No"/>
    <m/>
    <s v="I’ll take the company bus"/>
    <m/>
    <s v="Amaris Consulting"/>
    <s v="Consultants"/>
    <s v="HA Phuong Thao"/>
    <s v="In"/>
    <x v="0"/>
    <n v="0"/>
    <n v="0"/>
    <n v="0"/>
    <n v="1"/>
    <n v="1"/>
    <x v="4"/>
  </r>
  <r>
    <s v="Trung Nghia CAO"/>
    <s v="Yes, count me in!"/>
    <s v="051094000961"/>
    <s v="0938945445"/>
    <s v="No"/>
    <m/>
    <s v="I’ll take the company bus"/>
    <m/>
    <s v="Amaris Consulting"/>
    <s v="Consultants"/>
    <s v="HA Phuong Thao"/>
    <s v="In"/>
    <x v="0"/>
    <n v="0"/>
    <n v="0"/>
    <n v="0"/>
    <n v="1"/>
    <n v="1"/>
    <x v="5"/>
  </r>
  <r>
    <s v="Van Do TRAN"/>
    <s v="Yes, count me in!"/>
    <s v="089097020361"/>
    <s v="0967513840"/>
    <s v="No"/>
    <m/>
    <s v="I’ll take the company bus"/>
    <m/>
    <s v="Amaris Consulting"/>
    <s v="Consultants"/>
    <s v="HA Phuong Thao"/>
    <s v="In"/>
    <x v="0"/>
    <n v="0"/>
    <n v="0"/>
    <n v="0"/>
    <n v="1"/>
    <n v="1"/>
    <x v="5"/>
  </r>
  <r>
    <s v="Quang Trinh HA"/>
    <s v="Yes, count me in!"/>
    <s v="087099016549"/>
    <s v="0826759579"/>
    <s v="No"/>
    <m/>
    <s v="I’ll take the company bus"/>
    <m/>
    <s v="Amaris Consulting"/>
    <s v="Consultants"/>
    <s v="HA Phuong Thao"/>
    <s v="In"/>
    <x v="0"/>
    <n v="0"/>
    <n v="0"/>
    <n v="0"/>
    <n v="1"/>
    <n v="1"/>
    <x v="6"/>
  </r>
  <r>
    <s v="Binh Nam MAI"/>
    <s v="Yes, count me in!"/>
    <s v="044099000541"/>
    <s v="0948527910"/>
    <s v="No"/>
    <m/>
    <s v="I’ll take the company bus"/>
    <m/>
    <s v="Amaris Consulting"/>
    <s v="Consultants"/>
    <s v="HA Phuong Thao"/>
    <s v="In"/>
    <x v="0"/>
    <n v="0"/>
    <n v="0"/>
    <n v="0"/>
    <n v="1"/>
    <n v="1"/>
    <x v="6"/>
  </r>
  <r>
    <s v="Ngô Tấn Thành"/>
    <s v="Yes, count me in!"/>
    <s v="089200015516"/>
    <s v="+84 329 382 782"/>
    <s v="No"/>
    <m/>
    <s v="I’ll take the company bus"/>
    <s v="Team chị My"/>
    <s v="Amaris Consulting"/>
    <s v="Consultants"/>
    <s v="HA Phuong Thao"/>
    <s v="In"/>
    <x v="0"/>
    <n v="0"/>
    <n v="0"/>
    <n v="0"/>
    <n v="1"/>
    <n v="1"/>
    <x v="7"/>
  </r>
  <r>
    <s v="Hong Chuong NGUYEN"/>
    <s v="Yes, count me in!"/>
    <s v="083084008265"/>
    <s v="0989600669"/>
    <s v="No"/>
    <m/>
    <s v="I’ll take the company bus"/>
    <m/>
    <s v="Amaris Consulting"/>
    <s v="Consultants"/>
    <s v="HA Phuong Thao"/>
    <s v="In"/>
    <x v="0"/>
    <n v="0"/>
    <n v="0"/>
    <n v="0"/>
    <n v="1"/>
    <n v="1"/>
    <x v="7"/>
  </r>
  <r>
    <s v="Nguyễn Lê Thành"/>
    <s v="Yes, count me in!"/>
    <s v="062201003205"/>
    <s v="+84 931 182 688"/>
    <s v="No"/>
    <m/>
    <s v="I’ll take the company bus"/>
    <m/>
    <s v="Amaris Consulting"/>
    <s v="Consultants"/>
    <s v="HA Phuong Thao"/>
    <s v="In"/>
    <x v="0"/>
    <n v="0"/>
    <n v="0"/>
    <n v="0"/>
    <n v="1"/>
    <n v="1"/>
    <x v="8"/>
  </r>
  <r>
    <s v="Ngoc Tuan NGUYEN"/>
    <s v="Yes, count me in!"/>
    <s v="051099011537"/>
    <s v="0973724249"/>
    <s v="No"/>
    <m/>
    <s v="I’ll take the company bus"/>
    <m/>
    <s v="Amaris Consulting"/>
    <s v="Consultants"/>
    <s v="HO Nguyen Hong Uyen"/>
    <s v="In"/>
    <x v="0"/>
    <n v="0"/>
    <n v="0"/>
    <n v="0"/>
    <n v="1"/>
    <n v="1"/>
    <x v="8"/>
  </r>
  <r>
    <s v="Thanh Nhan PHAN"/>
    <s v="Yes, count me in!"/>
    <s v="079096015213"/>
    <s v="0392357076"/>
    <s v="No"/>
    <m/>
    <s v="I’ll take the company bus"/>
    <m/>
    <s v="Amaris Consulting"/>
    <s v="Consultants"/>
    <s v="HO Nguyen Hong Uyen"/>
    <s v="In"/>
    <x v="0"/>
    <n v="0"/>
    <n v="0"/>
    <n v="0"/>
    <n v="1"/>
    <n v="1"/>
    <x v="9"/>
  </r>
  <r>
    <s v="Xuan Dat HOANG"/>
    <s v="Yes, count me in!"/>
    <s v="066201016152"/>
    <s v="0393688714"/>
    <s v="No"/>
    <m/>
    <s v="I’ll take the company bus"/>
    <m/>
    <s v="Amaris Consulting"/>
    <s v="Consultants"/>
    <s v="HO Nguyen Hong Uyen"/>
    <s v="In"/>
    <x v="0"/>
    <n v="0"/>
    <n v="0"/>
    <n v="0"/>
    <n v="1"/>
    <n v="1"/>
    <x v="9"/>
  </r>
  <r>
    <s v="Hong Son DAO"/>
    <s v="Yes, count me in!"/>
    <s v="075200024308"/>
    <s v="0938316793"/>
    <s v="No"/>
    <m/>
    <s v="I’ll take the company bus"/>
    <m/>
    <s v="Amaris Consulting"/>
    <s v="Consultants"/>
    <s v="HO Nguyen Hong Uyen"/>
    <s v="In"/>
    <x v="0"/>
    <n v="0"/>
    <n v="0"/>
    <n v="0"/>
    <n v="1"/>
    <n v="1"/>
    <x v="10"/>
  </r>
  <r>
    <s v="Thanh Son NGUYEN"/>
    <s v="Yes, count me in!"/>
    <s v="051098005098"/>
    <s v="0392497315"/>
    <s v="No"/>
    <m/>
    <s v="I’ll take the company bus"/>
    <m/>
    <s v="Amaris Consulting"/>
    <s v="Consultants"/>
    <s v="HO Nguyen Hong Uyen"/>
    <s v="In"/>
    <x v="0"/>
    <n v="0"/>
    <n v="0"/>
    <n v="0"/>
    <n v="1"/>
    <n v="1"/>
    <x v="10"/>
  </r>
  <r>
    <s v="Thanh Phuoc LE"/>
    <s v="Yes, count me in!"/>
    <s v="068096007001"/>
    <s v="0357556867"/>
    <s v="No"/>
    <m/>
    <s v="I’ll take the company bus"/>
    <m/>
    <s v="Amaris Consulting"/>
    <s v="Consultants"/>
    <s v="HO Nguyen Hong Uyen"/>
    <s v="In"/>
    <x v="0"/>
    <n v="0"/>
    <n v="0"/>
    <n v="0"/>
    <n v="1"/>
    <n v="1"/>
    <x v="11"/>
  </r>
  <r>
    <s v="Le Man Dat NGUYEN"/>
    <s v="Yes, count me in!"/>
    <s v=" 086200001291"/>
    <s v="0337804259"/>
    <s v="No"/>
    <m/>
    <s v="I’ll take the company bus"/>
    <m/>
    <s v="Amaris Consulting"/>
    <s v="Consultants"/>
    <s v="HO Nguyen Hong Uyen"/>
    <s v="In"/>
    <x v="0"/>
    <n v="0"/>
    <n v="0"/>
    <n v="0"/>
    <n v="1"/>
    <n v="1"/>
    <x v="11"/>
  </r>
  <r>
    <s v="Thanh Loc NGUYEN"/>
    <s v="Yes, count me in!"/>
    <s v="046097000064"/>
    <s v="0333515756"/>
    <s v="No"/>
    <m/>
    <s v="I’ll take the company bus"/>
    <m/>
    <s v="Amaris Consulting"/>
    <s v="Consultants"/>
    <s v="HO Nguyen Hong Uyen"/>
    <s v="In"/>
    <x v="0"/>
    <n v="0"/>
    <n v="0"/>
    <n v="0"/>
    <n v="1"/>
    <n v="1"/>
    <x v="12"/>
  </r>
  <r>
    <s v="Van Thanh Danh KHUAT"/>
    <s v="Yes, count me in!"/>
    <s v="077203004018"/>
    <s v="0971007831"/>
    <s v="No"/>
    <m/>
    <s v="I’ll take the company bus"/>
    <m/>
    <s v="Amaris Consulting"/>
    <s v="Consultants"/>
    <s v="HO Nguyen Hong Uyen"/>
    <s v="In"/>
    <x v="0"/>
    <n v="0"/>
    <n v="0"/>
    <n v="0"/>
    <n v="1"/>
    <n v="1"/>
    <x v="12"/>
  </r>
  <r>
    <s v="Huu Vinh NGUYEN"/>
    <s v="Yes, count me in!"/>
    <s v="089200019968"/>
    <s v="0974086701"/>
    <s v="No"/>
    <m/>
    <s v="I’ll take the company bus"/>
    <m/>
    <s v="Amaris Consulting"/>
    <s v="Consultants"/>
    <s v="HO Nguyen Hong Uyen"/>
    <s v="In"/>
    <x v="0"/>
    <n v="0"/>
    <n v="0"/>
    <n v="0"/>
    <n v="1"/>
    <n v="1"/>
    <x v="13"/>
  </r>
  <r>
    <s v="Kim Cong NGUYEN"/>
    <s v="Yes, count me in!"/>
    <s v="030080017185"/>
    <s v="0988143980"/>
    <s v="No"/>
    <m/>
    <s v="I’ll take the company bus"/>
    <m/>
    <s v="Amaris Consulting"/>
    <s v="Consultants"/>
    <s v="HO Nguyen Hong Uyen"/>
    <s v="In"/>
    <x v="0"/>
    <n v="0"/>
    <n v="0"/>
    <n v="0"/>
    <n v="1"/>
    <n v="1"/>
    <x v="13"/>
  </r>
  <r>
    <s v="Trung Nghia NGUYEN"/>
    <s v="Yes, count me in!"/>
    <s v="072094005258"/>
    <s v="0354219319"/>
    <s v="No"/>
    <m/>
    <s v="I’ll take the company bus"/>
    <m/>
    <s v="Amaris Consulting"/>
    <s v="Consultants"/>
    <s v="HO Nguyen Hong Uyen"/>
    <s v="In"/>
    <x v="0"/>
    <n v="0"/>
    <n v="0"/>
    <n v="0"/>
    <n v="1"/>
    <n v="1"/>
    <x v="14"/>
  </r>
  <r>
    <s v="Trung Hieu PHAM"/>
    <s v="Yes, count me in!"/>
    <s v="079099030686"/>
    <s v="0933284515"/>
    <s v="No"/>
    <m/>
    <s v="I’ll take the company bus"/>
    <m/>
    <s v="Amaris Consulting"/>
    <s v="Consultants"/>
    <s v="HO Nguyen Hong Uyen"/>
    <s v="In"/>
    <x v="0"/>
    <n v="0"/>
    <n v="0"/>
    <n v="0"/>
    <n v="1"/>
    <n v="1"/>
    <x v="14"/>
  </r>
  <r>
    <s v="Quang Nien NGUYEN"/>
    <s v="Yes, count me in!"/>
    <s v="058201000239"/>
    <s v="0855586358"/>
    <s v="No"/>
    <m/>
    <s v="I’ll take the company bus"/>
    <m/>
    <s v="Amaris Consulting"/>
    <s v="Consultants"/>
    <s v="HO Nguyen Hong Uyen"/>
    <s v="In"/>
    <x v="0"/>
    <n v="0"/>
    <n v="0"/>
    <n v="0"/>
    <n v="1"/>
    <n v="1"/>
    <x v="15"/>
  </r>
  <r>
    <s v="Cong Danh BUI"/>
    <s v="Yes, count me in!"/>
    <s v="079201014939"/>
    <s v="0902891404"/>
    <s v="No"/>
    <m/>
    <s v="I’ll take the company bus"/>
    <s v="Motion sickness pills"/>
    <s v="Amaris Consulting"/>
    <s v="Consultants"/>
    <s v="NGUYEN Tien Nam"/>
    <s v="In"/>
    <x v="0"/>
    <n v="0"/>
    <n v="0"/>
    <n v="0"/>
    <n v="1"/>
    <n v="1"/>
    <x v="15"/>
  </r>
  <r>
    <s v="Huynh Chi Tin VO"/>
    <s v="Yes, count me in!"/>
    <s v="079095022758"/>
    <s v="0777104166"/>
    <s v="No"/>
    <m/>
    <s v="I’ll take the company bus"/>
    <m/>
    <s v="Amaris Consulting"/>
    <s v="Consultants"/>
    <s v="NGUYEN Tien Nam"/>
    <s v="In"/>
    <x v="0"/>
    <n v="0"/>
    <n v="0"/>
    <n v="0"/>
    <n v="1"/>
    <n v="1"/>
    <x v="16"/>
  </r>
  <r>
    <s v="Quang Trung DO"/>
    <s v="Yes, count me in!"/>
    <s v="064200012749"/>
    <s v="0396402696"/>
    <s v="No"/>
    <m/>
    <s v="I’ll take the company bus"/>
    <m/>
    <s v="Amaris Consulting"/>
    <s v="Consultants"/>
    <s v="NGUYEN Tien Nam"/>
    <s v="In"/>
    <x v="0"/>
    <n v="0"/>
    <n v="0"/>
    <n v="0"/>
    <n v="1"/>
    <n v="1"/>
    <x v="16"/>
  </r>
  <r>
    <s v="Thanh Tai NGUYEN"/>
    <s v="Yes, count me in!"/>
    <s v="051090016586"/>
    <s v="0988383049"/>
    <s v="Yes"/>
    <s v="1. Nguyen Thu Huyen - Female - 1991 - TBD_x000a_2. Nguyen Kha Han - Female - 2017 - TBD"/>
    <s v="I’ll take the company bus"/>
    <m/>
    <s v="Amaris Consulting"/>
    <s v="Consultants"/>
    <s v="HO Nguyen Hong Uyen"/>
    <s v="In"/>
    <x v="1"/>
    <n v="1"/>
    <n v="1"/>
    <n v="2"/>
    <n v="3"/>
    <n v="1"/>
    <x v="17"/>
  </r>
  <r>
    <s v="Nguyen Hong Uyen HO"/>
    <s v="Yes, count me in!"/>
    <s v="079197003545"/>
    <s v="0901936418"/>
    <s v="No"/>
    <m/>
    <s v="I’ll take the company bus"/>
    <m/>
    <s v="Amaris Consulting"/>
    <s v="Managers"/>
    <s v="NGUYEN Thai Ly"/>
    <s v="In"/>
    <x v="0"/>
    <n v="0"/>
    <n v="0"/>
    <n v="0"/>
    <n v="1"/>
    <n v="1"/>
    <x v="18"/>
  </r>
  <r>
    <s v="Phuong Thao HA"/>
    <s v="Yes, count me in!"/>
    <s v="079197023976"/>
    <s v="0909324150"/>
    <s v="No"/>
    <m/>
    <s v="I’ll take the company bus"/>
    <m/>
    <s v="Amaris Consulting"/>
    <s v="Managers"/>
    <s v="NGUYEN Thai Ly"/>
    <s v="In"/>
    <x v="0"/>
    <n v="0"/>
    <n v="0"/>
    <n v="0"/>
    <n v="1"/>
    <n v="1"/>
    <x v="19"/>
  </r>
  <r>
    <s v="Thanh Hang VU"/>
    <s v="Yes, count me in!"/>
    <s v="001188049157"/>
    <s v="0901401929"/>
    <s v="No"/>
    <m/>
    <s v="I’ll take the company bus"/>
    <m/>
    <s v="Amaris Consulting"/>
    <s v="Directors"/>
    <s v="THEVELIN Chloe"/>
    <s v="In"/>
    <x v="0"/>
    <n v="0"/>
    <n v="0"/>
    <n v="0"/>
    <n v="1"/>
    <n v="1"/>
    <x v="18"/>
  </r>
  <r>
    <s v="NGUYEN Tien Nam"/>
    <s v="Yes, count me in!"/>
    <s v="077097008033"/>
    <s v="0979040971"/>
    <s v="No"/>
    <m/>
    <s v="I’ll take the company bus"/>
    <m/>
    <s v="Amaris Consulting"/>
    <s v="Managers"/>
    <s v="NGUYEN Thai Ly"/>
    <s v="In"/>
    <x v="0"/>
    <n v="0"/>
    <n v="0"/>
    <n v="0"/>
    <n v="1"/>
    <n v="1"/>
    <x v="20"/>
  </r>
  <r>
    <s v="Cong Khanh HUYNH"/>
    <s v="Yes, count me in!"/>
    <s v="087201004021"/>
    <s v="0777905219"/>
    <s v="No"/>
    <m/>
    <s v="I’ll take the company bus"/>
    <m/>
    <s v="Amaris Consulting"/>
    <s v="Consultants"/>
    <s v="HUYNH Chi Cuong"/>
    <s v="In"/>
    <x v="0"/>
    <n v="0"/>
    <n v="0"/>
    <n v="0"/>
    <n v="1"/>
    <n v="2"/>
    <x v="21"/>
  </r>
  <r>
    <s v="Ngoc Thanh PHAM"/>
    <s v="Yes, count me in!"/>
    <s v="060094011465"/>
    <s v="0333950268"/>
    <s v="No"/>
    <m/>
    <s v="I’ll take the company bus"/>
    <m/>
    <s v="Amaris Consulting"/>
    <s v="Consultants"/>
    <s v="HUYNH Chi Cuong"/>
    <s v="In"/>
    <x v="0"/>
    <n v="0"/>
    <n v="0"/>
    <n v="0"/>
    <n v="1"/>
    <n v="2"/>
    <x v="22"/>
  </r>
  <r>
    <s v="Xuan Vu TRAN"/>
    <s v="Yes, count me in!"/>
    <s v="046098001181"/>
    <s v="0327360123"/>
    <s v="No"/>
    <m/>
    <s v="I’ll take the company bus"/>
    <m/>
    <s v="Amaris Consulting"/>
    <s v="Consultants"/>
    <s v="HUYNH Chi Cuong"/>
    <s v="In"/>
    <x v="0"/>
    <n v="0"/>
    <n v="0"/>
    <n v="0"/>
    <n v="1"/>
    <n v="2"/>
    <x v="22"/>
  </r>
  <r>
    <s v="Nhu Hai Luu PHAN"/>
    <s v="Yes, count me in!"/>
    <s v="060099011492"/>
    <s v="0379738098"/>
    <s v="No"/>
    <m/>
    <s v="I’ll take the company bus"/>
    <m/>
    <s v="Amaris Consulting"/>
    <s v="Consultants"/>
    <s v="LA Thuy My Hao"/>
    <s v="In"/>
    <x v="0"/>
    <n v="0"/>
    <n v="0"/>
    <n v="0"/>
    <n v="1"/>
    <n v="2"/>
    <x v="23"/>
  </r>
  <r>
    <s v="Hoai Sang CAO"/>
    <s v="Yes, count me in!"/>
    <s v="095203009143"/>
    <s v="0944552050"/>
    <s v="No"/>
    <m/>
    <s v="I’ll take the company bus"/>
    <m/>
    <s v="Amaris Consulting"/>
    <s v="Consultants"/>
    <s v="LA Thuy My Hao"/>
    <s v="In"/>
    <x v="0"/>
    <n v="0"/>
    <n v="0"/>
    <n v="0"/>
    <n v="1"/>
    <n v="2"/>
    <x v="23"/>
  </r>
  <r>
    <s v="Huynh Duy Duc NGUYEN"/>
    <s v="Yes, count me in!"/>
    <s v="064201016123"/>
    <s v="0979409417"/>
    <s v="No"/>
    <m/>
    <s v="I’ll take the company bus"/>
    <m/>
    <s v="Amaris Consulting"/>
    <s v="Consultants"/>
    <s v="LA Thuy My Hao"/>
    <s v="In"/>
    <x v="0"/>
    <n v="0"/>
    <n v="0"/>
    <n v="0"/>
    <n v="1"/>
    <n v="2"/>
    <x v="24"/>
  </r>
  <r>
    <s v="Quoc Linh TRAN"/>
    <s v="Yes, count me in!"/>
    <s v="096099005690"/>
    <s v="0379218610"/>
    <s v="No"/>
    <m/>
    <s v="I’ll take the company bus"/>
    <m/>
    <s v="Amaris Consulting"/>
    <s v="Consultants"/>
    <s v="LA Thuy My Hao"/>
    <s v="In"/>
    <x v="0"/>
    <n v="0"/>
    <n v="0"/>
    <n v="0"/>
    <n v="1"/>
    <n v="2"/>
    <x v="24"/>
  </r>
  <r>
    <s v="Van Hao LE"/>
    <s v="Yes, count me in!"/>
    <s v="089097008685"/>
    <s v="0378462578"/>
    <s v="No"/>
    <m/>
    <s v="I’ll take the company bus"/>
    <m/>
    <s v="Amaris Consulting"/>
    <s v="Consultants"/>
    <s v="LA Thuy My Hao"/>
    <s v="In"/>
    <x v="0"/>
    <n v="0"/>
    <n v="0"/>
    <n v="0"/>
    <n v="1"/>
    <n v="2"/>
    <x v="25"/>
  </r>
  <r>
    <s v="Minh Phuoc NGUYEN"/>
    <s v="Yes, count me in!"/>
    <s v="079094018368"/>
    <s v="0937686998"/>
    <s v="No"/>
    <m/>
    <s v="I’ll take the company bus"/>
    <m/>
    <s v="Amaris Consulting"/>
    <s v="Consultants"/>
    <s v="LA Thuy My Hao"/>
    <s v="In"/>
    <x v="0"/>
    <n v="0"/>
    <n v="0"/>
    <n v="0"/>
    <n v="1"/>
    <n v="2"/>
    <x v="25"/>
  </r>
  <r>
    <s v="Duy Nhat NGUYEN"/>
    <s v="Yes, count me in!"/>
    <s v="072200007361"/>
    <s v="0967524457"/>
    <s v="No"/>
    <m/>
    <s v="I’ll take the company bus"/>
    <m/>
    <s v="Amaris Consulting"/>
    <s v="Consultants"/>
    <s v="LA Thuy My Hao"/>
    <s v="In"/>
    <x v="0"/>
    <n v="0"/>
    <n v="0"/>
    <n v="0"/>
    <n v="1"/>
    <n v="2"/>
    <x v="26"/>
  </r>
  <r>
    <s v="Huu Ngan MAI"/>
    <s v="Yes, count me in!"/>
    <s v="049202002958"/>
    <s v="0343734096"/>
    <s v="No"/>
    <m/>
    <s v="I’ll take the company bus"/>
    <m/>
    <s v="Amaris Consulting"/>
    <s v="Consultants"/>
    <s v="LA Thuy My Hao"/>
    <s v="In"/>
    <x v="0"/>
    <n v="0"/>
    <n v="0"/>
    <n v="0"/>
    <n v="1"/>
    <n v="2"/>
    <x v="26"/>
  </r>
  <r>
    <s v="Minh Quan DANG"/>
    <s v="Yes, count me in!"/>
    <s v="089201001783"/>
    <s v="0941967745"/>
    <s v="No"/>
    <m/>
    <s v="I’ll take the company bus"/>
    <m/>
    <s v="Amaris Consulting"/>
    <s v="Consultants"/>
    <s v="LA Thuy My Hao"/>
    <s v="In"/>
    <x v="0"/>
    <n v="0"/>
    <n v="0"/>
    <n v="0"/>
    <n v="1"/>
    <n v="2"/>
    <x v="27"/>
  </r>
  <r>
    <s v="Huu Nghia PHAM"/>
    <s v="Yes, count me in!"/>
    <s v="064098000457"/>
    <s v="0363543388"/>
    <s v="No"/>
    <m/>
    <s v="I’ll take the company bus"/>
    <m/>
    <s v="Amaris Consulting"/>
    <s v="Consultants"/>
    <s v="LA Thuy My Hao"/>
    <s v="In"/>
    <x v="0"/>
    <n v="0"/>
    <n v="0"/>
    <n v="0"/>
    <n v="1"/>
    <n v="2"/>
    <x v="27"/>
  </r>
  <r>
    <s v="Duy Phong NGUYEN"/>
    <s v="Yes, count me in!"/>
    <s v="049200016142"/>
    <s v="0396428796"/>
    <s v="No"/>
    <m/>
    <s v="I’ll take the company bus"/>
    <m/>
    <s v="Amaris Consulting"/>
    <s v="Consultants"/>
    <s v="LA Thuy My Hao"/>
    <s v="In"/>
    <x v="0"/>
    <n v="0"/>
    <n v="0"/>
    <n v="0"/>
    <n v="1"/>
    <n v="2"/>
    <x v="28"/>
  </r>
  <r>
    <s v="Tuan Thanh TRAN"/>
    <s v="Yes, count me in!"/>
    <s v="042200003160"/>
    <s v="0971850315"/>
    <s v="No"/>
    <m/>
    <s v="I’ll take the company bus"/>
    <m/>
    <s v="Amaris Consulting"/>
    <s v="Consultants"/>
    <s v="LA Thuy My Hao"/>
    <s v="In"/>
    <x v="0"/>
    <n v="0"/>
    <n v="0"/>
    <n v="0"/>
    <n v="1"/>
    <n v="2"/>
    <x v="28"/>
  </r>
  <r>
    <s v="Huy Tri NGUYEN"/>
    <s v="Yes, count me in!"/>
    <s v="079203015788"/>
    <s v="0963698249"/>
    <s v="No"/>
    <m/>
    <s v="I’ll take the company bus"/>
    <m/>
    <s v="Amaris Consulting"/>
    <s v="Consultants"/>
    <s v="LA Thuy My Hao"/>
    <s v="In"/>
    <x v="0"/>
    <n v="0"/>
    <n v="0"/>
    <n v="0"/>
    <n v="1"/>
    <n v="2"/>
    <x v="29"/>
  </r>
  <r>
    <s v="Thanh Duc LE"/>
    <s v="Yes, count me in!"/>
    <s v="079200038775"/>
    <s v="0339310132"/>
    <s v="No"/>
    <m/>
    <s v="I’ll take the company bus"/>
    <m/>
    <s v="Amaris Consulting"/>
    <s v="Consultants"/>
    <s v="LA Thuy My Hao"/>
    <s v="In"/>
    <x v="0"/>
    <n v="0"/>
    <n v="0"/>
    <n v="0"/>
    <n v="1"/>
    <n v="2"/>
    <x v="29"/>
  </r>
  <r>
    <s v="Tran Nhat Duc NGUYEN"/>
    <s v="Yes, count me in!"/>
    <s v="056200011360"/>
    <s v="0869885812"/>
    <s v="No"/>
    <m/>
    <s v="I’ll take the company bus"/>
    <m/>
    <s v="Amaris Consulting"/>
    <s v="Consultants"/>
    <s v="LA Thuy My Hao"/>
    <s v="In"/>
    <x v="0"/>
    <n v="0"/>
    <n v="0"/>
    <n v="0"/>
    <n v="1"/>
    <n v="2"/>
    <x v="30"/>
  </r>
  <r>
    <s v="Minh Tri DO"/>
    <s v="Yes, count me in!"/>
    <s v="minhtri.do@amaris.com"/>
    <s v="0935919461"/>
    <s v="No"/>
    <m/>
    <s v="I’ll take the company bus"/>
    <m/>
    <s v="Amaris Consulting"/>
    <s v="Consultants"/>
    <s v="LA Thuy My Hao"/>
    <s v="In"/>
    <x v="0"/>
    <n v="0"/>
    <n v="0"/>
    <n v="0"/>
    <n v="1"/>
    <n v="2"/>
    <x v="30"/>
  </r>
  <r>
    <s v="Tien Manh NGUYEN"/>
    <s v="Yes, count me in!"/>
    <s v="252203000013"/>
    <s v="0829622879"/>
    <s v="No"/>
    <m/>
    <s v="I’ll take the company bus"/>
    <m/>
    <s v="Amaris Consulting"/>
    <s v="Consultants"/>
    <s v="LA Thuy My Hao"/>
    <s v="In"/>
    <x v="0"/>
    <n v="0"/>
    <n v="0"/>
    <n v="0"/>
    <n v="1"/>
    <n v="2"/>
    <x v="31"/>
  </r>
  <r>
    <s v="Quoc Trung KIEU"/>
    <s v="Yes, count me in!"/>
    <s v="079200044816"/>
    <s v="0932535781"/>
    <s v="No"/>
    <m/>
    <s v="I’ll take the company bus"/>
    <m/>
    <s v="Amaris Consulting"/>
    <s v="Consultants"/>
    <s v="LA Thuy My Hao"/>
    <s v="In"/>
    <x v="0"/>
    <n v="0"/>
    <n v="0"/>
    <n v="0"/>
    <n v="1"/>
    <n v="2"/>
    <x v="31"/>
  </r>
  <r>
    <s v="DINH Thanh Viet"/>
    <s v="Yes, count me in!"/>
    <s v="052200005034"/>
    <s v="+84 377130331"/>
    <s v="No"/>
    <m/>
    <s v="I’ll take the company bus"/>
    <m/>
    <s v="Amaris Consulting"/>
    <s v="Consultants"/>
    <s v="LA Thuy My Hao"/>
    <s v="In"/>
    <x v="0"/>
    <n v="0"/>
    <n v="0"/>
    <n v="0"/>
    <n v="1"/>
    <n v="2"/>
    <x v="32"/>
  </r>
  <r>
    <s v="Chi Cuong HUYNH"/>
    <s v="Yes, count me in!"/>
    <s v="079095014706"/>
    <s v="0937251707"/>
    <s v="No"/>
    <m/>
    <s v="I’ll take the company bus"/>
    <s v="Dị ứng cồn"/>
    <s v="Amaris Consulting"/>
    <s v="Consultants"/>
    <s v="NGUYEN The Trinh"/>
    <s v="In"/>
    <x v="0"/>
    <n v="0"/>
    <n v="0"/>
    <n v="0"/>
    <n v="1"/>
    <n v="2"/>
    <x v="32"/>
  </r>
  <r>
    <s v="Thi Thanh Huong LE"/>
    <s v="Yes, count me in!"/>
    <s v="079302009777"/>
    <s v="0703264721"/>
    <s v="No"/>
    <m/>
    <s v="I’ll take the company bus"/>
    <m/>
    <s v="Amaris Consulting"/>
    <s v="Consultants"/>
    <s v="HUYNH Chi Cuong"/>
    <s v="In"/>
    <x v="0"/>
    <n v="0"/>
    <n v="0"/>
    <n v="0"/>
    <n v="1"/>
    <n v="2"/>
    <x v="33"/>
  </r>
  <r>
    <s v="Phuong Hang LE THI"/>
    <s v="Yes, count me in!"/>
    <s v="079186021679"/>
    <s v="0866876722"/>
    <s v="No"/>
    <m/>
    <s v="I’ll take the company bus"/>
    <m/>
    <s v="Amaris Consulting"/>
    <s v="Consultants"/>
    <s v="LA Thuy My Hao"/>
    <s v="In"/>
    <x v="0"/>
    <n v="0"/>
    <n v="0"/>
    <n v="0"/>
    <n v="1"/>
    <n v="2"/>
    <x v="33"/>
  </r>
  <r>
    <s v="Thi Tram Ngan TRAN"/>
    <s v="Yes, count me in!"/>
    <s v="087300002383"/>
    <s v="0939053112"/>
    <s v="No"/>
    <m/>
    <s v="I’ll take the company bus"/>
    <m/>
    <s v="Amaris Consulting"/>
    <s v="Consultants"/>
    <s v="LA Thuy My Hao"/>
    <s v="In"/>
    <x v="0"/>
    <n v="0"/>
    <n v="0"/>
    <n v="0"/>
    <n v="1"/>
    <n v="2"/>
    <x v="34"/>
  </r>
  <r>
    <s v="Ngoc My HA"/>
    <s v="Yes, count me in!"/>
    <s v="082300007349"/>
    <s v="0888745255"/>
    <s v="No"/>
    <m/>
    <s v="I’ll take the company bus"/>
    <m/>
    <s v="Amaris Consulting"/>
    <s v="Consultants"/>
    <s v="LA Thuy My Hao"/>
    <s v="In"/>
    <x v="0"/>
    <n v="0"/>
    <n v="0"/>
    <n v="0"/>
    <n v="1"/>
    <n v="2"/>
    <x v="34"/>
  </r>
  <r>
    <s v="Ngoc Thuy Trang PHAM"/>
    <s v="Yes, count me in!"/>
    <s v="079300022868"/>
    <s v="0707653589"/>
    <s v="No"/>
    <m/>
    <s v="I’ll take the company bus"/>
    <m/>
    <s v="Amaris Consulting"/>
    <s v="Consultants"/>
    <s v="LA Thuy My Hao"/>
    <s v="In"/>
    <x v="0"/>
    <n v="0"/>
    <n v="0"/>
    <n v="0"/>
    <n v="1"/>
    <n v="2"/>
    <x v="35"/>
  </r>
  <r>
    <s v="Thai An PHAM THUY"/>
    <s v="Yes, count me in!"/>
    <s v="095304000976"/>
    <s v="0913854054"/>
    <s v="No"/>
    <m/>
    <s v="I’ll take the company bus"/>
    <m/>
    <s v="Amaris Consulting"/>
    <s v="Consultants"/>
    <s v="LA Thuy My Hao"/>
    <s v="In"/>
    <x v="0"/>
    <n v="0"/>
    <n v="0"/>
    <n v="0"/>
    <n v="1"/>
    <n v="2"/>
    <x v="35"/>
  </r>
  <r>
    <s v="Tu Uyen DINH THI"/>
    <s v="Yes, count me in!"/>
    <s v="070302002356"/>
    <s v="0383899275"/>
    <s v="No"/>
    <m/>
    <s v="I’ll take the company bus"/>
    <m/>
    <s v="Amaris Consulting"/>
    <s v="Consultants"/>
    <s v="LA Thuy My Hao"/>
    <s v="In"/>
    <x v="0"/>
    <n v="0"/>
    <n v="0"/>
    <n v="0"/>
    <n v="1"/>
    <n v="2"/>
    <x v="36"/>
  </r>
  <r>
    <s v="Ngoc Tran TA THI"/>
    <s v="Yes, count me in!"/>
    <s v="089196003991"/>
    <s v="0369040747"/>
    <s v="No"/>
    <m/>
    <s v="I’ll take the company bus"/>
    <m/>
    <s v="Amaris Consulting"/>
    <s v="Consultants"/>
    <s v="LA Thuy My Hao"/>
    <s v="In"/>
    <x v="0"/>
    <n v="0"/>
    <n v="0"/>
    <n v="0"/>
    <n v="1"/>
    <n v="2"/>
    <x v="36"/>
  </r>
  <r>
    <s v="Duy Nguyen VO NGOC"/>
    <s v="Yes, count me in!"/>
    <s v="079201007186"/>
    <s v="0919990145"/>
    <s v="No"/>
    <m/>
    <s v="I’ll take the company bus"/>
    <m/>
    <s v="Amaris Consulting"/>
    <s v="Consultants"/>
    <s v="LA Thuy My Hao"/>
    <s v="In"/>
    <x v="0"/>
    <n v="0"/>
    <n v="0"/>
    <n v="0"/>
    <n v="1"/>
    <n v="2"/>
    <x v="21"/>
  </r>
  <r>
    <s v="Chi Hau NGUYEN"/>
    <s v="Yes, count me in!"/>
    <s v="086203010658"/>
    <s v="0799549878"/>
    <s v="No"/>
    <m/>
    <s v="I’ll take the company bus"/>
    <m/>
    <s v="Amaris Consulting"/>
    <s v="Consultants"/>
    <s v="LA Thuy My Hao"/>
    <s v="In"/>
    <x v="0"/>
    <n v="0"/>
    <n v="0"/>
    <n v="0"/>
    <n v="1"/>
    <n v="2"/>
    <x v="37"/>
  </r>
  <r>
    <s v="Dai Duong PHAN"/>
    <s v="Yes, count me in!"/>
    <s v="052201013763"/>
    <s v="0398324011"/>
    <s v="No"/>
    <m/>
    <s v="I’ll take the company bus"/>
    <m/>
    <s v="Amaris Consulting"/>
    <s v="Consultants"/>
    <s v="LA Thuy My Hao"/>
    <s v="In"/>
    <x v="0"/>
    <n v="0"/>
    <n v="0"/>
    <n v="0"/>
    <n v="1"/>
    <n v="2"/>
    <x v="37"/>
  </r>
  <r>
    <s v="Dinh Anh Quoc HOANG"/>
    <s v="Yes, count me in!"/>
    <s v="079202006608"/>
    <s v="0983941396"/>
    <s v="No"/>
    <m/>
    <s v="I’ll take the company bus"/>
    <m/>
    <s v="Amaris Consulting"/>
    <s v="Consultants"/>
    <s v="LA Thuy My Hao"/>
    <s v="In"/>
    <x v="0"/>
    <n v="0"/>
    <n v="0"/>
    <n v="0"/>
    <n v="1"/>
    <n v="2"/>
    <x v="38"/>
  </r>
  <r>
    <s v="Dinh Lam TRAN"/>
    <s v="Yes, count me in!"/>
    <s v="066200002973"/>
    <s v="0769781003"/>
    <s v="No"/>
    <m/>
    <s v="I’ll take the company bus"/>
    <s v="I have a mild seafood allergy"/>
    <s v="Amaris Consulting"/>
    <s v="Consultants"/>
    <s v="LA Thuy My Hao"/>
    <s v="In"/>
    <x v="0"/>
    <n v="0"/>
    <n v="0"/>
    <n v="0"/>
    <n v="1"/>
    <n v="2"/>
    <x v="38"/>
  </r>
  <r>
    <s v="The Trinh NGUYEN"/>
    <s v="Yes, count me in!"/>
    <s v="049192000750"/>
    <s v="0983068421"/>
    <s v="No"/>
    <m/>
    <s v="I’ll take the company bus"/>
    <m/>
    <s v="Amaris Consulting"/>
    <s v="Delivery"/>
    <s v="VU Thanh Hang"/>
    <s v="In"/>
    <x v="0"/>
    <n v="0"/>
    <n v="0"/>
    <n v="0"/>
    <n v="1"/>
    <n v="2"/>
    <x v="39"/>
  </r>
  <r>
    <s v="Thuy My Hao LA"/>
    <s v="Yes, count me in!"/>
    <s v="087190011453"/>
    <s v="0375225989"/>
    <s v="No"/>
    <m/>
    <s v="I’ll take the company bus"/>
    <m/>
    <s v="Amaris Consulting"/>
    <s v="Delivery"/>
    <s v="NGUYEN The Trinh"/>
    <s v="In"/>
    <x v="0"/>
    <n v="0"/>
    <n v="0"/>
    <n v="0"/>
    <n v="1"/>
    <n v="2"/>
    <x v="40"/>
  </r>
  <r>
    <s v="Tri Hung NGUYEN"/>
    <s v="Yes, count me in!"/>
    <s v="040099011473"/>
    <s v="0946650045"/>
    <s v="No"/>
    <m/>
    <s v="I’ll take the company bus"/>
    <m/>
    <s v="Amaris Consulting"/>
    <s v="Consultants"/>
    <s v="NGUYEN Hoang Tuan Anh"/>
    <s v="In"/>
    <x v="0"/>
    <n v="0"/>
    <n v="0"/>
    <n v="0"/>
    <n v="1"/>
    <n v="3"/>
    <x v="41"/>
  </r>
  <r>
    <s v="Hoang Tuan Anh NGUYEN"/>
    <s v="Yes, count me in!"/>
    <s v="079096034588"/>
    <s v="0938282487"/>
    <s v="No"/>
    <m/>
    <s v="I’ll take the company bus"/>
    <m/>
    <s v="Amaris Consulting"/>
    <s v="Consultants"/>
    <s v="NGUYEN The Trinh"/>
    <s v="In"/>
    <x v="0"/>
    <n v="0"/>
    <n v="0"/>
    <n v="0"/>
    <n v="1"/>
    <n v="3"/>
    <x v="41"/>
  </r>
  <r>
    <s v="That Viet Anh TON"/>
    <s v="Yes, count me in!"/>
    <s v="079096027174"/>
    <s v="0934297931"/>
    <s v="No"/>
    <m/>
    <s v="I’ll take the company bus"/>
    <m/>
    <s v="Amaris Consulting"/>
    <s v="Consultants"/>
    <s v="NGUYEN Hoang Tuan Anh"/>
    <s v="In"/>
    <x v="0"/>
    <n v="0"/>
    <n v="0"/>
    <n v="0"/>
    <n v="1"/>
    <n v="3"/>
    <x v="42"/>
  </r>
  <r>
    <s v="Truong An NGUYEN"/>
    <s v="Yes, count me in!"/>
    <s v="075095021646"/>
    <s v="0352680918"/>
    <s v="No"/>
    <m/>
    <s v="I’ll take the company bus"/>
    <m/>
    <s v="Amaris Consulting"/>
    <s v="Consultants"/>
    <s v="NGUYEN Hoang Tuan Anh"/>
    <s v="In"/>
    <x v="0"/>
    <n v="0"/>
    <n v="0"/>
    <n v="0"/>
    <n v="1"/>
    <n v="3"/>
    <x v="42"/>
  </r>
  <r>
    <s v="Nam Kha LE"/>
    <s v="Yes, count me in!"/>
    <s v="052097015080"/>
    <s v="0776756952"/>
    <s v="No"/>
    <m/>
    <s v="I’ll take the company bus"/>
    <m/>
    <s v="Amaris Consulting"/>
    <s v="Consultants"/>
    <s v="TRAN Thi Ha My"/>
    <s v="In"/>
    <x v="0"/>
    <n v="0"/>
    <n v="0"/>
    <n v="0"/>
    <n v="1"/>
    <n v="3"/>
    <x v="43"/>
  </r>
  <r>
    <s v="Tan Hoang NGUYEN"/>
    <s v="Yes, count me in!"/>
    <s v="051202007406"/>
    <s v="0345717796"/>
    <s v="No"/>
    <m/>
    <s v="I’ll take the company bus"/>
    <m/>
    <s v="Amaris Consulting"/>
    <s v="Consultants"/>
    <s v="TRAN Thi Ha My"/>
    <s v="In"/>
    <x v="0"/>
    <n v="0"/>
    <n v="0"/>
    <n v="0"/>
    <n v="1"/>
    <n v="3"/>
    <x v="44"/>
  </r>
  <r>
    <s v="Bao Khang HA"/>
    <s v="Yes, count me in!"/>
    <s v="091201012114"/>
    <s v="0762922184"/>
    <s v="No"/>
    <m/>
    <s v="I’ll take the company bus"/>
    <m/>
    <s v="Amaris Consulting"/>
    <s v="Consultants"/>
    <s v="TRAN Thi Ha My"/>
    <s v="In"/>
    <x v="0"/>
    <n v="0"/>
    <n v="0"/>
    <n v="0"/>
    <n v="1"/>
    <n v="3"/>
    <x v="45"/>
  </r>
  <r>
    <s v="Thanh Duy CHAU"/>
    <s v="Yes, count me in!"/>
    <s v="079098003185"/>
    <s v="0879295967"/>
    <s v="No"/>
    <m/>
    <s v="I’ll take the company bus"/>
    <m/>
    <s v="Amaris Consulting"/>
    <s v="Consultants"/>
    <s v="TRAN Thi Ha My"/>
    <s v="In"/>
    <x v="0"/>
    <n v="0"/>
    <n v="0"/>
    <n v="0"/>
    <n v="1"/>
    <n v="3"/>
    <x v="45"/>
  </r>
  <r>
    <s v="Van Tien CAO"/>
    <s v="Yes, count me in!"/>
    <s v="067098004566"/>
    <s v="0584106886"/>
    <s v="No"/>
    <m/>
    <s v="I’ll take the company bus"/>
    <m/>
    <s v="Amaris Consulting"/>
    <s v="Consultants"/>
    <s v="TRAN Thi Ha My"/>
    <s v="In"/>
    <x v="0"/>
    <n v="0"/>
    <n v="0"/>
    <n v="0"/>
    <n v="1"/>
    <n v="3"/>
    <x v="46"/>
  </r>
  <r>
    <s v="Phuong VU"/>
    <s v="Yes, count me in!"/>
    <s v="089096021770"/>
    <s v="0962359719"/>
    <s v="No"/>
    <m/>
    <s v="I’ll take the company bus"/>
    <m/>
    <s v="Amaris Consulting"/>
    <s v="Consultants"/>
    <s v="TRAN Thi Ha My"/>
    <s v="In"/>
    <x v="0"/>
    <n v="0"/>
    <n v="0"/>
    <n v="0"/>
    <n v="1"/>
    <n v="3"/>
    <x v="46"/>
  </r>
  <r>
    <s v="Minh Tan TRAN"/>
    <s v="Yes, count me in!"/>
    <s v="082097013452"/>
    <s v="0332548027"/>
    <s v="No"/>
    <m/>
    <s v="I’ll take the company bus"/>
    <m/>
    <s v="Amaris Consulting"/>
    <s v="Consultants"/>
    <s v="TRAN Thi Ha My"/>
    <s v="In"/>
    <x v="0"/>
    <n v="0"/>
    <n v="0"/>
    <n v="0"/>
    <n v="1"/>
    <n v="3"/>
    <x v="47"/>
  </r>
  <r>
    <s v="Xuan Thuong TRINH"/>
    <s v="Yes, count me in!"/>
    <s v="049092003884"/>
    <s v="0973718347"/>
    <s v="No"/>
    <m/>
    <s v="I’ll take the company bus"/>
    <m/>
    <s v="Amaris Consulting"/>
    <s v="Consultants"/>
    <s v="TRAN Thi Ha My"/>
    <s v="In"/>
    <x v="0"/>
    <n v="0"/>
    <n v="0"/>
    <n v="0"/>
    <n v="1"/>
    <n v="3"/>
    <x v="48"/>
  </r>
  <r>
    <s v="Van Hieu NGUYEN"/>
    <s v="Yes, count me in!"/>
    <s v="052096015341"/>
    <s v="0397459642"/>
    <s v="No"/>
    <m/>
    <s v="I’ll take the company bus"/>
    <m/>
    <s v="Amaris Consulting"/>
    <s v="Consultants"/>
    <s v="TRAN Thi Ha My"/>
    <s v="In"/>
    <x v="0"/>
    <n v="0"/>
    <n v="0"/>
    <n v="0"/>
    <n v="1"/>
    <n v="3"/>
    <x v="49"/>
  </r>
  <r>
    <s v="Kim Gia Huy NGUYEN"/>
    <s v="Yes, count me in!"/>
    <s v="079099027044"/>
    <s v="0335618057"/>
    <s v="No"/>
    <m/>
    <s v="I’ll take the company bus"/>
    <m/>
    <s v="Amaris Consulting"/>
    <s v="Consultants"/>
    <s v="TRAN Thi Ha My"/>
    <s v="In"/>
    <x v="0"/>
    <n v="0"/>
    <n v="0"/>
    <n v="0"/>
    <n v="1"/>
    <n v="3"/>
    <x v="49"/>
  </r>
  <r>
    <s v="Thanh Xuan BUI"/>
    <s v="Yes, count me in!"/>
    <s v="075090010849"/>
    <s v="0778836595"/>
    <s v="No"/>
    <m/>
    <s v="I’ll take the company bus"/>
    <m/>
    <s v="Amaris Consulting"/>
    <s v="Consultants"/>
    <s v="TRAN Thi Ha My"/>
    <s v="In"/>
    <x v="0"/>
    <n v="0"/>
    <n v="0"/>
    <n v="0"/>
    <n v="1"/>
    <n v="3"/>
    <x v="50"/>
  </r>
  <r>
    <s v="Van Tinh PHAM"/>
    <s v="Yes, count me in!"/>
    <s v="052092015218"/>
    <s v="0346726479"/>
    <s v="No"/>
    <m/>
    <s v="I’ll take the company bus"/>
    <m/>
    <s v="Amaris Consulting"/>
    <s v="Consultants"/>
    <s v="TRAN Thi Ha My"/>
    <s v="In"/>
    <x v="0"/>
    <n v="0"/>
    <n v="0"/>
    <n v="0"/>
    <n v="1"/>
    <n v="3"/>
    <x v="50"/>
  </r>
  <r>
    <s v="Thi Phuong Thao VU"/>
    <s v="Yes, count me in!"/>
    <s v="035198005801"/>
    <s v="0961393725"/>
    <s v="Yes"/>
    <s v="Cao Thi Truc Duyen - Female - 15/06/1997 - 083197002767"/>
    <s v="I’ll take the company bus"/>
    <m/>
    <s v="Amaris Consulting"/>
    <s v="Consultants"/>
    <s v="TRAN Thi Ha My"/>
    <s v="In"/>
    <x v="1"/>
    <n v="0"/>
    <n v="1"/>
    <n v="1"/>
    <n v="2"/>
    <n v="3"/>
    <x v="51"/>
  </r>
  <r>
    <s v="Thi Nguyet NONG"/>
    <s v="Yes, count me in!"/>
    <s v="091301010042"/>
    <s v="0768811159"/>
    <s v="No"/>
    <m/>
    <s v="I’ll take the company bus"/>
    <m/>
    <s v="Amaris Consulting"/>
    <s v="Consultants"/>
    <s v="NGUYEN Hoang Tuan Anh"/>
    <s v="In"/>
    <x v="0"/>
    <n v="0"/>
    <n v="0"/>
    <n v="0"/>
    <n v="1"/>
    <n v="1"/>
    <x v="0"/>
  </r>
  <r>
    <s v="Thi Viet Trinh NGUYEN"/>
    <s v="Yes, count me in!"/>
    <s v="075193013225"/>
    <s v="0356055190"/>
    <s v="No"/>
    <m/>
    <s v="I’ll take the company bus"/>
    <m/>
    <s v="Amaris Consulting"/>
    <s v="Consultants"/>
    <s v="TRAN Thi Ha My"/>
    <s v="In"/>
    <x v="0"/>
    <n v="0"/>
    <n v="0"/>
    <n v="0"/>
    <n v="1"/>
    <n v="3"/>
    <x v="52"/>
  </r>
  <r>
    <s v="Khanh Gia CHUNG"/>
    <s v="Yes, count me in!"/>
    <s v="079301006935"/>
    <s v="0779911643"/>
    <s v="No"/>
    <m/>
    <s v="I’ll take the company bus"/>
    <m/>
    <s v="Amaris Consulting"/>
    <s v="Consultants"/>
    <s v="TRAN Thi Ha My"/>
    <s v="In"/>
    <x v="0"/>
    <n v="0"/>
    <n v="0"/>
    <n v="0"/>
    <n v="1"/>
    <n v="3"/>
    <x v="1"/>
  </r>
  <r>
    <s v="Ngoc Trang Dai TRAN"/>
    <s v="Yes, count me in!"/>
    <s v="084197000010"/>
    <s v="0936610147"/>
    <s v="No"/>
    <m/>
    <s v="I’ll take the company bus"/>
    <m/>
    <s v="Amaris Consulting"/>
    <s v="Consultants"/>
    <s v="TRAN Thi Ha My"/>
    <s v="In"/>
    <x v="0"/>
    <n v="0"/>
    <n v="0"/>
    <n v="0"/>
    <n v="1"/>
    <n v="3"/>
    <x v="53"/>
  </r>
  <r>
    <s v="Cong Tuan VAN"/>
    <s v="Yes, count me in!"/>
    <s v="052092002529"/>
    <s v="0977794203"/>
    <s v="Yes"/>
    <s v="Nguyen Thi Viet Le - Female - 20/11/1997 - 049197010026"/>
    <s v="I’ll take the company bus"/>
    <m/>
    <s v="Amaris Consulting"/>
    <s v="Consultants"/>
    <s v="TRAN Thi Ha My"/>
    <s v="In"/>
    <x v="1"/>
    <n v="0"/>
    <n v="1"/>
    <n v="1"/>
    <n v="2"/>
    <n v="3"/>
    <x v="54"/>
  </r>
  <r>
    <s v="Nham Quy TRAN"/>
    <s v="Yes, count me in!"/>
    <s v="052092016286"/>
    <s v="0972326052"/>
    <s v="Yes"/>
    <s v="Lam Vi Phuong - Female - 25/05/1994 - 084194007540"/>
    <s v="I’ll take the company bus"/>
    <m/>
    <s v="Amaris Consulting"/>
    <s v="Consultants"/>
    <s v="TRAN Thi Ha My"/>
    <s v="In"/>
    <x v="1"/>
    <n v="0"/>
    <n v="1"/>
    <n v="1"/>
    <n v="2"/>
    <n v="3"/>
    <x v="55"/>
  </r>
  <r>
    <s v="Anh Tuan - Tl NGUYEN"/>
    <s v="Yes, count me in!"/>
    <s v="079085007940"/>
    <s v="0878886446"/>
    <s v="Yes"/>
    <s v="1. TRẦN THỊ KIM THUỶ Ngày sinh: 07/10/1998 CCCD: 079198004873 _x000a_2. NGUYỄN NGỌC KIM ANH Ngày sinh: 04/09/2022 CCCD: 079322018996 _x000a_3. NGUYỄN NGỌC TUỆ NHI Ngày sinh: 01/03/2024 CCCD: 079324006070"/>
    <s v="I’ll take the company bus"/>
    <m/>
    <s v="Amaris Consulting"/>
    <s v="Consultants"/>
    <s v="TRAN Thi Ha My"/>
    <s v="In"/>
    <x v="1"/>
    <n v="2"/>
    <n v="1"/>
    <n v="3"/>
    <n v="4"/>
    <n v="3"/>
    <x v="56"/>
  </r>
  <r>
    <s v="Huy Hoang NGUYEN"/>
    <s v="Yes, count me in!"/>
    <s v="049092003884"/>
    <s v="0975193219"/>
    <s v="Yes"/>
    <s v="1. Lương Thị Lưu - Female - 06/03/1993 - 040193036578_x000a_2. Nguyễn Lương Hoàng Yến - Female - 19/10/2021 - 086321006062_x000a_3. Nguyễn Lương Thanh Thảo - Female -  06/03/2024 - 086324001119"/>
    <s v="I’ll take the company bus"/>
    <m/>
    <s v="Amaris Consulting"/>
    <s v="Consultants"/>
    <s v="TRAN Thi Ha My"/>
    <s v="In"/>
    <x v="1"/>
    <n v="2"/>
    <n v="1"/>
    <n v="3"/>
    <n v="4"/>
    <n v="3"/>
    <x v="57"/>
  </r>
  <r>
    <s v="Cong Quan PHAM"/>
    <s v="Yes, count me in!"/>
    <s v="049095015282"/>
    <s v="0386987100"/>
    <s v="Yes"/>
    <s v="1. Ung Thụy Song Quỳnh - Female - 11/11/1995 - 049195000151_x000a_2. Phạm Công Quang - Male - 26/05/2024 - 049224004390"/>
    <s v="I’ll take the company bus"/>
    <m/>
    <s v="Amaris Consulting"/>
    <s v="Consultants"/>
    <s v="TRAN Thi Ha My"/>
    <s v="In"/>
    <x v="1"/>
    <n v="1"/>
    <n v="1"/>
    <n v="2"/>
    <n v="3"/>
    <n v="3"/>
    <x v="58"/>
  </r>
  <r>
    <s v="Thi Ha My TRAN"/>
    <s v="Yes, count me in!"/>
    <s v="040195009694"/>
    <s v="0966272279"/>
    <s v="No"/>
    <m/>
    <s v="I’ll take the company bus"/>
    <m/>
    <s v="Amaris Consulting"/>
    <s v="Delivery"/>
    <s v="NGUYEN The Trinh"/>
    <s v="In"/>
    <x v="0"/>
    <n v="0"/>
    <n v="0"/>
    <n v="0"/>
    <n v="1"/>
    <n v="3"/>
    <x v="53"/>
  </r>
  <r>
    <s v="Thanh Trung NGUYEN"/>
    <s v="Yes, count me in!"/>
    <s v="031202004177"/>
    <s v="0886895676"/>
    <s v="No"/>
    <m/>
    <s v="I’ll take the company bus"/>
    <m/>
    <s v="Amaris Consulting"/>
    <s v="Consultants"/>
    <s v="HUYNH Minh Khoi"/>
    <s v="In"/>
    <x v="0"/>
    <n v="0"/>
    <n v="0"/>
    <n v="0"/>
    <n v="1"/>
    <n v="4"/>
    <x v="59"/>
  </r>
  <r>
    <s v="Nguyen Ngoc NGUYEN SY"/>
    <s v="Yes, count me in!"/>
    <s v="079202021638"/>
    <s v="0899337446"/>
    <s v="No"/>
    <m/>
    <s v="I’ll take the company bus"/>
    <m/>
    <s v="Amaris Consulting"/>
    <s v="Consultants"/>
    <s v="HUYNH Minh Khoi"/>
    <s v="In"/>
    <x v="0"/>
    <n v="0"/>
    <n v="0"/>
    <n v="0"/>
    <n v="1"/>
    <n v="4"/>
    <x v="59"/>
  </r>
  <r>
    <s v="Anh Quoc PHAM"/>
    <s v="Yes, count me in!"/>
    <s v="079201003742"/>
    <s v="0896116155"/>
    <s v="No"/>
    <m/>
    <s v="I’ll take the company bus"/>
    <m/>
    <s v="Amaris Consulting"/>
    <s v="Consultants"/>
    <s v="HUYNH Minh Khoi"/>
    <s v="In"/>
    <x v="0"/>
    <n v="0"/>
    <n v="0"/>
    <n v="0"/>
    <n v="1"/>
    <n v="4"/>
    <x v="60"/>
  </r>
  <r>
    <s v="Hai Binh DANG"/>
    <s v="Yes, count me in!"/>
    <s v="031202010766"/>
    <s v="0981412159"/>
    <s v="No"/>
    <m/>
    <s v="I’ll take the company bus"/>
    <m/>
    <s v="Amaris Consulting"/>
    <s v="Consultants"/>
    <s v="HUYNH Minh Khoi"/>
    <s v="In"/>
    <x v="0"/>
    <n v="0"/>
    <n v="0"/>
    <n v="0"/>
    <n v="1"/>
    <n v="4"/>
    <x v="60"/>
  </r>
  <r>
    <s v="Trung Tin THAI"/>
    <s v="Yes, count me in!"/>
    <s v="064201004428"/>
    <s v="0337399029"/>
    <s v="No"/>
    <m/>
    <s v="I’ll take the company bus"/>
    <m/>
    <s v="Amaris Consulting"/>
    <s v="Consultants"/>
    <s v="HUYNH Minh Khoi"/>
    <s v="In"/>
    <x v="0"/>
    <n v="0"/>
    <n v="0"/>
    <n v="0"/>
    <n v="1"/>
    <n v="4"/>
    <x v="61"/>
  </r>
  <r>
    <s v="Nhat DANG MINH"/>
    <s v="Yes, count me in!"/>
    <s v="048203001699"/>
    <s v="0905054228"/>
    <s v="No"/>
    <m/>
    <s v="I’ll take the company bus"/>
    <m/>
    <s v="Amaris Consulting"/>
    <s v="Consultants"/>
    <s v="HUYNH Minh Khoi"/>
    <s v="In"/>
    <x v="0"/>
    <n v="0"/>
    <n v="0"/>
    <n v="0"/>
    <n v="1"/>
    <n v="4"/>
    <x v="61"/>
  </r>
  <r>
    <s v="Trung Kien PHAM"/>
    <s v="Yes, count me in!"/>
    <s v="030098008566"/>
    <s v="0348997157"/>
    <s v="Yes"/>
    <s v="TRẦN DIỆP HUY - 046098011753 - 0766669006 - Male - 07/01/1998"/>
    <s v="I’ll take the company bus"/>
    <m/>
    <s v="Amaris Consulting"/>
    <s v="Consultants"/>
    <s v="NGUYEN Duc Quy"/>
    <s v="In"/>
    <x v="1"/>
    <n v="0"/>
    <n v="1"/>
    <n v="1"/>
    <n v="2"/>
    <n v="4"/>
    <x v="62"/>
  </r>
  <r>
    <s v="Chien Hao CAO"/>
    <s v="Yes, count me in!"/>
    <s v="066200009584"/>
    <s v="0764290520"/>
    <s v="No"/>
    <m/>
    <s v="I’ll take the company bus"/>
    <m/>
    <s v="Amaris Consulting"/>
    <s v="Consultants"/>
    <s v="NGUYEN Thi Minh Phuong"/>
    <s v="In"/>
    <x v="0"/>
    <n v="0"/>
    <n v="0"/>
    <n v="0"/>
    <n v="1"/>
    <n v="4"/>
    <x v="63"/>
  </r>
  <r>
    <s v="Do Nhat Minh PHAM"/>
    <s v="Yes, count me in!"/>
    <s v="079099034668"/>
    <s v="0906659850"/>
    <s v="No"/>
    <m/>
    <s v="I’ll take the company bus"/>
    <m/>
    <s v="Amaris Consulting"/>
    <s v="Consultants"/>
    <s v="NGUYEN Thi Minh Phuong"/>
    <s v="In"/>
    <x v="0"/>
    <n v="0"/>
    <n v="0"/>
    <n v="0"/>
    <n v="1"/>
    <n v="4"/>
    <x v="63"/>
  </r>
  <r>
    <s v="Duy Hanh LE"/>
    <s v="Yes, count me in!"/>
    <s v="079090028751"/>
    <s v="0937308357"/>
    <s v="No"/>
    <m/>
    <s v="I’ll take the company bus"/>
    <m/>
    <s v="Amaris Consulting"/>
    <s v="Consultants"/>
    <s v="NGUYEN Thi Minh Phuong"/>
    <s v="In"/>
    <x v="0"/>
    <n v="0"/>
    <n v="0"/>
    <n v="0"/>
    <n v="1"/>
    <n v="4"/>
    <x v="64"/>
  </r>
  <r>
    <s v="Huu Thinh NGUYEN"/>
    <s v="Yes, count me in!"/>
    <s v="066096004066"/>
    <s v="0868415847"/>
    <s v="No"/>
    <m/>
    <s v="I’ll take the company bus"/>
    <m/>
    <s v="Amaris Consulting"/>
    <s v="Consultants"/>
    <s v="NGUYEN Thi Minh Phuong"/>
    <s v="In"/>
    <x v="0"/>
    <n v="0"/>
    <n v="0"/>
    <n v="0"/>
    <n v="1"/>
    <n v="4"/>
    <x v="64"/>
  </r>
  <r>
    <s v="Duc Thanh VAN"/>
    <s v="Yes, count me in!"/>
    <s v="079090038513"/>
    <s v="0356154210"/>
    <s v="No"/>
    <m/>
    <s v="I’ll take the company bus"/>
    <m/>
    <s v="Amaris Consulting"/>
    <s v="Consultants"/>
    <s v="NGUYEN Thi Minh Phuong"/>
    <s v="In"/>
    <x v="0"/>
    <n v="0"/>
    <n v="0"/>
    <n v="0"/>
    <n v="1"/>
    <n v="4"/>
    <x v="65"/>
  </r>
  <r>
    <s v="Duan NGUYEN LE"/>
    <s v="Yes, count me in!"/>
    <s v="080096010523"/>
    <s v="0966441600"/>
    <s v="No"/>
    <m/>
    <s v="I’ll take the company bus"/>
    <m/>
    <s v="Amaris Consulting"/>
    <s v="Consultants"/>
    <s v="NGUYEN Thi Minh Phuong"/>
    <s v="In"/>
    <x v="0"/>
    <n v="0"/>
    <n v="0"/>
    <n v="0"/>
    <n v="1"/>
    <n v="4"/>
    <x v="65"/>
  </r>
  <r>
    <s v="Hoang Long NGUYEN"/>
    <s v="Yes, count me in!"/>
    <s v="056098000238"/>
    <s v="0392707949"/>
    <s v="No"/>
    <m/>
    <s v="I’ll take the company bus"/>
    <m/>
    <s v="Amaris Consulting"/>
    <s v="Consultants"/>
    <s v="NGUYEN Thi Minh Phuong"/>
    <s v="In"/>
    <x v="0"/>
    <n v="0"/>
    <n v="0"/>
    <n v="0"/>
    <n v="1"/>
    <n v="4"/>
    <x v="66"/>
  </r>
  <r>
    <s v="Tan Hoang - Bi NGUYEN"/>
    <s v="Yes, count me in!"/>
    <s v="079203011720"/>
    <s v="0938080935"/>
    <s v="No"/>
    <m/>
    <s v="I’ll take the company bus"/>
    <m/>
    <s v="Amaris Consulting"/>
    <s v="Consultants"/>
    <s v="NGUYEN Thi Minh Phuong"/>
    <s v="In"/>
    <x v="0"/>
    <n v="0"/>
    <n v="0"/>
    <n v="0"/>
    <n v="1"/>
    <n v="4"/>
    <x v="66"/>
  </r>
  <r>
    <s v="Thai Hien LUONG"/>
    <s v="Yes, count me in!"/>
    <s v="048087005724"/>
    <s v="0968678149"/>
    <s v="No"/>
    <m/>
    <s v="I’ll take the company bus"/>
    <m/>
    <s v="Amaris Consulting"/>
    <s v="Consultants"/>
    <s v="NGUYEN Duc Quy"/>
    <s v="In"/>
    <x v="0"/>
    <n v="0"/>
    <n v="0"/>
    <n v="0"/>
    <n v="1"/>
    <n v="4"/>
    <x v="67"/>
  </r>
  <r>
    <s v="Van Ket VO"/>
    <s v="Yes, count me in!"/>
    <s v="051091012099"/>
    <s v="0902898110"/>
    <s v="No"/>
    <m/>
    <s v="I’ll take the company bus"/>
    <m/>
    <s v="Amaris Consulting"/>
    <s v="Consultants"/>
    <s v="NGUYEN Duc Quy"/>
    <s v="In"/>
    <x v="0"/>
    <n v="0"/>
    <n v="0"/>
    <n v="0"/>
    <n v="1"/>
    <n v="4"/>
    <x v="67"/>
  </r>
  <r>
    <s v="Vu Phuong NGUYEN"/>
    <s v="Yes, count me in!"/>
    <s v="086096004777"/>
    <s v="0705731919"/>
    <s v="No"/>
    <m/>
    <s v="I’ll take the company bus"/>
    <m/>
    <s v="Amaris Consulting"/>
    <s v="Consultants"/>
    <s v="NGUYEN Duc Quy"/>
    <s v="In"/>
    <x v="0"/>
    <n v="0"/>
    <n v="0"/>
    <n v="0"/>
    <n v="1"/>
    <n v="4"/>
    <x v="68"/>
  </r>
  <r>
    <s v="Hai Thien NGUYEN"/>
    <s v="Yes, count me in!"/>
    <s v="37598"/>
    <s v="0385094422"/>
    <s v="No"/>
    <m/>
    <s v="I’ll take the company bus"/>
    <m/>
    <s v="Amaris Consulting"/>
    <s v="Consultants"/>
    <s v="NGUYEN Thi Minh Phuong"/>
    <s v="In"/>
    <x v="0"/>
    <n v="0"/>
    <n v="0"/>
    <n v="0"/>
    <n v="1"/>
    <n v="4"/>
    <x v="68"/>
  </r>
  <r>
    <s v="Huu Khoi Nguyen PHAM"/>
    <s v="Yes, count me in!"/>
    <s v="068201006525"/>
    <s v="0908725648"/>
    <s v="No"/>
    <m/>
    <s v="I’ll take the company bus"/>
    <m/>
    <s v="Amaris Consulting"/>
    <s v="Consultants"/>
    <s v="TRAN Thi Ha My"/>
    <s v="In"/>
    <x v="0"/>
    <n v="0"/>
    <n v="0"/>
    <n v="0"/>
    <n v="1"/>
    <n v="4"/>
    <x v="69"/>
  </r>
  <r>
    <s v="Phuoc Son LE"/>
    <s v="Yes, count me in!"/>
    <s v="045091003975"/>
    <s v="0915004496"/>
    <s v="No"/>
    <m/>
    <s v="I’ll take the company bus"/>
    <m/>
    <s v="Amaris Consulting"/>
    <s v="Consultants"/>
    <s v="TRAN Thi Ha My"/>
    <s v="In"/>
    <x v="0"/>
    <n v="0"/>
    <n v="0"/>
    <n v="0"/>
    <n v="1"/>
    <n v="4"/>
    <x v="47"/>
  </r>
  <r>
    <s v="Thanh Tung LE"/>
    <s v="Yes, count me in!"/>
    <s v="091095009127"/>
    <s v="0988438042"/>
    <s v="No"/>
    <m/>
    <s v="I’ll take the company bus"/>
    <m/>
    <s v="Amaris Consulting"/>
    <s v="Consultants"/>
    <s v="TRAN Thi Ha My"/>
    <s v="In"/>
    <x v="0"/>
    <n v="0"/>
    <n v="0"/>
    <n v="0"/>
    <n v="1"/>
    <n v="4"/>
    <x v="48"/>
  </r>
  <r>
    <s v="Vu Duy DINH"/>
    <s v="Yes, count me in!"/>
    <s v="068087004573"/>
    <s v="0938112129"/>
    <s v="No"/>
    <m/>
    <s v="I’ll take the company bus"/>
    <m/>
    <s v="Amaris Consulting"/>
    <s v="Consultants"/>
    <s v="TRAN Thi Ha My"/>
    <s v="In"/>
    <x v="0"/>
    <n v="0"/>
    <n v="0"/>
    <n v="0"/>
    <n v="1"/>
    <n v="4"/>
    <x v="43"/>
  </r>
  <r>
    <s v="Tung Lam NGO"/>
    <s v="Yes, count me in!"/>
    <s v="001203015512"/>
    <s v="0397810603"/>
    <s v="No"/>
    <m/>
    <s v="I’ll take the company bus"/>
    <m/>
    <s v="Amaris Consulting"/>
    <s v="Consultants"/>
    <s v="TRAN Thi Ha My"/>
    <s v="In"/>
    <x v="0"/>
    <n v="0"/>
    <n v="0"/>
    <n v="0"/>
    <n v="1"/>
    <n v="4"/>
    <x v="70"/>
  </r>
  <r>
    <s v="Chi Tam NGUYEN LE"/>
    <s v="Yes, count me in!"/>
    <s v="080201013658"/>
    <s v="0847827897"/>
    <s v="No"/>
    <m/>
    <s v="I’ll take the company bus"/>
    <m/>
    <s v="Amaris Consulting"/>
    <s v="Consultants"/>
    <s v="TRAN Thi Ha My"/>
    <s v="In"/>
    <x v="0"/>
    <n v="0"/>
    <n v="0"/>
    <n v="0"/>
    <n v="1"/>
    <n v="4"/>
    <x v="44"/>
  </r>
  <r>
    <s v="TRUONG Van Sang"/>
    <s v="Yes, count me in!"/>
    <s v="066098009860"/>
    <s v="+84376275238"/>
    <s v="No"/>
    <m/>
    <s v="I’ll take the company bus"/>
    <m/>
    <s v="Amaris Consulting"/>
    <s v="Consultants"/>
    <s v="TRAN Thi Ha My"/>
    <s v="In"/>
    <x v="0"/>
    <n v="0"/>
    <n v="0"/>
    <n v="0"/>
    <n v="1"/>
    <n v="4"/>
    <x v="70"/>
  </r>
  <r>
    <s v="Thi Quynh Phuong NGUYEN"/>
    <s v="Yes, count me in!"/>
    <s v="079196001003"/>
    <s v="0931173302"/>
    <s v="No"/>
    <m/>
    <s v="I’ll take the company bus"/>
    <m/>
    <s v="Amaris Consulting"/>
    <s v="Consultants"/>
    <s v="NGUYEN Thi Minh Phuong"/>
    <s v="In"/>
    <x v="0"/>
    <n v="0"/>
    <n v="0"/>
    <n v="0"/>
    <n v="1"/>
    <n v="4"/>
    <x v="71"/>
  </r>
  <r>
    <s v="Ngoc Khanh Linh DANG"/>
    <s v="Yes, count me in!"/>
    <s v="079197010801"/>
    <s v="0704954529"/>
    <s v="No"/>
    <m/>
    <s v="I’ll take the company bus"/>
    <m/>
    <s v="Amaris Consulting"/>
    <s v="Consultants"/>
    <s v="TRAN Thi Ha My"/>
    <s v="In"/>
    <x v="0"/>
    <n v="0"/>
    <n v="0"/>
    <n v="0"/>
    <n v="1"/>
    <n v="4"/>
    <x v="72"/>
  </r>
  <r>
    <s v="Trần Quỳnh Anh"/>
    <s v="Yes, count me in!"/>
    <s v="001196042675"/>
    <s v="+84 583 032 919"/>
    <s v="No"/>
    <m/>
    <s v="I’ll take the company bus"/>
    <s v="Team chị My"/>
    <s v="Amaris Consulting"/>
    <s v="Consultants"/>
    <s v="TRAN Thi Ha My"/>
    <s v="In"/>
    <x v="0"/>
    <n v="0"/>
    <n v="0"/>
    <n v="0"/>
    <n v="1"/>
    <n v="4"/>
    <x v="39"/>
  </r>
  <r>
    <s v="NGUYEN Bao Ngoc"/>
    <s v="Yes, count me in!"/>
    <s v="080196014207"/>
    <s v="+84348592628"/>
    <s v="No"/>
    <m/>
    <s v="I’ll take the company bus"/>
    <m/>
    <s v="Amaris Consulting"/>
    <s v="Consultants"/>
    <s v="TRAN Thi Ha My"/>
    <s v="In"/>
    <x v="0"/>
    <n v="0"/>
    <n v="0"/>
    <n v="0"/>
    <n v="1"/>
    <n v="4"/>
    <x v="73"/>
  </r>
  <r>
    <s v="Duc Quy NGUYEN"/>
    <s v="Yes, count me in!"/>
    <s v="079093005091"/>
    <s v="0906793262"/>
    <s v="No"/>
    <m/>
    <s v="I’ll take the company bus"/>
    <m/>
    <s v="Amaris Consulting"/>
    <s v="Managers"/>
    <s v="VU Thanh Hang"/>
    <s v="In"/>
    <x v="0"/>
    <n v="0"/>
    <n v="0"/>
    <n v="0"/>
    <n v="1"/>
    <n v="4"/>
    <x v="74"/>
  </r>
  <r>
    <s v="Huynh Nhat Tan TRAN"/>
    <s v="Yes, count me in!"/>
    <s v="064096009158"/>
    <s v="0367776115"/>
    <s v="Yes"/>
    <s v="Nguyễn Thị Bích Duyên - Female - 05/08/1995"/>
    <s v="I’ll take the company bus"/>
    <m/>
    <s v="Amaris Consulting"/>
    <s v="Consultants"/>
    <s v="TRAN Thi Ha My"/>
    <s v="In"/>
    <x v="1"/>
    <n v="0"/>
    <n v="1"/>
    <n v="1"/>
    <n v="2"/>
    <n v="4"/>
    <x v="75"/>
  </r>
  <r>
    <s v="Thi Minh Phuong NGUYEN"/>
    <s v="Yes, count me in!"/>
    <s v="008193007229"/>
    <s v="0559852579"/>
    <s v="No"/>
    <m/>
    <s v="I’ll take the company bus"/>
    <m/>
    <n v="76777"/>
    <s v="Managers"/>
    <s v="NGUYEN Duc Quy"/>
    <s v="In"/>
    <x v="0"/>
    <n v="0"/>
    <n v="0"/>
    <n v="0"/>
    <n v="1"/>
    <n v="4"/>
    <x v="40"/>
  </r>
  <r>
    <s v="Kim Nha DAO"/>
    <s v="Yes, count me in!"/>
    <s v="079300041083"/>
    <s v="0778605436"/>
    <s v="No"/>
    <m/>
    <s v="I’ll take the company bus"/>
    <m/>
    <s v="Amaris Consulting"/>
    <s v="Consultants"/>
    <s v="HUYNH Minh Khoi"/>
    <s v="In"/>
    <x v="0"/>
    <n v="0"/>
    <n v="0"/>
    <n v="0"/>
    <n v="1"/>
    <n v="4"/>
    <x v="76"/>
  </r>
  <r>
    <s v="Chau Giang NGUYEN"/>
    <s v="Yes, count me in!"/>
    <s v="079302023454"/>
    <s v="0902912836"/>
    <s v="No"/>
    <m/>
    <s v="I’ll take the company bus"/>
    <m/>
    <s v="Administrative &amp; Finance"/>
    <s v="Financial Business Controlling"/>
    <s v="PHAN Thi Ha Trang"/>
    <s v="In"/>
    <x v="0"/>
    <n v="0"/>
    <n v="0"/>
    <n v="0"/>
    <n v="1"/>
    <n v="5"/>
    <x v="77"/>
  </r>
  <r>
    <s v="Uyen TRINH LE THAO"/>
    <s v="Yes, count me in!"/>
    <s v="095304000809"/>
    <s v="0941219254"/>
    <s v="No"/>
    <m/>
    <s v="I’ll take the company bus"/>
    <m/>
    <s v="Administrative &amp; Finance"/>
    <s v="Financial Business Controlling"/>
    <s v="RAVAIOLI Filippo"/>
    <s v="In"/>
    <x v="0"/>
    <n v="0"/>
    <n v="0"/>
    <n v="0"/>
    <n v="1"/>
    <n v="5"/>
    <x v="77"/>
  </r>
  <r>
    <s v="Yen Xuan HONG"/>
    <s v="Yes, count me in!"/>
    <s v="095190000250"/>
    <s v="0934831283"/>
    <s v="No"/>
    <m/>
    <s v="I’ll take the company bus"/>
    <m/>
    <s v="Real Estate and Support Services"/>
    <s v="Office Facillity Management"/>
    <s v="NGUYEN The Trinh"/>
    <s v="In"/>
    <x v="0"/>
    <n v="0"/>
    <n v="0"/>
    <n v="0"/>
    <n v="1"/>
    <n v="5"/>
    <x v="78"/>
  </r>
  <r>
    <s v="Thi Tram Anh LUONG"/>
    <s v="Yes, count me in!"/>
    <s v="066304003315"/>
    <s v="0345814997"/>
    <s v="No"/>
    <m/>
    <s v="I’ll take the company bus"/>
    <m/>
    <s v="Administrative &amp; Finance"/>
    <s v="Group Accounting"/>
    <s v="NGUYEN Vu Phuong Uyen"/>
    <s v="In"/>
    <x v="0"/>
    <n v="0"/>
    <n v="0"/>
    <n v="0"/>
    <n v="1"/>
    <n v="5"/>
    <x v="78"/>
  </r>
  <r>
    <s v="Thi Tu Quyen LE"/>
    <s v="Yes, count me in!"/>
    <s v="060303003328"/>
    <s v="0947047885"/>
    <s v="No"/>
    <m/>
    <s v="I’ll take the company bus"/>
    <s v="I’m allergic to beef"/>
    <s v="Administrative &amp; Finance"/>
    <s v="Financial Business Controlling"/>
    <s v="BUI Quang Hung"/>
    <s v="In"/>
    <x v="0"/>
    <n v="0"/>
    <n v="0"/>
    <n v="0"/>
    <n v="1"/>
    <n v="5"/>
    <x v="79"/>
  </r>
  <r>
    <s v="Ha Nhi NGUYEN"/>
    <s v="Yes, count me in!"/>
    <s v="048198002437"/>
    <s v="0335767961"/>
    <s v="No"/>
    <m/>
    <s v="I’ll take the company bus"/>
    <m/>
    <s v="Administrative &amp; Finance"/>
    <s v="Operational Finance"/>
    <s v="DUTERTRE Geoffrey"/>
    <s v="In"/>
    <x v="0"/>
    <n v="0"/>
    <n v="0"/>
    <n v="0"/>
    <n v="1"/>
    <n v="5"/>
    <x v="79"/>
  </r>
  <r>
    <s v="Tran Phuong Nga VO"/>
    <s v="Yes, count me in!"/>
    <s v="066304009657"/>
    <s v="0917810796"/>
    <s v="No"/>
    <m/>
    <s v="I’ll take the company bus"/>
    <m/>
    <s v="Administrative &amp; Finance"/>
    <s v="Financial Business Controlling"/>
    <s v="BUI Quang Hung"/>
    <s v="In"/>
    <x v="0"/>
    <n v="0"/>
    <n v="0"/>
    <n v="0"/>
    <n v="1"/>
    <n v="5"/>
    <x v="80"/>
  </r>
  <r>
    <s v="Thi Thanh Thao NGUYEN"/>
    <s v="Yes, count me in!"/>
    <s v="077304002316"/>
    <s v="0971917272"/>
    <s v="No"/>
    <m/>
    <s v="I’ll take the company bus"/>
    <m/>
    <s v="Administrative &amp; Finance"/>
    <s v="Financial Business Controlling"/>
    <s v="BUI Quang Hung"/>
    <s v="In"/>
    <x v="0"/>
    <n v="0"/>
    <n v="0"/>
    <n v="0"/>
    <n v="1"/>
    <n v="5"/>
    <x v="80"/>
  </r>
  <r>
    <s v="Hoang Mai Quyen PHAM"/>
    <s v="Yes, count me in!"/>
    <s v="079304008486"/>
    <s v="0933557924"/>
    <s v="No"/>
    <m/>
    <s v="I’ll take the company bus"/>
    <m/>
    <s v="Administrative &amp; Finance"/>
    <s v="Financial Business Controlling"/>
    <s v="BUI Quang Hung"/>
    <s v="In"/>
    <x v="0"/>
    <n v="0"/>
    <n v="0"/>
    <n v="0"/>
    <n v="1"/>
    <n v="5"/>
    <x v="81"/>
  </r>
  <r>
    <s v="Ho Ngoc Tran NGUYEN"/>
    <s v="Yes, count me in!"/>
    <s v="077304005352"/>
    <s v="0917827457"/>
    <s v="No"/>
    <m/>
    <s v="I’ll take the company bus"/>
    <m/>
    <s v="Administrative &amp; Finance"/>
    <s v="Financial Business Controlling"/>
    <s v="BUI Quang Hung"/>
    <s v="In"/>
    <x v="0"/>
    <n v="0"/>
    <n v="0"/>
    <n v="0"/>
    <n v="1"/>
    <n v="5"/>
    <x v="81"/>
  </r>
  <r>
    <s v="Quynh Mai NGUYEN"/>
    <s v="Yes, count me in!"/>
    <s v="079302030108"/>
    <s v="0868120502"/>
    <s v="No"/>
    <m/>
    <s v="I’ll take the company bus"/>
    <m/>
    <s v="Administrative &amp; Finance"/>
    <s v="Group &amp; Corporate Controlling"/>
    <s v="BUI Thi Ngoc Minh"/>
    <s v="In"/>
    <x v="0"/>
    <n v="0"/>
    <n v="0"/>
    <n v="0"/>
    <n v="1"/>
    <n v="5"/>
    <x v="82"/>
  </r>
  <r>
    <s v="Thi Phuong Thao TRUONG"/>
    <s v="Yes, count me in!"/>
    <s v="034300013120"/>
    <s v="0986555347"/>
    <s v="No"/>
    <m/>
    <s v="I’ll take the company bus"/>
    <m/>
    <s v="Administrative &amp; Finance"/>
    <s v="Group &amp; Corporate Controlling"/>
    <s v="BUI Thi Ngoc Minh"/>
    <s v="In"/>
    <x v="0"/>
    <n v="0"/>
    <n v="0"/>
    <n v="0"/>
    <n v="1"/>
    <n v="5"/>
    <x v="82"/>
  </r>
  <r>
    <s v="Lan Vy LE"/>
    <s v="Yes, count me in!"/>
    <s v="051198007784"/>
    <s v="0356703207"/>
    <s v="No"/>
    <m/>
    <s v="I’ll take the company bus"/>
    <m/>
    <s v="Administrative &amp; Finance"/>
    <s v="Financial Business Controlling"/>
    <s v="ALSHABANI Anas"/>
    <s v="In"/>
    <x v="0"/>
    <n v="0"/>
    <n v="0"/>
    <n v="0"/>
    <n v="1"/>
    <n v="5"/>
    <x v="83"/>
  </r>
  <r>
    <s v="NGUYEN Vu Phuong Uyen"/>
    <s v="Yes, count me in!"/>
    <s v="079195029833"/>
    <s v="0765217394"/>
    <s v="No"/>
    <m/>
    <s v="I’ll take the company bus"/>
    <m/>
    <s v="Administrative &amp; Finance"/>
    <s v="Group Accounting"/>
    <s v="PHAM Hoang Phuc"/>
    <s v="In"/>
    <x v="0"/>
    <n v="0"/>
    <n v="0"/>
    <n v="0"/>
    <n v="1"/>
    <n v="5"/>
    <x v="83"/>
  </r>
  <r>
    <s v="Hoang Thanh Thanh NGUYEN"/>
    <s v="Yes, count me in!"/>
    <s v="045302005235"/>
    <s v="0824988225"/>
    <s v="No"/>
    <m/>
    <s v="I’ll take the company bus"/>
    <m/>
    <s v="Administrative &amp; Finance"/>
    <s v="Financial Business Controlling"/>
    <s v="NGUYEN The Anh"/>
    <s v="In"/>
    <x v="0"/>
    <n v="0"/>
    <n v="0"/>
    <n v="0"/>
    <n v="1"/>
    <n v="5"/>
    <x v="84"/>
  </r>
  <r>
    <s v="Lam Tam Nhu HOANG"/>
    <s v="Yes, count me in!"/>
    <s v="066303001193"/>
    <s v="0971993024"/>
    <s v="No"/>
    <m/>
    <s v="I’ll take the company bus"/>
    <m/>
    <s v="Administrative &amp; Finance"/>
    <s v="Financial Business Controlling"/>
    <s v="RAVAIOLI Filippo"/>
    <s v="In"/>
    <x v="0"/>
    <n v="0"/>
    <n v="0"/>
    <n v="0"/>
    <n v="1"/>
    <n v="5"/>
    <x v="84"/>
  </r>
  <r>
    <s v="Dinh Que Chau VO"/>
    <s v="Yes, count me in!"/>
    <s v="079303023390"/>
    <s v="0828740008"/>
    <s v="No"/>
    <m/>
    <s v="I’ll take the company bus"/>
    <m/>
    <s v="Administrative &amp; Finance"/>
    <s v="Financial Business Controlling"/>
    <s v="RAVAIOLI Filippo"/>
    <s v="In"/>
    <x v="0"/>
    <n v="0"/>
    <n v="0"/>
    <n v="0"/>
    <n v="1"/>
    <n v="5"/>
    <x v="85"/>
  </r>
  <r>
    <s v="Bao Quyen LAM"/>
    <s v="Yes, count me in!"/>
    <s v="052303001134"/>
    <s v="0394301209"/>
    <s v="No"/>
    <m/>
    <s v="I’ll take the company bus"/>
    <m/>
    <s v="Administrative &amp; Finance"/>
    <s v="Financial Business Controlling"/>
    <s v="VO Xuan Hung"/>
    <s v="In"/>
    <x v="0"/>
    <n v="0"/>
    <n v="0"/>
    <n v="0"/>
    <n v="1"/>
    <n v="5"/>
    <x v="85"/>
  </r>
  <r>
    <s v="Ngoc Khanh LE"/>
    <s v="Yes, count me in!"/>
    <s v="031303000776"/>
    <s v="0393991003"/>
    <s v="No"/>
    <m/>
    <s v="I’ll take the company bus"/>
    <m/>
    <s v="Administrative &amp; Finance"/>
    <s v="Financial Business Controlling"/>
    <s v="NGUYEN The Anh"/>
    <s v="In"/>
    <x v="0"/>
    <n v="0"/>
    <n v="0"/>
    <n v="0"/>
    <n v="1"/>
    <n v="5"/>
    <x v="86"/>
  </r>
  <r>
    <s v="Ngoc Phuong Uyen TRAN"/>
    <s v="Yes, count me in!"/>
    <s v="060303007588"/>
    <s v="0835255477"/>
    <s v="No"/>
    <m/>
    <s v="I’ll take the company bus"/>
    <m/>
    <s v="Administrative &amp; Finance"/>
    <s v="Financial Business Controlling"/>
    <s v="PHAN Thi Ha Trang"/>
    <s v="In"/>
    <x v="0"/>
    <n v="0"/>
    <n v="0"/>
    <n v="0"/>
    <n v="1"/>
    <n v="5"/>
    <x v="86"/>
  </r>
  <r>
    <s v="Tran Phuong Phuong NGUYEN"/>
    <s v="Yes, count me in!"/>
    <s v="077198000661"/>
    <s v="0933655795"/>
    <s v="No"/>
    <m/>
    <s v="I’ll take the company bus"/>
    <m/>
    <s v="Administrative &amp; Finance"/>
    <s v="Financial Business Controlling"/>
    <s v="CHECROUN Juliette"/>
    <s v="In"/>
    <x v="0"/>
    <n v="0"/>
    <n v="0"/>
    <n v="0"/>
    <n v="1"/>
    <n v="5"/>
    <x v="87"/>
  </r>
  <r>
    <s v="Khanh Linh PHAN"/>
    <s v="Yes, count me in!"/>
    <s v="079198036919"/>
    <s v="0903376980"/>
    <s v="No"/>
    <m/>
    <s v="I’ll take the company bus"/>
    <s v="food allergy - all types of fish"/>
    <s v="Administrative &amp; Finance"/>
    <s v="Financial Business Controlling"/>
    <s v="NGUYEN Tran Phuong Phuong"/>
    <s v="In"/>
    <x v="0"/>
    <n v="0"/>
    <n v="0"/>
    <n v="0"/>
    <n v="1"/>
    <n v="5"/>
    <x v="87"/>
  </r>
  <r>
    <s v="Tue Quan DIEP"/>
    <s v="Yes, count me in!"/>
    <s v="079199001035"/>
    <s v="0906982803"/>
    <s v="Yes"/>
    <s v="Nguyen The Anh - Male - 21/07/2000 - 040200000125"/>
    <s v="I’ll take the company bus"/>
    <m/>
    <s v="Administrative &amp; Finance"/>
    <s v="Financial Business Controlling"/>
    <s v="HERNANDEZ Laurine"/>
    <s v="In"/>
    <x v="1"/>
    <n v="0"/>
    <n v="1"/>
    <n v="1"/>
    <n v="2"/>
    <n v="5"/>
    <x v="88"/>
  </r>
  <r>
    <s v="Dang Quang LE"/>
    <s v="Yes, count me in!"/>
    <s v="060099008043"/>
    <s v="0933726329"/>
    <s v="No"/>
    <m/>
    <s v="I’ll take the company bus"/>
    <m/>
    <s v="Administrative &amp; Finance"/>
    <s v="Group &amp; Corporate Controlling"/>
    <s v="BUI Thi Ngoc Minh"/>
    <s v="In"/>
    <x v="0"/>
    <n v="0"/>
    <n v="0"/>
    <n v="0"/>
    <n v="1"/>
    <n v="5"/>
    <x v="89"/>
  </r>
  <r>
    <s v="The Anh NGUYEN"/>
    <s v="Yes, count me in!"/>
    <s v="070093006594"/>
    <s v="0909321830"/>
    <s v="No"/>
    <m/>
    <s v="I’ll take the company bus"/>
    <m/>
    <s v="Administrative &amp; Finance"/>
    <s v="Finance Operations"/>
    <s v="SEMERADT Corinne"/>
    <s v="In"/>
    <x v="0"/>
    <n v="0"/>
    <n v="0"/>
    <n v="0"/>
    <n v="1"/>
    <n v="5"/>
    <x v="89"/>
  </r>
  <r>
    <s v="Trung Kien NGUYEN"/>
    <s v="Yes, count me in!"/>
    <s v="077097003655"/>
    <s v="0355327017"/>
    <s v="No"/>
    <m/>
    <s v="I’ll take the company bus"/>
    <m/>
    <s v="Administrative &amp; Finance"/>
    <s v="Group &amp; Corporate Controlling"/>
    <s v="CATEL Agnès"/>
    <s v="In"/>
    <x v="0"/>
    <n v="0"/>
    <n v="0"/>
    <n v="0"/>
    <n v="1"/>
    <n v="5"/>
    <x v="90"/>
  </r>
  <r>
    <s v="Huu Phuc - Tony TRAN"/>
    <s v="Yes, count me in!"/>
    <s v="079096020132"/>
    <s v="0917923778"/>
    <s v="No"/>
    <m/>
    <s v="I’ll take the company bus"/>
    <m/>
    <s v="Administrative &amp; Finance"/>
    <s v="Group Accounting"/>
    <s v="NGUYEN Vu Phuong Uyen"/>
    <s v="In"/>
    <x v="0"/>
    <n v="0"/>
    <n v="0"/>
    <n v="0"/>
    <n v="1"/>
    <n v="5"/>
    <x v="90"/>
  </r>
  <r>
    <s v="Hoang Phuc PHAM"/>
    <s v="Yes, count me in!"/>
    <s v="079086003000"/>
    <s v="0903177922"/>
    <s v="No"/>
    <m/>
    <s v="I’ll take the company bus"/>
    <m/>
    <s v="Administrative &amp; Finance"/>
    <s v="Finance Operations"/>
    <s v="DE LACOMBE Romain"/>
    <s v="In"/>
    <x v="0"/>
    <n v="0"/>
    <n v="0"/>
    <n v="0"/>
    <n v="1"/>
    <n v="5"/>
    <x v="91"/>
  </r>
  <r>
    <s v="Quang Hung BUI"/>
    <s v="Yes, count me in!"/>
    <s v="074092001617"/>
    <s v="0944234096"/>
    <s v="No"/>
    <m/>
    <s v="I’ll take the company bus"/>
    <m/>
    <s v="Administrative &amp; Finance"/>
    <s v="Finance Operations"/>
    <s v="XIA Shuang"/>
    <s v="In"/>
    <x v="0"/>
    <n v="0"/>
    <n v="0"/>
    <n v="0"/>
    <n v="1"/>
    <n v="5"/>
    <x v="91"/>
  </r>
  <r>
    <s v="Xuan Tung LE"/>
    <s v="Yes, count me in!"/>
    <s v="054204000568"/>
    <s v="0377887851"/>
    <s v="No"/>
    <m/>
    <s v="I’ll take the company bus"/>
    <s v="No spicy"/>
    <s v="Administrative &amp; Finance"/>
    <s v="Financial Business Controlling"/>
    <s v="BUI Quang Hung"/>
    <s v="In"/>
    <x v="0"/>
    <n v="0"/>
    <n v="0"/>
    <n v="0"/>
    <n v="1"/>
    <n v="5"/>
    <x v="92"/>
  </r>
  <r>
    <s v="Minh Nhat BUI"/>
    <s v="Yes, count me in!"/>
    <s v="'079202030875"/>
    <s v="'0902788713"/>
    <s v="No"/>
    <m/>
    <s v="I’ll take the company bus"/>
    <m/>
    <s v="Administrative &amp; Finance"/>
    <s v="Financial Business Controlling"/>
    <s v="BUI Thi Ngoc Minh"/>
    <s v="In"/>
    <x v="0"/>
    <n v="0"/>
    <n v="0"/>
    <n v="0"/>
    <n v="1"/>
    <n v="5"/>
    <x v="92"/>
  </r>
  <r>
    <s v="Geoffrey DUTERTRE"/>
    <s v="Yes, count me in!"/>
    <s v="25HD56242"/>
    <s v="0902411648"/>
    <s v="No"/>
    <m/>
    <s v="I’ll take the company bus"/>
    <m/>
    <s v="Administrative &amp; Finance"/>
    <s v="Operational Finance"/>
    <s v="DE LACOMBE Romain"/>
    <s v="In"/>
    <x v="0"/>
    <n v="0"/>
    <n v="0"/>
    <n v="0"/>
    <n v="1"/>
    <n v="5"/>
    <x v="93"/>
  </r>
  <r>
    <s v="Thi Lanh HO"/>
    <s v="Yes, count me in!"/>
    <s v="089192001289"/>
    <s v="0933595559"/>
    <s v="No"/>
    <m/>
    <s v="I’ll take the company bus"/>
    <s v="Food allergies: shrimps"/>
    <s v="Information Technology"/>
    <s v="Quality Control"/>
    <s v="RAHMANI Rihab"/>
    <s v="In"/>
    <x v="0"/>
    <n v="0"/>
    <n v="0"/>
    <n v="0"/>
    <n v="1"/>
    <n v="6"/>
    <x v="94"/>
  </r>
  <r>
    <s v="Trinh Quynh Nhu NGO"/>
    <s v="Yes, count me in!"/>
    <s v="079188037007"/>
    <s v="0886311686"/>
    <s v="No"/>
    <m/>
    <s v="I’ll take the company bus"/>
    <m/>
    <s v="Information Technology"/>
    <s v="Product Management"/>
    <s v="NGUYEN Anh Tuan - Richard"/>
    <s v="In"/>
    <x v="0"/>
    <n v="0"/>
    <n v="0"/>
    <n v="0"/>
    <n v="1"/>
    <n v="6"/>
    <x v="95"/>
  </r>
  <r>
    <s v="Clémence LIN"/>
    <s v="Yes, count me in!"/>
    <s v="24HC90633"/>
    <s v="0896948417"/>
    <s v="No"/>
    <m/>
    <s v="I’ll take the company bus"/>
    <s v="Xếp chung phòng với Ruby"/>
    <s v="Amaris Consulting"/>
    <s v="Presales"/>
    <s v="CAMARET Arthur"/>
    <s v="In"/>
    <x v="0"/>
    <n v="0"/>
    <n v="0"/>
    <n v="0"/>
    <n v="1"/>
    <n v="6"/>
    <x v="95"/>
  </r>
  <r>
    <s v="Thi My Hanh TA"/>
    <s v="Yes, count me in!"/>
    <s v="066303014236"/>
    <s v="0852489626"/>
    <s v="No"/>
    <m/>
    <s v="I’ll take the company bus"/>
    <m/>
    <s v="Information Technology"/>
    <s v="Quality Control"/>
    <s v="NGUYEN Anh Tuan - Richard"/>
    <s v="In"/>
    <x v="0"/>
    <n v="0"/>
    <n v="0"/>
    <n v="0"/>
    <n v="1"/>
    <n v="6"/>
    <x v="96"/>
  </r>
  <r>
    <s v="Ngoc Thao My NGUYEN"/>
    <s v="Yes, count me in!"/>
    <s v="079302018741"/>
    <s v="0773215575"/>
    <s v="No"/>
    <m/>
    <s v="I’ll take the company bus"/>
    <s v="motion sickness medicine"/>
    <s v="Information Technology"/>
    <s v="Software Engineering"/>
    <s v="PHAM Bao Chung"/>
    <s v="In"/>
    <x v="0"/>
    <n v="0"/>
    <n v="0"/>
    <n v="0"/>
    <n v="1"/>
    <n v="6"/>
    <x v="96"/>
  </r>
  <r>
    <s v="Thanh Huong HA"/>
    <s v="Yes, count me in!"/>
    <s v="079196031161"/>
    <s v="0707205096"/>
    <s v="No"/>
    <m/>
    <s v="I’ll take the company bus"/>
    <m/>
    <s v="Information Technology"/>
    <s v="Quality Control"/>
    <s v="HUYNH Anh Tam"/>
    <s v="In"/>
    <x v="0"/>
    <n v="0"/>
    <n v="0"/>
    <n v="0"/>
    <n v="1"/>
    <n v="6"/>
    <x v="97"/>
  </r>
  <r>
    <s v="Nhat Minh TRAN"/>
    <s v="Yes, count me in!"/>
    <s v="079302019473"/>
    <s v="0918597387"/>
    <s v="No"/>
    <m/>
    <s v="I’ll take the company bus"/>
    <m/>
    <s v="Information Technology"/>
    <s v="Software Engineering"/>
    <s v="HUYNH Van Cop"/>
    <s v="In"/>
    <x v="0"/>
    <n v="0"/>
    <n v="0"/>
    <n v="0"/>
    <n v="1"/>
    <n v="6"/>
    <x v="97"/>
  </r>
  <r>
    <s v="Ngoc Hoa HUYNH"/>
    <s v="Yes, count me in!"/>
    <s v="079301029723"/>
    <s v="0908488723"/>
    <s v="No"/>
    <m/>
    <s v="I’ll take the company bus"/>
    <m/>
    <s v="Information Technology"/>
    <s v="Quality Control"/>
    <s v="DUQUESNAY Guillaume"/>
    <s v="In"/>
    <x v="0"/>
    <n v="0"/>
    <n v="0"/>
    <n v="0"/>
    <n v="1"/>
    <n v="6"/>
    <x v="98"/>
  </r>
  <r>
    <s v="Thi Ha Trang NGUYEN"/>
    <s v="Yes, count me in!"/>
    <s v="040302018133"/>
    <s v="0826900204"/>
    <s v="No"/>
    <m/>
    <s v="I’ll take the company bus"/>
    <s v="I have plans after the next two days, so I’ll arrange my own travel back to HCM."/>
    <s v="Information Technology"/>
    <s v="Agile Center"/>
    <s v="HUYNH Anh Tam"/>
    <s v="In"/>
    <x v="0"/>
    <n v="0"/>
    <n v="0"/>
    <n v="0"/>
    <n v="1"/>
    <n v="6"/>
    <x v="98"/>
  </r>
  <r>
    <s v="Nguyen Trong Tuan PHAM"/>
    <s v="Yes, count me in!"/>
    <s v="049203006602"/>
    <s v="0367304351"/>
    <s v="No"/>
    <m/>
    <s v="I’ll take the company bus"/>
    <m/>
    <s v="Information Technology"/>
    <s v="Software Engineering"/>
    <s v="PHAN Anh Dung Cuong"/>
    <s v="In"/>
    <x v="0"/>
    <n v="0"/>
    <n v="0"/>
    <n v="0"/>
    <n v="1"/>
    <n v="6"/>
    <x v="99"/>
  </r>
  <r>
    <s v="Tien Khoi DINH"/>
    <s v="Yes, count me in!"/>
    <s v="067202006321"/>
    <s v="0867455918"/>
    <s v="No"/>
    <m/>
    <s v="I’ll take the company bus"/>
    <m/>
    <s v="Information Technology"/>
    <s v="Software Engineering"/>
    <s v="PHAN Anh Dung Cuong"/>
    <s v="In"/>
    <x v="0"/>
    <n v="0"/>
    <n v="0"/>
    <n v="0"/>
    <n v="1"/>
    <n v="6"/>
    <x v="99"/>
  </r>
  <r>
    <s v="Duy Phuong NGUYEN"/>
    <s v="Yes, count me in!"/>
    <s v="080094006419"/>
    <s v="0979891673"/>
    <s v="No"/>
    <m/>
    <s v="I’ll take the company bus"/>
    <m/>
    <s v="Information Technology"/>
    <s v="Software Engineering"/>
    <s v="PHAM Bao Chung"/>
    <s v="In"/>
    <x v="0"/>
    <n v="0"/>
    <n v="0"/>
    <n v="0"/>
    <n v="1"/>
    <n v="6"/>
    <x v="100"/>
  </r>
  <r>
    <s v="Phu Loc HOANG"/>
    <s v="Yes, count me in!"/>
    <s v="001203053053"/>
    <s v="0853355397"/>
    <s v="No"/>
    <m/>
    <s v="I’ll take the company bus"/>
    <m/>
    <s v="Information Technology"/>
    <s v="Software Engineering"/>
    <s v="PHAM Bao Chung"/>
    <s v="In"/>
    <x v="0"/>
    <n v="0"/>
    <n v="0"/>
    <n v="0"/>
    <n v="1"/>
    <n v="6"/>
    <x v="100"/>
  </r>
  <r>
    <s v="Anh Quan PHAN"/>
    <s v="Yes, count me in!"/>
    <s v="045201007690"/>
    <s v="0973743542"/>
    <s v="No"/>
    <m/>
    <s v="I’ll take the company bus"/>
    <m/>
    <s v="Information Technology"/>
    <s v="Software Engineering"/>
    <s v="PHAM Bao Chung"/>
    <s v="In"/>
    <x v="0"/>
    <n v="0"/>
    <n v="0"/>
    <n v="0"/>
    <n v="1"/>
    <n v="6"/>
    <x v="101"/>
  </r>
  <r>
    <s v="Cuong BUI"/>
    <s v="Yes, count me in!"/>
    <s v="066203000250"/>
    <s v="0914 119 624"/>
    <s v="No"/>
    <m/>
    <s v="I’ll take the company bus"/>
    <m/>
    <s v="Information Technology"/>
    <s v="Software Engineering"/>
    <s v="PHAM Bao Chung"/>
    <s v="In"/>
    <x v="0"/>
    <n v="0"/>
    <n v="0"/>
    <n v="0"/>
    <n v="1"/>
    <n v="6"/>
    <x v="101"/>
  </r>
  <r>
    <s v="Minh Tuan PHAM"/>
    <s v="Yes, count me in!"/>
    <s v="075099004545"/>
    <s v="0792909998"/>
    <s v="No"/>
    <m/>
    <s v="I’ll take the company bus"/>
    <s v="please have low fat, low cholesterol, easy to chew food_x000a_I want to be fit and have a nice body :)"/>
    <s v="Information Technology"/>
    <s v="Agile Center"/>
    <s v="LIM Chee Kiat"/>
    <s v="In"/>
    <x v="0"/>
    <n v="0"/>
    <n v="0"/>
    <n v="0"/>
    <n v="1"/>
    <n v="6"/>
    <x v="102"/>
  </r>
  <r>
    <s v="Dinh Van LE"/>
    <s v="Yes, count me in!"/>
    <s v="079096007068"/>
    <s v="0328971812"/>
    <s v="No"/>
    <m/>
    <s v="I’ll take the company bus"/>
    <m/>
    <s v="Information Technology"/>
    <s v="Software Engineering"/>
    <s v="IVAN Alex Constantin"/>
    <s v="In"/>
    <x v="0"/>
    <n v="0"/>
    <n v="0"/>
    <n v="0"/>
    <n v="1"/>
    <n v="6"/>
    <x v="103"/>
  </r>
  <r>
    <s v="Ba Nghi HUYNH"/>
    <s v="Yes, count me in!"/>
    <s v="082098005823"/>
    <s v="0979622203"/>
    <s v="No"/>
    <m/>
    <s v="I’ll take the company bus"/>
    <m/>
    <s v="Information Technology"/>
    <s v="Software Engineering"/>
    <s v="IVAN Alex Constantin"/>
    <s v="In"/>
    <x v="0"/>
    <n v="0"/>
    <n v="0"/>
    <n v="0"/>
    <n v="1"/>
    <n v="6"/>
    <x v="103"/>
  </r>
  <r>
    <s v="Hoang Duy NGUYEN"/>
    <s v="Yes, count me in!"/>
    <s v="079087016493"/>
    <s v="0362685720"/>
    <s v="No"/>
    <m/>
    <s v="I’ll take the company bus"/>
    <m/>
    <s v="Information Technology"/>
    <s v="Software Engineering"/>
    <s v="HUYNH Van Cop"/>
    <s v="In"/>
    <x v="0"/>
    <n v="0"/>
    <n v="0"/>
    <n v="0"/>
    <n v="1"/>
    <n v="6"/>
    <x v="104"/>
  </r>
  <r>
    <s v="Tuan Anh NGUYEN"/>
    <s v="Yes, count me in!"/>
    <s v="082089018141"/>
    <s v="0909857832"/>
    <s v="No"/>
    <m/>
    <s v="I’ll take the company bus"/>
    <m/>
    <s v="Information Technology"/>
    <s v="Software Engineering"/>
    <s v="IVAN Alex Constantin"/>
    <s v="In"/>
    <x v="0"/>
    <n v="0"/>
    <n v="0"/>
    <n v="0"/>
    <n v="1"/>
    <n v="6"/>
    <x v="104"/>
  </r>
  <r>
    <s v="Guillaume DUQUESNAY"/>
    <s v="Yes, count me in!"/>
    <s v="23FV09763"/>
    <s v="+33613234722"/>
    <s v="No"/>
    <m/>
    <s v="I’ll take the company bus"/>
    <s v="Any quality whisky (or wine) will do"/>
    <s v="Information Technology"/>
    <s v="Engineering &amp; Architecture"/>
    <s v="BUZZACARO Alain"/>
    <s v="In"/>
    <x v="0"/>
    <n v="0"/>
    <n v="0"/>
    <n v="0"/>
    <n v="1"/>
    <n v="6"/>
    <x v="105"/>
  </r>
  <r>
    <s v="Van Cop HUYNH"/>
    <s v="Yes, count me in!"/>
    <s v="091086018626"/>
    <s v="0935717578"/>
    <s v="No"/>
    <m/>
    <s v="I’ll take the company bus"/>
    <m/>
    <s v="Information Technology"/>
    <s v="Software Engineering"/>
    <s v="DUQUESNAY Guillaume"/>
    <s v="In"/>
    <x v="0"/>
    <n v="0"/>
    <n v="0"/>
    <n v="0"/>
    <n v="1"/>
    <n v="6"/>
    <x v="105"/>
  </r>
  <r>
    <s v="Hoang Minh NGUYEN"/>
    <s v="Yes, count me in!"/>
    <s v="079095017425"/>
    <s v="0984678726"/>
    <s v="No"/>
    <m/>
    <s v="I’ll take the company bus"/>
    <m/>
    <s v="Information Technology"/>
    <s v="Software Engineering"/>
    <s v="DUQUESNAY Guillaume"/>
    <s v="In"/>
    <x v="0"/>
    <n v="0"/>
    <n v="0"/>
    <n v="0"/>
    <n v="1"/>
    <n v="6"/>
    <x v="106"/>
  </r>
  <r>
    <s v="Hai Nam NGUYEN"/>
    <s v="Yes, count me in!"/>
    <s v="079203014457"/>
    <s v="0968080085"/>
    <s v="No"/>
    <m/>
    <s v="I’ll take the company bus"/>
    <m/>
    <s v="Information Technology"/>
    <s v="Quality Control"/>
    <s v="HUYNH Anh Tam"/>
    <s v="In"/>
    <x v="0"/>
    <n v="0"/>
    <n v="0"/>
    <n v="0"/>
    <n v="1"/>
    <n v="6"/>
    <x v="106"/>
  </r>
  <r>
    <s v="Trung Thong HOANG"/>
    <s v="Yes, count me in!"/>
    <s v="066201002422"/>
    <s v="0372015192"/>
    <s v="No"/>
    <m/>
    <s v="I’ll take the company bus"/>
    <m/>
    <s v="Information Technology"/>
    <s v="Software Engineering"/>
    <s v="HUYNH Van Cop"/>
    <s v="In"/>
    <x v="0"/>
    <n v="0"/>
    <n v="0"/>
    <n v="0"/>
    <n v="1"/>
    <n v="6"/>
    <x v="107"/>
  </r>
  <r>
    <s v="Dai Che Phuong TAI"/>
    <s v="Yes, count me in!"/>
    <s v="080087011699"/>
    <s v="0352176769"/>
    <s v="No"/>
    <m/>
    <s v="I’ll take the company bus"/>
    <m/>
    <s v="Information Technology"/>
    <s v="Software Engineering"/>
    <s v="HUYNH Van Cop"/>
    <s v="In"/>
    <x v="0"/>
    <n v="0"/>
    <n v="0"/>
    <n v="0"/>
    <n v="1"/>
    <n v="6"/>
    <x v="107"/>
  </r>
  <r>
    <s v="Phu Qui CHAU"/>
    <s v="Yes, count me in!"/>
    <s v="079087017793"/>
    <s v="0903322044"/>
    <s v="No"/>
    <m/>
    <s v="I’ll take the company bus"/>
    <m/>
    <s v="Information Technology"/>
    <s v="Software Engineering"/>
    <s v="HUYNH Van Cop"/>
    <s v="In"/>
    <x v="0"/>
    <n v="0"/>
    <n v="0"/>
    <n v="0"/>
    <n v="1"/>
    <n v="6"/>
    <x v="108"/>
  </r>
  <r>
    <s v="Ngoc Huy LE"/>
    <s v="Yes, count me in!"/>
    <s v="051095009095 "/>
    <s v="0985752395"/>
    <s v="No"/>
    <m/>
    <s v="I’ll take the company bus"/>
    <m/>
    <s v="Information Technology"/>
    <s v="Software Engineering"/>
    <s v="HUYNH Van Cop"/>
    <s v="In"/>
    <x v="0"/>
    <n v="0"/>
    <n v="0"/>
    <n v="0"/>
    <n v="1"/>
    <n v="6"/>
    <x v="108"/>
  </r>
  <r>
    <s v="Truong Thi NGUYEN"/>
    <s v="Yes, count me in!"/>
    <s v="079078022487"/>
    <s v="0934181732"/>
    <s v="No"/>
    <m/>
    <s v="I’ll take the company bus"/>
    <m/>
    <s v="Information Technology"/>
    <s v="Software Engineering"/>
    <s v="HUYNH Van Cop"/>
    <s v="In"/>
    <x v="0"/>
    <n v="0"/>
    <n v="0"/>
    <n v="0"/>
    <n v="1"/>
    <n v="6"/>
    <x v="109"/>
  </r>
  <r>
    <s v="Khac Duy NGUYEN"/>
    <s v="Yes, count me in!"/>
    <s v="083096004407"/>
    <s v="0964072710"/>
    <s v="No"/>
    <m/>
    <s v="I’ll take the company bus"/>
    <m/>
    <s v="Information Technology"/>
    <s v="Software Engineering"/>
    <s v="HUYNH Van Cop"/>
    <s v="In"/>
    <x v="0"/>
    <n v="0"/>
    <n v="0"/>
    <n v="0"/>
    <n v="1"/>
    <n v="6"/>
    <x v="109"/>
  </r>
  <r>
    <s v="Thai Hung TRAN"/>
    <s v="Yes, count me in!"/>
    <s v="066087005950"/>
    <s v="0948912119"/>
    <s v="Yes"/>
    <s v="1. Lưu Hồng Phương Thủy - Female - 27/10/1990 - 06619007476_x000a_2. Trần Hồng Như Ý - Female - 13/7/2025 - 079325017288"/>
    <s v="I’ll take the company bus"/>
    <m/>
    <s v="Information Technology"/>
    <s v="Software Architecture"/>
    <s v="MATYSIAK Hervé"/>
    <s v="In"/>
    <x v="1"/>
    <n v="1"/>
    <n v="1"/>
    <n v="2"/>
    <n v="3"/>
    <n v="6"/>
    <x v="110"/>
  </r>
  <r>
    <s v="Thanh Hoang NGUYEN"/>
    <s v="Yes, count me in!"/>
    <s v="079088031980"/>
    <s v="0938004161"/>
    <s v="No"/>
    <m/>
    <s v="I’ll take the company bus"/>
    <s v="I need a private room"/>
    <s v="Information Technology"/>
    <s v="Agile Center"/>
    <s v="NGUYEN Anh Tuan - Richard"/>
    <s v="In"/>
    <x v="0"/>
    <n v="0"/>
    <n v="0"/>
    <n v="0"/>
    <n v="1"/>
    <n v="6"/>
    <x v="111"/>
  </r>
  <r>
    <s v="Van Trien DANG"/>
    <s v="Yes, count me in!"/>
    <s v="068097008720"/>
    <s v="0981212098"/>
    <s v="No"/>
    <m/>
    <s v="I’ll take the company bus"/>
    <m/>
    <s v="Amaris Consulting"/>
    <s v="Consultants"/>
    <s v="HOANG Thien"/>
    <s v="In"/>
    <x v="0"/>
    <n v="0"/>
    <n v="0"/>
    <n v="0"/>
    <n v="1"/>
    <n v="7"/>
    <x v="112"/>
  </r>
  <r>
    <s v="Thanh Dat NGUYEN"/>
    <s v="Yes, count me in!"/>
    <s v="075096016711"/>
    <s v="0932980033"/>
    <s v="No"/>
    <m/>
    <s v="I’ll take the company bus"/>
    <m/>
    <s v="Amaris Consulting"/>
    <s v="Consultants"/>
    <s v="HOANG Thien"/>
    <s v="In"/>
    <x v="0"/>
    <n v="0"/>
    <n v="0"/>
    <n v="0"/>
    <n v="1"/>
    <n v="7"/>
    <x v="113"/>
  </r>
  <r>
    <s v="Song Toan VU"/>
    <s v="Yes, count me in!"/>
    <s v="048095001773"/>
    <s v="0335353685"/>
    <s v="No"/>
    <m/>
    <s v="I’ll take the company bus"/>
    <m/>
    <s v="Amaris Consulting"/>
    <s v="Consultants"/>
    <s v="HOANG Thien"/>
    <s v="In"/>
    <x v="0"/>
    <n v="0"/>
    <n v="0"/>
    <n v="0"/>
    <n v="1"/>
    <n v="7"/>
    <x v="113"/>
  </r>
  <r>
    <s v="Quang Tin TRAN"/>
    <s v="Yes, count me in!"/>
    <s v="058095001270"/>
    <s v="0349687204"/>
    <s v="No"/>
    <m/>
    <s v="I’ll take the company bus"/>
    <m/>
    <s v="Amaris Consulting"/>
    <s v="Consultants"/>
    <s v="HOANG Thien"/>
    <s v="In"/>
    <x v="0"/>
    <n v="0"/>
    <n v="0"/>
    <n v="0"/>
    <n v="1"/>
    <n v="7"/>
    <x v="114"/>
  </r>
  <r>
    <s v="Vo Tuong Duy"/>
    <s v="Yes, count me in!"/>
    <s v="079200028676"/>
    <s v="0397974403"/>
    <s v="No"/>
    <m/>
    <s v="I’ll take the company bus"/>
    <m/>
    <s v="Amaris Consulting"/>
    <s v="Consultants"/>
    <s v="HOANG Thien"/>
    <s v="In (Exit confirmed)"/>
    <x v="0"/>
    <m/>
    <m/>
    <n v="0"/>
    <n v="1"/>
    <n v="7"/>
    <x v="114"/>
  </r>
  <r>
    <s v="Tran Thuy Linh LU"/>
    <s v="Yes, count me in!"/>
    <s v="079198003401"/>
    <s v="0397430707"/>
    <s v="No"/>
    <m/>
    <s v="I’ll take the company bus"/>
    <m/>
    <s v="Amaris Consulting"/>
    <s v="Consultants"/>
    <s v="TRAN Thi Ha My"/>
    <s v="In"/>
    <x v="0"/>
    <n v="0"/>
    <n v="0"/>
    <n v="0"/>
    <n v="1"/>
    <n v="7"/>
    <x v="52"/>
  </r>
  <r>
    <s v="Kim Anh DO"/>
    <s v="Yes, count me in!"/>
    <s v="079192033623"/>
    <s v="0903747427"/>
    <s v="No"/>
    <m/>
    <s v="I’ll take the company bus"/>
    <s v="Dị ứng Hải sản, phô mai, sữa "/>
    <s v="Amaris Consulting"/>
    <s v="Consultants"/>
    <s v="NGUYEN Thai Ly"/>
    <s v="In"/>
    <x v="0"/>
    <n v="0"/>
    <n v="0"/>
    <n v="0"/>
    <n v="1"/>
    <n v="7"/>
    <x v="71"/>
  </r>
  <r>
    <s v="Dang Khoa PHAM"/>
    <s v="Yes, count me in!"/>
    <s v="079094014846"/>
    <s v="0338330044"/>
    <s v="No"/>
    <m/>
    <s v="I’ll take the company bus"/>
    <m/>
    <s v="Amaris Consulting"/>
    <s v="Consultants"/>
    <s v="NGUYEN Thai Ly"/>
    <s v="In"/>
    <x v="0"/>
    <n v="0"/>
    <n v="0"/>
    <n v="0"/>
    <n v="1"/>
    <n v="7"/>
    <x v="115"/>
  </r>
  <r>
    <s v="Huu Thanh Tam TRAN"/>
    <s v="Yes, count me in!"/>
    <s v="045099007148"/>
    <s v="0335533732"/>
    <s v="No"/>
    <m/>
    <s v="I’ll take the company bus"/>
    <m/>
    <s v="Amaris Consulting"/>
    <s v="Consultants"/>
    <s v="NGUYEN Thai Ly"/>
    <s v="In"/>
    <x v="0"/>
    <n v="0"/>
    <n v="0"/>
    <n v="0"/>
    <n v="1"/>
    <n v="7"/>
    <x v="115"/>
  </r>
  <r>
    <s v="Nghi Lam PHAM"/>
    <s v="Yes, count me in!"/>
    <s v="075096010782"/>
    <s v="0985788540"/>
    <s v="No"/>
    <m/>
    <s v="I’ll take the company bus"/>
    <m/>
    <s v="Amaris Consulting"/>
    <s v="Consultants"/>
    <s v="NGUYEN Thai Ly"/>
    <s v="In"/>
    <x v="0"/>
    <n v="0"/>
    <n v="0"/>
    <n v="0"/>
    <n v="1"/>
    <n v="7"/>
    <x v="116"/>
  </r>
  <r>
    <s v="Viet Hoang TRAN"/>
    <s v="Yes, count me in!"/>
    <s v="001201015108"/>
    <s v="0328005399"/>
    <s v="No"/>
    <m/>
    <s v="I’ll take the company bus"/>
    <m/>
    <s v="Amaris Consulting"/>
    <s v="Consultants"/>
    <s v="NGUYEN Thai Ly"/>
    <s v="In"/>
    <x v="0"/>
    <n v="0"/>
    <n v="0"/>
    <n v="0"/>
    <n v="1"/>
    <n v="7"/>
    <x v="116"/>
  </r>
  <r>
    <s v="Anh Khoa NGUYEN"/>
    <s v="Yes, count me in!"/>
    <s v="079085028522"/>
    <s v="0909988822"/>
    <s v="No"/>
    <m/>
    <s v="I’ll take the company bus"/>
    <m/>
    <s v="Amaris Consulting"/>
    <s v="Consultants"/>
    <s v="NGUYEN Thai Ly"/>
    <s v="In"/>
    <x v="0"/>
    <n v="0"/>
    <n v="0"/>
    <n v="0"/>
    <n v="1"/>
    <n v="7"/>
    <x v="112"/>
  </r>
  <r>
    <s v="Thai Ly NGUYEN"/>
    <s v="Yes, count me in!"/>
    <s v="048195006450"/>
    <s v="0943149780"/>
    <s v="No"/>
    <m/>
    <s v="I’ll take the company bus"/>
    <m/>
    <s v="Amaris Consulting"/>
    <s v="Managers"/>
    <s v="VU Thanh Hang"/>
    <s v="In"/>
    <x v="0"/>
    <n v="0"/>
    <n v="0"/>
    <n v="0"/>
    <n v="1"/>
    <n v="7"/>
    <x v="74"/>
  </r>
  <r>
    <s v="Thi Khanh NGUYEN"/>
    <s v="Yes, count me in!"/>
    <s v="082196012509"/>
    <s v="0793830996"/>
    <s v="No"/>
    <m/>
    <s v="I’ll take the company bus"/>
    <m/>
    <s v="Amaris Consulting"/>
    <s v="Consultants"/>
    <s v="TRAN Thi Ha My"/>
    <s v="In"/>
    <x v="0"/>
    <n v="0"/>
    <n v="0"/>
    <n v="0"/>
    <n v="1"/>
    <n v="7"/>
    <x v="73"/>
  </r>
  <r>
    <s v="Thi Hue DO"/>
    <s v="Yes, count me in!"/>
    <s v="096197008684"/>
    <s v="0971732462"/>
    <s v="No"/>
    <m/>
    <s v="I’ll take the company bus"/>
    <m/>
    <s v="Amaris Consulting"/>
    <s v="Consultants"/>
    <s v="TRAN Thi Ha My"/>
    <s v="In"/>
    <x v="0"/>
    <n v="0"/>
    <n v="0"/>
    <n v="0"/>
    <n v="1"/>
    <n v="7"/>
    <x v="72"/>
  </r>
  <r>
    <s v="Ngoc Quoc TRAN"/>
    <s v="Yes, count me in!"/>
    <s v="048097003639"/>
    <s v="0799010869"/>
    <s v="No"/>
    <m/>
    <s v="I’ll take the company bus"/>
    <m/>
    <s v="Amaris Consulting"/>
    <s v="Consultants"/>
    <s v="TRAN Thi Ha My"/>
    <s v="In"/>
    <x v="0"/>
    <n v="0"/>
    <n v="0"/>
    <n v="0"/>
    <n v="1"/>
    <n v="7"/>
    <x v="117"/>
  </r>
  <r>
    <s v="Tien Huynh NGUYEN"/>
    <s v="Yes, count me in!"/>
    <s v="067094005805"/>
    <s v="0976551265"/>
    <s v="No"/>
    <m/>
    <s v="I’ll take the company bus"/>
    <m/>
    <s v="Amaris Consulting"/>
    <s v="Consultants"/>
    <s v="TRAN Thi Ha My"/>
    <s v="In"/>
    <x v="0"/>
    <n v="0"/>
    <n v="0"/>
    <n v="0"/>
    <n v="1"/>
    <n v="7"/>
    <x v="117"/>
  </r>
  <r>
    <s v="Minh Quang TRAN"/>
    <s v="Yes, count me in!"/>
    <s v="075203000646"/>
    <s v="0986245303"/>
    <s v="No"/>
    <m/>
    <s v="I’ll take the company bus"/>
    <m/>
    <s v="Human Resources"/>
    <s v="Compensation &amp; Benefits"/>
    <s v="CAP Kim Hoang"/>
    <s v="In"/>
    <x v="0"/>
    <n v="0"/>
    <n v="0"/>
    <n v="0"/>
    <n v="1"/>
    <n v="7"/>
    <x v="118"/>
  </r>
  <r>
    <s v="Van Tai PHAM"/>
    <s v="Yes, count me in!"/>
    <s v="079201011530"/>
    <s v="0965654937"/>
    <s v="No"/>
    <m/>
    <s v="I’ll take the company bus"/>
    <m/>
    <s v="Human Resources"/>
    <s v="Compensation &amp; Benefits"/>
    <s v="CAP Kim Hoang"/>
    <s v="In"/>
    <x v="0"/>
    <n v="0"/>
    <n v="0"/>
    <n v="0"/>
    <n v="1"/>
    <n v="7"/>
    <x v="118"/>
  </r>
  <r>
    <s v="Tuan Khoi NGUYEN"/>
    <s v="Yes, count me in!"/>
    <s v="079203008685"/>
    <s v="0776932589"/>
    <s v="No"/>
    <m/>
    <s v="I’ll take the company bus"/>
    <m/>
    <s v="Human Resources"/>
    <s v="Compensation &amp; Benefits"/>
    <s v="CAP Kim Hoang"/>
    <s v="In"/>
    <x v="0"/>
    <n v="0"/>
    <n v="0"/>
    <n v="0"/>
    <n v="1"/>
    <n v="7"/>
    <x v="119"/>
  </r>
  <r>
    <s v="Thuc Hao NGUYEN"/>
    <s v="Yes, count me in!"/>
    <s v="079096012234"/>
    <s v="0909120296"/>
    <s v="No"/>
    <m/>
    <s v="I’ll take the company bus"/>
    <s v="Team event cho Hào đi bus chung từ Bến Tre đến Cần Thơ nhé, chiều về Hào đi xe riêng. Cảm ơn mọi người!"/>
    <s v="Human Resources"/>
    <s v="People Operations"/>
    <s v="CAO Bao Tram"/>
    <s v="In"/>
    <x v="0"/>
    <n v="0"/>
    <n v="0"/>
    <n v="0"/>
    <n v="1"/>
    <n v="7"/>
    <x v="119"/>
  </r>
  <r>
    <s v="Thi My Tam - Cindy LE"/>
    <s v="Yes, count me in!"/>
    <s v="062195004991"/>
    <s v="0964455190"/>
    <s v="No"/>
    <m/>
    <s v="I’ll take the company bus"/>
    <s v="I wont take company bus on the depart day but i will take the return, pls help to count on me"/>
    <s v="Human Resources"/>
    <s v="Payroll Solutions"/>
    <s v="COMAS Mireille"/>
    <s v="In"/>
    <x v="0"/>
    <n v="0"/>
    <n v="0"/>
    <n v="0"/>
    <n v="1"/>
    <n v="7"/>
    <x v="120"/>
  </r>
  <r>
    <s v="Le Kim Ngan NGUYEN"/>
    <s v="Yes, count me in!"/>
    <s v="077199007614"/>
    <s v="0778819618"/>
    <s v="No"/>
    <m/>
    <s v="I’ll take the company bus"/>
    <m/>
    <s v="Human Resources"/>
    <s v="People Operations"/>
    <s v="NGUYEN Thuc Hao"/>
    <s v="In"/>
    <x v="0"/>
    <n v="0"/>
    <n v="0"/>
    <n v="0"/>
    <n v="1"/>
    <n v="7"/>
    <x v="120"/>
  </r>
  <r>
    <s v="Minh Thu DANG"/>
    <s v="Yes, count me in!"/>
    <s v="077302000543"/>
    <s v="0931231740"/>
    <s v="No"/>
    <m/>
    <s v="I’ll take the company bus"/>
    <m/>
    <s v="Human Resources"/>
    <s v="Compensation &amp; Benefits"/>
    <s v="CAP Kim Hoang"/>
    <s v="In"/>
    <x v="0"/>
    <n v="0"/>
    <n v="0"/>
    <n v="0"/>
    <n v="1"/>
    <n v="7"/>
    <x v="121"/>
  </r>
  <r>
    <s v="Le Bao Tram - Rachel DOAN"/>
    <s v="Yes, count me in!"/>
    <s v="'048300007642"/>
    <s v="'0984060780"/>
    <s v="No"/>
    <m/>
    <s v="I’ll take the company bus"/>
    <s v="Dạ từ HCM -&gt; Bến Tre: em tự đi xe riêng. Từ Tiền Giang -&gt; HCM: em đi bus với cty nha. Em cảm ơn mn đã hỗ trợ"/>
    <s v="Human Resources"/>
    <s v="People Operations"/>
    <s v="NGUYEN Thuc Hao"/>
    <s v="In"/>
    <x v="0"/>
    <n v="0"/>
    <n v="0"/>
    <n v="0"/>
    <n v="1"/>
    <n v="7"/>
    <x v="121"/>
  </r>
  <r>
    <s v="Thi Quynh Lien NGUYEN"/>
    <s v="Yes, count me in!"/>
    <s v="064301004400"/>
    <s v="0961910015"/>
    <s v="No"/>
    <m/>
    <s v="I’ll take the company bus"/>
    <m/>
    <s v="Human Resources"/>
    <s v="People Analytics"/>
    <s v="NGUYEN Thai Bao"/>
    <s v="In"/>
    <x v="0"/>
    <n v="0"/>
    <n v="0"/>
    <n v="0"/>
    <n v="1"/>
    <n v="7"/>
    <x v="122"/>
  </r>
  <r>
    <s v="Bao Tram CAO"/>
    <s v="Yes, count me in!"/>
    <s v="079193025094"/>
    <s v="+84901393648"/>
    <s v="No"/>
    <m/>
    <s v="I’ll take the company bus"/>
    <s v="I take company bus the way back only. "/>
    <s v="Human Resources"/>
    <s v="People Operations"/>
    <s v="RAYNAUD Claire"/>
    <s v="In"/>
    <x v="0"/>
    <n v="0"/>
    <n v="0"/>
    <n v="0"/>
    <n v="1"/>
    <n v="7"/>
    <x v="122"/>
  </r>
  <r>
    <s v="Thi Mai Anh LE"/>
    <s v="Yes, count me in!"/>
    <s v="031198014430"/>
    <s v="0901857690"/>
    <s v="No"/>
    <m/>
    <s v="I’ll take the company bus"/>
    <m/>
    <s v="Amaris Consulting"/>
    <s v="Managers"/>
    <s v="NGUYEN Duc Quy"/>
    <s v="In"/>
    <x v="0"/>
    <n v="0"/>
    <n v="0"/>
    <n v="0"/>
    <n v="1"/>
    <n v="7"/>
    <x v="19"/>
  </r>
  <r>
    <s v="Hieu Minh DO"/>
    <s v="Yes, count me in!"/>
    <s v="049303014137"/>
    <s v="+84868772661"/>
    <s v="No"/>
    <m/>
    <s v="I’ll take the company bus"/>
    <m/>
    <s v="Amaris Consulting"/>
    <s v="Consulting Talent Acquisition"/>
    <s v="PHAM Thai An"/>
    <s v="In"/>
    <x v="0"/>
    <n v="0"/>
    <n v="0"/>
    <n v="0"/>
    <n v="1"/>
    <n v="8"/>
    <x v="76"/>
  </r>
  <r>
    <s v="Trung Hieu NGUYEN"/>
    <s v="Yes, count me in!"/>
    <s v="079076006834"/>
    <s v="0913676060"/>
    <s v="No"/>
    <m/>
    <s v="I’ll take the company bus"/>
    <m/>
    <s v="Amaris Consulting"/>
    <s v="Delivery"/>
    <s v="GALLOT Brice"/>
    <s v="In"/>
    <x v="0"/>
    <n v="0"/>
    <n v="0"/>
    <n v="0"/>
    <n v="1"/>
    <n v="8"/>
    <x v="20"/>
  </r>
  <r>
    <s v="Arthur CAMARET"/>
    <s v="Yes, count me in!"/>
    <s v="22IK50629"/>
    <s v="0902612360"/>
    <s v="No"/>
    <m/>
    <s v="I’ll take the company bus"/>
    <m/>
    <s v="Amaris Consulting"/>
    <s v="Presales"/>
    <s v="JOLLIOT Marie-Benoîte"/>
    <s v="In"/>
    <x v="0"/>
    <n v="0"/>
    <n v="0"/>
    <n v="0"/>
    <n v="1"/>
    <n v="8"/>
    <x v="93"/>
  </r>
  <r>
    <s v="Nguyen Phuong DO"/>
    <s v="Yes, count me in!"/>
    <s v="079202015216"/>
    <s v="0812900824"/>
    <s v="No"/>
    <m/>
    <s v="I’ll take the company bus"/>
    <m/>
    <s v="Information Technology"/>
    <s v="Product Management"/>
    <s v="LIM Chee Kiat"/>
    <s v="In"/>
    <x v="0"/>
    <n v="0"/>
    <n v="0"/>
    <n v="0"/>
    <n v="1"/>
    <n v="8"/>
    <x v="123"/>
  </r>
  <r>
    <s v="Hoang Dung LE"/>
    <s v="Yes, count me in!"/>
    <s v="068203012626"/>
    <s v="0985291931"/>
    <s v="No"/>
    <m/>
    <s v="I’ll take the company bus"/>
    <s v="I am allergic to seafood and eggs"/>
    <s v="Amaris Consulting"/>
    <s v="Consulting Talent Acquisition"/>
    <s v="NGUYEN Hoang Bich Tran"/>
    <s v="In"/>
    <x v="0"/>
    <n v="0"/>
    <n v="0"/>
    <n v="0"/>
    <n v="1"/>
    <n v="8"/>
    <x v="123"/>
  </r>
  <r>
    <s v="Chee Kiat LIM"/>
    <s v="Yes, count me in!"/>
    <s v="079097016581"/>
    <s v="0942229030"/>
    <s v="No"/>
    <m/>
    <s v="I’ll take the company bus"/>
    <m/>
    <s v="Information Technology"/>
    <s v="Product Management"/>
    <s v="DUQUESNAY Guillaume"/>
    <s v="In"/>
    <x v="0"/>
    <n v="0"/>
    <n v="0"/>
    <n v="0"/>
    <n v="1"/>
    <n v="8"/>
    <x v="124"/>
  </r>
  <r>
    <s v="Clément GUIGUEN"/>
    <s v="Yes, count me in!"/>
    <s v="17EH77400"/>
    <s v="+33679194344"/>
    <s v="No"/>
    <m/>
    <s v="I’ll take the company bus"/>
    <m/>
    <s v="Information Technology"/>
    <s v="Product Management"/>
    <s v="LIM Chee Kiat"/>
    <s v="In"/>
    <x v="0"/>
    <n v="0"/>
    <n v="0"/>
    <n v="0"/>
    <n v="1"/>
    <n v="8"/>
    <x v="124"/>
  </r>
  <r>
    <s v="Xuan Quang PHAN"/>
    <s v="Yes, count me in!"/>
    <s v="051202007260"/>
    <s v="0943527674"/>
    <s v="No"/>
    <m/>
    <s v="I’ll take the company bus"/>
    <m/>
    <s v="Information Technology"/>
    <s v="Telephony"/>
    <s v="MAI Tan Ha"/>
    <s v="In"/>
    <x v="0"/>
    <n v="0"/>
    <n v="0"/>
    <n v="0"/>
    <n v="1"/>
    <n v="8"/>
    <x v="125"/>
  </r>
  <r>
    <s v="Bao An HOANG"/>
    <s v="Yes, count me in!"/>
    <s v="075200000345"/>
    <s v="0339526385"/>
    <s v="No"/>
    <m/>
    <s v="I’ll take the company bus"/>
    <m/>
    <s v="Information Technology"/>
    <s v="System &amp; Network"/>
    <s v="SIOUDI Mohamed Amine"/>
    <s v="In"/>
    <x v="0"/>
    <n v="0"/>
    <n v="0"/>
    <n v="0"/>
    <n v="1"/>
    <n v="8"/>
    <x v="125"/>
  </r>
  <r>
    <s v="Dinh Tien Dung NGUYEN"/>
    <s v="Yes, count me in!"/>
    <s v="079203005175"/>
    <s v="0968412361"/>
    <s v="No"/>
    <m/>
    <s v="I’ll take the company bus"/>
    <m/>
    <s v="Information Technology"/>
    <s v="Help Desk"/>
    <s v="NGO Ngoc Nam"/>
    <s v="In"/>
    <x v="0"/>
    <n v="0"/>
    <n v="0"/>
    <n v="0"/>
    <n v="1"/>
    <n v="8"/>
    <x v="126"/>
  </r>
  <r>
    <s v="Truong Tho DANG"/>
    <s v="Yes, count me in!"/>
    <s v="074093002317"/>
    <s v="0906 406 613 "/>
    <s v="No"/>
    <m/>
    <s v="I’ll take the company bus"/>
    <m/>
    <s v="Information Technology"/>
    <s v="Help Desk"/>
    <s v="NGO Ngoc Nam"/>
    <s v="In"/>
    <x v="0"/>
    <n v="0"/>
    <n v="0"/>
    <n v="0"/>
    <n v="1"/>
    <n v="8"/>
    <x v="126"/>
  </r>
  <r>
    <s v="Tu NGUYEN ANH"/>
    <s v="Yes, count me in!"/>
    <s v="056079000075"/>
    <s v="0974674081"/>
    <s v="No"/>
    <m/>
    <s v="I’ll take the company bus"/>
    <m/>
    <s v="Amaris Consulting"/>
    <s v="Delivery"/>
    <s v="NGUYEN Trung Hieu"/>
    <s v="In"/>
    <x v="0"/>
    <n v="0"/>
    <n v="0"/>
    <n v="0"/>
    <n v="1"/>
    <n v="8"/>
    <x v="127"/>
  </r>
  <r>
    <s v="Triet HUYNH MINH"/>
    <s v="Yes, count me in!"/>
    <s v="079202019928"/>
    <s v="0898313181"/>
    <s v="No"/>
    <m/>
    <s v="I’ll take the company bus"/>
    <m/>
    <s v="ACT"/>
    <s v="ACT Sales &amp; Pre-sales"/>
    <s v="MAVANI Amit"/>
    <s v="In"/>
    <x v="0"/>
    <n v="0"/>
    <n v="0"/>
    <n v="0"/>
    <n v="1"/>
    <n v="8"/>
    <x v="127"/>
  </r>
  <r>
    <s v="Ho Bao Thy LE"/>
    <s v="Yes, count me in!"/>
    <s v="079193009931"/>
    <s v="0909083103"/>
    <s v="No"/>
    <m/>
    <s v="I’ll take the company bus"/>
    <m/>
    <s v="Marketing &amp; Conversation"/>
    <s v="Design"/>
    <s v="SANTANA Zulema"/>
    <s v="In"/>
    <x v="0"/>
    <n v="0"/>
    <n v="0"/>
    <n v="0"/>
    <n v="1"/>
    <n v="8"/>
    <x v="128"/>
  </r>
  <r>
    <s v="Tuong Khuyen LE"/>
    <s v="Yes, count me in!"/>
    <s v="079193040594"/>
    <s v="0931439977"/>
    <s v="No"/>
    <m/>
    <s v="I’ll take the company bus"/>
    <m/>
    <s v="Marketing &amp; Conversation"/>
    <s v="Design"/>
    <s v="SANTANA Zulema"/>
    <s v="In"/>
    <x v="0"/>
    <n v="0"/>
    <n v="0"/>
    <n v="0"/>
    <n v="1"/>
    <n v="8"/>
    <x v="128"/>
  </r>
  <r>
    <s v="Le Khanh Chi PHAM"/>
    <s v="Yes, count me in!"/>
    <s v="079 303 003 034"/>
    <s v="0903 175 838"/>
    <s v="No"/>
    <m/>
    <s v="I’ll take the company bus"/>
    <m/>
    <s v="Amaris Consulting"/>
    <s v="Consulting Talent Acquisition"/>
    <s v="NGUYEN Hoang Bich Tran"/>
    <s v="In"/>
    <x v="0"/>
    <n v="0"/>
    <n v="0"/>
    <n v="0"/>
    <n v="1"/>
    <n v="8"/>
    <x v="129"/>
  </r>
  <r>
    <s v="Tran Thao Vy PHAM"/>
    <s v="Yes, count me in!"/>
    <s v="064304011457"/>
    <s v="0905435679"/>
    <s v="No"/>
    <m/>
    <s v="I’ll take the company bus"/>
    <m/>
    <s v="Amaris Consulting"/>
    <s v="Consulting Talent Acquisition"/>
    <s v="NGUYEN Hoang Bich Tran"/>
    <s v="In"/>
    <x v="0"/>
    <n v="0"/>
    <n v="0"/>
    <n v="0"/>
    <n v="1"/>
    <n v="8"/>
    <x v="129"/>
  </r>
  <r>
    <s v="Ho Khanh Vy NGUYEN"/>
    <s v="Yes, count me in!"/>
    <s v="082196015477"/>
    <s v="0984016140"/>
    <s v="No"/>
    <m/>
    <s v="I’ll take the company bus"/>
    <m/>
    <s v="Amaris Consulting"/>
    <s v="Consulting Talent Acquisition"/>
    <s v="GUILLOTON Eve"/>
    <s v="In"/>
    <x v="0"/>
    <n v="0"/>
    <n v="0"/>
    <n v="0"/>
    <n v="1"/>
    <n v="8"/>
    <x v="130"/>
  </r>
  <r>
    <s v="Dang Thuy Duong NGUYEN"/>
    <s v="Yes, count me in!"/>
    <s v="079302019770"/>
    <s v="0708319701"/>
    <s v="No"/>
    <m/>
    <s v="I’ll take the company bus"/>
    <m/>
    <s v="Amaris Consulting"/>
    <s v="Consulting Talent Acquisition"/>
    <s v="NGUYEN Ho Khanh Vy"/>
    <s v="In"/>
    <x v="0"/>
    <n v="0"/>
    <n v="0"/>
    <n v="0"/>
    <n v="1"/>
    <n v="8"/>
    <x v="130"/>
  </r>
  <r>
    <s v="Thi Anh Thu TRAN"/>
    <s v="Yes, count me in!"/>
    <s v="079301005911"/>
    <s v="0327649437"/>
    <s v="No"/>
    <m/>
    <s v="I’ll take the company bus"/>
    <m/>
    <s v="Amaris Consulting"/>
    <s v="Consulting Talent Acquisition"/>
    <s v="HONG Nguyen Tu Nhi"/>
    <s v="In"/>
    <x v="0"/>
    <n v="0"/>
    <n v="0"/>
    <n v="0"/>
    <n v="1"/>
    <n v="8"/>
    <x v="131"/>
  </r>
  <r>
    <s v="Nguyen Tu Nhi HONG"/>
    <s v="Yes, count me in!"/>
    <s v="079198027964"/>
    <s v="0374428877"/>
    <s v="No"/>
    <m/>
    <s v="I’ll take the company bus"/>
    <m/>
    <s v="Amaris Consulting"/>
    <s v="Consulting Talent Acquisition"/>
    <s v="NGUYEN Ho Khanh Vy"/>
    <s v="In"/>
    <x v="0"/>
    <n v="0"/>
    <n v="0"/>
    <n v="0"/>
    <n v="1"/>
    <n v="8"/>
    <x v="131"/>
  </r>
  <r>
    <s v="Thai An PHAM"/>
    <s v="Yes, count me in!"/>
    <s v="031199002762"/>
    <s v="0363031131"/>
    <s v="Yes"/>
    <s v="Do Chi Thanh - Male - 20/10/2002 - 001202005933"/>
    <s v="I’ll take the company bus"/>
    <m/>
    <s v="Amaris Consulting"/>
    <s v="Consulting Talent Acquisition"/>
    <s v="NGUYEN Ho Khanh Vy"/>
    <s v="In"/>
    <x v="1"/>
    <n v="0"/>
    <n v="1"/>
    <n v="1"/>
    <n v="2"/>
    <n v="8"/>
    <x v="132"/>
  </r>
  <r>
    <s v="Hoang Bich Tran NGUYEN"/>
    <s v="Yes, count me in!"/>
    <s v="060199000392"/>
    <s v="0975488340"/>
    <s v="Yes"/>
    <s v="Nguyen Tran Bao Phu - Male - 28/03/1999 - 080099002154"/>
    <s v="I’ll take the company bus"/>
    <m/>
    <s v="Amaris Consulting"/>
    <s v="Consulting Talent Acquisition"/>
    <s v="NGUYEN Ho Khanh Vy"/>
    <s v="In"/>
    <x v="1"/>
    <n v="0"/>
    <n v="1"/>
    <n v="1"/>
    <n v="2"/>
    <n v="8"/>
    <x v="133"/>
  </r>
  <r>
    <s v="Linh Chau PHAN"/>
    <s v="Yes, count me in!"/>
    <s v="068300004128"/>
    <s v="+84 389420759 "/>
    <s v="No"/>
    <m/>
    <s v="I’ll take the company bus"/>
    <m/>
    <s v="Recruitment"/>
    <s v="Corporate Acquisition"/>
    <s v="CARRILLO GIRONA Marina"/>
    <s v="In"/>
    <x v="0"/>
    <n v="0"/>
    <n v="0"/>
    <n v="0"/>
    <n v="1"/>
    <n v="8"/>
    <x v="134"/>
  </r>
  <r>
    <s v="Le Minh Trang NGUYEN"/>
    <s v="Yes, count me in!"/>
    <s v="037303000012"/>
    <s v="0961760721"/>
    <s v="No"/>
    <m/>
    <s v="I’ll take the company bus"/>
    <m/>
    <s v="Recruitment"/>
    <s v="Corporate Acquisition"/>
    <s v="PHAN Linh Chau"/>
    <s v="In"/>
    <x v="0"/>
    <n v="0"/>
    <n v="0"/>
    <n v="0"/>
    <n v="1"/>
    <n v="8"/>
    <x v="134"/>
  </r>
  <r>
    <s v="Thi Anh Minh TRAN"/>
    <s v="Yes, count me in!"/>
    <s v="077197001261"/>
    <s v="0785670597"/>
    <s v="No"/>
    <m/>
    <s v="I’ll take the company bus"/>
    <m/>
    <s v="Performance Management"/>
    <s v="Operational Controlling"/>
    <s v="BUC Thomas"/>
    <s v="In"/>
    <x v="0"/>
    <n v="0"/>
    <n v="0"/>
    <n v="0"/>
    <n v="1"/>
    <n v="8"/>
    <x v="135"/>
  </r>
  <r>
    <s v="Thu Hong NGUYEN"/>
    <s v="Yes, count me in!"/>
    <s v="074301006998"/>
    <s v="0967486292"/>
    <s v="No"/>
    <m/>
    <s v="I’ll take the company bus"/>
    <m/>
    <s v="Performance Management"/>
    <s v="Operational Controlling"/>
    <s v="BUC Thomas"/>
    <s v="In"/>
    <x v="0"/>
    <n v="0"/>
    <n v="0"/>
    <n v="0"/>
    <n v="1"/>
    <n v="8"/>
    <x v="135"/>
  </r>
  <r>
    <s v="Thi Thanh Nhan NGUYEN"/>
    <s v="Yes, count me in!"/>
    <s v="045198003359"/>
    <s v="0355042483"/>
    <s v="No"/>
    <m/>
    <s v="I’ll take the company bus"/>
    <s v="Mình muốn request ở phòng 3 người với team OC: NGUYEN Thi Thanh Nhan, TRAN Thị Anh Minh và NGUYEN Thu Hong"/>
    <s v="Performance Management"/>
    <s v="Operational Controlling"/>
    <s v="BUC Thomas"/>
    <s v="In"/>
    <x v="0"/>
    <n v="0"/>
    <n v="0"/>
    <n v="0"/>
    <n v="1"/>
    <n v="8"/>
    <x v="135"/>
  </r>
  <r>
    <s v="Thi Minh Phuong TRAN"/>
    <s v="Yes, count me in!"/>
    <s v="075184001102"/>
    <s v="0945745944"/>
    <s v="No"/>
    <m/>
    <s v="I’ll take the company bus"/>
    <m/>
    <s v="Information Technology"/>
    <s v="Telephony"/>
    <s v="MAI Tan Ha"/>
    <s v="In"/>
    <x v="0"/>
    <n v="0"/>
    <n v="0"/>
    <n v="0"/>
    <n v="1"/>
    <n v="8"/>
    <x v="136"/>
  </r>
  <r>
    <s v="Kieu Anh HOANG"/>
    <s v="Yes, count me in!"/>
    <s v="079199035294"/>
    <s v="84899286919"/>
    <s v="No"/>
    <m/>
    <s v="I’ll take the company bus"/>
    <m/>
    <s v="ACT"/>
    <s v="ACT Sales &amp; Pre-sales"/>
    <s v="MAVANI Amit"/>
    <s v="In"/>
    <x v="0"/>
    <n v="0"/>
    <n v="0"/>
    <n v="0"/>
    <n v="1"/>
    <n v="8"/>
    <x v="136"/>
  </r>
  <r>
    <s v="Phuong Thao NGUYEN"/>
    <s v="Yes, count me in!"/>
    <s v="079197000483"/>
    <s v="0909915834"/>
    <s v="No"/>
    <m/>
    <s v="I’ll take the company bus"/>
    <m/>
    <s v="Amaris Consulting"/>
    <s v="Consultants"/>
    <s v="VETTUKAD Amit"/>
    <s v="In"/>
    <x v="0"/>
    <n v="0"/>
    <n v="0"/>
    <n v="0"/>
    <n v="1"/>
    <n v="8"/>
    <x v="137"/>
  </r>
  <r>
    <s v="Ngoc Nguyen Ngan - Emily NGUYEN"/>
    <s v="Yes, count me in!"/>
    <s v="079197014206"/>
    <s v="0839022665"/>
    <s v="No"/>
    <m/>
    <s v="I’ll take the company bus"/>
    <m/>
    <s v="Information Technology"/>
    <s v="User Experience"/>
    <s v="LIM Chee Kiat"/>
    <s v="In"/>
    <x v="0"/>
    <n v="0"/>
    <n v="0"/>
    <n v="0"/>
    <n v="1"/>
    <n v="8"/>
    <x v="137"/>
  </r>
  <r>
    <s v="Hoai Nhu Y NGUYEN"/>
    <s v="Yes, count me in!"/>
    <s v="079195004762"/>
    <s v="0945686674"/>
    <s v="No"/>
    <m/>
    <s v="I’ll take the company bus"/>
    <m/>
    <s v="Information Technology"/>
    <s v="Product Management"/>
    <s v="DUQUESNAY Guillaume"/>
    <s v="In"/>
    <x v="0"/>
    <n v="0"/>
    <n v="0"/>
    <n v="0"/>
    <n v="1"/>
    <n v="8"/>
    <x v="138"/>
  </r>
  <r>
    <s v="Diem Thien Nga - Micky HUYNH"/>
    <s v="Yes, count me in!"/>
    <s v="079301028966"/>
    <s v="0763889811"/>
    <s v="No"/>
    <m/>
    <s v="I’ll take the company bus"/>
    <m/>
    <s v="Information Technology"/>
    <s v="Product Management"/>
    <s v="HUYNH Anh Tam"/>
    <s v="In"/>
    <x v="0"/>
    <n v="0"/>
    <n v="0"/>
    <n v="0"/>
    <n v="1"/>
    <n v="8"/>
    <x v="138"/>
  </r>
  <r>
    <s v="Thuy Phuong - Kaitlyn LE"/>
    <s v="Yes, count me in!"/>
    <s v="038301000546"/>
    <s v="0376622565"/>
    <s v="No"/>
    <m/>
    <s v="I’ll take the company bus"/>
    <m/>
    <s v="Information Technology"/>
    <s v="Product Management"/>
    <s v="HUYNH Anh Tam"/>
    <s v="In"/>
    <x v="0"/>
    <n v="0"/>
    <n v="0"/>
    <n v="0"/>
    <n v="1"/>
    <n v="8"/>
    <x v="94"/>
  </r>
  <r>
    <s v="Chau Sy Dat LE"/>
    <s v="Yes, count me in!"/>
    <s v="082093010991"/>
    <s v="0345864246"/>
    <s v="No"/>
    <m/>
    <s v="I’ll arrange my own transportation"/>
    <m/>
    <s v="Amaris Consulting"/>
    <s v="Consultants"/>
    <s v="TRAN Thi Ha My"/>
    <s v="In"/>
    <x v="0"/>
    <n v="0"/>
    <n v="0"/>
    <n v="0"/>
    <n v="1"/>
    <s v="Own transport"/>
    <x v="69"/>
  </r>
  <r>
    <s v="Huu Phuc LE"/>
    <s v="Yes, count me in!"/>
    <s v="079084023994"/>
    <s v="0909009984"/>
    <s v="Yes"/>
    <s v="Hồ Thị Minh Hoàng- Female-19/11/1984-046184001362"/>
    <s v="I’ll arrange my own transportation"/>
    <m/>
    <s v="Amaris Consulting"/>
    <s v="Consultants"/>
    <s v="TRAN Thi Ha My"/>
    <s v="In"/>
    <x v="1"/>
    <n v="0"/>
    <n v="1"/>
    <n v="1"/>
    <n v="2"/>
    <s v="Own transport"/>
    <x v="139"/>
  </r>
  <r>
    <s v="Quoc Hai Thanh NGUYEN"/>
    <s v="Yes, count me in!"/>
    <s v="079204009259"/>
    <s v="0834132707"/>
    <s v="No"/>
    <m/>
    <s v="I’ll arrange my own transportation"/>
    <m/>
    <s v="Amaris Consulting"/>
    <s v="Consultants"/>
    <s v="HOANG Thien"/>
    <s v="In"/>
    <x v="0"/>
    <n v="0"/>
    <n v="0"/>
    <n v="0"/>
    <n v="1"/>
    <s v="Own transport"/>
    <x v="140"/>
  </r>
  <r>
    <s v="Quoc Hung PHUNG"/>
    <s v="Yes, count me in!"/>
    <s v="079200004309"/>
    <s v="0963357143"/>
    <s v="No"/>
    <m/>
    <s v="I’ll arrange my own transportation"/>
    <m/>
    <s v="Amaris Consulting"/>
    <s v="Consultants"/>
    <s v="LA Thuy My Hao"/>
    <s v="In"/>
    <x v="0"/>
    <n v="0"/>
    <n v="0"/>
    <n v="0"/>
    <n v="1"/>
    <s v="Own transport"/>
    <x v="140"/>
  </r>
  <r>
    <s v="Hoang Le Nguyen VINH"/>
    <s v="Yes, count me in!"/>
    <s v="079093042207"/>
    <s v="0937756145"/>
    <s v="No"/>
    <m/>
    <s v="I’ll arrange my own transportation"/>
    <m/>
    <s v="Information Technology"/>
    <s v="System &amp; Network"/>
    <s v="SIOUDI Mohamed Amine"/>
    <s v="In"/>
    <x v="0"/>
    <n v="0"/>
    <n v="0"/>
    <n v="0"/>
    <n v="1"/>
    <s v="Own transport"/>
    <x v="141"/>
  </r>
  <r>
    <s v="Ngoc Nam NGO"/>
    <s v="Yes, count me in!"/>
    <s v="079091022899"/>
    <s v="0987646085"/>
    <s v="No"/>
    <m/>
    <s v="I’ll arrange my own transportation"/>
    <m/>
    <s v="Information Technology"/>
    <s v="Help Desk"/>
    <s v="MATEI Aurel-George"/>
    <s v="In"/>
    <x v="0"/>
    <n v="0"/>
    <n v="0"/>
    <n v="0"/>
    <n v="1"/>
    <s v="Own transport"/>
    <x v="141"/>
  </r>
  <r>
    <s v="Anh Dung Cuong PHAN"/>
    <s v="Yes, count me in!"/>
    <s v="079092012567"/>
    <s v="0972708318"/>
    <s v="Yes"/>
    <s v="1. Truong Ngoc Tinh Anh - 10/12/1993 - 060193015462_x000a_2. Phan Nhat Thien Dang - 28/11/2023 - 079223047176"/>
    <s v="I’ll arrange my own transportation"/>
    <m/>
    <s v="Information Technology"/>
    <s v="Software Engineering"/>
    <s v="DUQUESNAY Guillaume"/>
    <s v="In"/>
    <x v="1"/>
    <n v="1"/>
    <n v="1"/>
    <n v="2"/>
    <n v="3"/>
    <s v="Own transport"/>
    <x v="142"/>
  </r>
  <r>
    <s v="Hoang Vu NGO"/>
    <s v="Yes, count me in!"/>
    <s v="068088003980"/>
    <s v="0773820182"/>
    <s v="No"/>
    <m/>
    <s v="I’ll arrange my own transportation"/>
    <m/>
    <s v="Information Technology"/>
    <s v="Software Architecture"/>
    <s v="MATYSIAK Hervé"/>
    <s v="In"/>
    <x v="0"/>
    <n v="0"/>
    <n v="0"/>
    <n v="0"/>
    <n v="1"/>
    <s v="Own transport"/>
    <x v="102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31">
  <r>
    <n v="282"/>
    <d v="2026-05-05T19:06:50"/>
    <d v="2026-05-05T19:07:45"/>
    <x v="0"/>
    <x v="0"/>
    <x v="0"/>
    <s v="044199002375"/>
    <s v="0823387274"/>
    <s v="No"/>
    <m/>
    <x v="0"/>
    <m/>
    <x v="0"/>
    <x v="0"/>
    <x v="0"/>
    <s v="In"/>
    <x v="0"/>
    <n v="0"/>
    <n v="0"/>
    <n v="0"/>
    <n v="1"/>
    <x v="0"/>
    <x v="0"/>
    <m/>
    <m/>
    <m/>
    <m/>
    <x v="0"/>
    <x v="0"/>
  </r>
  <r>
    <n v="276"/>
    <d v="2026-05-05T18:12:25"/>
    <d v="2026-05-05T18:13:50"/>
    <x v="1"/>
    <x v="1"/>
    <x v="0"/>
    <s v="070194001945"/>
    <s v="0396744435"/>
    <s v="No"/>
    <m/>
    <x v="0"/>
    <m/>
    <x v="0"/>
    <x v="0"/>
    <x v="1"/>
    <s v="In"/>
    <x v="0"/>
    <n v="0"/>
    <n v="0"/>
    <n v="0"/>
    <n v="1"/>
    <x v="0"/>
    <x v="1"/>
    <m/>
    <m/>
    <m/>
    <m/>
    <x v="0"/>
    <x v="0"/>
  </r>
  <r>
    <n v="277"/>
    <d v="2026-05-05T18:08:25"/>
    <d v="2026-05-05T18:13:55"/>
    <x v="2"/>
    <x v="2"/>
    <x v="0"/>
    <s v="077300001719"/>
    <s v="0968963049"/>
    <s v="No"/>
    <m/>
    <x v="0"/>
    <m/>
    <x v="0"/>
    <x v="0"/>
    <x v="1"/>
    <s v="In"/>
    <x v="0"/>
    <n v="0"/>
    <n v="0"/>
    <n v="0"/>
    <n v="1"/>
    <x v="0"/>
    <x v="2"/>
    <m/>
    <m/>
    <m/>
    <m/>
    <x v="0"/>
    <x v="0"/>
  </r>
  <r>
    <n v="286"/>
    <d v="2026-05-05T20:29:05"/>
    <d v="2026-05-05T20:37:24"/>
    <x v="3"/>
    <x v="3"/>
    <x v="0"/>
    <s v="091300011455"/>
    <s v="0918626459"/>
    <s v="No"/>
    <m/>
    <x v="0"/>
    <s v="If there’s a single room, I wanna stay alone (if any)"/>
    <x v="0"/>
    <x v="0"/>
    <x v="1"/>
    <s v="In"/>
    <x v="0"/>
    <n v="0"/>
    <n v="0"/>
    <n v="0"/>
    <n v="1"/>
    <x v="0"/>
    <x v="2"/>
    <m/>
    <m/>
    <m/>
    <m/>
    <x v="0"/>
    <x v="0"/>
  </r>
  <r>
    <n v="148"/>
    <d v="2026-05-01T09:29:55"/>
    <d v="2026-05-01T09:46:07"/>
    <x v="4"/>
    <x v="4"/>
    <x v="0"/>
    <s v="079197003545"/>
    <s v="0901936418"/>
    <s v="No"/>
    <m/>
    <x v="0"/>
    <m/>
    <x v="0"/>
    <x v="1"/>
    <x v="2"/>
    <s v="In"/>
    <x v="0"/>
    <n v="0"/>
    <n v="0"/>
    <n v="0"/>
    <n v="1"/>
    <x v="0"/>
    <x v="3"/>
    <m/>
    <m/>
    <m/>
    <m/>
    <x v="0"/>
    <x v="0"/>
  </r>
  <r>
    <n v="205"/>
    <d v="2026-05-04T14:01:28"/>
    <d v="2026-05-04T14:39:05"/>
    <x v="5"/>
    <x v="5"/>
    <x v="0"/>
    <s v="079197023976"/>
    <s v="0909324150"/>
    <s v="No"/>
    <m/>
    <x v="0"/>
    <m/>
    <x v="0"/>
    <x v="1"/>
    <x v="2"/>
    <s v="In"/>
    <x v="0"/>
    <n v="0"/>
    <n v="0"/>
    <n v="0"/>
    <n v="1"/>
    <x v="0"/>
    <x v="4"/>
    <m/>
    <m/>
    <m/>
    <m/>
    <x v="0"/>
    <x v="0"/>
  </r>
  <r>
    <n v="188"/>
    <d v="2026-05-04T13:51:21"/>
    <d v="2026-05-04T13:55:08"/>
    <x v="6"/>
    <x v="6"/>
    <x v="0"/>
    <s v="001188049157"/>
    <s v="0901401929"/>
    <s v="No"/>
    <m/>
    <x v="0"/>
    <m/>
    <x v="0"/>
    <x v="2"/>
    <x v="3"/>
    <s v="In"/>
    <x v="0"/>
    <n v="0"/>
    <n v="0"/>
    <n v="0"/>
    <n v="1"/>
    <x v="0"/>
    <x v="3"/>
    <m/>
    <m/>
    <m/>
    <m/>
    <x v="0"/>
    <x v="0"/>
  </r>
  <r>
    <n v="92"/>
    <d v="2026-04-24T08:10:33"/>
    <d v="2026-04-24T08:13:16"/>
    <x v="7"/>
    <x v="7"/>
    <x v="0"/>
    <s v="080202010719"/>
    <s v="0942198738"/>
    <s v="No"/>
    <m/>
    <x v="0"/>
    <m/>
    <x v="0"/>
    <x v="0"/>
    <x v="0"/>
    <s v="In"/>
    <x v="0"/>
    <n v="0"/>
    <n v="0"/>
    <n v="0"/>
    <n v="1"/>
    <x v="0"/>
    <x v="5"/>
    <m/>
    <m/>
    <m/>
    <m/>
    <x v="1"/>
    <x v="1"/>
  </r>
  <r>
    <n v="156"/>
    <d v="2026-05-03T20:38:24"/>
    <d v="2026-05-03T20:40:34"/>
    <x v="8"/>
    <x v="8"/>
    <x v="0"/>
    <s v="083097005277"/>
    <s v="0386788883"/>
    <s v="No"/>
    <m/>
    <x v="0"/>
    <m/>
    <x v="0"/>
    <x v="0"/>
    <x v="0"/>
    <s v="In"/>
    <x v="0"/>
    <n v="0"/>
    <n v="0"/>
    <n v="0"/>
    <n v="1"/>
    <x v="0"/>
    <x v="5"/>
    <m/>
    <m/>
    <m/>
    <m/>
    <x v="1"/>
    <x v="1"/>
  </r>
  <r>
    <n v="216"/>
    <d v="2026-05-04T16:51:16"/>
    <d v="2026-05-04T16:54:31"/>
    <x v="9"/>
    <x v="9"/>
    <x v="0"/>
    <s v="051094000961"/>
    <s v="0938945445"/>
    <s v="No"/>
    <m/>
    <x v="0"/>
    <m/>
    <x v="0"/>
    <x v="0"/>
    <x v="0"/>
    <s v="In"/>
    <x v="0"/>
    <n v="0"/>
    <n v="0"/>
    <n v="0"/>
    <n v="1"/>
    <x v="0"/>
    <x v="6"/>
    <m/>
    <m/>
    <m/>
    <m/>
    <x v="1"/>
    <x v="1"/>
  </r>
  <r>
    <n v="236"/>
    <d v="2026-05-05T07:56:56"/>
    <d v="2026-05-05T07:58:30"/>
    <x v="10"/>
    <x v="10"/>
    <x v="0"/>
    <s v="086099002987"/>
    <s v="0968933873"/>
    <s v="No"/>
    <m/>
    <x v="0"/>
    <m/>
    <x v="0"/>
    <x v="0"/>
    <x v="0"/>
    <s v="In"/>
    <x v="0"/>
    <n v="0"/>
    <n v="0"/>
    <n v="0"/>
    <n v="1"/>
    <x v="0"/>
    <x v="7"/>
    <m/>
    <m/>
    <m/>
    <m/>
    <x v="1"/>
    <x v="1"/>
  </r>
  <r>
    <n v="238"/>
    <d v="2026-05-05T09:22:06"/>
    <d v="2026-05-05T09:31:32"/>
    <x v="11"/>
    <x v="11"/>
    <x v="0"/>
    <s v="080095004933"/>
    <s v="0793485644"/>
    <s v="No"/>
    <m/>
    <x v="0"/>
    <s v="I'd like to request to be booked in the same room as the IVB team."/>
    <x v="0"/>
    <x v="0"/>
    <x v="0"/>
    <s v="In"/>
    <x v="0"/>
    <n v="0"/>
    <n v="0"/>
    <n v="0"/>
    <n v="1"/>
    <x v="0"/>
    <x v="7"/>
    <m/>
    <m/>
    <m/>
    <m/>
    <x v="1"/>
    <x v="1"/>
  </r>
  <r>
    <n v="242"/>
    <d v="2026-05-05T10:09:47"/>
    <d v="2026-05-05T10:12:39"/>
    <x v="12"/>
    <x v="12"/>
    <x v="0"/>
    <s v="089097020361"/>
    <s v="0967513840"/>
    <s v="No"/>
    <m/>
    <x v="0"/>
    <m/>
    <x v="0"/>
    <x v="0"/>
    <x v="0"/>
    <s v="In"/>
    <x v="0"/>
    <n v="0"/>
    <n v="0"/>
    <n v="0"/>
    <n v="1"/>
    <x v="0"/>
    <x v="6"/>
    <m/>
    <m/>
    <m/>
    <m/>
    <x v="1"/>
    <x v="1"/>
  </r>
  <r>
    <n v="273"/>
    <d v="2026-05-05T16:44:04"/>
    <d v="2026-05-05T16:44:29"/>
    <x v="13"/>
    <x v="13"/>
    <x v="0"/>
    <s v="087099016549"/>
    <s v="0826759579"/>
    <s v="No"/>
    <m/>
    <x v="0"/>
    <m/>
    <x v="0"/>
    <x v="0"/>
    <x v="0"/>
    <s v="In"/>
    <x v="0"/>
    <n v="0"/>
    <n v="0"/>
    <n v="0"/>
    <n v="1"/>
    <x v="0"/>
    <x v="8"/>
    <m/>
    <m/>
    <m/>
    <m/>
    <x v="1"/>
    <x v="1"/>
  </r>
  <r>
    <n v="303"/>
    <d v="2026-05-06T11:42:40"/>
    <d v="2026-05-06T11:44:57"/>
    <x v="14"/>
    <x v="14"/>
    <x v="0"/>
    <s v="089200015516"/>
    <s v="+84 329 382 782"/>
    <s v="No"/>
    <m/>
    <x v="0"/>
    <s v="Team chị My"/>
    <x v="0"/>
    <x v="0"/>
    <x v="0"/>
    <s v="In"/>
    <x v="0"/>
    <n v="0"/>
    <n v="0"/>
    <n v="0"/>
    <n v="1"/>
    <x v="0"/>
    <x v="9"/>
    <m/>
    <m/>
    <m/>
    <m/>
    <x v="1"/>
    <x v="1"/>
  </r>
  <r>
    <n v="304"/>
    <d v="2026-05-06T11:59:00"/>
    <d v="2026-05-06T12:01:14"/>
    <x v="15"/>
    <x v="15"/>
    <x v="0"/>
    <s v="044099000541"/>
    <s v="0948527910"/>
    <s v="No"/>
    <m/>
    <x v="0"/>
    <m/>
    <x v="0"/>
    <x v="0"/>
    <x v="0"/>
    <s v="In"/>
    <x v="0"/>
    <n v="0"/>
    <n v="0"/>
    <n v="0"/>
    <n v="1"/>
    <x v="0"/>
    <x v="8"/>
    <m/>
    <m/>
    <m/>
    <m/>
    <x v="1"/>
    <x v="1"/>
  </r>
  <r>
    <n v="318"/>
    <d v="2026-05-07T09:22:44"/>
    <d v="2026-05-07T09:25:33"/>
    <x v="16"/>
    <x v="16"/>
    <x v="0"/>
    <s v="083084008265"/>
    <s v="0989600669"/>
    <s v="No"/>
    <m/>
    <x v="0"/>
    <m/>
    <x v="0"/>
    <x v="0"/>
    <x v="0"/>
    <s v="In"/>
    <x v="0"/>
    <n v="0"/>
    <n v="0"/>
    <n v="0"/>
    <n v="1"/>
    <x v="0"/>
    <x v="10"/>
    <m/>
    <m/>
    <m/>
    <m/>
    <x v="1"/>
    <x v="1"/>
  </r>
  <r>
    <n v="319"/>
    <d v="2026-05-07T09:22:44"/>
    <d v="2026-05-07T09:25:33"/>
    <x v="17"/>
    <x v="17"/>
    <x v="0"/>
    <s v="062201003205"/>
    <s v="+84 931 182 688"/>
    <s v="No"/>
    <m/>
    <x v="0"/>
    <m/>
    <x v="0"/>
    <x v="0"/>
    <x v="0"/>
    <s v="In"/>
    <x v="0"/>
    <n v="0"/>
    <n v="0"/>
    <n v="0"/>
    <n v="1"/>
    <x v="0"/>
    <x v="9"/>
    <m/>
    <m/>
    <m/>
    <m/>
    <x v="1"/>
    <x v="1"/>
  </r>
  <r>
    <n v="39"/>
    <d v="2026-04-22T16:20:49"/>
    <d v="2026-04-22T16:22:49"/>
    <x v="18"/>
    <x v="18"/>
    <x v="0"/>
    <s v="030080017185"/>
    <s v="0988143980"/>
    <s v="No"/>
    <m/>
    <x v="0"/>
    <m/>
    <x v="0"/>
    <x v="0"/>
    <x v="1"/>
    <s v="In"/>
    <x v="0"/>
    <n v="0"/>
    <n v="0"/>
    <n v="0"/>
    <n v="1"/>
    <x v="0"/>
    <x v="11"/>
    <m/>
    <m/>
    <m/>
    <m/>
    <x v="1"/>
    <x v="1"/>
  </r>
  <r>
    <n v="50"/>
    <d v="2026-04-22T16:44:27"/>
    <d v="2026-04-22T17:36:00"/>
    <x v="19"/>
    <x v="19"/>
    <x v="0"/>
    <s v="051099011537"/>
    <s v="0973724249"/>
    <s v="No"/>
    <m/>
    <x v="0"/>
    <m/>
    <x v="0"/>
    <x v="0"/>
    <x v="1"/>
    <s v="In"/>
    <x v="0"/>
    <n v="0"/>
    <n v="0"/>
    <n v="0"/>
    <n v="1"/>
    <x v="0"/>
    <x v="10"/>
    <m/>
    <m/>
    <m/>
    <m/>
    <x v="1"/>
    <x v="1"/>
  </r>
  <r>
    <n v="55"/>
    <d v="2026-04-22T18:28:39"/>
    <d v="2026-04-22T18:32:08"/>
    <x v="20"/>
    <x v="20"/>
    <x v="0"/>
    <s v="079096015213"/>
    <s v="0392357076"/>
    <s v="No"/>
    <m/>
    <x v="0"/>
    <m/>
    <x v="0"/>
    <x v="0"/>
    <x v="1"/>
    <s v="In"/>
    <x v="0"/>
    <n v="0"/>
    <n v="0"/>
    <n v="0"/>
    <n v="1"/>
    <x v="0"/>
    <x v="12"/>
    <m/>
    <m/>
    <m/>
    <m/>
    <x v="1"/>
    <x v="1"/>
  </r>
  <r>
    <n v="87"/>
    <d v="2026-04-23T20:38:46"/>
    <d v="2026-04-23T20:41:10"/>
    <x v="21"/>
    <x v="21"/>
    <x v="0"/>
    <s v="072094005258"/>
    <s v="0354219319"/>
    <s v="No"/>
    <m/>
    <x v="0"/>
    <m/>
    <x v="0"/>
    <x v="0"/>
    <x v="1"/>
    <s v="In"/>
    <x v="0"/>
    <n v="0"/>
    <n v="0"/>
    <n v="0"/>
    <n v="1"/>
    <x v="0"/>
    <x v="13"/>
    <m/>
    <m/>
    <m/>
    <m/>
    <x v="1"/>
    <x v="1"/>
  </r>
  <r>
    <n v="102"/>
    <d v="2026-04-24T11:37:53"/>
    <d v="2026-04-24T11:40:02"/>
    <x v="22"/>
    <x v="22"/>
    <x v="0"/>
    <s v=" 086200001291"/>
    <s v="0337804259"/>
    <s v="No"/>
    <m/>
    <x v="0"/>
    <m/>
    <x v="0"/>
    <x v="0"/>
    <x v="1"/>
    <s v="In"/>
    <x v="0"/>
    <n v="0"/>
    <n v="0"/>
    <n v="0"/>
    <n v="1"/>
    <x v="0"/>
    <x v="14"/>
    <m/>
    <m/>
    <m/>
    <m/>
    <x v="1"/>
    <x v="1"/>
  </r>
  <r>
    <n v="103"/>
    <d v="2026-04-24T11:37:01"/>
    <d v="2026-04-24T11:40:06"/>
    <x v="23"/>
    <x v="23"/>
    <x v="0"/>
    <s v="046097000064"/>
    <s v="0333515756"/>
    <s v="No"/>
    <m/>
    <x v="0"/>
    <m/>
    <x v="0"/>
    <x v="0"/>
    <x v="1"/>
    <s v="In"/>
    <x v="0"/>
    <n v="0"/>
    <n v="0"/>
    <n v="0"/>
    <n v="1"/>
    <x v="0"/>
    <x v="15"/>
    <m/>
    <m/>
    <m/>
    <m/>
    <x v="1"/>
    <x v="1"/>
  </r>
  <r>
    <n v="106"/>
    <d v="2026-04-24T13:25:04"/>
    <d v="2026-04-24T13:28:42"/>
    <x v="24"/>
    <x v="24"/>
    <x v="0"/>
    <s v="089200019968"/>
    <s v="0974086701"/>
    <s v="No"/>
    <m/>
    <x v="0"/>
    <m/>
    <x v="0"/>
    <x v="0"/>
    <x v="1"/>
    <s v="In"/>
    <x v="0"/>
    <n v="0"/>
    <n v="0"/>
    <n v="0"/>
    <n v="1"/>
    <x v="0"/>
    <x v="11"/>
    <m/>
    <m/>
    <m/>
    <m/>
    <x v="1"/>
    <x v="1"/>
  </r>
  <r>
    <n v="108"/>
    <d v="2026-04-24T13:37:59"/>
    <d v="2026-04-24T13:41:26"/>
    <x v="25"/>
    <x v="25"/>
    <x v="0"/>
    <s v="075200024308"/>
    <s v="0938316793"/>
    <s v="No"/>
    <m/>
    <x v="0"/>
    <m/>
    <x v="0"/>
    <x v="0"/>
    <x v="1"/>
    <s v="In"/>
    <x v="0"/>
    <n v="0"/>
    <n v="0"/>
    <n v="0"/>
    <n v="1"/>
    <x v="0"/>
    <x v="16"/>
    <m/>
    <m/>
    <m/>
    <m/>
    <x v="1"/>
    <x v="1"/>
  </r>
  <r>
    <n v="110"/>
    <d v="2026-04-24T13:42:21"/>
    <d v="2026-04-24T14:04:33"/>
    <x v="26"/>
    <x v="26"/>
    <x v="0"/>
    <s v="066201016152"/>
    <s v="0393688714"/>
    <s v="No"/>
    <m/>
    <x v="0"/>
    <m/>
    <x v="0"/>
    <x v="0"/>
    <x v="1"/>
    <s v="In"/>
    <x v="0"/>
    <n v="0"/>
    <n v="0"/>
    <n v="0"/>
    <n v="1"/>
    <x v="0"/>
    <x v="12"/>
    <m/>
    <m/>
    <m/>
    <m/>
    <x v="1"/>
    <x v="1"/>
  </r>
  <r>
    <n v="146"/>
    <d v="2026-04-29T17:34:38"/>
    <d v="2026-04-29T17:35:04"/>
    <x v="27"/>
    <x v="27"/>
    <x v="0"/>
    <s v="079099030686"/>
    <s v="0933284515"/>
    <s v="No"/>
    <m/>
    <x v="0"/>
    <m/>
    <x v="0"/>
    <x v="0"/>
    <x v="1"/>
    <s v="In"/>
    <x v="0"/>
    <n v="0"/>
    <n v="0"/>
    <n v="0"/>
    <n v="1"/>
    <x v="0"/>
    <x v="13"/>
    <m/>
    <m/>
    <m/>
    <m/>
    <x v="1"/>
    <x v="1"/>
  </r>
  <r>
    <n v="164"/>
    <d v="2026-05-04T09:43:16"/>
    <d v="2026-05-04T09:44:56"/>
    <x v="28"/>
    <x v="28"/>
    <x v="0"/>
    <s v="051098005098"/>
    <s v="0392497315"/>
    <s v="No"/>
    <m/>
    <x v="0"/>
    <m/>
    <x v="0"/>
    <x v="0"/>
    <x v="1"/>
    <s v="In"/>
    <x v="0"/>
    <n v="0"/>
    <n v="0"/>
    <n v="0"/>
    <n v="1"/>
    <x v="0"/>
    <x v="16"/>
    <m/>
    <m/>
    <m/>
    <m/>
    <x v="1"/>
    <x v="1"/>
  </r>
  <r>
    <n v="202"/>
    <d v="2026-05-04T14:19:09"/>
    <d v="2026-05-04T14:22:56"/>
    <x v="29"/>
    <x v="29"/>
    <x v="0"/>
    <s v="051090016586"/>
    <s v="0988383049"/>
    <s v="Yes"/>
    <s v="1. Nguyen Thu Huyen - Female - 1991 - TBD_x000a_2. Nguyen Kha Han - Female - 2017 - TBD"/>
    <x v="0"/>
    <m/>
    <x v="0"/>
    <x v="0"/>
    <x v="1"/>
    <s v="In"/>
    <x v="1"/>
    <n v="1"/>
    <n v="1"/>
    <n v="2"/>
    <n v="3"/>
    <x v="0"/>
    <x v="17"/>
    <m/>
    <m/>
    <m/>
    <m/>
    <x v="1"/>
    <x v="0"/>
  </r>
  <r>
    <n v="246"/>
    <d v="2026-05-05T10:39:51"/>
    <d v="2026-05-05T10:41:47"/>
    <x v="30"/>
    <x v="30"/>
    <x v="0"/>
    <s v="077203004018"/>
    <s v="0971007831"/>
    <s v="No"/>
    <m/>
    <x v="0"/>
    <m/>
    <x v="0"/>
    <x v="0"/>
    <x v="1"/>
    <s v="In"/>
    <x v="0"/>
    <n v="0"/>
    <n v="0"/>
    <n v="0"/>
    <n v="1"/>
    <x v="0"/>
    <x v="15"/>
    <m/>
    <m/>
    <m/>
    <m/>
    <x v="1"/>
    <x v="1"/>
  </r>
  <r>
    <n v="301"/>
    <d v="2026-05-06T11:37:29"/>
    <d v="2026-05-06T11:41:48"/>
    <x v="31"/>
    <x v="31"/>
    <x v="0"/>
    <s v="058201000239"/>
    <s v="0855586358"/>
    <s v="No"/>
    <m/>
    <x v="0"/>
    <m/>
    <x v="0"/>
    <x v="0"/>
    <x v="1"/>
    <s v="In"/>
    <x v="0"/>
    <n v="0"/>
    <n v="0"/>
    <n v="0"/>
    <n v="1"/>
    <x v="0"/>
    <x v="18"/>
    <m/>
    <m/>
    <m/>
    <m/>
    <x v="1"/>
    <x v="1"/>
  </r>
  <r>
    <n v="316"/>
    <d v="2026-05-06T23:33:06"/>
    <d v="2026-05-06T23:33:54"/>
    <x v="32"/>
    <x v="32"/>
    <x v="0"/>
    <s v="068096007001"/>
    <s v="0357556867"/>
    <s v="No"/>
    <m/>
    <x v="0"/>
    <m/>
    <x v="0"/>
    <x v="0"/>
    <x v="1"/>
    <s v="In"/>
    <x v="0"/>
    <n v="0"/>
    <n v="0"/>
    <n v="0"/>
    <n v="1"/>
    <x v="0"/>
    <x v="14"/>
    <m/>
    <m/>
    <m/>
    <m/>
    <x v="1"/>
    <x v="1"/>
  </r>
  <r>
    <n v="325"/>
    <d v="2026-05-07T13:19:38"/>
    <d v="2026-05-07T13:21:30"/>
    <x v="33"/>
    <x v="33"/>
    <x v="0"/>
    <s v="077097008033"/>
    <s v="0979040971"/>
    <s v="No"/>
    <m/>
    <x v="0"/>
    <m/>
    <x v="0"/>
    <x v="1"/>
    <x v="2"/>
    <s v="In"/>
    <x v="0"/>
    <n v="0"/>
    <n v="0"/>
    <n v="0"/>
    <n v="1"/>
    <x v="1"/>
    <x v="19"/>
    <m/>
    <m/>
    <m/>
    <m/>
    <x v="1"/>
    <x v="1"/>
  </r>
  <r>
    <n v="228"/>
    <d v="2026-05-04T18:37:11"/>
    <d v="2026-05-04T18:37:22"/>
    <x v="34"/>
    <x v="34"/>
    <x v="0"/>
    <s v="079201014939"/>
    <s v="0902891404"/>
    <s v="No"/>
    <m/>
    <x v="0"/>
    <s v="Motion sickness pills"/>
    <x v="0"/>
    <x v="0"/>
    <x v="4"/>
    <s v="In"/>
    <x v="0"/>
    <n v="0"/>
    <n v="0"/>
    <n v="0"/>
    <n v="1"/>
    <x v="0"/>
    <x v="18"/>
    <m/>
    <m/>
    <m/>
    <m/>
    <x v="1"/>
    <x v="1"/>
  </r>
  <r>
    <n v="261"/>
    <d v="2026-05-05T13:55:53"/>
    <d v="2026-05-05T13:57:53"/>
    <x v="35"/>
    <x v="35"/>
    <x v="0"/>
    <s v="079095022758"/>
    <s v="0777104166"/>
    <s v="No"/>
    <m/>
    <x v="0"/>
    <m/>
    <x v="0"/>
    <x v="0"/>
    <x v="4"/>
    <s v="In"/>
    <x v="0"/>
    <n v="0"/>
    <n v="0"/>
    <n v="0"/>
    <n v="1"/>
    <x v="0"/>
    <x v="20"/>
    <m/>
    <m/>
    <m/>
    <m/>
    <x v="1"/>
    <x v="1"/>
  </r>
  <r>
    <n v="262"/>
    <d v="2026-05-05T13:55:19"/>
    <d v="2026-05-05T13:58:13"/>
    <x v="36"/>
    <x v="36"/>
    <x v="0"/>
    <s v="064200012749"/>
    <s v="0396402696"/>
    <s v="No"/>
    <m/>
    <x v="0"/>
    <m/>
    <x v="0"/>
    <x v="0"/>
    <x v="4"/>
    <s v="In"/>
    <x v="0"/>
    <n v="0"/>
    <n v="0"/>
    <n v="0"/>
    <n v="1"/>
    <x v="0"/>
    <x v="20"/>
    <m/>
    <m/>
    <m/>
    <m/>
    <x v="1"/>
    <x v="1"/>
  </r>
  <r>
    <n v="45"/>
    <d v="2026-04-22T16:36:59"/>
    <d v="2026-04-22T16:38:15"/>
    <x v="37"/>
    <x v="37"/>
    <x v="0"/>
    <s v="068097008720"/>
    <s v="0981212098"/>
    <s v="No"/>
    <m/>
    <x v="0"/>
    <m/>
    <x v="0"/>
    <x v="0"/>
    <x v="5"/>
    <s v="In"/>
    <x v="0"/>
    <n v="0"/>
    <n v="0"/>
    <n v="0"/>
    <n v="1"/>
    <x v="2"/>
    <x v="21"/>
    <m/>
    <m/>
    <m/>
    <m/>
    <x v="1"/>
    <x v="1"/>
  </r>
  <r>
    <n v="63"/>
    <d v="2026-04-23T08:47:26"/>
    <d v="2026-04-23T08:51:44"/>
    <x v="38"/>
    <x v="38"/>
    <x v="0"/>
    <s v="075096016711"/>
    <s v="0932980033"/>
    <s v="No"/>
    <m/>
    <x v="0"/>
    <m/>
    <x v="0"/>
    <x v="0"/>
    <x v="5"/>
    <s v="In"/>
    <x v="0"/>
    <n v="0"/>
    <n v="0"/>
    <n v="0"/>
    <n v="1"/>
    <x v="2"/>
    <x v="22"/>
    <m/>
    <m/>
    <m/>
    <m/>
    <x v="1"/>
    <x v="1"/>
  </r>
  <r>
    <n v="64"/>
    <d v="2026-04-23T09:01:48"/>
    <d v="2026-04-23T09:03:39"/>
    <x v="39"/>
    <x v="39"/>
    <x v="0"/>
    <s v="048095001773"/>
    <s v="0335353685"/>
    <s v="No"/>
    <m/>
    <x v="0"/>
    <m/>
    <x v="0"/>
    <x v="0"/>
    <x v="5"/>
    <s v="In"/>
    <x v="0"/>
    <n v="0"/>
    <n v="0"/>
    <n v="0"/>
    <n v="1"/>
    <x v="2"/>
    <x v="22"/>
    <m/>
    <m/>
    <m/>
    <m/>
    <x v="1"/>
    <x v="1"/>
  </r>
  <r>
    <n v="159"/>
    <d v="2026-05-04T08:24:41"/>
    <d v="2026-05-04T08:25:54"/>
    <x v="40"/>
    <x v="40"/>
    <x v="0"/>
    <s v="058095001270"/>
    <s v="0349687204"/>
    <s v="No"/>
    <m/>
    <x v="0"/>
    <m/>
    <x v="0"/>
    <x v="0"/>
    <x v="5"/>
    <s v="In"/>
    <x v="0"/>
    <n v="0"/>
    <n v="0"/>
    <n v="0"/>
    <n v="1"/>
    <x v="2"/>
    <x v="23"/>
    <m/>
    <m/>
    <m/>
    <m/>
    <x v="1"/>
    <x v="1"/>
  </r>
  <r>
    <n v="326"/>
    <d v="2026-05-07T13:19:38"/>
    <d v="2026-05-07T13:21:30"/>
    <x v="41"/>
    <x v="41"/>
    <x v="0"/>
    <s v="079200028676"/>
    <s v="0397974403"/>
    <s v="No"/>
    <m/>
    <x v="0"/>
    <m/>
    <x v="0"/>
    <x v="0"/>
    <x v="5"/>
    <s v="In (Exit confirmed)"/>
    <x v="0"/>
    <m/>
    <m/>
    <n v="0"/>
    <n v="1"/>
    <x v="2"/>
    <x v="23"/>
    <m/>
    <m/>
    <m/>
    <m/>
    <x v="1"/>
    <x v="1"/>
  </r>
  <r>
    <n v="28"/>
    <d v="2026-04-22T15:54:29"/>
    <d v="2026-04-22T16:00:56"/>
    <x v="42"/>
    <x v="42"/>
    <x v="0"/>
    <s v="060094011465"/>
    <s v="0333950268"/>
    <s v="No"/>
    <m/>
    <x v="0"/>
    <m/>
    <x v="0"/>
    <x v="0"/>
    <x v="6"/>
    <s v="In"/>
    <x v="0"/>
    <n v="0"/>
    <n v="0"/>
    <n v="0"/>
    <n v="1"/>
    <x v="2"/>
    <x v="24"/>
    <m/>
    <m/>
    <m/>
    <m/>
    <x v="1"/>
    <x v="1"/>
  </r>
  <r>
    <n v="82"/>
    <d v="2026-04-23T17:32:15"/>
    <d v="2026-04-23T17:33:40"/>
    <x v="43"/>
    <x v="43"/>
    <x v="0"/>
    <s v="087201004021"/>
    <s v="0777905219"/>
    <s v="No"/>
    <m/>
    <x v="0"/>
    <m/>
    <x v="0"/>
    <x v="0"/>
    <x v="6"/>
    <s v="In"/>
    <x v="0"/>
    <n v="0"/>
    <n v="0"/>
    <n v="0"/>
    <n v="1"/>
    <x v="2"/>
    <x v="25"/>
    <m/>
    <m/>
    <m/>
    <m/>
    <x v="1"/>
    <x v="1"/>
  </r>
  <r>
    <n v="138"/>
    <d v="2026-04-28T10:49:23"/>
    <d v="2026-04-28T10:50:09"/>
    <x v="44"/>
    <x v="44"/>
    <x v="0"/>
    <s v="046098001181"/>
    <s v="0327360123"/>
    <s v="No"/>
    <m/>
    <x v="0"/>
    <m/>
    <x v="0"/>
    <x v="0"/>
    <x v="6"/>
    <s v="In"/>
    <x v="0"/>
    <n v="0"/>
    <n v="0"/>
    <n v="0"/>
    <n v="1"/>
    <x v="2"/>
    <x v="24"/>
    <m/>
    <m/>
    <m/>
    <m/>
    <x v="1"/>
    <x v="1"/>
  </r>
  <r>
    <n v="288"/>
    <d v="2026-05-05T21:21:27"/>
    <d v="2026-05-05T21:22:48"/>
    <x v="45"/>
    <x v="45"/>
    <x v="0"/>
    <s v="079302009777"/>
    <s v="0703264721"/>
    <s v="No"/>
    <m/>
    <x v="0"/>
    <m/>
    <x v="0"/>
    <x v="0"/>
    <x v="6"/>
    <s v="In"/>
    <x v="0"/>
    <n v="0"/>
    <n v="0"/>
    <n v="0"/>
    <n v="1"/>
    <x v="2"/>
    <x v="26"/>
    <m/>
    <m/>
    <m/>
    <m/>
    <x v="0"/>
    <x v="0"/>
  </r>
  <r>
    <n v="14"/>
    <d v="2026-04-22T15:40:14"/>
    <d v="2026-04-22T15:43:48"/>
    <x v="46"/>
    <x v="46"/>
    <x v="0"/>
    <s v="079186021679"/>
    <s v="0866876722"/>
    <s v="No"/>
    <m/>
    <x v="0"/>
    <m/>
    <x v="0"/>
    <x v="0"/>
    <x v="7"/>
    <s v="In"/>
    <x v="0"/>
    <n v="0"/>
    <n v="0"/>
    <n v="0"/>
    <n v="1"/>
    <x v="2"/>
    <x v="26"/>
    <m/>
    <m/>
    <m/>
    <m/>
    <x v="0"/>
    <x v="0"/>
  </r>
  <r>
    <n v="27"/>
    <d v="2026-04-22T15:58:32"/>
    <d v="2026-04-22T16:00:26"/>
    <x v="47"/>
    <x v="47"/>
    <x v="0"/>
    <s v="060099011492"/>
    <s v="0379738098"/>
    <s v="No"/>
    <m/>
    <x v="0"/>
    <m/>
    <x v="0"/>
    <x v="0"/>
    <x v="7"/>
    <s v="In"/>
    <x v="0"/>
    <n v="0"/>
    <n v="0"/>
    <n v="0"/>
    <n v="1"/>
    <x v="2"/>
    <x v="27"/>
    <m/>
    <m/>
    <m/>
    <m/>
    <x v="1"/>
    <x v="1"/>
  </r>
  <r>
    <n v="29"/>
    <d v="2026-04-22T15:46:16"/>
    <d v="2026-04-22T16:09:30"/>
    <x v="48"/>
    <x v="48"/>
    <x v="0"/>
    <s v="087300002383"/>
    <s v="0939053112"/>
    <s v="No"/>
    <m/>
    <x v="0"/>
    <m/>
    <x v="0"/>
    <x v="0"/>
    <x v="7"/>
    <s v="In"/>
    <x v="0"/>
    <n v="0"/>
    <n v="0"/>
    <n v="0"/>
    <n v="1"/>
    <x v="2"/>
    <x v="28"/>
    <m/>
    <m/>
    <m/>
    <m/>
    <x v="0"/>
    <x v="0"/>
  </r>
  <r>
    <n v="30"/>
    <d v="2026-04-22T16:08:38"/>
    <d v="2026-04-22T16:10:39"/>
    <x v="49"/>
    <x v="49"/>
    <x v="0"/>
    <s v="095203009143"/>
    <s v="0944552050"/>
    <s v="No"/>
    <m/>
    <x v="0"/>
    <m/>
    <x v="0"/>
    <x v="0"/>
    <x v="7"/>
    <s v="In"/>
    <x v="0"/>
    <n v="0"/>
    <n v="0"/>
    <n v="0"/>
    <n v="1"/>
    <x v="2"/>
    <x v="27"/>
    <m/>
    <m/>
    <m/>
    <m/>
    <x v="1"/>
    <x v="1"/>
  </r>
  <r>
    <n v="31"/>
    <d v="2026-04-22T16:08:58"/>
    <d v="2026-04-22T16:10:49"/>
    <x v="50"/>
    <x v="50"/>
    <x v="0"/>
    <s v="082300007349"/>
    <s v="0888745255"/>
    <s v="No"/>
    <m/>
    <x v="0"/>
    <m/>
    <x v="0"/>
    <x v="0"/>
    <x v="7"/>
    <s v="In"/>
    <x v="0"/>
    <n v="0"/>
    <n v="0"/>
    <n v="0"/>
    <n v="1"/>
    <x v="2"/>
    <x v="28"/>
    <m/>
    <m/>
    <m/>
    <m/>
    <x v="0"/>
    <x v="0"/>
  </r>
  <r>
    <n v="37"/>
    <d v="2026-04-22T16:19:42"/>
    <d v="2026-04-22T16:20:33"/>
    <x v="51"/>
    <x v="51"/>
    <x v="0"/>
    <s v="064201016123"/>
    <s v="0979409417"/>
    <s v="No"/>
    <m/>
    <x v="0"/>
    <m/>
    <x v="0"/>
    <x v="0"/>
    <x v="7"/>
    <s v="In"/>
    <x v="0"/>
    <n v="0"/>
    <n v="0"/>
    <n v="0"/>
    <n v="1"/>
    <x v="2"/>
    <x v="29"/>
    <m/>
    <m/>
    <m/>
    <m/>
    <x v="1"/>
    <x v="1"/>
  </r>
  <r>
    <n v="43"/>
    <d v="2026-04-22T16:26:37"/>
    <d v="2026-04-22T16:27:56"/>
    <x v="52"/>
    <x v="52"/>
    <x v="0"/>
    <s v="096099005690"/>
    <s v="0379218610"/>
    <s v="No"/>
    <m/>
    <x v="0"/>
    <m/>
    <x v="0"/>
    <x v="0"/>
    <x v="7"/>
    <s v="In"/>
    <x v="0"/>
    <n v="0"/>
    <n v="0"/>
    <n v="0"/>
    <n v="1"/>
    <x v="2"/>
    <x v="29"/>
    <m/>
    <m/>
    <m/>
    <m/>
    <x v="1"/>
    <x v="1"/>
  </r>
  <r>
    <n v="56"/>
    <d v="2026-04-22T15:52:27"/>
    <d v="2026-04-22T18:43:54"/>
    <x v="53"/>
    <x v="53"/>
    <x v="0"/>
    <s v="089097008685"/>
    <s v="0378462578"/>
    <s v="No"/>
    <m/>
    <x v="0"/>
    <m/>
    <x v="0"/>
    <x v="0"/>
    <x v="7"/>
    <s v="In"/>
    <x v="0"/>
    <n v="0"/>
    <n v="0"/>
    <n v="0"/>
    <n v="1"/>
    <x v="2"/>
    <x v="30"/>
    <m/>
    <m/>
    <m/>
    <m/>
    <x v="1"/>
    <x v="1"/>
  </r>
  <r>
    <n v="61"/>
    <d v="2026-04-23T01:16:47"/>
    <d v="2026-04-23T01:18:45"/>
    <x v="54"/>
    <x v="54"/>
    <x v="0"/>
    <s v="079094018368"/>
    <s v="0937686998"/>
    <s v="No"/>
    <m/>
    <x v="0"/>
    <m/>
    <x v="0"/>
    <x v="0"/>
    <x v="7"/>
    <s v="In"/>
    <x v="0"/>
    <n v="0"/>
    <n v="0"/>
    <n v="0"/>
    <n v="1"/>
    <x v="2"/>
    <x v="30"/>
    <m/>
    <m/>
    <m/>
    <m/>
    <x v="1"/>
    <x v="1"/>
  </r>
  <r>
    <n v="86"/>
    <d v="2026-04-23T20:16:55"/>
    <d v="2026-04-23T20:18:40"/>
    <x v="55"/>
    <x v="55"/>
    <x v="1"/>
    <s v="072200007361"/>
    <s v="0967524457"/>
    <s v="No"/>
    <m/>
    <x v="0"/>
    <m/>
    <x v="1"/>
    <x v="3"/>
    <x v="8"/>
    <s v="Not joining"/>
    <x v="0"/>
    <n v="0"/>
    <n v="0"/>
    <n v="0"/>
    <n v="1"/>
    <x v="3"/>
    <x v="31"/>
    <m/>
    <m/>
    <m/>
    <m/>
    <x v="1"/>
    <x v="0"/>
  </r>
  <r>
    <n v="88"/>
    <d v="2026-04-23T20:42:01"/>
    <d v="2026-04-23T20:43:18"/>
    <x v="56"/>
    <x v="56"/>
    <x v="0"/>
    <s v="049202002958"/>
    <s v="0343734096"/>
    <s v="No"/>
    <m/>
    <x v="0"/>
    <m/>
    <x v="0"/>
    <x v="0"/>
    <x v="7"/>
    <s v="In"/>
    <x v="0"/>
    <n v="0"/>
    <n v="0"/>
    <n v="0"/>
    <n v="1"/>
    <x v="2"/>
    <x v="32"/>
    <m/>
    <m/>
    <m/>
    <m/>
    <x v="1"/>
    <x v="0"/>
  </r>
  <r>
    <n v="111"/>
    <d v="2026-04-24T14:55:38"/>
    <d v="2026-04-24T14:56:54"/>
    <x v="57"/>
    <x v="57"/>
    <x v="0"/>
    <s v="089201001783"/>
    <s v="0941967745"/>
    <s v="No"/>
    <m/>
    <x v="0"/>
    <m/>
    <x v="0"/>
    <x v="0"/>
    <x v="7"/>
    <s v="In"/>
    <x v="0"/>
    <n v="0"/>
    <n v="0"/>
    <n v="0"/>
    <n v="1"/>
    <x v="2"/>
    <x v="33"/>
    <m/>
    <m/>
    <m/>
    <m/>
    <x v="1"/>
    <x v="1"/>
  </r>
  <r>
    <n v="115"/>
    <d v="2026-04-24T15:43:02"/>
    <d v="2026-04-24T15:43:41"/>
    <x v="58"/>
    <x v="58"/>
    <x v="0"/>
    <s v="064098000457"/>
    <s v="0363543388"/>
    <s v="No"/>
    <m/>
    <x v="0"/>
    <m/>
    <x v="0"/>
    <x v="0"/>
    <x v="7"/>
    <s v="In"/>
    <x v="0"/>
    <n v="0"/>
    <n v="0"/>
    <n v="0"/>
    <n v="1"/>
    <x v="2"/>
    <x v="33"/>
    <m/>
    <m/>
    <m/>
    <m/>
    <x v="1"/>
    <x v="1"/>
  </r>
  <r>
    <n v="150"/>
    <d v="2026-05-01T19:07:19"/>
    <d v="2026-05-01T19:09:29"/>
    <x v="59"/>
    <x v="59"/>
    <x v="0"/>
    <s v="079300022868"/>
    <s v="0707653589"/>
    <s v="No"/>
    <m/>
    <x v="0"/>
    <m/>
    <x v="0"/>
    <x v="0"/>
    <x v="7"/>
    <s v="In"/>
    <x v="0"/>
    <n v="0"/>
    <n v="0"/>
    <n v="0"/>
    <n v="1"/>
    <x v="2"/>
    <x v="34"/>
    <m/>
    <m/>
    <m/>
    <m/>
    <x v="0"/>
    <x v="0"/>
  </r>
  <r>
    <n v="154"/>
    <d v="2026-05-02T22:43:40"/>
    <d v="2026-05-02T22:47:21"/>
    <x v="60"/>
    <x v="60"/>
    <x v="0"/>
    <s v="049200016142"/>
    <s v="0396428796"/>
    <s v="No"/>
    <m/>
    <x v="0"/>
    <m/>
    <x v="0"/>
    <x v="0"/>
    <x v="7"/>
    <s v="In"/>
    <x v="0"/>
    <n v="0"/>
    <n v="0"/>
    <n v="0"/>
    <n v="1"/>
    <x v="2"/>
    <x v="35"/>
    <m/>
    <m/>
    <m/>
    <m/>
    <x v="1"/>
    <x v="1"/>
  </r>
  <r>
    <n v="157"/>
    <d v="2026-05-03T21:14:48"/>
    <d v="2026-05-03T21:16:48"/>
    <x v="61"/>
    <x v="61"/>
    <x v="0"/>
    <s v="070302002356"/>
    <s v="0383899275"/>
    <s v="No"/>
    <m/>
    <x v="0"/>
    <m/>
    <x v="0"/>
    <x v="0"/>
    <x v="7"/>
    <s v="In"/>
    <x v="0"/>
    <n v="0"/>
    <n v="0"/>
    <n v="0"/>
    <n v="1"/>
    <x v="2"/>
    <x v="36"/>
    <m/>
    <m/>
    <m/>
    <m/>
    <x v="0"/>
    <x v="0"/>
  </r>
  <r>
    <n v="215"/>
    <d v="2026-05-04T16:26:46"/>
    <d v="2026-05-04T16:27:31"/>
    <x v="62"/>
    <x v="62"/>
    <x v="0"/>
    <s v="042200003160"/>
    <s v="0971850315"/>
    <s v="No"/>
    <m/>
    <x v="0"/>
    <m/>
    <x v="0"/>
    <x v="0"/>
    <x v="7"/>
    <s v="In"/>
    <x v="0"/>
    <n v="0"/>
    <n v="0"/>
    <n v="0"/>
    <n v="1"/>
    <x v="2"/>
    <x v="35"/>
    <m/>
    <m/>
    <m/>
    <m/>
    <x v="1"/>
    <x v="1"/>
  </r>
  <r>
    <n v="241"/>
    <d v="2026-05-05T10:10:49"/>
    <d v="2026-05-05T10:12:17"/>
    <x v="63"/>
    <x v="63"/>
    <x v="0"/>
    <s v="079203015788"/>
    <s v="0963698249"/>
    <s v="No"/>
    <m/>
    <x v="0"/>
    <m/>
    <x v="0"/>
    <x v="0"/>
    <x v="7"/>
    <s v="In"/>
    <x v="0"/>
    <n v="0"/>
    <n v="0"/>
    <n v="0"/>
    <n v="1"/>
    <x v="2"/>
    <x v="37"/>
    <m/>
    <m/>
    <m/>
    <m/>
    <x v="1"/>
    <x v="1"/>
  </r>
  <r>
    <n v="248"/>
    <d v="2026-05-05T11:24:00"/>
    <d v="2026-05-05T11:24:39"/>
    <x v="64"/>
    <x v="64"/>
    <x v="0"/>
    <s v="079200038775"/>
    <s v="0339310132"/>
    <s v="No"/>
    <m/>
    <x v="0"/>
    <m/>
    <x v="0"/>
    <x v="0"/>
    <x v="7"/>
    <s v="In"/>
    <x v="0"/>
    <n v="0"/>
    <n v="0"/>
    <n v="0"/>
    <n v="1"/>
    <x v="2"/>
    <x v="37"/>
    <m/>
    <m/>
    <m/>
    <m/>
    <x v="1"/>
    <x v="1"/>
  </r>
  <r>
    <n v="255"/>
    <d v="2026-05-05T13:09:15"/>
    <d v="2026-05-05T13:09:52"/>
    <x v="65"/>
    <x v="65"/>
    <x v="0"/>
    <s v="089196003991"/>
    <s v="0369040747"/>
    <s v="No"/>
    <m/>
    <x v="0"/>
    <m/>
    <x v="0"/>
    <x v="0"/>
    <x v="7"/>
    <s v="In"/>
    <x v="0"/>
    <n v="0"/>
    <n v="0"/>
    <n v="0"/>
    <n v="1"/>
    <x v="2"/>
    <x v="36"/>
    <m/>
    <m/>
    <m/>
    <m/>
    <x v="0"/>
    <x v="0"/>
  </r>
  <r>
    <n v="267"/>
    <d v="2026-05-05T15:19:08"/>
    <d v="2026-05-05T15:20:42"/>
    <x v="66"/>
    <x v="66"/>
    <x v="0"/>
    <s v="056200011360"/>
    <s v="0869885812"/>
    <s v="No"/>
    <m/>
    <x v="0"/>
    <m/>
    <x v="0"/>
    <x v="0"/>
    <x v="7"/>
    <s v="In"/>
    <x v="0"/>
    <n v="0"/>
    <n v="0"/>
    <n v="0"/>
    <n v="1"/>
    <x v="2"/>
    <x v="38"/>
    <m/>
    <m/>
    <m/>
    <m/>
    <x v="1"/>
    <x v="1"/>
  </r>
  <r>
    <n v="270"/>
    <d v="2026-05-05T15:22:02"/>
    <d v="2026-05-05T16:24:47"/>
    <x v="67"/>
    <x v="67"/>
    <x v="0"/>
    <s v="minhtri.do@amaris.com"/>
    <s v="0935919461"/>
    <s v="No"/>
    <m/>
    <x v="0"/>
    <m/>
    <x v="0"/>
    <x v="0"/>
    <x v="7"/>
    <s v="In"/>
    <x v="0"/>
    <n v="0"/>
    <n v="0"/>
    <n v="0"/>
    <n v="1"/>
    <x v="2"/>
    <x v="38"/>
    <m/>
    <m/>
    <m/>
    <m/>
    <x v="1"/>
    <x v="1"/>
  </r>
  <r>
    <n v="281"/>
    <d v="2026-05-05T18:48:15"/>
    <d v="2026-05-05T18:49:04"/>
    <x v="68"/>
    <x v="68"/>
    <x v="0"/>
    <s v="252203000013"/>
    <s v="0829622879"/>
    <s v="No"/>
    <m/>
    <x v="0"/>
    <m/>
    <x v="0"/>
    <x v="0"/>
    <x v="7"/>
    <s v="In"/>
    <x v="0"/>
    <n v="0"/>
    <n v="0"/>
    <n v="0"/>
    <n v="1"/>
    <x v="2"/>
    <x v="39"/>
    <m/>
    <m/>
    <m/>
    <m/>
    <x v="1"/>
    <x v="1"/>
  </r>
  <r>
    <n v="290"/>
    <d v="2026-05-05T23:35:01"/>
    <d v="2026-05-05T23:35:37"/>
    <x v="69"/>
    <x v="69"/>
    <x v="0"/>
    <s v="095304000976"/>
    <s v="0913854054"/>
    <s v="No"/>
    <m/>
    <x v="0"/>
    <m/>
    <x v="0"/>
    <x v="0"/>
    <x v="7"/>
    <s v="In"/>
    <x v="0"/>
    <n v="0"/>
    <n v="0"/>
    <n v="0"/>
    <n v="1"/>
    <x v="2"/>
    <x v="34"/>
    <m/>
    <m/>
    <m/>
    <m/>
    <x v="0"/>
    <x v="0"/>
  </r>
  <r>
    <n v="291"/>
    <d v="2026-05-05T23:55:45"/>
    <d v="2026-05-05T23:57:47"/>
    <x v="70"/>
    <x v="70"/>
    <x v="0"/>
    <s v="079200044816"/>
    <s v="0932535781"/>
    <s v="No"/>
    <m/>
    <x v="0"/>
    <m/>
    <x v="0"/>
    <x v="0"/>
    <x v="7"/>
    <s v="In"/>
    <x v="0"/>
    <n v="0"/>
    <n v="0"/>
    <n v="0"/>
    <n v="1"/>
    <x v="2"/>
    <x v="39"/>
    <m/>
    <m/>
    <m/>
    <m/>
    <x v="1"/>
    <x v="1"/>
  </r>
  <r>
    <n v="324"/>
    <d v="2026-05-07T13:19:38"/>
    <d v="2026-05-07T13:21:30"/>
    <x v="71"/>
    <x v="71"/>
    <x v="0"/>
    <s v="052200005034"/>
    <s v="+84 377130331"/>
    <s v="No"/>
    <m/>
    <x v="0"/>
    <m/>
    <x v="0"/>
    <x v="0"/>
    <x v="7"/>
    <s v="In"/>
    <x v="0"/>
    <n v="0"/>
    <n v="0"/>
    <n v="0"/>
    <n v="1"/>
    <x v="2"/>
    <x v="40"/>
    <m/>
    <m/>
    <m/>
    <m/>
    <x v="1"/>
    <x v="1"/>
  </r>
  <r>
    <n v="85"/>
    <d v="2026-04-23T18:57:00"/>
    <d v="2026-04-23T19:01:30"/>
    <x v="72"/>
    <x v="72"/>
    <x v="0"/>
    <s v="079095014706"/>
    <s v="0937251707"/>
    <s v="No"/>
    <m/>
    <x v="0"/>
    <s v="Dị ứng cồn"/>
    <x v="0"/>
    <x v="0"/>
    <x v="9"/>
    <s v="In"/>
    <x v="0"/>
    <n v="0"/>
    <n v="0"/>
    <n v="0"/>
    <n v="1"/>
    <x v="2"/>
    <x v="40"/>
    <m/>
    <m/>
    <m/>
    <m/>
    <x v="1"/>
    <x v="1"/>
  </r>
  <r>
    <n v="220"/>
    <d v="2026-05-04T17:22:48"/>
    <d v="2026-05-04T17:26:40"/>
    <x v="73"/>
    <x v="73"/>
    <x v="0"/>
    <s v="087190011453"/>
    <s v="0375225989"/>
    <s v="No"/>
    <m/>
    <x v="0"/>
    <m/>
    <x v="0"/>
    <x v="4"/>
    <x v="9"/>
    <s v="In"/>
    <x v="0"/>
    <n v="0"/>
    <n v="0"/>
    <n v="0"/>
    <n v="1"/>
    <x v="2"/>
    <x v="41"/>
    <m/>
    <m/>
    <m/>
    <m/>
    <x v="0"/>
    <x v="0"/>
  </r>
  <r>
    <n v="32"/>
    <d v="2026-04-22T16:12:27"/>
    <d v="2026-04-22T16:14:45"/>
    <x v="74"/>
    <x v="74"/>
    <x v="0"/>
    <s v="049192000750"/>
    <s v="0983068421"/>
    <s v="No"/>
    <m/>
    <x v="0"/>
    <m/>
    <x v="0"/>
    <x v="4"/>
    <x v="10"/>
    <s v="In"/>
    <x v="0"/>
    <n v="0"/>
    <n v="0"/>
    <n v="0"/>
    <n v="1"/>
    <x v="2"/>
    <x v="42"/>
    <m/>
    <m/>
    <m/>
    <m/>
    <x v="0"/>
    <x v="0"/>
  </r>
  <r>
    <n v="15"/>
    <d v="2026-04-22T15:47:53"/>
    <d v="2026-04-22T15:50:01"/>
    <x v="75"/>
    <x v="75"/>
    <x v="0"/>
    <s v="091301010042"/>
    <s v="0768811159"/>
    <s v="No"/>
    <m/>
    <x v="0"/>
    <m/>
    <x v="0"/>
    <x v="0"/>
    <x v="11"/>
    <s v="In"/>
    <x v="0"/>
    <n v="0"/>
    <n v="0"/>
    <n v="0"/>
    <n v="1"/>
    <x v="4"/>
    <x v="0"/>
    <m/>
    <m/>
    <m/>
    <m/>
    <x v="0"/>
    <x v="0"/>
  </r>
  <r>
    <n v="17"/>
    <d v="2026-04-22T15:48:57"/>
    <d v="2026-04-22T15:50:40"/>
    <x v="76"/>
    <x v="76"/>
    <x v="0"/>
    <s v="040099011473"/>
    <s v="0946650045"/>
    <s v="No"/>
    <m/>
    <x v="0"/>
    <m/>
    <x v="0"/>
    <x v="0"/>
    <x v="11"/>
    <s v="In"/>
    <x v="0"/>
    <n v="0"/>
    <n v="0"/>
    <n v="0"/>
    <n v="1"/>
    <x v="4"/>
    <x v="43"/>
    <m/>
    <m/>
    <m/>
    <m/>
    <x v="1"/>
    <x v="1"/>
  </r>
  <r>
    <n v="49"/>
    <d v="2026-04-22T17:30:45"/>
    <d v="2026-04-22T17:32:31"/>
    <x v="77"/>
    <x v="77"/>
    <x v="0"/>
    <s v="079096027174"/>
    <s v="0934297931"/>
    <s v="No"/>
    <m/>
    <x v="0"/>
    <m/>
    <x v="0"/>
    <x v="0"/>
    <x v="11"/>
    <s v="In"/>
    <x v="0"/>
    <n v="0"/>
    <n v="0"/>
    <n v="0"/>
    <n v="1"/>
    <x v="4"/>
    <x v="44"/>
    <m/>
    <m/>
    <m/>
    <m/>
    <x v="1"/>
    <x v="1"/>
  </r>
  <r>
    <n v="113"/>
    <d v="2026-04-24T15:03:12"/>
    <d v="2026-04-24T15:05:42"/>
    <x v="78"/>
    <x v="78"/>
    <x v="0"/>
    <s v="075095021646"/>
    <s v="0352680918"/>
    <s v="No"/>
    <m/>
    <x v="0"/>
    <m/>
    <x v="0"/>
    <x v="0"/>
    <x v="11"/>
    <s v="In"/>
    <x v="0"/>
    <n v="0"/>
    <n v="0"/>
    <n v="0"/>
    <n v="1"/>
    <x v="4"/>
    <x v="44"/>
    <m/>
    <m/>
    <m/>
    <m/>
    <x v="1"/>
    <x v="1"/>
  </r>
  <r>
    <n v="101"/>
    <d v="2026-04-24T11:34:50"/>
    <d v="2026-04-24T11:35:38"/>
    <x v="79"/>
    <x v="79"/>
    <x v="0"/>
    <s v="079096034588"/>
    <s v="0938282487"/>
    <s v="No"/>
    <m/>
    <x v="0"/>
    <m/>
    <x v="0"/>
    <x v="0"/>
    <x v="9"/>
    <s v="In"/>
    <x v="0"/>
    <n v="0"/>
    <n v="0"/>
    <n v="0"/>
    <n v="1"/>
    <x v="4"/>
    <x v="43"/>
    <m/>
    <m/>
    <m/>
    <m/>
    <x v="1"/>
    <x v="1"/>
  </r>
  <r>
    <n v="160"/>
    <d v="2026-05-04T09:02:53"/>
    <d v="2026-05-04T09:06:29"/>
    <x v="80"/>
    <x v="80"/>
    <x v="0"/>
    <s v="040195009694"/>
    <s v="0966272279"/>
    <s v="No"/>
    <m/>
    <x v="0"/>
    <m/>
    <x v="0"/>
    <x v="4"/>
    <x v="9"/>
    <s v="In"/>
    <x v="0"/>
    <n v="0"/>
    <n v="0"/>
    <n v="0"/>
    <n v="1"/>
    <x v="4"/>
    <x v="45"/>
    <m/>
    <m/>
    <m/>
    <m/>
    <x v="0"/>
    <x v="0"/>
  </r>
  <r>
    <n v="38"/>
    <d v="2026-04-22T16:20:21"/>
    <d v="2026-04-22T16:21:17"/>
    <x v="81"/>
    <x v="81"/>
    <x v="0"/>
    <s v="052097015080"/>
    <s v="0776756952"/>
    <s v="No"/>
    <m/>
    <x v="0"/>
    <m/>
    <x v="0"/>
    <x v="0"/>
    <x v="12"/>
    <s v="In"/>
    <x v="0"/>
    <n v="0"/>
    <n v="0"/>
    <n v="0"/>
    <n v="1"/>
    <x v="5"/>
    <x v="46"/>
    <m/>
    <m/>
    <m/>
    <m/>
    <x v="1"/>
    <x v="1"/>
  </r>
  <r>
    <n v="48"/>
    <d v="2026-04-22T16:46:42"/>
    <d v="2026-04-22T16:56:01"/>
    <x v="82"/>
    <x v="82"/>
    <x v="0"/>
    <s v="075193013225"/>
    <s v="0356055190"/>
    <s v="No"/>
    <m/>
    <x v="0"/>
    <m/>
    <x v="0"/>
    <x v="0"/>
    <x v="12"/>
    <s v="In"/>
    <x v="0"/>
    <n v="0"/>
    <n v="0"/>
    <n v="0"/>
    <n v="1"/>
    <x v="6"/>
    <x v="47"/>
    <m/>
    <m/>
    <m/>
    <m/>
    <x v="0"/>
    <x v="0"/>
  </r>
  <r>
    <n v="130"/>
    <d v="2026-04-25T17:17:56"/>
    <d v="2026-04-25T17:20:40"/>
    <x v="83"/>
    <x v="83"/>
    <x v="0"/>
    <s v="051202007406"/>
    <s v="0345717796"/>
    <s v="No"/>
    <m/>
    <x v="0"/>
    <m/>
    <x v="0"/>
    <x v="0"/>
    <x v="12"/>
    <s v="In"/>
    <x v="0"/>
    <n v="0"/>
    <n v="0"/>
    <n v="0"/>
    <n v="1"/>
    <x v="4"/>
    <x v="48"/>
    <m/>
    <m/>
    <m/>
    <m/>
    <x v="1"/>
    <x v="1"/>
  </r>
  <r>
    <n v="134"/>
    <d v="2026-04-28T09:01:53"/>
    <d v="2026-04-28T09:05:29"/>
    <x v="84"/>
    <x v="84"/>
    <x v="0"/>
    <s v="091201012114"/>
    <s v="0762922184"/>
    <s v="No"/>
    <m/>
    <x v="0"/>
    <m/>
    <x v="0"/>
    <x v="0"/>
    <x v="12"/>
    <s v="In"/>
    <x v="0"/>
    <n v="0"/>
    <n v="0"/>
    <n v="0"/>
    <n v="1"/>
    <x v="4"/>
    <x v="49"/>
    <m/>
    <m/>
    <m/>
    <m/>
    <x v="1"/>
    <x v="1"/>
  </r>
  <r>
    <n v="135"/>
    <d v="2026-04-28T09:06:07"/>
    <d v="2026-04-28T09:07:25"/>
    <x v="85"/>
    <x v="85"/>
    <x v="0"/>
    <s v="079098003185"/>
    <s v="0879295967"/>
    <s v="No"/>
    <m/>
    <x v="0"/>
    <m/>
    <x v="0"/>
    <x v="0"/>
    <x v="12"/>
    <s v="In"/>
    <x v="0"/>
    <n v="0"/>
    <n v="0"/>
    <n v="0"/>
    <n v="1"/>
    <x v="4"/>
    <x v="49"/>
    <m/>
    <m/>
    <m/>
    <m/>
    <x v="1"/>
    <x v="1"/>
  </r>
  <r>
    <n v="140"/>
    <d v="2026-04-28T09:25:19"/>
    <d v="2026-04-28T11:17:40"/>
    <x v="86"/>
    <x v="86"/>
    <x v="0"/>
    <s v="079301006935"/>
    <s v="0779911643"/>
    <s v="No"/>
    <m/>
    <x v="0"/>
    <m/>
    <x v="0"/>
    <x v="0"/>
    <x v="12"/>
    <s v="In"/>
    <x v="0"/>
    <n v="0"/>
    <n v="0"/>
    <n v="0"/>
    <n v="1"/>
    <x v="4"/>
    <x v="1"/>
    <m/>
    <m/>
    <m/>
    <m/>
    <x v="0"/>
    <x v="0"/>
  </r>
  <r>
    <n v="172"/>
    <d v="2026-05-04T13:11:30"/>
    <d v="2026-05-04T13:13:28"/>
    <x v="87"/>
    <x v="87"/>
    <x v="0"/>
    <s v="067098004566"/>
    <s v="0584106886"/>
    <s v="No"/>
    <m/>
    <x v="0"/>
    <m/>
    <x v="0"/>
    <x v="0"/>
    <x v="12"/>
    <s v="In"/>
    <x v="0"/>
    <n v="0"/>
    <n v="0"/>
    <n v="0"/>
    <n v="1"/>
    <x v="4"/>
    <x v="50"/>
    <m/>
    <m/>
    <m/>
    <m/>
    <x v="1"/>
    <x v="1"/>
  </r>
  <r>
    <n v="173"/>
    <d v="2026-05-04T13:21:59"/>
    <d v="2026-05-04T13:24:14"/>
    <x v="88"/>
    <x v="88"/>
    <x v="0"/>
    <s v="089096021770"/>
    <s v="0962359719"/>
    <s v="No"/>
    <m/>
    <x v="0"/>
    <m/>
    <x v="0"/>
    <x v="0"/>
    <x v="12"/>
    <s v="In"/>
    <x v="0"/>
    <n v="0"/>
    <n v="0"/>
    <n v="0"/>
    <n v="1"/>
    <x v="4"/>
    <x v="50"/>
    <m/>
    <m/>
    <m/>
    <m/>
    <x v="1"/>
    <x v="1"/>
  </r>
  <r>
    <n v="177"/>
    <d v="2026-05-04T13:41:45"/>
    <d v="2026-05-04T13:42:21"/>
    <x v="89"/>
    <x v="89"/>
    <x v="0"/>
    <s v="084197000010"/>
    <s v="0936610147"/>
    <s v="No"/>
    <m/>
    <x v="0"/>
    <m/>
    <x v="0"/>
    <x v="0"/>
    <x v="12"/>
    <s v="In"/>
    <x v="0"/>
    <n v="0"/>
    <n v="0"/>
    <n v="0"/>
    <n v="1"/>
    <x v="4"/>
    <x v="42"/>
    <m/>
    <m/>
    <m/>
    <m/>
    <x v="0"/>
    <x v="0"/>
  </r>
  <r>
    <n v="180"/>
    <d v="2026-05-04T13:40:31"/>
    <d v="2026-05-04T13:46:57"/>
    <x v="90"/>
    <x v="90"/>
    <x v="0"/>
    <s v="082097013452"/>
    <s v="0332548027"/>
    <s v="No"/>
    <m/>
    <x v="0"/>
    <m/>
    <x v="0"/>
    <x v="0"/>
    <x v="12"/>
    <s v="In"/>
    <x v="0"/>
    <n v="0"/>
    <n v="0"/>
    <n v="0"/>
    <n v="1"/>
    <x v="4"/>
    <x v="51"/>
    <m/>
    <m/>
    <m/>
    <m/>
    <x v="1"/>
    <x v="1"/>
  </r>
  <r>
    <n v="182"/>
    <d v="2026-05-04T13:48:00"/>
    <d v="2026-05-04T13:50:01"/>
    <x v="91"/>
    <x v="91"/>
    <x v="0"/>
    <s v="079085007940"/>
    <s v="0878886446"/>
    <s v="Yes"/>
    <s v="1. TRẦN THỊ KIM THUỶ Ngày sinh: 07/10/1998 CCCD: 079198004873 _x000a_2. NGUYỄN NGỌC KIM ANH Ngày sinh: 04/09/2022 CCCD: 079322018996 _x000a_3. NGUYỄN NGỌC TUỆ NHI Ngày sinh: 01/03/2024 CCCD: 079324006070"/>
    <x v="0"/>
    <m/>
    <x v="0"/>
    <x v="0"/>
    <x v="12"/>
    <s v="In"/>
    <x v="1"/>
    <n v="2"/>
    <n v="1"/>
    <n v="3"/>
    <n v="4"/>
    <x v="4"/>
    <x v="52"/>
    <m/>
    <m/>
    <m/>
    <m/>
    <x v="1"/>
    <x v="1"/>
  </r>
  <r>
    <n v="169"/>
    <d v="2026-05-04T11:19:22"/>
    <d v="2026-05-04T11:23:53"/>
    <x v="92"/>
    <x v="92"/>
    <x v="0"/>
    <s v="052092016286"/>
    <s v="0972326052"/>
    <s v="Yes"/>
    <s v="Lam Vi Phuong - Female - 25/05/1994 - 084194007540"/>
    <x v="0"/>
    <m/>
    <x v="0"/>
    <x v="0"/>
    <x v="12"/>
    <s v="In"/>
    <x v="1"/>
    <n v="0"/>
    <n v="1"/>
    <n v="1"/>
    <n v="2"/>
    <x v="4"/>
    <x v="53"/>
    <m/>
    <m/>
    <m/>
    <m/>
    <x v="1"/>
    <x v="0"/>
  </r>
  <r>
    <n v="229"/>
    <d v="2026-05-04T18:48:39"/>
    <d v="2026-05-04T18:49:40"/>
    <x v="93"/>
    <x v="93"/>
    <x v="0"/>
    <s v="049092003884"/>
    <s v="0973718347"/>
    <s v="No"/>
    <m/>
    <x v="0"/>
    <m/>
    <x v="0"/>
    <x v="0"/>
    <x v="12"/>
    <s v="In"/>
    <x v="0"/>
    <n v="0"/>
    <n v="0"/>
    <n v="0"/>
    <n v="1"/>
    <x v="5"/>
    <x v="54"/>
    <m/>
    <m/>
    <m/>
    <m/>
    <x v="1"/>
    <x v="1"/>
  </r>
  <r>
    <n v="230"/>
    <d v="2026-05-04T19:39:43"/>
    <d v="2026-05-04T19:47:25"/>
    <x v="94"/>
    <x v="94"/>
    <x v="0"/>
    <s v="049092003884"/>
    <s v="0975193219"/>
    <s v="Yes"/>
    <s v="1. Lương Thị Lưu - Female - 06/03/1993 - 040193036578_x000a_2. Nguyễn Lương Hoàng Yến - Female - 19/10/2021 - 086321006062_x000a_3. Nguyễn Lương Thanh Thảo - Female -  06/03/2024 - 086324001119"/>
    <x v="0"/>
    <m/>
    <x v="0"/>
    <x v="0"/>
    <x v="12"/>
    <s v="In"/>
    <x v="1"/>
    <n v="2"/>
    <n v="1"/>
    <n v="3"/>
    <n v="4"/>
    <x v="4"/>
    <x v="55"/>
    <m/>
    <m/>
    <m/>
    <m/>
    <x v="1"/>
    <x v="1"/>
  </r>
  <r>
    <n v="256"/>
    <d v="2026-05-05T13:08:55"/>
    <d v="2026-05-05T13:10:48"/>
    <x v="95"/>
    <x v="95"/>
    <x v="0"/>
    <s v="052096015341"/>
    <s v="0397459642"/>
    <s v="No"/>
    <m/>
    <x v="0"/>
    <m/>
    <x v="0"/>
    <x v="0"/>
    <x v="12"/>
    <s v="In"/>
    <x v="0"/>
    <n v="0"/>
    <n v="0"/>
    <n v="0"/>
    <n v="1"/>
    <x v="4"/>
    <x v="56"/>
    <m/>
    <m/>
    <m/>
    <m/>
    <x v="1"/>
    <x v="1"/>
  </r>
  <r>
    <n v="264"/>
    <d v="2026-05-05T14:11:43"/>
    <d v="2026-05-05T14:11:50"/>
    <x v="96"/>
    <x v="96"/>
    <x v="0"/>
    <s v="079099027044"/>
    <s v="0335618057"/>
    <s v="No"/>
    <m/>
    <x v="0"/>
    <m/>
    <x v="0"/>
    <x v="0"/>
    <x v="12"/>
    <s v="In"/>
    <x v="0"/>
    <n v="0"/>
    <n v="0"/>
    <n v="0"/>
    <n v="1"/>
    <x v="4"/>
    <x v="56"/>
    <m/>
    <m/>
    <m/>
    <m/>
    <x v="1"/>
    <x v="1"/>
  </r>
  <r>
    <n v="283"/>
    <d v="2026-05-05T19:04:16"/>
    <d v="2026-05-05T19:10:09"/>
    <x v="97"/>
    <x v="97"/>
    <x v="0"/>
    <s v="049095015282"/>
    <s v="0386987100"/>
    <s v="Yes"/>
    <s v="1. Ung Thụy Song Quỳnh - Female - 11/11/1995 - 049195000151_x000a_2. Phạm Công Quang - Male - 26/05/2024 - 049224004390"/>
    <x v="0"/>
    <m/>
    <x v="0"/>
    <x v="0"/>
    <x v="12"/>
    <s v="In"/>
    <x v="1"/>
    <n v="1"/>
    <n v="1"/>
    <n v="2"/>
    <n v="3"/>
    <x v="4"/>
    <x v="57"/>
    <m/>
    <m/>
    <m/>
    <m/>
    <x v="1"/>
    <x v="0"/>
  </r>
  <r>
    <n v="307"/>
    <d v="2026-05-06T13:39:58"/>
    <d v="2026-05-06T13:44:00"/>
    <x v="98"/>
    <x v="98"/>
    <x v="0"/>
    <s v="075090010849"/>
    <s v="0778836595"/>
    <s v="No"/>
    <m/>
    <x v="0"/>
    <m/>
    <x v="0"/>
    <x v="0"/>
    <x v="12"/>
    <s v="In"/>
    <x v="0"/>
    <n v="0"/>
    <n v="0"/>
    <n v="0"/>
    <n v="1"/>
    <x v="4"/>
    <x v="58"/>
    <m/>
    <m/>
    <m/>
    <m/>
    <x v="1"/>
    <x v="1"/>
  </r>
  <r>
    <n v="311"/>
    <d v="2026-05-06T16:33:23"/>
    <d v="2026-05-06T16:42:35"/>
    <x v="99"/>
    <x v="99"/>
    <x v="0"/>
    <s v="035198005801"/>
    <s v="0961393725"/>
    <s v="Yes"/>
    <s v="Cao Thi Truc Duyen - Female - 15/06/1997 - 083197002767"/>
    <x v="0"/>
    <m/>
    <x v="0"/>
    <x v="0"/>
    <x v="12"/>
    <s v="In"/>
    <x v="1"/>
    <n v="0"/>
    <n v="1"/>
    <n v="1"/>
    <n v="2"/>
    <x v="4"/>
    <x v="59"/>
    <m/>
    <m/>
    <m/>
    <m/>
    <x v="0"/>
    <x v="0"/>
  </r>
  <r>
    <n v="313"/>
    <d v="2026-05-06T18:52:23"/>
    <d v="2026-05-06T18:53:30"/>
    <x v="100"/>
    <x v="100"/>
    <x v="0"/>
    <s v="052092015218"/>
    <s v="0346726479"/>
    <s v="No"/>
    <m/>
    <x v="0"/>
    <m/>
    <x v="0"/>
    <x v="0"/>
    <x v="12"/>
    <s v="In"/>
    <x v="0"/>
    <n v="0"/>
    <n v="0"/>
    <n v="0"/>
    <n v="1"/>
    <x v="4"/>
    <x v="58"/>
    <m/>
    <m/>
    <m/>
    <m/>
    <x v="1"/>
    <x v="1"/>
  </r>
  <r>
    <n v="314"/>
    <d v="2026-05-06T20:16:03"/>
    <d v="2026-05-06T20:17:53"/>
    <x v="101"/>
    <x v="101"/>
    <x v="0"/>
    <s v="052092002529"/>
    <s v="0977794203"/>
    <s v="Yes"/>
    <s v="Nguyen Thi Viet Le - Female - 20/11/1997 - 049197010026"/>
    <x v="0"/>
    <m/>
    <x v="0"/>
    <x v="0"/>
    <x v="12"/>
    <s v="In"/>
    <x v="1"/>
    <n v="0"/>
    <n v="1"/>
    <n v="1"/>
    <n v="2"/>
    <x v="4"/>
    <x v="60"/>
    <m/>
    <m/>
    <m/>
    <m/>
    <x v="1"/>
    <x v="0"/>
  </r>
  <r>
    <n v="47"/>
    <d v="2026-04-22T15:38:26"/>
    <d v="2026-04-22T16:41:14"/>
    <x v="102"/>
    <x v="102"/>
    <x v="0"/>
    <s v="031202004177"/>
    <s v="0886895676"/>
    <s v="No"/>
    <m/>
    <x v="0"/>
    <m/>
    <x v="0"/>
    <x v="0"/>
    <x v="13"/>
    <s v="In"/>
    <x v="0"/>
    <n v="0"/>
    <n v="0"/>
    <n v="0"/>
    <n v="1"/>
    <x v="5"/>
    <x v="61"/>
    <m/>
    <m/>
    <m/>
    <m/>
    <x v="1"/>
    <x v="1"/>
  </r>
  <r>
    <n v="75"/>
    <d v="2026-04-23T16:00:49"/>
    <d v="2026-04-23T16:01:44"/>
    <x v="103"/>
    <x v="103"/>
    <x v="0"/>
    <s v="079202021638"/>
    <s v="0899337446"/>
    <s v="No"/>
    <m/>
    <x v="0"/>
    <m/>
    <x v="0"/>
    <x v="0"/>
    <x v="13"/>
    <s v="In"/>
    <x v="0"/>
    <n v="0"/>
    <n v="0"/>
    <n v="0"/>
    <n v="1"/>
    <x v="5"/>
    <x v="61"/>
    <m/>
    <m/>
    <m/>
    <m/>
    <x v="1"/>
    <x v="1"/>
  </r>
  <r>
    <n v="77"/>
    <d v="2026-04-23T16:10:23"/>
    <d v="2026-04-23T16:11:00"/>
    <x v="104"/>
    <x v="104"/>
    <x v="0"/>
    <s v="079201003742"/>
    <s v="0896116155"/>
    <s v="No"/>
    <m/>
    <x v="0"/>
    <m/>
    <x v="0"/>
    <x v="0"/>
    <x v="13"/>
    <s v="In"/>
    <x v="0"/>
    <n v="0"/>
    <n v="0"/>
    <n v="0"/>
    <n v="1"/>
    <x v="5"/>
    <x v="62"/>
    <m/>
    <m/>
    <m/>
    <m/>
    <x v="1"/>
    <x v="1"/>
  </r>
  <r>
    <n v="78"/>
    <d v="2026-04-23T16:11:28"/>
    <d v="2026-04-23T16:11:53"/>
    <x v="105"/>
    <x v="105"/>
    <x v="0"/>
    <s v="031202010766"/>
    <s v="0981412159"/>
    <s v="No"/>
    <m/>
    <x v="0"/>
    <m/>
    <x v="0"/>
    <x v="0"/>
    <x v="13"/>
    <s v="In"/>
    <x v="0"/>
    <n v="0"/>
    <n v="0"/>
    <n v="0"/>
    <n v="1"/>
    <x v="5"/>
    <x v="62"/>
    <m/>
    <m/>
    <m/>
    <m/>
    <x v="1"/>
    <x v="1"/>
  </r>
  <r>
    <n v="81"/>
    <d v="2026-04-23T16:34:18"/>
    <d v="2026-04-23T16:37:30"/>
    <x v="106"/>
    <x v="106"/>
    <x v="0"/>
    <s v="064201004428"/>
    <s v="0337399029"/>
    <s v="No"/>
    <m/>
    <x v="0"/>
    <m/>
    <x v="0"/>
    <x v="0"/>
    <x v="13"/>
    <s v="In"/>
    <x v="0"/>
    <n v="0"/>
    <n v="0"/>
    <n v="0"/>
    <n v="1"/>
    <x v="5"/>
    <x v="63"/>
    <m/>
    <m/>
    <m/>
    <m/>
    <x v="1"/>
    <x v="1"/>
  </r>
  <r>
    <n v="93"/>
    <d v="2026-04-24T09:13:07"/>
    <d v="2026-04-24T09:15:12"/>
    <x v="107"/>
    <x v="107"/>
    <x v="0"/>
    <s v="048203001699"/>
    <s v="0905054228"/>
    <s v="No"/>
    <m/>
    <x v="0"/>
    <m/>
    <x v="0"/>
    <x v="0"/>
    <x v="13"/>
    <s v="In"/>
    <x v="0"/>
    <n v="0"/>
    <n v="0"/>
    <n v="0"/>
    <n v="1"/>
    <x v="5"/>
    <x v="63"/>
    <m/>
    <m/>
    <m/>
    <m/>
    <x v="1"/>
    <x v="1"/>
  </r>
  <r>
    <n v="118"/>
    <d v="2026-04-24T17:20:57"/>
    <d v="2026-04-24T17:22:47"/>
    <x v="108"/>
    <x v="108"/>
    <x v="0"/>
    <s v="079300041083"/>
    <s v="0778605436"/>
    <s v="No"/>
    <m/>
    <x v="0"/>
    <m/>
    <x v="0"/>
    <x v="0"/>
    <x v="13"/>
    <s v="In"/>
    <x v="0"/>
    <n v="0"/>
    <n v="0"/>
    <n v="0"/>
    <n v="1"/>
    <x v="5"/>
    <x v="64"/>
    <m/>
    <m/>
    <m/>
    <m/>
    <x v="0"/>
    <x v="0"/>
  </r>
  <r>
    <n v="219"/>
    <d v="2026-05-04T17:05:54"/>
    <d v="2026-05-04T17:10:17"/>
    <x v="109"/>
    <x v="109"/>
    <x v="0"/>
    <s v="008193007229"/>
    <s v="0559852579"/>
    <s v="No"/>
    <m/>
    <x v="0"/>
    <m/>
    <x v="0"/>
    <x v="1"/>
    <x v="14"/>
    <s v="In"/>
    <x v="0"/>
    <n v="0"/>
    <n v="0"/>
    <n v="0"/>
    <n v="1"/>
    <x v="5"/>
    <x v="41"/>
    <m/>
    <m/>
    <m/>
    <m/>
    <x v="0"/>
    <x v="0"/>
  </r>
  <r>
    <n v="60"/>
    <d v="2026-04-22T22:02:05"/>
    <d v="2026-04-22T22:05:25"/>
    <x v="110"/>
    <x v="110"/>
    <x v="0"/>
    <s v="066200009584"/>
    <s v="0764290520"/>
    <s v="No"/>
    <m/>
    <x v="0"/>
    <m/>
    <x v="0"/>
    <x v="0"/>
    <x v="15"/>
    <s v="In"/>
    <x v="0"/>
    <n v="0"/>
    <n v="0"/>
    <n v="0"/>
    <n v="1"/>
    <x v="5"/>
    <x v="65"/>
    <m/>
    <m/>
    <m/>
    <m/>
    <x v="1"/>
    <x v="1"/>
  </r>
  <r>
    <n v="142"/>
    <d v="2026-04-28T15:41:46"/>
    <d v="2026-04-28T15:44:02"/>
    <x v="111"/>
    <x v="111"/>
    <x v="0"/>
    <s v="079099034668"/>
    <s v="0906659850"/>
    <s v="No"/>
    <m/>
    <x v="0"/>
    <m/>
    <x v="0"/>
    <x v="0"/>
    <x v="15"/>
    <s v="In"/>
    <x v="0"/>
    <n v="0"/>
    <n v="0"/>
    <n v="0"/>
    <n v="1"/>
    <x v="5"/>
    <x v="65"/>
    <m/>
    <m/>
    <m/>
    <m/>
    <x v="1"/>
    <x v="1"/>
  </r>
  <r>
    <n v="152"/>
    <d v="2026-05-02T09:38:27"/>
    <d v="2026-05-02T09:41:19"/>
    <x v="112"/>
    <x v="112"/>
    <x v="0"/>
    <s v="079090028751"/>
    <s v="0937308357"/>
    <s v="No"/>
    <m/>
    <x v="0"/>
    <m/>
    <x v="0"/>
    <x v="0"/>
    <x v="15"/>
    <s v="In"/>
    <x v="0"/>
    <n v="0"/>
    <n v="0"/>
    <n v="0"/>
    <n v="1"/>
    <x v="5"/>
    <x v="66"/>
    <m/>
    <m/>
    <m/>
    <m/>
    <x v="1"/>
    <x v="1"/>
  </r>
  <r>
    <n v="155"/>
    <d v="2026-05-03T14:51:00"/>
    <d v="2026-05-03T14:54:06"/>
    <x v="113"/>
    <x v="113"/>
    <x v="0"/>
    <s v="066096004066"/>
    <s v="0868415847"/>
    <s v="No"/>
    <m/>
    <x v="0"/>
    <m/>
    <x v="0"/>
    <x v="0"/>
    <x v="15"/>
    <s v="In"/>
    <x v="0"/>
    <n v="0"/>
    <n v="0"/>
    <n v="0"/>
    <n v="1"/>
    <x v="5"/>
    <x v="66"/>
    <m/>
    <m/>
    <m/>
    <m/>
    <x v="1"/>
    <x v="1"/>
  </r>
  <r>
    <n v="158"/>
    <d v="2026-05-04T08:22:45"/>
    <d v="2026-05-04T08:25:21"/>
    <x v="114"/>
    <x v="114"/>
    <x v="0"/>
    <s v="079196001003"/>
    <s v="0931173302"/>
    <s v="No"/>
    <m/>
    <x v="0"/>
    <m/>
    <x v="0"/>
    <x v="0"/>
    <x v="15"/>
    <s v="In"/>
    <x v="0"/>
    <n v="0"/>
    <n v="0"/>
    <n v="0"/>
    <n v="1"/>
    <x v="6"/>
    <x v="67"/>
    <m/>
    <m/>
    <m/>
    <m/>
    <x v="0"/>
    <x v="0"/>
  </r>
  <r>
    <n v="161"/>
    <d v="2026-05-04T09:34:45"/>
    <d v="2026-05-04T09:37:45"/>
    <x v="115"/>
    <x v="115"/>
    <x v="0"/>
    <s v="079090038513"/>
    <s v="0356154210"/>
    <s v="No"/>
    <m/>
    <x v="0"/>
    <m/>
    <x v="0"/>
    <x v="0"/>
    <x v="15"/>
    <s v="In"/>
    <x v="0"/>
    <n v="0"/>
    <n v="0"/>
    <n v="0"/>
    <n v="1"/>
    <x v="5"/>
    <x v="68"/>
    <m/>
    <m/>
    <m/>
    <m/>
    <x v="1"/>
    <x v="1"/>
  </r>
  <r>
    <n v="199"/>
    <d v="2026-05-04T13:54:53"/>
    <d v="2026-05-04T14:01:11"/>
    <x v="116"/>
    <x v="116"/>
    <x v="0"/>
    <s v="080096010523"/>
    <s v="0966441600"/>
    <s v="No"/>
    <m/>
    <x v="0"/>
    <m/>
    <x v="0"/>
    <x v="0"/>
    <x v="15"/>
    <s v="In"/>
    <x v="0"/>
    <n v="0"/>
    <n v="0"/>
    <n v="0"/>
    <n v="1"/>
    <x v="5"/>
    <x v="68"/>
    <m/>
    <m/>
    <m/>
    <m/>
    <x v="1"/>
    <x v="1"/>
  </r>
  <r>
    <n v="222"/>
    <d v="2026-05-04T17:23:16"/>
    <d v="2026-05-04T17:28:29"/>
    <x v="117"/>
    <x v="117"/>
    <x v="0"/>
    <s v="056098000238"/>
    <s v="0392707949"/>
    <s v="No"/>
    <m/>
    <x v="0"/>
    <m/>
    <x v="0"/>
    <x v="0"/>
    <x v="15"/>
    <s v="In"/>
    <x v="0"/>
    <n v="0"/>
    <n v="0"/>
    <n v="0"/>
    <n v="1"/>
    <x v="5"/>
    <x v="69"/>
    <m/>
    <m/>
    <m/>
    <m/>
    <x v="1"/>
    <x v="1"/>
  </r>
  <r>
    <n v="225"/>
    <d v="2026-05-04T17:16:27"/>
    <d v="2026-05-04T17:49:34"/>
    <x v="118"/>
    <x v="118"/>
    <x v="0"/>
    <s v="079203011720"/>
    <s v="0938080935"/>
    <s v="No"/>
    <m/>
    <x v="0"/>
    <m/>
    <x v="0"/>
    <x v="0"/>
    <x v="15"/>
    <s v="In"/>
    <x v="0"/>
    <n v="0"/>
    <n v="0"/>
    <n v="0"/>
    <n v="1"/>
    <x v="5"/>
    <x v="69"/>
    <m/>
    <m/>
    <m/>
    <m/>
    <x v="1"/>
    <x v="1"/>
  </r>
  <r>
    <n v="233"/>
    <d v="2026-05-04T23:43:26"/>
    <d v="2026-05-04T23:44:21"/>
    <x v="119"/>
    <x v="119"/>
    <x v="0"/>
    <s v="37598"/>
    <s v="0385094422"/>
    <s v="No"/>
    <m/>
    <x v="0"/>
    <m/>
    <x v="0"/>
    <x v="0"/>
    <x v="15"/>
    <s v="In"/>
    <x v="0"/>
    <n v="0"/>
    <n v="0"/>
    <n v="0"/>
    <n v="1"/>
    <x v="5"/>
    <x v="70"/>
    <m/>
    <m/>
    <m/>
    <m/>
    <x v="1"/>
    <x v="1"/>
  </r>
  <r>
    <n v="136"/>
    <d v="2026-04-28T09:04:16"/>
    <d v="2026-04-28T09:07:33"/>
    <x v="120"/>
    <x v="120"/>
    <x v="0"/>
    <s v="068201006525"/>
    <s v="0908725648"/>
    <s v="No"/>
    <m/>
    <x v="0"/>
    <m/>
    <x v="0"/>
    <x v="0"/>
    <x v="12"/>
    <s v="In"/>
    <x v="0"/>
    <n v="0"/>
    <n v="0"/>
    <n v="0"/>
    <n v="1"/>
    <x v="5"/>
    <x v="71"/>
    <m/>
    <m/>
    <m/>
    <m/>
    <x v="1"/>
    <x v="1"/>
  </r>
  <r>
    <n v="141"/>
    <d v="2026-04-28T14:41:29"/>
    <d v="2026-04-28T14:44:11"/>
    <x v="121"/>
    <x v="121"/>
    <x v="0"/>
    <s v="064096009158"/>
    <s v="0367776115"/>
    <s v="Yes"/>
    <s v="Nguyễn Thị Bích Duyên - Female - 05/08/1995"/>
    <x v="0"/>
    <m/>
    <x v="0"/>
    <x v="0"/>
    <x v="12"/>
    <s v="In"/>
    <x v="1"/>
    <n v="0"/>
    <n v="1"/>
    <n v="1"/>
    <n v="2"/>
    <x v="5"/>
    <x v="72"/>
    <m/>
    <m/>
    <m/>
    <m/>
    <x v="1"/>
    <x v="0"/>
  </r>
  <r>
    <n v="232"/>
    <d v="2026-05-04T19:50:16"/>
    <d v="2026-05-04T23:14:52"/>
    <x v="122"/>
    <x v="122"/>
    <x v="0"/>
    <s v="079197010801"/>
    <s v="0704954529"/>
    <s v="No"/>
    <m/>
    <x v="0"/>
    <m/>
    <x v="0"/>
    <x v="0"/>
    <x v="12"/>
    <s v="In"/>
    <x v="0"/>
    <n v="0"/>
    <n v="0"/>
    <n v="0"/>
    <n v="1"/>
    <x v="5"/>
    <x v="73"/>
    <m/>
    <m/>
    <m/>
    <m/>
    <x v="0"/>
    <x v="0"/>
  </r>
  <r>
    <n v="235"/>
    <d v="2026-05-05T05:35:23"/>
    <d v="2026-05-05T05:36:57"/>
    <x v="123"/>
    <x v="123"/>
    <x v="0"/>
    <s v="045091003975"/>
    <s v="0915004496"/>
    <s v="No"/>
    <m/>
    <x v="0"/>
    <m/>
    <x v="0"/>
    <x v="0"/>
    <x v="12"/>
    <s v="In"/>
    <x v="0"/>
    <n v="0"/>
    <n v="0"/>
    <n v="0"/>
    <n v="1"/>
    <x v="4"/>
    <x v="51"/>
    <m/>
    <m/>
    <m/>
    <m/>
    <x v="1"/>
    <x v="1"/>
  </r>
  <r>
    <n v="240"/>
    <d v="2026-05-05T10:05:06"/>
    <d v="2026-05-05T10:07:18"/>
    <x v="124"/>
    <x v="124"/>
    <x v="0"/>
    <s v="091095009127"/>
    <s v="0988438042"/>
    <s v="No"/>
    <m/>
    <x v="0"/>
    <m/>
    <x v="0"/>
    <x v="0"/>
    <x v="12"/>
    <s v="In"/>
    <x v="0"/>
    <n v="0"/>
    <n v="0"/>
    <n v="0"/>
    <n v="1"/>
    <x v="5"/>
    <x v="54"/>
    <m/>
    <m/>
    <m/>
    <m/>
    <x v="1"/>
    <x v="1"/>
  </r>
  <r>
    <n v="247"/>
    <d v="2026-05-05T11:01:58"/>
    <d v="2026-05-05T11:04:49"/>
    <x v="125"/>
    <x v="125"/>
    <x v="0"/>
    <s v="068087004573"/>
    <s v="0938112129"/>
    <s v="No"/>
    <m/>
    <x v="0"/>
    <m/>
    <x v="0"/>
    <x v="0"/>
    <x v="12"/>
    <s v="In"/>
    <x v="0"/>
    <n v="0"/>
    <n v="0"/>
    <n v="0"/>
    <n v="1"/>
    <x v="5"/>
    <x v="46"/>
    <m/>
    <m/>
    <m/>
    <m/>
    <x v="1"/>
    <x v="1"/>
  </r>
  <r>
    <n v="251"/>
    <d v="2026-05-05T11:34:29"/>
    <d v="2026-05-05T11:35:50"/>
    <x v="126"/>
    <x v="126"/>
    <x v="0"/>
    <s v="001203015512"/>
    <s v="0397810603"/>
    <s v="No"/>
    <m/>
    <x v="0"/>
    <m/>
    <x v="0"/>
    <x v="0"/>
    <x v="12"/>
    <s v="In"/>
    <x v="0"/>
    <n v="0"/>
    <n v="0"/>
    <n v="0"/>
    <n v="1"/>
    <x v="5"/>
    <x v="74"/>
    <m/>
    <m/>
    <m/>
    <m/>
    <x v="1"/>
    <x v="1"/>
  </r>
  <r>
    <n v="293"/>
    <d v="2026-05-06T09:26:45"/>
    <d v="2026-05-06T09:29:21"/>
    <x v="127"/>
    <x v="127"/>
    <x v="0"/>
    <s v="080201013658"/>
    <s v="0847827897"/>
    <s v="No"/>
    <m/>
    <x v="0"/>
    <m/>
    <x v="0"/>
    <x v="0"/>
    <x v="12"/>
    <s v="In"/>
    <x v="0"/>
    <n v="0"/>
    <n v="0"/>
    <n v="0"/>
    <n v="1"/>
    <x v="4"/>
    <x v="48"/>
    <m/>
    <m/>
    <m/>
    <m/>
    <x v="1"/>
    <x v="1"/>
  </r>
  <r>
    <n v="299"/>
    <d v="2026-05-06T10:59:36"/>
    <d v="2026-05-06T11:09:24"/>
    <x v="128"/>
    <x v="128"/>
    <x v="0"/>
    <s v="001196042675"/>
    <s v="+84 583 032 919"/>
    <s v="No"/>
    <m/>
    <x v="0"/>
    <s v="Team chị My"/>
    <x v="0"/>
    <x v="0"/>
    <x v="12"/>
    <s v="In"/>
    <x v="0"/>
    <n v="0"/>
    <n v="0"/>
    <n v="0"/>
    <n v="1"/>
    <x v="4"/>
    <x v="45"/>
    <m/>
    <m/>
    <m/>
    <m/>
    <x v="0"/>
    <x v="0"/>
  </r>
  <r>
    <n v="322"/>
    <d v="2026-05-07T13:19:38"/>
    <d v="2026-05-07T13:21:30"/>
    <x v="129"/>
    <x v="129"/>
    <x v="0"/>
    <s v="066098009860"/>
    <s v="+84376275238"/>
    <s v="No"/>
    <m/>
    <x v="0"/>
    <m/>
    <x v="0"/>
    <x v="0"/>
    <x v="12"/>
    <s v="In"/>
    <x v="0"/>
    <n v="0"/>
    <n v="0"/>
    <n v="0"/>
    <n v="1"/>
    <x v="5"/>
    <x v="74"/>
    <m/>
    <m/>
    <m/>
    <m/>
    <x v="1"/>
    <x v="1"/>
  </r>
  <r>
    <n v="323"/>
    <d v="2026-05-07T13:19:38"/>
    <d v="2026-05-07T13:21:30"/>
    <x v="130"/>
    <x v="130"/>
    <x v="0"/>
    <s v="080196014207"/>
    <s v="+84348592628"/>
    <s v="No"/>
    <m/>
    <x v="0"/>
    <m/>
    <x v="0"/>
    <x v="0"/>
    <x v="12"/>
    <s v="In"/>
    <x v="0"/>
    <n v="0"/>
    <n v="0"/>
    <n v="0"/>
    <n v="1"/>
    <x v="5"/>
    <x v="75"/>
    <m/>
    <m/>
    <m/>
    <m/>
    <x v="0"/>
    <x v="0"/>
  </r>
  <r>
    <n v="4"/>
    <d v="2026-04-21T23:25:34"/>
    <d v="2026-04-21T23:27:04"/>
    <x v="131"/>
    <x v="131"/>
    <x v="0"/>
    <s v="030098008566"/>
    <s v="0348997157"/>
    <s v="Yes"/>
    <s v="TRẦN DIỆP HUY - 046098011753 - 0766669006 - Male - 07/01/1998"/>
    <x v="0"/>
    <m/>
    <x v="0"/>
    <x v="0"/>
    <x v="14"/>
    <s v="In"/>
    <x v="1"/>
    <n v="0"/>
    <n v="1"/>
    <n v="1"/>
    <n v="2"/>
    <x v="5"/>
    <x v="76"/>
    <m/>
    <m/>
    <m/>
    <m/>
    <x v="1"/>
    <x v="0"/>
  </r>
  <r>
    <n v="33"/>
    <d v="2026-04-22T16:13:54"/>
    <d v="2026-04-22T16:15:35"/>
    <x v="132"/>
    <x v="132"/>
    <x v="1"/>
    <s v="048087005724"/>
    <s v="0968678149"/>
    <s v="No"/>
    <m/>
    <x v="0"/>
    <m/>
    <x v="1"/>
    <x v="3"/>
    <x v="8"/>
    <s v="Not joining"/>
    <x v="0"/>
    <n v="0"/>
    <n v="0"/>
    <n v="0"/>
    <n v="1"/>
    <x v="3"/>
    <x v="31"/>
    <m/>
    <m/>
    <m/>
    <m/>
    <x v="1"/>
    <x v="0"/>
  </r>
  <r>
    <n v="153"/>
    <d v="2026-05-02T10:33:55"/>
    <d v="2026-05-02T10:37:07"/>
    <x v="133"/>
    <x v="133"/>
    <x v="0"/>
    <s v="051091012099"/>
    <s v="0902898110"/>
    <s v="No"/>
    <m/>
    <x v="0"/>
    <m/>
    <x v="0"/>
    <x v="0"/>
    <x v="14"/>
    <s v="In"/>
    <x v="0"/>
    <n v="0"/>
    <n v="0"/>
    <n v="0"/>
    <n v="1"/>
    <x v="5"/>
    <x v="77"/>
    <m/>
    <m/>
    <m/>
    <m/>
    <x v="1"/>
    <x v="1"/>
  </r>
  <r>
    <n v="210"/>
    <d v="2026-05-04T15:16:09"/>
    <d v="2026-05-04T15:40:57"/>
    <x v="134"/>
    <x v="134"/>
    <x v="0"/>
    <s v="086096004777"/>
    <s v="0705731919"/>
    <s v="No"/>
    <m/>
    <x v="0"/>
    <m/>
    <x v="0"/>
    <x v="0"/>
    <x v="14"/>
    <s v="In"/>
    <x v="0"/>
    <n v="0"/>
    <n v="0"/>
    <n v="0"/>
    <n v="1"/>
    <x v="5"/>
    <x v="70"/>
    <m/>
    <m/>
    <m/>
    <m/>
    <x v="1"/>
    <x v="1"/>
  </r>
  <r>
    <n v="244"/>
    <d v="2026-05-05T10:30:29"/>
    <d v="2026-05-05T10:31:10"/>
    <x v="135"/>
    <x v="135"/>
    <x v="0"/>
    <s v="079093005091"/>
    <s v="0906793262"/>
    <s v="No"/>
    <m/>
    <x v="0"/>
    <m/>
    <x v="0"/>
    <x v="1"/>
    <x v="10"/>
    <s v="In"/>
    <x v="0"/>
    <n v="0"/>
    <n v="0"/>
    <n v="0"/>
    <n v="1"/>
    <x v="5"/>
    <x v="78"/>
    <m/>
    <m/>
    <m/>
    <m/>
    <x v="1"/>
    <x v="0"/>
  </r>
  <r>
    <n v="139"/>
    <d v="2026-04-28T11:03:57"/>
    <d v="2026-04-28T11:06:58"/>
    <x v="136"/>
    <x v="136"/>
    <x v="1"/>
    <s v="EF5959536"/>
    <s v="0981290835"/>
    <s v="Yes"/>
    <s v="Trinh-Vu Léa - Female - 02/05/2022"/>
    <x v="0"/>
    <m/>
    <x v="1"/>
    <x v="3"/>
    <x v="8"/>
    <s v="Not joining"/>
    <x v="1"/>
    <n v="1"/>
    <n v="0"/>
    <n v="1"/>
    <n v="2"/>
    <x v="3"/>
    <x v="31"/>
    <m/>
    <m/>
    <m/>
    <m/>
    <x v="0"/>
    <x v="0"/>
  </r>
  <r>
    <n v="5"/>
    <d v="2026-04-22T14:36:52"/>
    <d v="2026-04-22T15:28:43"/>
    <x v="137"/>
    <x v="137"/>
    <x v="0"/>
    <s v="051198007784"/>
    <s v="0356703207"/>
    <s v="No"/>
    <m/>
    <x v="0"/>
    <m/>
    <x v="2"/>
    <x v="5"/>
    <x v="16"/>
    <s v="In"/>
    <x v="0"/>
    <n v="0"/>
    <n v="0"/>
    <n v="0"/>
    <n v="1"/>
    <x v="7"/>
    <x v="79"/>
    <m/>
    <m/>
    <m/>
    <m/>
    <x v="0"/>
    <x v="0"/>
  </r>
  <r>
    <n v="186"/>
    <d v="2026-05-04T13:51:14"/>
    <d v="2026-05-04T13:54:58"/>
    <x v="138"/>
    <x v="138"/>
    <x v="0"/>
    <s v="079304008486"/>
    <s v="0933557924"/>
    <s v="No"/>
    <m/>
    <x v="0"/>
    <m/>
    <x v="2"/>
    <x v="5"/>
    <x v="17"/>
    <s v="In"/>
    <x v="0"/>
    <n v="0"/>
    <n v="0"/>
    <n v="0"/>
    <n v="1"/>
    <x v="7"/>
    <x v="80"/>
    <m/>
    <m/>
    <m/>
    <m/>
    <x v="0"/>
    <x v="0"/>
  </r>
  <r>
    <n v="187"/>
    <d v="2026-05-04T13:50:12"/>
    <d v="2026-05-04T13:55:01"/>
    <x v="139"/>
    <x v="139"/>
    <x v="0"/>
    <s v="054204000568"/>
    <s v="0377887851"/>
    <s v="No"/>
    <m/>
    <x v="0"/>
    <s v="No spicy"/>
    <x v="2"/>
    <x v="5"/>
    <x v="17"/>
    <s v="In"/>
    <x v="0"/>
    <n v="0"/>
    <n v="0"/>
    <n v="0"/>
    <n v="1"/>
    <x v="7"/>
    <x v="81"/>
    <m/>
    <m/>
    <m/>
    <m/>
    <x v="1"/>
    <x v="1"/>
  </r>
  <r>
    <n v="190"/>
    <d v="2026-05-04T13:51:49"/>
    <d v="2026-05-04T13:55:20"/>
    <x v="140"/>
    <x v="140"/>
    <x v="0"/>
    <s v="077304005352"/>
    <s v="0917827457"/>
    <s v="No"/>
    <m/>
    <x v="0"/>
    <m/>
    <x v="2"/>
    <x v="5"/>
    <x v="17"/>
    <s v="In"/>
    <x v="0"/>
    <n v="0"/>
    <n v="0"/>
    <n v="0"/>
    <n v="1"/>
    <x v="7"/>
    <x v="80"/>
    <m/>
    <m/>
    <m/>
    <m/>
    <x v="0"/>
    <x v="0"/>
  </r>
  <r>
    <n v="287"/>
    <d v="2026-05-05T21:12:32"/>
    <d v="2026-05-05T21:14:13"/>
    <x v="141"/>
    <x v="141"/>
    <x v="0"/>
    <s v="066304009657"/>
    <s v="0917810796"/>
    <s v="No"/>
    <m/>
    <x v="0"/>
    <m/>
    <x v="2"/>
    <x v="5"/>
    <x v="17"/>
    <s v="In"/>
    <x v="0"/>
    <n v="0"/>
    <n v="0"/>
    <n v="0"/>
    <n v="1"/>
    <x v="7"/>
    <x v="82"/>
    <m/>
    <m/>
    <m/>
    <m/>
    <x v="0"/>
    <x v="0"/>
  </r>
  <r>
    <n v="289"/>
    <d v="2026-05-05T22:16:16"/>
    <d v="2026-05-05T22:21:09"/>
    <x v="142"/>
    <x v="142"/>
    <x v="0"/>
    <s v="077304002316"/>
    <s v="0971917272"/>
    <s v="No"/>
    <m/>
    <x v="0"/>
    <m/>
    <x v="2"/>
    <x v="5"/>
    <x v="17"/>
    <s v="In"/>
    <x v="0"/>
    <n v="0"/>
    <n v="0"/>
    <n v="0"/>
    <n v="1"/>
    <x v="7"/>
    <x v="82"/>
    <m/>
    <m/>
    <m/>
    <m/>
    <x v="0"/>
    <x v="0"/>
  </r>
  <r>
    <n v="294"/>
    <d v="2026-05-06T09:28:44"/>
    <d v="2026-05-06T09:29:40"/>
    <x v="143"/>
    <x v="143"/>
    <x v="0"/>
    <s v="060303003328"/>
    <s v="0947047885"/>
    <s v="No"/>
    <m/>
    <x v="0"/>
    <s v="I’m allergic to beef"/>
    <x v="2"/>
    <x v="5"/>
    <x v="17"/>
    <s v="In"/>
    <x v="0"/>
    <n v="0"/>
    <n v="0"/>
    <n v="0"/>
    <n v="1"/>
    <x v="7"/>
    <x v="83"/>
    <m/>
    <m/>
    <m/>
    <m/>
    <x v="0"/>
    <x v="0"/>
  </r>
  <r>
    <n v="22"/>
    <d v="2026-04-22T15:52:58"/>
    <d v="2026-04-22T15:53:57"/>
    <x v="144"/>
    <x v="144"/>
    <x v="0"/>
    <s v="060099008043"/>
    <s v="0933726329"/>
    <s v="No"/>
    <m/>
    <x v="0"/>
    <m/>
    <x v="2"/>
    <x v="6"/>
    <x v="18"/>
    <s v="In"/>
    <x v="0"/>
    <n v="0"/>
    <n v="0"/>
    <n v="0"/>
    <n v="1"/>
    <x v="7"/>
    <x v="84"/>
    <m/>
    <m/>
    <m/>
    <m/>
    <x v="1"/>
    <x v="1"/>
  </r>
  <r>
    <n v="198"/>
    <d v="2026-05-04T13:56:57"/>
    <d v="2026-05-04T14:01:09"/>
    <x v="145"/>
    <x v="145"/>
    <x v="0"/>
    <s v="079302030108"/>
    <s v="0868120502"/>
    <s v="No"/>
    <m/>
    <x v="0"/>
    <m/>
    <x v="2"/>
    <x v="6"/>
    <x v="18"/>
    <s v="In"/>
    <x v="0"/>
    <n v="0"/>
    <n v="0"/>
    <n v="0"/>
    <n v="1"/>
    <x v="7"/>
    <x v="85"/>
    <m/>
    <m/>
    <m/>
    <m/>
    <x v="0"/>
    <x v="0"/>
  </r>
  <r>
    <n v="207"/>
    <d v="2026-05-04T14:15:52"/>
    <d v="2026-05-04T14:53:48"/>
    <x v="146"/>
    <x v="146"/>
    <x v="0"/>
    <s v="034300013120"/>
    <s v="0986555347"/>
    <s v="No"/>
    <m/>
    <x v="0"/>
    <m/>
    <x v="2"/>
    <x v="6"/>
    <x v="18"/>
    <s v="In"/>
    <x v="0"/>
    <n v="0"/>
    <n v="0"/>
    <n v="0"/>
    <n v="1"/>
    <x v="7"/>
    <x v="85"/>
    <m/>
    <m/>
    <m/>
    <m/>
    <x v="0"/>
    <x v="0"/>
  </r>
  <r>
    <n v="258"/>
    <d v="2026-05-05T13:12:38"/>
    <d v="2026-05-05T13:14:23"/>
    <x v="147"/>
    <x v="147"/>
    <x v="0"/>
    <s v="'079202030875"/>
    <s v="'0902788713"/>
    <s v="No"/>
    <m/>
    <x v="0"/>
    <m/>
    <x v="2"/>
    <x v="5"/>
    <x v="18"/>
    <s v="In"/>
    <x v="0"/>
    <n v="0"/>
    <n v="0"/>
    <n v="0"/>
    <n v="1"/>
    <x v="7"/>
    <x v="81"/>
    <m/>
    <m/>
    <m/>
    <m/>
    <x v="1"/>
    <x v="1"/>
  </r>
  <r>
    <n v="131"/>
    <d v="2026-04-25T23:02:47"/>
    <d v="2026-04-25T23:05:46"/>
    <x v="148"/>
    <x v="148"/>
    <x v="0"/>
    <s v="077097003655"/>
    <s v="0355327017"/>
    <s v="No"/>
    <m/>
    <x v="0"/>
    <m/>
    <x v="2"/>
    <x v="6"/>
    <x v="19"/>
    <s v="In"/>
    <x v="0"/>
    <n v="0"/>
    <n v="0"/>
    <n v="0"/>
    <n v="1"/>
    <x v="7"/>
    <x v="86"/>
    <m/>
    <m/>
    <m/>
    <m/>
    <x v="1"/>
    <x v="1"/>
  </r>
  <r>
    <n v="54"/>
    <d v="2026-04-22T18:14:13"/>
    <d v="2026-04-22T18:15:20"/>
    <x v="149"/>
    <x v="149"/>
    <x v="0"/>
    <s v="077198000661"/>
    <s v="0933655795"/>
    <s v="No"/>
    <m/>
    <x v="0"/>
    <m/>
    <x v="2"/>
    <x v="5"/>
    <x v="20"/>
    <s v="In"/>
    <x v="0"/>
    <n v="0"/>
    <n v="0"/>
    <n v="0"/>
    <n v="1"/>
    <x v="7"/>
    <x v="87"/>
    <m/>
    <m/>
    <m/>
    <m/>
    <x v="0"/>
    <x v="0"/>
  </r>
  <r>
    <n v="168"/>
    <d v="2026-05-04T11:15:51"/>
    <d v="2026-05-04T11:19:59"/>
    <x v="150"/>
    <x v="150"/>
    <x v="0"/>
    <s v="25HD56242"/>
    <s v="0902411648"/>
    <s v="No"/>
    <m/>
    <x v="0"/>
    <m/>
    <x v="2"/>
    <x v="7"/>
    <x v="21"/>
    <s v="In"/>
    <x v="0"/>
    <n v="0"/>
    <n v="0"/>
    <n v="0"/>
    <n v="1"/>
    <x v="1"/>
    <x v="19"/>
    <m/>
    <m/>
    <m/>
    <m/>
    <x v="1"/>
    <x v="1"/>
  </r>
  <r>
    <n v="189"/>
    <d v="2026-05-04T13:53:26"/>
    <d v="2026-05-04T13:55:10"/>
    <x v="151"/>
    <x v="151"/>
    <x v="0"/>
    <s v="079086003000"/>
    <s v="0903177922"/>
    <s v="No"/>
    <m/>
    <x v="0"/>
    <m/>
    <x v="2"/>
    <x v="8"/>
    <x v="21"/>
    <s v="In"/>
    <x v="0"/>
    <n v="0"/>
    <n v="0"/>
    <n v="0"/>
    <n v="1"/>
    <x v="7"/>
    <x v="88"/>
    <m/>
    <m/>
    <m/>
    <m/>
    <x v="1"/>
    <x v="1"/>
  </r>
  <r>
    <n v="170"/>
    <d v="2026-05-04T11:47:18"/>
    <d v="2026-05-04T11:48:38"/>
    <x v="152"/>
    <x v="152"/>
    <x v="0"/>
    <s v="048198002437"/>
    <s v="0335767961"/>
    <s v="No"/>
    <m/>
    <x v="0"/>
    <m/>
    <x v="2"/>
    <x v="7"/>
    <x v="22"/>
    <s v="In"/>
    <x v="0"/>
    <n v="0"/>
    <n v="0"/>
    <n v="0"/>
    <n v="1"/>
    <x v="7"/>
    <x v="83"/>
    <m/>
    <m/>
    <m/>
    <m/>
    <x v="0"/>
    <x v="0"/>
  </r>
  <r>
    <n v="133"/>
    <d v="2026-04-27T11:36:50"/>
    <d v="2026-04-27T11:40:07"/>
    <x v="153"/>
    <x v="153"/>
    <x v="0"/>
    <s v="079199001035"/>
    <s v="0906982803"/>
    <s v="Yes"/>
    <s v="Nguyen The Anh - Male - 21/07/2000 - 040200000125"/>
    <x v="0"/>
    <m/>
    <x v="2"/>
    <x v="5"/>
    <x v="23"/>
    <s v="In"/>
    <x v="1"/>
    <n v="0"/>
    <n v="1"/>
    <n v="1"/>
    <n v="2"/>
    <x v="7"/>
    <x v="89"/>
    <m/>
    <m/>
    <m/>
    <m/>
    <x v="0"/>
    <x v="0"/>
  </r>
  <r>
    <n v="53"/>
    <d v="2026-04-22T18:07:22"/>
    <d v="2026-04-22T18:08:35"/>
    <x v="154"/>
    <x v="154"/>
    <x v="0"/>
    <s v="031303000776"/>
    <s v="0393991003"/>
    <s v="No"/>
    <m/>
    <x v="0"/>
    <m/>
    <x v="2"/>
    <x v="5"/>
    <x v="24"/>
    <s v="In"/>
    <x v="0"/>
    <n v="0"/>
    <n v="0"/>
    <n v="0"/>
    <n v="1"/>
    <x v="7"/>
    <x v="90"/>
    <m/>
    <m/>
    <m/>
    <m/>
    <x v="0"/>
    <x v="0"/>
  </r>
  <r>
    <n v="191"/>
    <d v="2026-05-04T13:56:36"/>
    <d v="2026-05-04T13:57:39"/>
    <x v="155"/>
    <x v="155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0"/>
    <x v="0"/>
  </r>
  <r>
    <n v="12"/>
    <d v="2026-04-22T15:41:44"/>
    <d v="2026-04-22T15:42:22"/>
    <x v="156"/>
    <x v="156"/>
    <x v="0"/>
    <s v="095190000250"/>
    <s v="0934831283"/>
    <s v="No"/>
    <m/>
    <x v="0"/>
    <m/>
    <x v="3"/>
    <x v="9"/>
    <x v="9"/>
    <s v="In"/>
    <x v="0"/>
    <n v="0"/>
    <n v="0"/>
    <n v="0"/>
    <n v="1"/>
    <x v="7"/>
    <x v="91"/>
    <m/>
    <m/>
    <m/>
    <m/>
    <x v="0"/>
    <x v="0"/>
  </r>
  <r>
    <n v="214"/>
    <d v="2026-05-04T16:19:58"/>
    <d v="2026-05-04T16:22:23"/>
    <x v="157"/>
    <x v="157"/>
    <x v="1"/>
    <s v="079198036919"/>
    <s v="0903376980"/>
    <s v="No"/>
    <m/>
    <x v="0"/>
    <s v="food allergy - all types of fish"/>
    <x v="1"/>
    <x v="3"/>
    <x v="8"/>
    <s v="Not joining"/>
    <x v="0"/>
    <n v="0"/>
    <n v="0"/>
    <n v="0"/>
    <n v="1"/>
    <x v="3"/>
    <x v="31"/>
    <m/>
    <m/>
    <m/>
    <m/>
    <x v="0"/>
    <x v="0"/>
  </r>
  <r>
    <n v="112"/>
    <d v="2026-04-24T13:51:53"/>
    <d v="2026-04-24T14:59:19"/>
    <x v="158"/>
    <x v="158"/>
    <x v="0"/>
    <s v="079096020132"/>
    <s v="0917923778"/>
    <s v="No"/>
    <m/>
    <x v="0"/>
    <m/>
    <x v="2"/>
    <x v="10"/>
    <x v="25"/>
    <s v="In"/>
    <x v="0"/>
    <n v="0"/>
    <n v="0"/>
    <n v="0"/>
    <n v="1"/>
    <x v="7"/>
    <x v="86"/>
    <m/>
    <m/>
    <m/>
    <m/>
    <x v="1"/>
    <x v="1"/>
  </r>
  <r>
    <n v="285"/>
    <d v="2026-05-05T20:14:41"/>
    <d v="2026-05-05T20:15:31"/>
    <x v="159"/>
    <x v="159"/>
    <x v="0"/>
    <s v="066304003315"/>
    <s v="0345814997"/>
    <s v="No"/>
    <m/>
    <x v="0"/>
    <m/>
    <x v="2"/>
    <x v="10"/>
    <x v="25"/>
    <s v="In"/>
    <x v="0"/>
    <n v="0"/>
    <n v="0"/>
    <n v="0"/>
    <n v="1"/>
    <x v="7"/>
    <x v="92"/>
    <m/>
    <m/>
    <m/>
    <m/>
    <x v="0"/>
    <x v="0"/>
  </r>
  <r>
    <n v="328"/>
    <d v="2026-05-07T13:19:38"/>
    <d v="2026-05-07T13:21:30"/>
    <x v="160"/>
    <x v="160"/>
    <x v="0"/>
    <s v="079195029833"/>
    <s v="0765217394"/>
    <s v="No"/>
    <m/>
    <x v="0"/>
    <m/>
    <x v="2"/>
    <x v="10"/>
    <x v="26"/>
    <s v="In"/>
    <x v="0"/>
    <n v="0"/>
    <n v="0"/>
    <n v="0"/>
    <n v="1"/>
    <x v="7"/>
    <x v="93"/>
    <m/>
    <m/>
    <m/>
    <m/>
    <x v="0"/>
    <x v="0"/>
  </r>
  <r>
    <n v="52"/>
    <d v="2026-04-22T17:40:01"/>
    <d v="2026-04-22T18:04:59"/>
    <x v="161"/>
    <x v="161"/>
    <x v="0"/>
    <s v="060303007588"/>
    <s v="0835255477"/>
    <s v="No"/>
    <m/>
    <x v="0"/>
    <m/>
    <x v="2"/>
    <x v="5"/>
    <x v="27"/>
    <s v="In"/>
    <x v="0"/>
    <n v="0"/>
    <n v="0"/>
    <n v="0"/>
    <n v="1"/>
    <x v="7"/>
    <x v="90"/>
    <m/>
    <m/>
    <m/>
    <m/>
    <x v="0"/>
    <x v="0"/>
  </r>
  <r>
    <n v="306"/>
    <d v="2026-05-05T18:27:10"/>
    <d v="2026-05-06T12:35:21"/>
    <x v="162"/>
    <x v="162"/>
    <x v="0"/>
    <s v="079302023454"/>
    <s v="0902912836"/>
    <s v="No"/>
    <m/>
    <x v="0"/>
    <m/>
    <x v="2"/>
    <x v="5"/>
    <x v="27"/>
    <s v="In"/>
    <x v="0"/>
    <n v="0"/>
    <n v="0"/>
    <n v="0"/>
    <n v="1"/>
    <x v="7"/>
    <x v="94"/>
    <m/>
    <m/>
    <m/>
    <m/>
    <x v="0"/>
    <x v="0"/>
  </r>
  <r>
    <n v="193"/>
    <d v="2026-05-04T13:57:22"/>
    <d v="2026-05-04T13:58:44"/>
    <x v="163"/>
    <x v="163"/>
    <x v="0"/>
    <s v="079303023390"/>
    <s v="0828740008"/>
    <s v="No"/>
    <m/>
    <x v="0"/>
    <m/>
    <x v="2"/>
    <x v="5"/>
    <x v="28"/>
    <s v="In"/>
    <x v="0"/>
    <n v="0"/>
    <n v="0"/>
    <n v="0"/>
    <n v="1"/>
    <x v="7"/>
    <x v="95"/>
    <m/>
    <m/>
    <m/>
    <m/>
    <x v="0"/>
    <x v="0"/>
  </r>
  <r>
    <n v="278"/>
    <d v="2026-05-05T18:20:50"/>
    <d v="2026-05-05T18:22:43"/>
    <x v="164"/>
    <x v="164"/>
    <x v="0"/>
    <s v="066303001193"/>
    <s v="0971993024"/>
    <s v="No"/>
    <m/>
    <x v="0"/>
    <m/>
    <x v="2"/>
    <x v="5"/>
    <x v="28"/>
    <s v="In"/>
    <x v="0"/>
    <n v="0"/>
    <n v="0"/>
    <n v="0"/>
    <n v="1"/>
    <x v="7"/>
    <x v="92"/>
    <m/>
    <m/>
    <m/>
    <m/>
    <x v="0"/>
    <x v="0"/>
  </r>
  <r>
    <n v="296"/>
    <d v="2026-05-06T09:29:19"/>
    <d v="2026-05-06T09:30:23"/>
    <x v="165"/>
    <x v="165"/>
    <x v="0"/>
    <s v="095304000809"/>
    <s v="0941219254"/>
    <s v="No"/>
    <m/>
    <x v="0"/>
    <m/>
    <x v="2"/>
    <x v="5"/>
    <x v="28"/>
    <s v="In"/>
    <x v="0"/>
    <n v="0"/>
    <n v="0"/>
    <n v="0"/>
    <n v="1"/>
    <x v="7"/>
    <x v="94"/>
    <m/>
    <m/>
    <m/>
    <m/>
    <x v="0"/>
    <x v="0"/>
  </r>
  <r>
    <n v="13"/>
    <d v="2026-04-22T15:41:59"/>
    <d v="2026-04-22T15:42:36"/>
    <x v="166"/>
    <x v="166"/>
    <x v="0"/>
    <s v="070093006594"/>
    <s v="0909321830"/>
    <s v="No"/>
    <m/>
    <x v="0"/>
    <m/>
    <x v="2"/>
    <x v="8"/>
    <x v="29"/>
    <s v="In"/>
    <x v="0"/>
    <n v="0"/>
    <n v="0"/>
    <n v="0"/>
    <n v="1"/>
    <x v="7"/>
    <x v="84"/>
    <m/>
    <m/>
    <m/>
    <m/>
    <x v="1"/>
    <x v="1"/>
  </r>
  <r>
    <n v="194"/>
    <d v="2026-05-04T13:57:07"/>
    <d v="2026-05-04T13:59:01"/>
    <x v="167"/>
    <x v="167"/>
    <x v="0"/>
    <s v="052303001134"/>
    <s v="0394301209"/>
    <s v="No"/>
    <m/>
    <x v="0"/>
    <m/>
    <x v="2"/>
    <x v="5"/>
    <x v="30"/>
    <s v="In"/>
    <x v="0"/>
    <n v="0"/>
    <n v="0"/>
    <n v="0"/>
    <n v="1"/>
    <x v="7"/>
    <x v="95"/>
    <m/>
    <m/>
    <m/>
    <m/>
    <x v="0"/>
    <x v="0"/>
  </r>
  <r>
    <n v="243"/>
    <d v="2026-05-05T10:22:29"/>
    <d v="2026-05-05T10:22:34"/>
    <x v="168"/>
    <x v="168"/>
    <x v="0"/>
    <s v="074092001617"/>
    <s v="0944234096"/>
    <s v="No"/>
    <m/>
    <x v="0"/>
    <m/>
    <x v="2"/>
    <x v="8"/>
    <x v="31"/>
    <s v="In"/>
    <x v="0"/>
    <n v="0"/>
    <n v="0"/>
    <n v="0"/>
    <n v="1"/>
    <x v="7"/>
    <x v="88"/>
    <m/>
    <m/>
    <m/>
    <m/>
    <x v="1"/>
    <x v="1"/>
  </r>
  <r>
    <n v="312"/>
    <d v="2026-05-06T18:19:15"/>
    <d v="2026-05-06T18:20:27"/>
    <x v="169"/>
    <x v="169"/>
    <x v="0"/>
    <s v="23FV09763"/>
    <s v="+33613234722"/>
    <s v="No"/>
    <m/>
    <x v="0"/>
    <s v="Any quality whisky (or wine) will do"/>
    <x v="4"/>
    <x v="11"/>
    <x v="32"/>
    <s v="In"/>
    <x v="0"/>
    <n v="0"/>
    <n v="0"/>
    <n v="0"/>
    <n v="1"/>
    <x v="1"/>
    <x v="96"/>
    <m/>
    <m/>
    <m/>
    <m/>
    <x v="1"/>
    <x v="0"/>
  </r>
  <r>
    <n v="46"/>
    <d v="2026-04-22T16:36:52"/>
    <d v="2026-04-22T16:39:50"/>
    <x v="170"/>
    <x v="170"/>
    <x v="0"/>
    <s v="079301029723"/>
    <s v="0908488723"/>
    <s v="No"/>
    <m/>
    <x v="0"/>
    <m/>
    <x v="4"/>
    <x v="12"/>
    <x v="33"/>
    <s v="In"/>
    <x v="0"/>
    <n v="0"/>
    <n v="0"/>
    <n v="0"/>
    <n v="1"/>
    <x v="8"/>
    <x v="97"/>
    <m/>
    <m/>
    <m/>
    <m/>
    <x v="0"/>
    <x v="0"/>
  </r>
  <r>
    <n v="68"/>
    <d v="2026-04-23T10:01:48"/>
    <d v="2026-04-23T10:03:09"/>
    <x v="171"/>
    <x v="171"/>
    <x v="0"/>
    <s v="091086018626"/>
    <s v="0935717578"/>
    <s v="No"/>
    <m/>
    <x v="0"/>
    <m/>
    <x v="4"/>
    <x v="13"/>
    <x v="33"/>
    <s v="In"/>
    <x v="0"/>
    <n v="0"/>
    <n v="0"/>
    <n v="0"/>
    <n v="1"/>
    <x v="8"/>
    <x v="96"/>
    <m/>
    <m/>
    <m/>
    <m/>
    <x v="1"/>
    <x v="0"/>
  </r>
  <r>
    <n v="109"/>
    <d v="2026-04-24T13:55:59"/>
    <d v="2026-04-24T14:00:25"/>
    <x v="172"/>
    <x v="172"/>
    <x v="0"/>
    <s v="079095017425"/>
    <s v="0984678726"/>
    <s v="No"/>
    <m/>
    <x v="0"/>
    <m/>
    <x v="4"/>
    <x v="13"/>
    <x v="33"/>
    <s v="In"/>
    <x v="0"/>
    <n v="0"/>
    <n v="0"/>
    <n v="0"/>
    <n v="1"/>
    <x v="8"/>
    <x v="98"/>
    <m/>
    <m/>
    <m/>
    <m/>
    <x v="1"/>
    <x v="0"/>
  </r>
  <r>
    <n v="1"/>
    <d v="2026-04-21T17:23:25"/>
    <d v="2026-04-21T17:23:34"/>
    <x v="173"/>
    <x v="173"/>
    <x v="0"/>
    <s v="040302018133"/>
    <s v="0826900204"/>
    <s v="No"/>
    <m/>
    <x v="0"/>
    <s v="I have plans after the next two days, so I’ll arrange my own travel back to HCM."/>
    <x v="4"/>
    <x v="14"/>
    <x v="34"/>
    <s v="In"/>
    <x v="0"/>
    <n v="0"/>
    <n v="0"/>
    <n v="0"/>
    <n v="1"/>
    <x v="8"/>
    <x v="97"/>
    <m/>
    <m/>
    <m/>
    <m/>
    <x v="0"/>
    <x v="0"/>
  </r>
  <r>
    <n v="100"/>
    <d v="2026-04-24T10:49:58"/>
    <d v="2026-04-24T10:53:43"/>
    <x v="174"/>
    <x v="174"/>
    <x v="0"/>
    <s v="079196031161"/>
    <s v="0707205096"/>
    <s v="No"/>
    <m/>
    <x v="0"/>
    <m/>
    <x v="4"/>
    <x v="12"/>
    <x v="34"/>
    <s v="In"/>
    <x v="0"/>
    <n v="0"/>
    <n v="0"/>
    <n v="0"/>
    <n v="1"/>
    <x v="8"/>
    <x v="99"/>
    <m/>
    <m/>
    <m/>
    <m/>
    <x v="0"/>
    <x v="0"/>
  </r>
  <r>
    <n v="162"/>
    <d v="2026-05-04T09:37:32"/>
    <d v="2026-05-04T09:39:35"/>
    <x v="175"/>
    <x v="175"/>
    <x v="0"/>
    <s v="079203014457"/>
    <s v="0968080085"/>
    <s v="No"/>
    <m/>
    <x v="0"/>
    <m/>
    <x v="4"/>
    <x v="12"/>
    <x v="34"/>
    <s v="In"/>
    <x v="0"/>
    <n v="0"/>
    <n v="0"/>
    <n v="0"/>
    <n v="1"/>
    <x v="8"/>
    <x v="98"/>
    <m/>
    <m/>
    <m/>
    <m/>
    <x v="1"/>
    <x v="0"/>
  </r>
  <r>
    <n v="66"/>
    <d v="2026-04-23T09:58:51"/>
    <d v="2026-04-23T10:00:10"/>
    <x v="176"/>
    <x v="176"/>
    <x v="0"/>
    <s v="066201002422"/>
    <s v="0372015192"/>
    <s v="No"/>
    <m/>
    <x v="0"/>
    <m/>
    <x v="4"/>
    <x v="13"/>
    <x v="35"/>
    <s v="In"/>
    <x v="0"/>
    <n v="0"/>
    <n v="0"/>
    <n v="0"/>
    <n v="1"/>
    <x v="8"/>
    <x v="100"/>
    <m/>
    <m/>
    <m/>
    <m/>
    <x v="1"/>
    <x v="0"/>
  </r>
  <r>
    <n v="67"/>
    <d v="2026-04-23T09:59:51"/>
    <d v="2026-04-23T10:00:46"/>
    <x v="177"/>
    <x v="177"/>
    <x v="0"/>
    <s v="080087011699"/>
    <s v="0352176769"/>
    <s v="No"/>
    <m/>
    <x v="0"/>
    <m/>
    <x v="4"/>
    <x v="13"/>
    <x v="35"/>
    <s v="In"/>
    <x v="0"/>
    <n v="0"/>
    <n v="0"/>
    <n v="0"/>
    <n v="1"/>
    <x v="8"/>
    <x v="100"/>
    <m/>
    <m/>
    <m/>
    <m/>
    <x v="1"/>
    <x v="0"/>
  </r>
  <r>
    <n v="69"/>
    <d v="2026-04-23T13:34:33"/>
    <d v="2026-04-23T13:44:48"/>
    <x v="178"/>
    <x v="178"/>
    <x v="0"/>
    <s v="079087017793"/>
    <s v="0903322044"/>
    <s v="No"/>
    <m/>
    <x v="0"/>
    <m/>
    <x v="4"/>
    <x v="13"/>
    <x v="35"/>
    <s v="In"/>
    <x v="0"/>
    <n v="0"/>
    <n v="0"/>
    <n v="0"/>
    <n v="1"/>
    <x v="8"/>
    <x v="101"/>
    <m/>
    <m/>
    <m/>
    <m/>
    <x v="1"/>
    <x v="0"/>
  </r>
  <r>
    <n v="71"/>
    <d v="2026-04-23T15:10:36"/>
    <d v="2026-04-23T15:12:25"/>
    <x v="179"/>
    <x v="179"/>
    <x v="0"/>
    <s v="079302019473"/>
    <s v="0918597387"/>
    <s v="No"/>
    <m/>
    <x v="0"/>
    <m/>
    <x v="4"/>
    <x v="13"/>
    <x v="35"/>
    <s v="In"/>
    <x v="0"/>
    <n v="0"/>
    <n v="0"/>
    <n v="0"/>
    <n v="1"/>
    <x v="8"/>
    <x v="99"/>
    <m/>
    <m/>
    <m/>
    <m/>
    <x v="0"/>
    <x v="0"/>
  </r>
  <r>
    <n v="74"/>
    <d v="2026-04-23T15:20:31"/>
    <d v="2026-04-23T15:43:40"/>
    <x v="180"/>
    <x v="180"/>
    <x v="0"/>
    <s v="051095009095 "/>
    <s v="0985752395"/>
    <s v="No"/>
    <m/>
    <x v="0"/>
    <m/>
    <x v="4"/>
    <x v="13"/>
    <x v="35"/>
    <s v="In"/>
    <x v="0"/>
    <n v="0"/>
    <n v="0"/>
    <n v="0"/>
    <n v="1"/>
    <x v="8"/>
    <x v="101"/>
    <m/>
    <m/>
    <m/>
    <m/>
    <x v="1"/>
    <x v="0"/>
  </r>
  <r>
    <n v="83"/>
    <d v="2026-04-23T17:32:34"/>
    <d v="2026-04-23T17:34:46"/>
    <x v="181"/>
    <x v="181"/>
    <x v="0"/>
    <s v="079078022487"/>
    <s v="0934181732"/>
    <s v="No"/>
    <m/>
    <x v="0"/>
    <m/>
    <x v="4"/>
    <x v="13"/>
    <x v="35"/>
    <s v="In"/>
    <x v="0"/>
    <n v="0"/>
    <n v="0"/>
    <n v="0"/>
    <n v="1"/>
    <x v="8"/>
    <x v="102"/>
    <m/>
    <m/>
    <m/>
    <m/>
    <x v="1"/>
    <x v="0"/>
  </r>
  <r>
    <n v="234"/>
    <d v="2026-05-04T23:36:27"/>
    <d v="2026-05-04T23:55:17"/>
    <x v="182"/>
    <x v="182"/>
    <x v="0"/>
    <s v="083096004407"/>
    <s v="0964072710"/>
    <s v="No"/>
    <m/>
    <x v="0"/>
    <m/>
    <x v="4"/>
    <x v="13"/>
    <x v="35"/>
    <s v="In"/>
    <x v="0"/>
    <n v="0"/>
    <n v="0"/>
    <n v="0"/>
    <n v="1"/>
    <x v="8"/>
    <x v="102"/>
    <m/>
    <m/>
    <m/>
    <m/>
    <x v="1"/>
    <x v="0"/>
  </r>
  <r>
    <n v="297"/>
    <d v="2026-05-06T10:35:20"/>
    <d v="2026-05-06T10:35:44"/>
    <x v="183"/>
    <x v="183"/>
    <x v="0"/>
    <s v="079087016493"/>
    <s v="0362685720"/>
    <s v="No"/>
    <m/>
    <x v="0"/>
    <m/>
    <x v="4"/>
    <x v="13"/>
    <x v="35"/>
    <s v="In"/>
    <x v="0"/>
    <n v="0"/>
    <n v="0"/>
    <n v="0"/>
    <n v="1"/>
    <x v="8"/>
    <x v="103"/>
    <m/>
    <m/>
    <m/>
    <m/>
    <x v="1"/>
    <x v="0"/>
  </r>
  <r>
    <n v="18"/>
    <d v="2026-04-22T15:49:45"/>
    <d v="2026-04-22T15:51:15"/>
    <x v="184"/>
    <x v="184"/>
    <x v="0"/>
    <s v="082089018141"/>
    <s v="0909857832"/>
    <s v="No"/>
    <m/>
    <x v="0"/>
    <m/>
    <x v="4"/>
    <x v="13"/>
    <x v="36"/>
    <s v="In"/>
    <x v="0"/>
    <n v="0"/>
    <n v="0"/>
    <n v="0"/>
    <n v="1"/>
    <x v="8"/>
    <x v="103"/>
    <m/>
    <m/>
    <m/>
    <m/>
    <x v="1"/>
    <x v="0"/>
  </r>
  <r>
    <n v="129"/>
    <d v="2026-04-25T10:42:52"/>
    <d v="2026-04-25T17:02:44"/>
    <x v="185"/>
    <x v="185"/>
    <x v="0"/>
    <s v="079096007068"/>
    <s v="0328971812"/>
    <s v="No"/>
    <m/>
    <x v="0"/>
    <m/>
    <x v="4"/>
    <x v="13"/>
    <x v="36"/>
    <s v="In"/>
    <x v="0"/>
    <n v="0"/>
    <n v="0"/>
    <n v="0"/>
    <n v="1"/>
    <x v="8"/>
    <x v="104"/>
    <m/>
    <m/>
    <m/>
    <m/>
    <x v="1"/>
    <x v="0"/>
  </r>
  <r>
    <n v="204"/>
    <d v="2026-05-04T14:37:07"/>
    <d v="2026-05-04T14:38:00"/>
    <x v="186"/>
    <x v="186"/>
    <x v="0"/>
    <s v="082098005823"/>
    <s v="0979622203"/>
    <s v="No"/>
    <m/>
    <x v="2"/>
    <m/>
    <x v="4"/>
    <x v="13"/>
    <x v="36"/>
    <s v="In"/>
    <x v="0"/>
    <n v="0"/>
    <n v="0"/>
    <n v="0"/>
    <n v="1"/>
    <x v="3"/>
    <x v="104"/>
    <m/>
    <m/>
    <m/>
    <m/>
    <x v="1"/>
    <x v="0"/>
  </r>
  <r>
    <n v="80"/>
    <d v="2026-04-23T15:54:06"/>
    <d v="2026-04-23T16:25:42"/>
    <x v="187"/>
    <x v="187"/>
    <x v="0"/>
    <s v="075099004545"/>
    <s v="0792909998"/>
    <s v="No"/>
    <m/>
    <x v="0"/>
    <s v="please have low fat, low cholesterol, easy to chew food_x000a_I want to be fit and have a nice body :)"/>
    <x v="4"/>
    <x v="14"/>
    <x v="37"/>
    <s v="In"/>
    <x v="0"/>
    <n v="0"/>
    <n v="0"/>
    <n v="0"/>
    <n v="1"/>
    <x v="8"/>
    <x v="105"/>
    <m/>
    <m/>
    <m/>
    <m/>
    <x v="1"/>
    <x v="0"/>
  </r>
  <r>
    <n v="144"/>
    <d v="2026-04-29T10:46:28"/>
    <d v="2026-04-29T10:55:00"/>
    <x v="188"/>
    <x v="188"/>
    <x v="0"/>
    <s v="066087005950"/>
    <s v="0948912119"/>
    <s v="Yes"/>
    <s v="1. Lưu Hồng Phương Thủy - Female - 27/10/1990 - 06619007476_x000a_2. Trần Hồng Như Ý - Female - 13/7/2025 - 079325017288"/>
    <x v="0"/>
    <m/>
    <x v="4"/>
    <x v="15"/>
    <x v="38"/>
    <s v="In"/>
    <x v="1"/>
    <n v="1"/>
    <n v="1"/>
    <n v="2"/>
    <n v="3"/>
    <x v="8"/>
    <x v="106"/>
    <m/>
    <m/>
    <m/>
    <m/>
    <x v="1"/>
    <x v="0"/>
  </r>
  <r>
    <n v="97"/>
    <d v="2026-04-24T10:00:44"/>
    <d v="2026-04-24T10:11:33"/>
    <x v="189"/>
    <x v="189"/>
    <x v="0"/>
    <s v="066303014236"/>
    <s v="0852489626"/>
    <s v="No"/>
    <m/>
    <x v="0"/>
    <m/>
    <x v="4"/>
    <x v="12"/>
    <x v="39"/>
    <s v="In"/>
    <x v="0"/>
    <n v="0"/>
    <n v="0"/>
    <n v="0"/>
    <n v="1"/>
    <x v="8"/>
    <x v="107"/>
    <m/>
    <m/>
    <m/>
    <m/>
    <x v="0"/>
    <x v="0"/>
  </r>
  <r>
    <n v="127"/>
    <d v="2026-04-25T14:57:03"/>
    <d v="2026-04-25T15:03:11"/>
    <x v="190"/>
    <x v="190"/>
    <x v="0"/>
    <s v="079088031980"/>
    <s v="0938004161"/>
    <s v="No"/>
    <m/>
    <x v="0"/>
    <s v="I need a private room"/>
    <x v="4"/>
    <x v="14"/>
    <x v="39"/>
    <s v="In"/>
    <x v="0"/>
    <n v="0"/>
    <n v="0"/>
    <n v="0"/>
    <n v="1"/>
    <x v="8"/>
    <x v="108"/>
    <m/>
    <m/>
    <m/>
    <m/>
    <x v="1"/>
    <x v="0"/>
  </r>
  <r>
    <n v="20"/>
    <d v="2026-04-22T15:49:20"/>
    <d v="2026-04-22T15:52:33"/>
    <x v="191"/>
    <x v="191"/>
    <x v="0"/>
    <s v="045201007690"/>
    <s v="0973743542"/>
    <s v="No"/>
    <m/>
    <x v="0"/>
    <m/>
    <x v="4"/>
    <x v="13"/>
    <x v="40"/>
    <s v="In"/>
    <x v="0"/>
    <n v="0"/>
    <n v="0"/>
    <n v="0"/>
    <n v="1"/>
    <x v="8"/>
    <x v="109"/>
    <m/>
    <m/>
    <m/>
    <m/>
    <x v="1"/>
    <x v="0"/>
  </r>
  <r>
    <n v="57"/>
    <d v="2026-04-22T17:44:20"/>
    <d v="2026-04-22T19:44:16"/>
    <x v="192"/>
    <x v="192"/>
    <x v="0"/>
    <s v="066203000250"/>
    <s v="0914 119 624"/>
    <s v="No"/>
    <m/>
    <x v="0"/>
    <m/>
    <x v="4"/>
    <x v="13"/>
    <x v="40"/>
    <s v="In"/>
    <x v="0"/>
    <n v="0"/>
    <n v="0"/>
    <n v="0"/>
    <n v="1"/>
    <x v="8"/>
    <x v="109"/>
    <m/>
    <m/>
    <m/>
    <m/>
    <x v="1"/>
    <x v="0"/>
  </r>
  <r>
    <n v="84"/>
    <d v="2026-04-23T17:45:55"/>
    <d v="2026-04-23T17:46:52"/>
    <x v="193"/>
    <x v="193"/>
    <x v="0"/>
    <s v="080094006419"/>
    <s v="0979891673"/>
    <s v="No"/>
    <m/>
    <x v="0"/>
    <m/>
    <x v="4"/>
    <x v="13"/>
    <x v="40"/>
    <s v="In"/>
    <x v="0"/>
    <n v="0"/>
    <n v="0"/>
    <n v="0"/>
    <n v="1"/>
    <x v="8"/>
    <x v="110"/>
    <m/>
    <m/>
    <m/>
    <m/>
    <x v="1"/>
    <x v="0"/>
  </r>
  <r>
    <n v="94"/>
    <d v="2026-04-24T09:49:17"/>
    <d v="2026-04-24T09:55:52"/>
    <x v="194"/>
    <x v="194"/>
    <x v="0"/>
    <s v="079302018741"/>
    <s v="0773215575"/>
    <s v="No"/>
    <m/>
    <x v="0"/>
    <s v="motion sickness medicine"/>
    <x v="4"/>
    <x v="13"/>
    <x v="40"/>
    <s v="In"/>
    <x v="0"/>
    <n v="0"/>
    <n v="0"/>
    <n v="0"/>
    <n v="1"/>
    <x v="8"/>
    <x v="107"/>
    <m/>
    <m/>
    <m/>
    <m/>
    <x v="0"/>
    <x v="0"/>
  </r>
  <r>
    <n v="126"/>
    <d v="2026-04-25T12:55:45"/>
    <d v="2026-04-25T12:58:58"/>
    <x v="195"/>
    <x v="195"/>
    <x v="0"/>
    <s v="001203053053"/>
    <s v="0853355397"/>
    <s v="No"/>
    <m/>
    <x v="0"/>
    <m/>
    <x v="4"/>
    <x v="13"/>
    <x v="40"/>
    <s v="In"/>
    <x v="0"/>
    <n v="0"/>
    <n v="0"/>
    <n v="0"/>
    <n v="1"/>
    <x v="8"/>
    <x v="110"/>
    <m/>
    <m/>
    <m/>
    <m/>
    <x v="1"/>
    <x v="0"/>
  </r>
  <r>
    <n v="19"/>
    <d v="2026-04-22T15:47:15"/>
    <d v="2026-04-22T15:51:48"/>
    <x v="196"/>
    <x v="196"/>
    <x v="0"/>
    <s v="049203006602"/>
    <s v="0367304351"/>
    <s v="No"/>
    <m/>
    <x v="0"/>
    <m/>
    <x v="4"/>
    <x v="13"/>
    <x v="41"/>
    <s v="In"/>
    <x v="0"/>
    <n v="0"/>
    <n v="0"/>
    <n v="0"/>
    <n v="1"/>
    <x v="8"/>
    <x v="111"/>
    <m/>
    <m/>
    <m/>
    <m/>
    <x v="1"/>
    <x v="0"/>
  </r>
  <r>
    <n v="181"/>
    <d v="2026-05-04T13:47:17"/>
    <d v="2026-05-04T13:47:29"/>
    <x v="197"/>
    <x v="197"/>
    <x v="0"/>
    <s v="067202006321"/>
    <s v="0867455918"/>
    <s v="No"/>
    <m/>
    <x v="0"/>
    <m/>
    <x v="4"/>
    <x v="13"/>
    <x v="41"/>
    <s v="In"/>
    <x v="0"/>
    <n v="0"/>
    <n v="0"/>
    <n v="0"/>
    <n v="1"/>
    <x v="8"/>
    <x v="111"/>
    <m/>
    <m/>
    <m/>
    <m/>
    <x v="1"/>
    <x v="0"/>
  </r>
  <r>
    <n v="184"/>
    <d v="2026-05-04T13:52:02"/>
    <d v="2026-05-04T13:53:29"/>
    <x v="198"/>
    <x v="198"/>
    <x v="0"/>
    <s v="089192001289"/>
    <s v="0933595559"/>
    <s v="No"/>
    <m/>
    <x v="0"/>
    <s v="Food allergies: shrimps"/>
    <x v="4"/>
    <x v="12"/>
    <x v="42"/>
    <s v="In"/>
    <x v="0"/>
    <n v="0"/>
    <n v="0"/>
    <n v="0"/>
    <n v="1"/>
    <x v="8"/>
    <x v="112"/>
    <m/>
    <m/>
    <m/>
    <m/>
    <x v="0"/>
    <x v="0"/>
  </r>
  <r>
    <n v="298"/>
    <d v="2026-05-06T10:59:36"/>
    <d v="2026-05-06T11:09:24"/>
    <x v="199"/>
    <x v="199"/>
    <x v="0"/>
    <s v="079188037007"/>
    <s v="0886311686"/>
    <s v="No"/>
    <m/>
    <x v="0"/>
    <m/>
    <x v="4"/>
    <x v="16"/>
    <x v="39"/>
    <s v="In"/>
    <x v="0"/>
    <n v="0"/>
    <n v="0"/>
    <n v="0"/>
    <n v="1"/>
    <x v="8"/>
    <x v="113"/>
    <m/>
    <m/>
    <m/>
    <m/>
    <x v="0"/>
    <x v="0"/>
  </r>
  <r>
    <n v="206"/>
    <d v="2026-05-04T14:02:19"/>
    <d v="2026-05-04T14:47:30"/>
    <x v="200"/>
    <x v="200"/>
    <x v="0"/>
    <s v="24HC90633"/>
    <s v="0896948417"/>
    <s v="No"/>
    <m/>
    <x v="0"/>
    <s v="Xếp chung phòng với Ruby"/>
    <x v="0"/>
    <x v="17"/>
    <x v="43"/>
    <s v="In"/>
    <x v="0"/>
    <n v="0"/>
    <n v="0"/>
    <n v="0"/>
    <n v="1"/>
    <x v="1"/>
    <x v="113"/>
    <m/>
    <m/>
    <m/>
    <m/>
    <x v="0"/>
    <x v="0"/>
  </r>
  <r>
    <n v="24"/>
    <d v="2026-04-22T15:52:57"/>
    <d v="2026-04-22T15:56:40"/>
    <x v="201"/>
    <x v="201"/>
    <x v="1"/>
    <s v="079098030469"/>
    <s v="0328807722"/>
    <s v="No"/>
    <m/>
    <x v="0"/>
    <m/>
    <x v="1"/>
    <x v="3"/>
    <x v="8"/>
    <s v="Not joining"/>
    <x v="0"/>
    <n v="0"/>
    <n v="0"/>
    <n v="0"/>
    <n v="1"/>
    <x v="3"/>
    <x v="31"/>
    <m/>
    <m/>
    <m/>
    <m/>
    <x v="1"/>
    <x v="0"/>
  </r>
  <r>
    <n v="89"/>
    <d v="2026-04-23T20:45:04"/>
    <d v="2026-04-23T20:48:27"/>
    <x v="202"/>
    <x v="202"/>
    <x v="0"/>
    <s v="082196012509"/>
    <s v="0793830996"/>
    <s v="No"/>
    <m/>
    <x v="0"/>
    <m/>
    <x v="0"/>
    <x v="0"/>
    <x v="12"/>
    <s v="In"/>
    <x v="0"/>
    <n v="0"/>
    <n v="0"/>
    <n v="0"/>
    <n v="1"/>
    <x v="5"/>
    <x v="75"/>
    <m/>
    <m/>
    <m/>
    <m/>
    <x v="0"/>
    <x v="0"/>
  </r>
  <r>
    <n v="104"/>
    <d v="2026-04-24T11:39:18"/>
    <d v="2026-04-24T11:40:57"/>
    <x v="203"/>
    <x v="203"/>
    <x v="0"/>
    <s v="048097003639"/>
    <s v="0799010869"/>
    <s v="No"/>
    <m/>
    <x v="0"/>
    <m/>
    <x v="0"/>
    <x v="0"/>
    <x v="12"/>
    <s v="In"/>
    <x v="0"/>
    <n v="0"/>
    <n v="0"/>
    <n v="0"/>
    <n v="1"/>
    <x v="6"/>
    <x v="114"/>
    <m/>
    <m/>
    <m/>
    <m/>
    <x v="1"/>
    <x v="1"/>
  </r>
  <r>
    <n v="107"/>
    <d v="2026-04-24T13:38:05"/>
    <d v="2026-04-24T13:39:15"/>
    <x v="204"/>
    <x v="204"/>
    <x v="0"/>
    <s v="096197008684"/>
    <s v="0971732462"/>
    <s v="No"/>
    <m/>
    <x v="0"/>
    <m/>
    <x v="0"/>
    <x v="0"/>
    <x v="12"/>
    <s v="In"/>
    <x v="0"/>
    <n v="0"/>
    <n v="0"/>
    <n v="0"/>
    <n v="1"/>
    <x v="5"/>
    <x v="73"/>
    <m/>
    <m/>
    <m/>
    <m/>
    <x v="0"/>
    <x v="0"/>
  </r>
  <r>
    <n v="137"/>
    <d v="2026-04-28T10:31:44"/>
    <d v="2026-04-28T10:33:02"/>
    <x v="205"/>
    <x v="205"/>
    <x v="0"/>
    <s v="067094005805"/>
    <s v="0976551265"/>
    <s v="No"/>
    <m/>
    <x v="0"/>
    <m/>
    <x v="0"/>
    <x v="0"/>
    <x v="12"/>
    <s v="In"/>
    <x v="0"/>
    <n v="0"/>
    <n v="0"/>
    <n v="0"/>
    <n v="1"/>
    <x v="6"/>
    <x v="114"/>
    <m/>
    <m/>
    <m/>
    <m/>
    <x v="1"/>
    <x v="1"/>
  </r>
  <r>
    <n v="167"/>
    <d v="2026-05-04T11:17:39"/>
    <d v="2026-05-04T11:18:47"/>
    <x v="206"/>
    <x v="206"/>
    <x v="0"/>
    <s v="079198003401"/>
    <s v="0397430707"/>
    <s v="No"/>
    <m/>
    <x v="0"/>
    <m/>
    <x v="0"/>
    <x v="0"/>
    <x v="12"/>
    <s v="In"/>
    <x v="0"/>
    <n v="0"/>
    <n v="0"/>
    <n v="0"/>
    <n v="1"/>
    <x v="6"/>
    <x v="47"/>
    <m/>
    <m/>
    <m/>
    <m/>
    <x v="0"/>
    <x v="0"/>
  </r>
  <r>
    <n v="7"/>
    <d v="2026-04-22T15:38:50"/>
    <d v="2026-04-22T15:40:12"/>
    <x v="207"/>
    <x v="207"/>
    <x v="0"/>
    <s v="077302000543"/>
    <s v="0931231740"/>
    <s v="No"/>
    <m/>
    <x v="0"/>
    <m/>
    <x v="5"/>
    <x v="18"/>
    <x v="44"/>
    <s v="In"/>
    <x v="0"/>
    <n v="0"/>
    <n v="0"/>
    <n v="0"/>
    <n v="1"/>
    <x v="6"/>
    <x v="115"/>
    <m/>
    <m/>
    <m/>
    <m/>
    <x v="0"/>
    <x v="0"/>
  </r>
  <r>
    <n v="9"/>
    <d v="2026-04-22T15:39:31"/>
    <d v="2026-04-22T15:40:54"/>
    <x v="208"/>
    <x v="208"/>
    <x v="0"/>
    <s v="075203000646"/>
    <s v="0986245303"/>
    <s v="No"/>
    <m/>
    <x v="0"/>
    <m/>
    <x v="5"/>
    <x v="18"/>
    <x v="44"/>
    <s v="In"/>
    <x v="0"/>
    <n v="0"/>
    <n v="0"/>
    <n v="0"/>
    <n v="1"/>
    <x v="6"/>
    <x v="116"/>
    <m/>
    <m/>
    <m/>
    <m/>
    <x v="1"/>
    <x v="1"/>
  </r>
  <r>
    <n v="195"/>
    <d v="2026-05-04T13:56:56"/>
    <d v="2026-05-04T13:59:41"/>
    <x v="209"/>
    <x v="209"/>
    <x v="0"/>
    <s v="079201011530"/>
    <s v="0965654937"/>
    <s v="No"/>
    <m/>
    <x v="0"/>
    <m/>
    <x v="5"/>
    <x v="18"/>
    <x v="44"/>
    <s v="In"/>
    <x v="0"/>
    <n v="0"/>
    <n v="0"/>
    <n v="0"/>
    <n v="1"/>
    <x v="6"/>
    <x v="116"/>
    <m/>
    <m/>
    <m/>
    <m/>
    <x v="1"/>
    <x v="1"/>
  </r>
  <r>
    <n v="226"/>
    <d v="2026-05-04T17:51:53"/>
    <d v="2026-05-04T17:53:32"/>
    <x v="210"/>
    <x v="210"/>
    <x v="0"/>
    <s v="079203008685"/>
    <s v="0776932589"/>
    <s v="No"/>
    <m/>
    <x v="0"/>
    <m/>
    <x v="5"/>
    <x v="18"/>
    <x v="44"/>
    <s v="In"/>
    <x v="0"/>
    <n v="0"/>
    <n v="0"/>
    <n v="0"/>
    <n v="1"/>
    <x v="6"/>
    <x v="117"/>
    <m/>
    <m/>
    <m/>
    <m/>
    <x v="1"/>
    <x v="1"/>
  </r>
  <r>
    <n v="269"/>
    <d v="2026-05-05T15:43:55"/>
    <d v="2026-05-05T15:46:36"/>
    <x v="211"/>
    <x v="211"/>
    <x v="0"/>
    <s v="079096012234"/>
    <s v="0909120296"/>
    <s v="No"/>
    <m/>
    <x v="0"/>
    <s v="Team event cho Hào đi bus chung từ Bến Tre đến Cần Thơ nhé, chiều về Hào đi xe riêng. Cảm ơn mọi người!"/>
    <x v="5"/>
    <x v="19"/>
    <x v="45"/>
    <s v="In"/>
    <x v="0"/>
    <n v="0"/>
    <n v="0"/>
    <n v="0"/>
    <n v="1"/>
    <x v="6"/>
    <x v="117"/>
    <m/>
    <m/>
    <m/>
    <m/>
    <x v="1"/>
    <x v="1"/>
  </r>
  <r>
    <n v="72"/>
    <d v="2026-04-23T15:30:57"/>
    <d v="2026-04-23T15:32:06"/>
    <x v="212"/>
    <x v="212"/>
    <x v="0"/>
    <s v="062195004991"/>
    <s v="0964455190"/>
    <s v="No"/>
    <m/>
    <x v="0"/>
    <s v="I wont take company bus on the depart day but i will take the return, pls help to count on me"/>
    <x v="5"/>
    <x v="20"/>
    <x v="46"/>
    <s v="In"/>
    <x v="0"/>
    <n v="0"/>
    <n v="0"/>
    <n v="0"/>
    <n v="1"/>
    <x v="6"/>
    <x v="118"/>
    <m/>
    <m/>
    <m/>
    <m/>
    <x v="0"/>
    <x v="0"/>
  </r>
  <r>
    <n v="91"/>
    <d v="2026-04-23T23:02:49"/>
    <d v="2026-04-23T23:03:17"/>
    <x v="213"/>
    <x v="213"/>
    <x v="0"/>
    <s v="079202006608"/>
    <s v="0983941396"/>
    <s v="No"/>
    <m/>
    <x v="0"/>
    <m/>
    <x v="0"/>
    <x v="0"/>
    <x v="7"/>
    <s v="In"/>
    <x v="0"/>
    <n v="0"/>
    <n v="0"/>
    <n v="0"/>
    <n v="1"/>
    <x v="6"/>
    <x v="119"/>
    <m/>
    <m/>
    <m/>
    <m/>
    <x v="1"/>
    <x v="1"/>
  </r>
  <r>
    <n v="121"/>
    <d v="2026-04-25T09:02:32"/>
    <d v="2026-04-25T09:37:11"/>
    <x v="214"/>
    <x v="214"/>
    <x v="0"/>
    <s v="066200002973"/>
    <s v="0769781003"/>
    <s v="No"/>
    <m/>
    <x v="0"/>
    <s v="I have a mild seafood allergy"/>
    <x v="0"/>
    <x v="0"/>
    <x v="7"/>
    <s v="In"/>
    <x v="0"/>
    <n v="0"/>
    <n v="0"/>
    <n v="0"/>
    <n v="1"/>
    <x v="6"/>
    <x v="119"/>
    <m/>
    <m/>
    <m/>
    <m/>
    <x v="1"/>
    <x v="1"/>
  </r>
  <r>
    <n v="124"/>
    <d v="2026-04-25T11:45:27"/>
    <d v="2026-04-25T11:46:03"/>
    <x v="215"/>
    <x v="215"/>
    <x v="0"/>
    <s v="086203010658"/>
    <s v="0799549878"/>
    <s v="No"/>
    <m/>
    <x v="0"/>
    <m/>
    <x v="0"/>
    <x v="0"/>
    <x v="7"/>
    <s v="In"/>
    <x v="0"/>
    <n v="0"/>
    <n v="0"/>
    <n v="0"/>
    <n v="1"/>
    <x v="6"/>
    <x v="120"/>
    <m/>
    <m/>
    <m/>
    <m/>
    <x v="1"/>
    <x v="1"/>
  </r>
  <r>
    <n v="165"/>
    <d v="2026-05-04T09:56:34"/>
    <d v="2026-05-04T09:57:50"/>
    <x v="216"/>
    <x v="216"/>
    <x v="0"/>
    <s v="052201013763"/>
    <s v="0398324011"/>
    <s v="No"/>
    <m/>
    <x v="0"/>
    <m/>
    <x v="0"/>
    <x v="0"/>
    <x v="7"/>
    <s v="In"/>
    <x v="0"/>
    <n v="0"/>
    <n v="0"/>
    <n v="0"/>
    <n v="1"/>
    <x v="6"/>
    <x v="120"/>
    <m/>
    <m/>
    <m/>
    <m/>
    <x v="1"/>
    <x v="1"/>
  </r>
  <r>
    <n v="249"/>
    <d v="2026-05-05T11:31:12"/>
    <d v="2026-05-05T11:31:55"/>
    <x v="217"/>
    <x v="217"/>
    <x v="0"/>
    <s v="079201007186"/>
    <s v="0919990145"/>
    <s v="No"/>
    <m/>
    <x v="0"/>
    <m/>
    <x v="0"/>
    <x v="0"/>
    <x v="7"/>
    <s v="In"/>
    <x v="0"/>
    <n v="0"/>
    <n v="0"/>
    <n v="0"/>
    <n v="1"/>
    <x v="6"/>
    <x v="25"/>
    <m/>
    <m/>
    <m/>
    <m/>
    <x v="1"/>
    <x v="1"/>
  </r>
  <r>
    <n v="257"/>
    <d v="2026-05-05T13:12:48"/>
    <d v="2026-05-05T13:14:04"/>
    <x v="218"/>
    <x v="218"/>
    <x v="0"/>
    <s v="031198014430"/>
    <s v="0901857690"/>
    <s v="No"/>
    <m/>
    <x v="0"/>
    <m/>
    <x v="0"/>
    <x v="1"/>
    <x v="14"/>
    <s v="In"/>
    <x v="0"/>
    <n v="0"/>
    <n v="0"/>
    <n v="0"/>
    <n v="1"/>
    <x v="6"/>
    <x v="4"/>
    <m/>
    <m/>
    <m/>
    <m/>
    <x v="0"/>
    <x v="0"/>
  </r>
  <r>
    <n v="166"/>
    <d v="2026-05-04T10:58:05"/>
    <d v="2026-05-04T10:59:32"/>
    <x v="219"/>
    <x v="219"/>
    <x v="0"/>
    <s v="064301004400"/>
    <s v="0961910015"/>
    <s v="No"/>
    <m/>
    <x v="0"/>
    <m/>
    <x v="5"/>
    <x v="21"/>
    <x v="47"/>
    <s v="In"/>
    <x v="0"/>
    <n v="0"/>
    <n v="0"/>
    <n v="0"/>
    <n v="1"/>
    <x v="6"/>
    <x v="121"/>
    <m/>
    <m/>
    <m/>
    <m/>
    <x v="0"/>
    <x v="0"/>
  </r>
  <r>
    <n v="3"/>
    <d v="2026-04-21T18:00:21"/>
    <d v="2026-04-21T18:03:15"/>
    <x v="220"/>
    <x v="220"/>
    <x v="0"/>
    <s v="077199007614"/>
    <s v="0778819618"/>
    <s v="No"/>
    <m/>
    <x v="0"/>
    <m/>
    <x v="5"/>
    <x v="19"/>
    <x v="48"/>
    <s v="In"/>
    <x v="0"/>
    <n v="0"/>
    <n v="0"/>
    <n v="0"/>
    <n v="1"/>
    <x v="6"/>
    <x v="118"/>
    <m/>
    <m/>
    <m/>
    <m/>
    <x v="0"/>
    <x v="0"/>
  </r>
  <r>
    <n v="73"/>
    <d v="2026-04-23T15:31:24"/>
    <d v="2026-04-23T15:34:08"/>
    <x v="221"/>
    <x v="221"/>
    <x v="0"/>
    <s v="'048300007642"/>
    <s v="'0984060780"/>
    <s v="No"/>
    <m/>
    <x v="0"/>
    <s v="Dạ từ HCM -&gt; Bến Tre: em tự đi xe riêng. Từ Tiền Giang -&gt; HCM: em đi bus với cty nha. Em cảm ơn mn đã hỗ trợ"/>
    <x v="5"/>
    <x v="19"/>
    <x v="48"/>
    <s v="In"/>
    <x v="0"/>
    <n v="0"/>
    <n v="0"/>
    <n v="0"/>
    <n v="1"/>
    <x v="6"/>
    <x v="115"/>
    <m/>
    <m/>
    <m/>
    <m/>
    <x v="0"/>
    <x v="0"/>
  </r>
  <r>
    <n v="200"/>
    <d v="2026-05-04T14:02:51"/>
    <d v="2026-05-04T14:04:34"/>
    <x v="222"/>
    <x v="222"/>
    <x v="0"/>
    <s v="079193025094"/>
    <s v="+84901393648"/>
    <s v="No"/>
    <m/>
    <x v="0"/>
    <s v="I take company bus the way back only. "/>
    <x v="5"/>
    <x v="19"/>
    <x v="49"/>
    <s v="In"/>
    <x v="0"/>
    <n v="0"/>
    <n v="0"/>
    <n v="0"/>
    <n v="1"/>
    <x v="6"/>
    <x v="121"/>
    <m/>
    <m/>
    <m/>
    <m/>
    <x v="0"/>
    <x v="0"/>
  </r>
  <r>
    <n v="122"/>
    <d v="2026-04-25T09:45:53"/>
    <d v="2026-04-25T09:51:10"/>
    <x v="223"/>
    <x v="223"/>
    <x v="0"/>
    <s v="079085028522"/>
    <s v="0909988822"/>
    <s v="No"/>
    <m/>
    <x v="0"/>
    <m/>
    <x v="0"/>
    <x v="0"/>
    <x v="2"/>
    <s v="In"/>
    <x v="0"/>
    <n v="0"/>
    <n v="0"/>
    <n v="0"/>
    <n v="1"/>
    <x v="6"/>
    <x v="21"/>
    <m/>
    <m/>
    <m/>
    <m/>
    <x v="1"/>
    <x v="1"/>
  </r>
  <r>
    <n v="171"/>
    <d v="2026-05-04T11:46:16"/>
    <d v="2026-05-04T11:50:58"/>
    <x v="224"/>
    <x v="224"/>
    <x v="0"/>
    <s v="075096010782"/>
    <s v="0985788540"/>
    <s v="No"/>
    <m/>
    <x v="0"/>
    <m/>
    <x v="0"/>
    <x v="0"/>
    <x v="2"/>
    <s v="In"/>
    <x v="0"/>
    <n v="0"/>
    <n v="0"/>
    <n v="0"/>
    <n v="1"/>
    <x v="6"/>
    <x v="122"/>
    <m/>
    <m/>
    <m/>
    <m/>
    <x v="1"/>
    <x v="1"/>
  </r>
  <r>
    <n v="253"/>
    <d v="2026-05-05T12:14:58"/>
    <d v="2026-05-05T12:16:06"/>
    <x v="225"/>
    <x v="225"/>
    <x v="0"/>
    <s v="001201015108"/>
    <s v="0328005399"/>
    <s v="No"/>
    <m/>
    <x v="0"/>
    <m/>
    <x v="0"/>
    <x v="0"/>
    <x v="2"/>
    <s v="In"/>
    <x v="0"/>
    <n v="0"/>
    <n v="0"/>
    <n v="0"/>
    <n v="1"/>
    <x v="6"/>
    <x v="122"/>
    <m/>
    <m/>
    <m/>
    <m/>
    <x v="1"/>
    <x v="1"/>
  </r>
  <r>
    <n v="284"/>
    <d v="2026-05-05T19:30:43"/>
    <d v="2026-05-05T19:33:45"/>
    <x v="226"/>
    <x v="226"/>
    <x v="0"/>
    <s v="079094014846"/>
    <s v="0338330044"/>
    <s v="No"/>
    <m/>
    <x v="0"/>
    <m/>
    <x v="0"/>
    <x v="0"/>
    <x v="2"/>
    <s v="In"/>
    <x v="0"/>
    <n v="0"/>
    <n v="0"/>
    <n v="0"/>
    <n v="1"/>
    <x v="6"/>
    <x v="123"/>
    <m/>
    <m/>
    <m/>
    <m/>
    <x v="1"/>
    <x v="1"/>
  </r>
  <r>
    <n v="308"/>
    <d v="2026-05-06T14:15:10"/>
    <d v="2026-05-06T14:16:11"/>
    <x v="227"/>
    <x v="227"/>
    <x v="0"/>
    <s v="079192033623"/>
    <s v="0903747427"/>
    <s v="No"/>
    <m/>
    <x v="0"/>
    <s v="Dị ứng Hải sản, phô mai, sữa "/>
    <x v="0"/>
    <x v="0"/>
    <x v="2"/>
    <s v="In"/>
    <x v="0"/>
    <n v="0"/>
    <n v="0"/>
    <n v="0"/>
    <n v="1"/>
    <x v="6"/>
    <x v="67"/>
    <m/>
    <m/>
    <m/>
    <m/>
    <x v="0"/>
    <x v="0"/>
  </r>
  <r>
    <n v="315"/>
    <d v="2026-05-06T22:57:48"/>
    <d v="2026-05-06T22:59:11"/>
    <x v="228"/>
    <x v="228"/>
    <x v="0"/>
    <s v="045099007148"/>
    <s v="0335533732"/>
    <s v="No"/>
    <m/>
    <x v="0"/>
    <m/>
    <x v="0"/>
    <x v="0"/>
    <x v="2"/>
    <s v="In"/>
    <x v="0"/>
    <n v="0"/>
    <n v="0"/>
    <n v="0"/>
    <n v="1"/>
    <x v="6"/>
    <x v="123"/>
    <m/>
    <m/>
    <m/>
    <m/>
    <x v="1"/>
    <x v="1"/>
  </r>
  <r>
    <n v="178"/>
    <d v="2026-05-04T13:43:05"/>
    <d v="2026-05-04T13:44:08"/>
    <x v="229"/>
    <x v="229"/>
    <x v="0"/>
    <s v="048195006450"/>
    <s v="0943149780"/>
    <s v="No"/>
    <m/>
    <x v="0"/>
    <m/>
    <x v="0"/>
    <x v="1"/>
    <x v="10"/>
    <s v="In"/>
    <x v="0"/>
    <n v="0"/>
    <n v="0"/>
    <n v="0"/>
    <n v="1"/>
    <x v="6"/>
    <x v="78"/>
    <m/>
    <m/>
    <m/>
    <m/>
    <x v="0"/>
    <x v="0"/>
  </r>
  <r>
    <n v="10"/>
    <d v="2026-04-22T15:39:10"/>
    <d v="2026-04-22T15:40:57"/>
    <x v="230"/>
    <x v="230"/>
    <x v="0"/>
    <s v="056079000075"/>
    <s v="0974674081"/>
    <s v="No"/>
    <m/>
    <x v="0"/>
    <m/>
    <x v="0"/>
    <x v="4"/>
    <x v="50"/>
    <s v="In"/>
    <x v="0"/>
    <n v="0"/>
    <n v="0"/>
    <n v="0"/>
    <n v="1"/>
    <x v="1"/>
    <x v="124"/>
    <m/>
    <m/>
    <m/>
    <m/>
    <x v="1"/>
    <x v="0"/>
  </r>
  <r>
    <n v="321"/>
    <d v="2026-05-07T13:19:38"/>
    <d v="2026-05-07T13:21:30"/>
    <x v="231"/>
    <x v="231"/>
    <x v="0"/>
    <s v="079197000483"/>
    <s v="0909915834"/>
    <s v="No"/>
    <m/>
    <x v="0"/>
    <m/>
    <x v="0"/>
    <x v="0"/>
    <x v="51"/>
    <s v="In"/>
    <x v="0"/>
    <n v="0"/>
    <n v="0"/>
    <n v="0"/>
    <n v="1"/>
    <x v="1"/>
    <x v="79"/>
    <m/>
    <m/>
    <m/>
    <m/>
    <x v="0"/>
    <x v="0"/>
  </r>
  <r>
    <n v="95"/>
    <d v="2026-04-24T09:59:55"/>
    <d v="2026-04-24T10:03:05"/>
    <x v="232"/>
    <x v="232"/>
    <x v="0"/>
    <s v="079197014206"/>
    <s v="0839022665"/>
    <s v="No"/>
    <m/>
    <x v="0"/>
    <m/>
    <x v="4"/>
    <x v="22"/>
    <x v="37"/>
    <s v="In"/>
    <x v="0"/>
    <n v="0"/>
    <n v="0"/>
    <n v="0"/>
    <n v="1"/>
    <x v="1"/>
    <x v="91"/>
    <m/>
    <m/>
    <m/>
    <m/>
    <x v="0"/>
    <x v="0"/>
  </r>
  <r>
    <n v="40"/>
    <d v="2026-04-22T16:22:37"/>
    <d v="2026-04-22T16:24:55"/>
    <x v="233"/>
    <x v="233"/>
    <x v="0"/>
    <s v="075184001102"/>
    <s v="0945745944"/>
    <s v="No"/>
    <m/>
    <x v="0"/>
    <m/>
    <x v="4"/>
    <x v="23"/>
    <x v="52"/>
    <s v="In"/>
    <x v="0"/>
    <n v="0"/>
    <n v="0"/>
    <n v="0"/>
    <n v="1"/>
    <x v="1"/>
    <x v="125"/>
    <m/>
    <m/>
    <m/>
    <m/>
    <x v="0"/>
    <x v="0"/>
  </r>
  <r>
    <n v="44"/>
    <d v="2026-04-22T16:36:10"/>
    <d v="2026-04-22T16:37:16"/>
    <x v="234"/>
    <x v="234"/>
    <x v="0"/>
    <s v="051202007260"/>
    <s v="0943527674"/>
    <s v="No"/>
    <m/>
    <x v="0"/>
    <m/>
    <x v="4"/>
    <x v="23"/>
    <x v="52"/>
    <s v="In"/>
    <x v="0"/>
    <n v="0"/>
    <n v="0"/>
    <n v="0"/>
    <n v="1"/>
    <x v="1"/>
    <x v="126"/>
    <m/>
    <m/>
    <m/>
    <m/>
    <x v="1"/>
    <x v="0"/>
  </r>
  <r>
    <n v="179"/>
    <d v="2026-05-04T13:41:49"/>
    <d v="2026-05-04T13:44:49"/>
    <x v="235"/>
    <x v="235"/>
    <x v="0"/>
    <s v="079199035294"/>
    <s v="84899286919"/>
    <s v="No"/>
    <m/>
    <x v="0"/>
    <m/>
    <x v="6"/>
    <x v="24"/>
    <x v="53"/>
    <s v="In"/>
    <x v="0"/>
    <n v="0"/>
    <n v="0"/>
    <n v="0"/>
    <n v="1"/>
    <x v="1"/>
    <x v="125"/>
    <m/>
    <m/>
    <m/>
    <m/>
    <x v="0"/>
    <x v="0"/>
  </r>
  <r>
    <n v="305"/>
    <d v="2026-05-06T12:04:47"/>
    <d v="2026-05-06T12:05:52"/>
    <x v="236"/>
    <x v="236"/>
    <x v="0"/>
    <s v="079202019928"/>
    <s v="0898313181"/>
    <s v="No"/>
    <m/>
    <x v="0"/>
    <m/>
    <x v="6"/>
    <x v="24"/>
    <x v="53"/>
    <s v="In"/>
    <x v="0"/>
    <n v="0"/>
    <n v="0"/>
    <n v="0"/>
    <n v="1"/>
    <x v="1"/>
    <x v="124"/>
    <m/>
    <m/>
    <m/>
    <m/>
    <x v="1"/>
    <x v="0"/>
  </r>
  <r>
    <n v="51"/>
    <d v="2026-04-22T17:40:44"/>
    <d v="2026-04-22T17:41:45"/>
    <x v="237"/>
    <x v="237"/>
    <x v="0"/>
    <s v="079203005175"/>
    <s v="0968412361"/>
    <s v="No"/>
    <m/>
    <x v="0"/>
    <m/>
    <x v="4"/>
    <x v="25"/>
    <x v="54"/>
    <s v="In"/>
    <x v="0"/>
    <n v="0"/>
    <n v="0"/>
    <n v="0"/>
    <n v="1"/>
    <x v="1"/>
    <x v="127"/>
    <m/>
    <m/>
    <m/>
    <m/>
    <x v="1"/>
    <x v="0"/>
  </r>
  <r>
    <n v="125"/>
    <d v="2026-04-25T12:04:17"/>
    <d v="2026-04-25T12:05:00"/>
    <x v="238"/>
    <x v="238"/>
    <x v="0"/>
    <s v="074093002317"/>
    <s v="0906 406 613 "/>
    <s v="No"/>
    <m/>
    <x v="2"/>
    <m/>
    <x v="4"/>
    <x v="25"/>
    <x v="54"/>
    <s v="In"/>
    <x v="0"/>
    <n v="0"/>
    <n v="0"/>
    <n v="0"/>
    <n v="1"/>
    <x v="3"/>
    <x v="128"/>
    <m/>
    <m/>
    <m/>
    <m/>
    <x v="1"/>
    <x v="1"/>
  </r>
  <r>
    <n v="203"/>
    <d v="2026-05-04T14:20:05"/>
    <d v="2026-05-04T14:28:54"/>
    <x v="239"/>
    <x v="239"/>
    <x v="0"/>
    <s v="075200000345"/>
    <s v="0339526385"/>
    <s v="No"/>
    <m/>
    <x v="0"/>
    <m/>
    <x v="4"/>
    <x v="26"/>
    <x v="55"/>
    <s v="In"/>
    <x v="0"/>
    <n v="0"/>
    <n v="0"/>
    <n v="0"/>
    <n v="1"/>
    <x v="1"/>
    <x v="126"/>
    <m/>
    <m/>
    <m/>
    <m/>
    <x v="1"/>
    <x v="0"/>
  </r>
  <r>
    <n v="41"/>
    <d v="2026-04-22T16:26:31"/>
    <d v="2026-04-22T16:27:16"/>
    <x v="240"/>
    <x v="240"/>
    <x v="0"/>
    <s v="079097016581"/>
    <s v="0942229030"/>
    <s v="No"/>
    <m/>
    <x v="0"/>
    <m/>
    <x v="4"/>
    <x v="16"/>
    <x v="33"/>
    <s v="In"/>
    <x v="0"/>
    <n v="0"/>
    <n v="0"/>
    <n v="0"/>
    <n v="1"/>
    <x v="8"/>
    <x v="129"/>
    <m/>
    <m/>
    <m/>
    <m/>
    <x v="1"/>
    <x v="0"/>
  </r>
  <r>
    <n v="260"/>
    <d v="2026-05-05T13:41:49"/>
    <d v="2026-05-05T13:44:29"/>
    <x v="241"/>
    <x v="241"/>
    <x v="0"/>
    <s v="079195004762"/>
    <s v="0945686674"/>
    <s v="No"/>
    <m/>
    <x v="0"/>
    <m/>
    <x v="4"/>
    <x v="16"/>
    <x v="33"/>
    <s v="In"/>
    <x v="0"/>
    <n v="0"/>
    <n v="0"/>
    <n v="0"/>
    <n v="1"/>
    <x v="8"/>
    <x v="130"/>
    <m/>
    <m/>
    <m/>
    <m/>
    <x v="0"/>
    <x v="0"/>
  </r>
  <r>
    <n v="70"/>
    <d v="2026-04-23T15:03:16"/>
    <d v="2026-04-23T15:04:56"/>
    <x v="242"/>
    <x v="242"/>
    <x v="0"/>
    <s v="038301000546"/>
    <s v="0376622565"/>
    <s v="No"/>
    <m/>
    <x v="0"/>
    <m/>
    <x v="4"/>
    <x v="16"/>
    <x v="34"/>
    <s v="In"/>
    <x v="0"/>
    <n v="0"/>
    <n v="0"/>
    <n v="0"/>
    <n v="1"/>
    <x v="8"/>
    <x v="112"/>
    <m/>
    <m/>
    <m/>
    <m/>
    <x v="0"/>
    <x v="0"/>
  </r>
  <r>
    <n v="119"/>
    <d v="2026-04-24T17:44:43"/>
    <d v="2026-04-24T17:47:55"/>
    <x v="243"/>
    <x v="243"/>
    <x v="0"/>
    <s v="079301028966"/>
    <s v="0763889811"/>
    <s v="No"/>
    <m/>
    <x v="0"/>
    <m/>
    <x v="4"/>
    <x v="16"/>
    <x v="34"/>
    <s v="In"/>
    <x v="0"/>
    <n v="0"/>
    <n v="0"/>
    <n v="0"/>
    <n v="1"/>
    <x v="8"/>
    <x v="130"/>
    <m/>
    <m/>
    <m/>
    <m/>
    <x v="0"/>
    <x v="0"/>
  </r>
  <r>
    <n v="62"/>
    <d v="2026-04-23T08:45:53"/>
    <d v="2026-04-23T08:47:06"/>
    <x v="244"/>
    <x v="244"/>
    <x v="0"/>
    <s v="17EH77400"/>
    <s v="+33679194344"/>
    <s v="No"/>
    <m/>
    <x v="0"/>
    <m/>
    <x v="4"/>
    <x v="16"/>
    <x v="37"/>
    <s v="In"/>
    <x v="0"/>
    <n v="0"/>
    <n v="0"/>
    <n v="0"/>
    <n v="1"/>
    <x v="8"/>
    <x v="129"/>
    <m/>
    <m/>
    <m/>
    <m/>
    <x v="1"/>
    <x v="0"/>
  </r>
  <r>
    <n v="116"/>
    <d v="2026-04-24T16:35:35"/>
    <d v="2026-04-24T16:37:20"/>
    <x v="245"/>
    <x v="245"/>
    <x v="0"/>
    <s v="079202015216"/>
    <s v="0812900824"/>
    <s v="No"/>
    <m/>
    <x v="0"/>
    <m/>
    <x v="4"/>
    <x v="16"/>
    <x v="37"/>
    <s v="In"/>
    <x v="0"/>
    <n v="0"/>
    <n v="0"/>
    <n v="0"/>
    <n v="1"/>
    <x v="8"/>
    <x v="131"/>
    <m/>
    <m/>
    <m/>
    <m/>
    <x v="1"/>
    <x v="1"/>
  </r>
  <r>
    <n v="34"/>
    <d v="2026-04-22T15:43:48"/>
    <d v="2026-04-22T16:15:38"/>
    <x v="246"/>
    <x v="246"/>
    <x v="0"/>
    <s v="077197001261"/>
    <s v="0785670597"/>
    <s v="No"/>
    <m/>
    <x v="0"/>
    <m/>
    <x v="7"/>
    <x v="27"/>
    <x v="56"/>
    <s v="In"/>
    <x v="0"/>
    <n v="0"/>
    <n v="0"/>
    <n v="0"/>
    <n v="1"/>
    <x v="1"/>
    <x v="87"/>
    <m/>
    <m/>
    <m/>
    <m/>
    <x v="0"/>
    <x v="0"/>
  </r>
  <r>
    <n v="143"/>
    <d v="2026-04-28T17:24:08"/>
    <d v="2026-04-28T17:38:18"/>
    <x v="247"/>
    <x v="247"/>
    <x v="0"/>
    <s v="074301006998"/>
    <s v="0967486292"/>
    <s v="No"/>
    <m/>
    <x v="0"/>
    <m/>
    <x v="7"/>
    <x v="27"/>
    <x v="56"/>
    <s v="In"/>
    <x v="0"/>
    <n v="0"/>
    <n v="0"/>
    <n v="0"/>
    <n v="1"/>
    <x v="1"/>
    <x v="132"/>
    <m/>
    <m/>
    <m/>
    <m/>
    <x v="0"/>
    <x v="0"/>
  </r>
  <r>
    <n v="145"/>
    <d v="2026-04-29T10:59:50"/>
    <d v="2026-04-29T11:02:43"/>
    <x v="248"/>
    <x v="248"/>
    <x v="0"/>
    <s v="045198003359"/>
    <s v="0355042483"/>
    <s v="No"/>
    <m/>
    <x v="0"/>
    <s v="Mình muốn request ở phòng 3 người với team OC: NGUYEN Thi Thanh Nhan, TRAN Thị Anh Minh và NGUYEN Thu Hong"/>
    <x v="7"/>
    <x v="27"/>
    <x v="56"/>
    <s v="In"/>
    <x v="0"/>
    <n v="0"/>
    <n v="0"/>
    <n v="0"/>
    <n v="1"/>
    <x v="1"/>
    <x v="132"/>
    <m/>
    <m/>
    <m/>
    <m/>
    <x v="0"/>
    <x v="0"/>
  </r>
  <r>
    <n v="174"/>
    <d v="2026-05-04T13:15:24"/>
    <d v="2026-05-04T13:25:05"/>
    <x v="249"/>
    <x v="249"/>
    <x v="0"/>
    <s v="068300004128"/>
    <s v="+84 389420759 "/>
    <s v="No"/>
    <m/>
    <x v="0"/>
    <m/>
    <x v="8"/>
    <x v="28"/>
    <x v="57"/>
    <s v="In"/>
    <x v="0"/>
    <n v="0"/>
    <n v="0"/>
    <n v="0"/>
    <n v="1"/>
    <x v="1"/>
    <x v="133"/>
    <m/>
    <m/>
    <m/>
    <m/>
    <x v="0"/>
    <x v="0"/>
  </r>
  <r>
    <n v="196"/>
    <d v="2026-05-04T13:58:50"/>
    <d v="2026-05-04T14:00:09"/>
    <x v="250"/>
    <x v="250"/>
    <x v="0"/>
    <s v="079076006834"/>
    <s v="0913676060"/>
    <s v="No"/>
    <m/>
    <x v="0"/>
    <m/>
    <x v="0"/>
    <x v="4"/>
    <x v="58"/>
    <s v="In"/>
    <x v="0"/>
    <n v="0"/>
    <n v="0"/>
    <n v="0"/>
    <n v="1"/>
    <x v="1"/>
    <x v="134"/>
    <m/>
    <m/>
    <m/>
    <m/>
    <x v="1"/>
    <x v="1"/>
  </r>
  <r>
    <n v="79"/>
    <d v="2026-04-23T16:12:43"/>
    <d v="2026-04-23T16:15:26"/>
    <x v="251"/>
    <x v="251"/>
    <x v="0"/>
    <s v="082196015477"/>
    <s v="0984016140"/>
    <s v="No"/>
    <m/>
    <x v="0"/>
    <m/>
    <x v="0"/>
    <x v="29"/>
    <x v="59"/>
    <s v="In"/>
    <x v="0"/>
    <n v="0"/>
    <n v="0"/>
    <n v="0"/>
    <n v="1"/>
    <x v="1"/>
    <x v="135"/>
    <m/>
    <m/>
    <m/>
    <m/>
    <x v="0"/>
    <x v="0"/>
  </r>
  <r>
    <n v="223"/>
    <d v="2026-05-04T17:28:47"/>
    <d v="2026-05-04T17:29:45"/>
    <x v="252"/>
    <x v="252"/>
    <x v="0"/>
    <s v="079301005911"/>
    <s v="0327649437"/>
    <s v="No"/>
    <m/>
    <x v="0"/>
    <m/>
    <x v="0"/>
    <x v="29"/>
    <x v="60"/>
    <s v="In"/>
    <x v="0"/>
    <n v="0"/>
    <n v="0"/>
    <n v="0"/>
    <n v="1"/>
    <x v="1"/>
    <x v="136"/>
    <m/>
    <m/>
    <m/>
    <m/>
    <x v="0"/>
    <x v="0"/>
  </r>
  <r>
    <n v="320"/>
    <d v="2026-05-07T12:47:40"/>
    <d v="2026-05-07T12:47:53"/>
    <x v="253"/>
    <x v="253"/>
    <x v="0"/>
    <s v="22IK50629"/>
    <s v="0902612360"/>
    <s v="No"/>
    <m/>
    <x v="0"/>
    <m/>
    <x v="0"/>
    <x v="17"/>
    <x v="61"/>
    <s v="In"/>
    <x v="0"/>
    <n v="0"/>
    <n v="0"/>
    <n v="0"/>
    <n v="1"/>
    <x v="1"/>
    <x v="134"/>
    <m/>
    <m/>
    <m/>
    <m/>
    <x v="1"/>
    <x v="1"/>
  </r>
  <r>
    <n v="25"/>
    <d v="2026-04-22T15:42:40"/>
    <d v="2026-04-22T15:57:45"/>
    <x v="254"/>
    <x v="254"/>
    <x v="0"/>
    <s v="060199000392"/>
    <s v="0975488340"/>
    <s v="Yes"/>
    <s v="Nguyen Tran Bao Phu - Male - 28/03/1999 - 080099002154"/>
    <x v="0"/>
    <m/>
    <x v="0"/>
    <x v="29"/>
    <x v="62"/>
    <s v="In"/>
    <x v="1"/>
    <n v="0"/>
    <n v="1"/>
    <n v="1"/>
    <n v="2"/>
    <x v="1"/>
    <x v="137"/>
    <m/>
    <m/>
    <m/>
    <m/>
    <x v="0"/>
    <x v="0"/>
  </r>
  <r>
    <n v="35"/>
    <d v="2026-04-22T16:15:52"/>
    <d v="2026-04-22T16:17:41"/>
    <x v="255"/>
    <x v="255"/>
    <x v="0"/>
    <s v="079302019770"/>
    <s v="0708319701"/>
    <s v="No"/>
    <m/>
    <x v="0"/>
    <m/>
    <x v="0"/>
    <x v="29"/>
    <x v="62"/>
    <s v="In"/>
    <x v="0"/>
    <n v="0"/>
    <n v="0"/>
    <n v="0"/>
    <n v="1"/>
    <x v="1"/>
    <x v="135"/>
    <m/>
    <m/>
    <m/>
    <m/>
    <x v="0"/>
    <x v="0"/>
  </r>
  <r>
    <n v="36"/>
    <d v="2026-04-22T16:16:56"/>
    <d v="2026-04-22T16:18:03"/>
    <x v="256"/>
    <x v="256"/>
    <x v="0"/>
    <s v="079198027964"/>
    <s v="0374428877"/>
    <s v="No"/>
    <m/>
    <x v="0"/>
    <m/>
    <x v="0"/>
    <x v="29"/>
    <x v="62"/>
    <s v="In"/>
    <x v="0"/>
    <n v="0"/>
    <n v="0"/>
    <n v="0"/>
    <n v="1"/>
    <x v="1"/>
    <x v="136"/>
    <m/>
    <m/>
    <m/>
    <m/>
    <x v="0"/>
    <x v="0"/>
  </r>
  <r>
    <n v="98"/>
    <d v="2026-04-24T10:17:11"/>
    <d v="2026-04-24T10:20:00"/>
    <x v="257"/>
    <x v="257"/>
    <x v="0"/>
    <s v="031199002762"/>
    <s v="0363031131"/>
    <s v="Yes"/>
    <s v="Do Chi Thanh - Male - 20/10/2002 - 001202005933"/>
    <x v="0"/>
    <m/>
    <x v="0"/>
    <x v="29"/>
    <x v="62"/>
    <s v="In"/>
    <x v="1"/>
    <n v="0"/>
    <n v="1"/>
    <n v="1"/>
    <n v="2"/>
    <x v="1"/>
    <x v="138"/>
    <m/>
    <m/>
    <m/>
    <m/>
    <x v="0"/>
    <x v="0"/>
  </r>
  <r>
    <n v="8"/>
    <d v="2026-04-22T15:38:01"/>
    <d v="2026-04-22T15:40:25"/>
    <x v="258"/>
    <x v="258"/>
    <x v="0"/>
    <s v="079 303 003 034"/>
    <s v="0903 175 838"/>
    <s v="No"/>
    <m/>
    <x v="0"/>
    <m/>
    <x v="0"/>
    <x v="29"/>
    <x v="63"/>
    <s v="In"/>
    <x v="0"/>
    <n v="0"/>
    <n v="0"/>
    <n v="0"/>
    <n v="1"/>
    <x v="1"/>
    <x v="139"/>
    <m/>
    <m/>
    <m/>
    <m/>
    <x v="0"/>
    <x v="0"/>
  </r>
  <r>
    <n v="163"/>
    <d v="2026-05-04T09:43:00"/>
    <d v="2026-05-04T09:44:00"/>
    <x v="259"/>
    <x v="259"/>
    <x v="0"/>
    <s v="068203012626"/>
    <s v="0985291931"/>
    <s v="No"/>
    <m/>
    <x v="0"/>
    <s v="I am allergic to seafood and eggs"/>
    <x v="0"/>
    <x v="29"/>
    <x v="63"/>
    <s v="In"/>
    <x v="0"/>
    <n v="0"/>
    <n v="0"/>
    <n v="0"/>
    <n v="1"/>
    <x v="1"/>
    <x v="131"/>
    <m/>
    <m/>
    <m/>
    <m/>
    <x v="1"/>
    <x v="1"/>
  </r>
  <r>
    <n v="224"/>
    <d v="2026-05-04T17:40:27"/>
    <d v="2026-05-04T17:42:35"/>
    <x v="260"/>
    <x v="260"/>
    <x v="0"/>
    <s v="064304011457"/>
    <s v="0905435679"/>
    <s v="No"/>
    <m/>
    <x v="0"/>
    <m/>
    <x v="0"/>
    <x v="29"/>
    <x v="63"/>
    <s v="In"/>
    <x v="0"/>
    <n v="0"/>
    <n v="0"/>
    <n v="0"/>
    <n v="1"/>
    <x v="1"/>
    <x v="139"/>
    <m/>
    <m/>
    <m/>
    <m/>
    <x v="0"/>
    <x v="0"/>
  </r>
  <r>
    <n v="105"/>
    <d v="2026-04-24T11:52:38"/>
    <d v="2026-04-24T11:53:16"/>
    <x v="261"/>
    <x v="261"/>
    <x v="0"/>
    <s v="049303014137"/>
    <s v="+84868772661"/>
    <s v="No"/>
    <m/>
    <x v="0"/>
    <m/>
    <x v="0"/>
    <x v="29"/>
    <x v="64"/>
    <s v="In"/>
    <x v="0"/>
    <n v="0"/>
    <n v="0"/>
    <n v="0"/>
    <n v="1"/>
    <x v="1"/>
    <x v="64"/>
    <m/>
    <m/>
    <m/>
    <m/>
    <x v="0"/>
    <x v="0"/>
  </r>
  <r>
    <n v="2"/>
    <d v="2026-04-21T17:58:57"/>
    <d v="2026-04-21T17:59:51"/>
    <x v="262"/>
    <x v="262"/>
    <x v="0"/>
    <s v="037303000012"/>
    <s v="0961760721"/>
    <s v="No"/>
    <m/>
    <x v="0"/>
    <m/>
    <x v="8"/>
    <x v="28"/>
    <x v="65"/>
    <s v="In"/>
    <x v="0"/>
    <n v="0"/>
    <n v="0"/>
    <n v="0"/>
    <n v="1"/>
    <x v="1"/>
    <x v="133"/>
    <m/>
    <m/>
    <m/>
    <m/>
    <x v="0"/>
    <x v="0"/>
  </r>
  <r>
    <n v="6"/>
    <d v="2026-04-22T15:37:19"/>
    <d v="2026-04-22T15:39:35"/>
    <x v="263"/>
    <x v="263"/>
    <x v="0"/>
    <s v="079193009931"/>
    <s v="0909083103"/>
    <s v="No"/>
    <m/>
    <x v="0"/>
    <m/>
    <x v="9"/>
    <x v="30"/>
    <x v="66"/>
    <s v="In"/>
    <x v="0"/>
    <n v="0"/>
    <n v="0"/>
    <n v="0"/>
    <n v="1"/>
    <x v="1"/>
    <x v="140"/>
    <m/>
    <m/>
    <m/>
    <m/>
    <x v="0"/>
    <x v="0"/>
  </r>
  <r>
    <n v="201"/>
    <d v="2026-05-04T14:16:55"/>
    <d v="2026-05-04T14:22:04"/>
    <x v="264"/>
    <x v="264"/>
    <x v="0"/>
    <s v="079193040594"/>
    <s v="0931439977"/>
    <s v="No"/>
    <m/>
    <x v="0"/>
    <m/>
    <x v="9"/>
    <x v="30"/>
    <x v="66"/>
    <s v="In"/>
    <x v="0"/>
    <n v="0"/>
    <n v="0"/>
    <n v="0"/>
    <n v="1"/>
    <x v="1"/>
    <x v="140"/>
    <m/>
    <m/>
    <m/>
    <m/>
    <x v="0"/>
    <x v="0"/>
  </r>
  <r>
    <n v="11"/>
    <d v="2026-04-22T15:40:26"/>
    <d v="2026-04-22T15:42:10"/>
    <x v="265"/>
    <x v="265"/>
    <x v="0"/>
    <s v="079093042207"/>
    <s v="0937756145"/>
    <s v="No"/>
    <m/>
    <x v="2"/>
    <m/>
    <x v="4"/>
    <x v="26"/>
    <x v="55"/>
    <s v="In"/>
    <x v="0"/>
    <n v="0"/>
    <n v="0"/>
    <n v="0"/>
    <n v="1"/>
    <x v="3"/>
    <x v="127"/>
    <m/>
    <m/>
    <m/>
    <m/>
    <x v="1"/>
    <x v="0"/>
  </r>
  <r>
    <n v="16"/>
    <d v="2026-04-22T15:49:58"/>
    <d v="2026-04-22T15:50:33"/>
    <x v="266"/>
    <x v="266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0"/>
    <x v="0"/>
  </r>
  <r>
    <n v="21"/>
    <d v="2026-04-22T15:51:15"/>
    <d v="2026-04-22T15:53:36"/>
    <x v="267"/>
    <x v="267"/>
    <x v="0"/>
    <s v="079091022899"/>
    <s v="0987646085"/>
    <s v="No"/>
    <m/>
    <x v="2"/>
    <m/>
    <x v="4"/>
    <x v="25"/>
    <x v="67"/>
    <s v="In"/>
    <x v="0"/>
    <n v="0"/>
    <n v="0"/>
    <n v="0"/>
    <n v="1"/>
    <x v="3"/>
    <x v="128"/>
    <m/>
    <m/>
    <m/>
    <m/>
    <x v="1"/>
    <x v="1"/>
  </r>
  <r>
    <n v="23"/>
    <d v="2026-04-22T15:50:40"/>
    <d v="2026-04-22T15:54:24"/>
    <x v="268"/>
    <x v="268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26"/>
    <d v="2026-04-22T15:54:28"/>
    <d v="2026-04-22T15:59:16"/>
    <x v="269"/>
    <x v="269"/>
    <x v="1"/>
    <s v="070189010077"/>
    <s v="0986474406"/>
    <s v="Yes"/>
    <s v="1. Trần Văn Năm - Male - 08/09/1989_x000a_2. Trần Phan Yến Nhi - Female - 23/10/2015_x000a_3. Trần Văn Minh - Male - 17/08/2020"/>
    <x v="0"/>
    <m/>
    <x v="1"/>
    <x v="3"/>
    <x v="8"/>
    <s v="Not joining"/>
    <x v="1"/>
    <n v="0"/>
    <n v="0"/>
    <n v="0"/>
    <n v="1"/>
    <x v="3"/>
    <x v="31"/>
    <m/>
    <m/>
    <m/>
    <m/>
    <x v="0"/>
    <x v="0"/>
  </r>
  <r>
    <n v="42"/>
    <d v="2026-04-22T16:23:12"/>
    <d v="2026-04-22T16:27:33"/>
    <x v="270"/>
    <x v="270"/>
    <x v="0"/>
    <s v="079092012567"/>
    <s v="0972708318"/>
    <s v="Yes"/>
    <s v="1. Truong Ngoc Tinh Anh - 10/12/1993 - 060193015462_x000a_2. Phan Nhat Thien Dang - 28/11/2023 - 079223047176"/>
    <x v="2"/>
    <m/>
    <x v="4"/>
    <x v="13"/>
    <x v="33"/>
    <s v="In"/>
    <x v="1"/>
    <n v="1"/>
    <n v="1"/>
    <n v="2"/>
    <n v="3"/>
    <x v="3"/>
    <x v="141"/>
    <m/>
    <m/>
    <m/>
    <m/>
    <x v="1"/>
    <x v="0"/>
  </r>
  <r>
    <n v="58"/>
    <d v="2026-04-22T20:11:31"/>
    <d v="2026-04-22T20:12:03"/>
    <x v="271"/>
    <x v="271"/>
    <x v="0"/>
    <s v="079204009259"/>
    <s v="0834132707"/>
    <s v="No"/>
    <m/>
    <x v="2"/>
    <m/>
    <x v="0"/>
    <x v="0"/>
    <x v="5"/>
    <s v="In"/>
    <x v="0"/>
    <n v="0"/>
    <n v="0"/>
    <n v="0"/>
    <n v="1"/>
    <x v="3"/>
    <x v="142"/>
    <m/>
    <m/>
    <m/>
    <m/>
    <x v="1"/>
    <x v="1"/>
  </r>
  <r>
    <n v="59"/>
    <d v="2026-04-22T20:16:19"/>
    <d v="2026-04-22T20:16:30"/>
    <x v="272"/>
    <x v="272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0"/>
    <x v="0"/>
  </r>
  <r>
    <n v="65"/>
    <d v="2026-04-23T09:51:21"/>
    <d v="2026-04-23T09:52:44"/>
    <x v="273"/>
    <x v="273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123"/>
    <d v="2026-04-25T11:04:06"/>
    <d v="2026-04-25T11:07:13"/>
    <x v="274"/>
    <x v="274"/>
    <x v="1"/>
    <s v="001199007182"/>
    <s v="0965847061"/>
    <s v="No"/>
    <m/>
    <x v="0"/>
    <m/>
    <x v="1"/>
    <x v="3"/>
    <x v="8"/>
    <s v="Not joining"/>
    <x v="0"/>
    <n v="0"/>
    <n v="0"/>
    <n v="0"/>
    <n v="1"/>
    <x v="3"/>
    <x v="31"/>
    <m/>
    <m/>
    <m/>
    <m/>
    <x v="0"/>
    <x v="0"/>
  </r>
  <r>
    <n v="76"/>
    <d v="2026-04-23T16:05:56"/>
    <d v="2026-04-23T16:06:31"/>
    <x v="275"/>
    <x v="275"/>
    <x v="1"/>
    <m/>
    <s v=""/>
    <s v=""/>
    <s v=""/>
    <x v="3"/>
    <m/>
    <x v="1"/>
    <x v="3"/>
    <x v="8"/>
    <s v="Not joining"/>
    <x v="0"/>
    <n v="0"/>
    <n v="0"/>
    <n v="0"/>
    <n v="1"/>
    <x v="3"/>
    <x v="31"/>
    <m/>
    <m/>
    <m/>
    <m/>
    <x v="0"/>
    <x v="0"/>
  </r>
  <r>
    <n v="90"/>
    <d v="2026-04-23T21:19:11"/>
    <d v="2026-04-23T21:20:23"/>
    <x v="276"/>
    <x v="276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96"/>
    <d v="2026-04-24T10:06:58"/>
    <d v="2026-04-24T10:07:10"/>
    <x v="277"/>
    <x v="277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99"/>
    <d v="2026-04-24T10:48:46"/>
    <d v="2026-04-24T10:49:51"/>
    <x v="278"/>
    <x v="278"/>
    <x v="0"/>
    <s v="079084023994"/>
    <s v="0909009984"/>
    <s v="Yes"/>
    <s v="Hồ Thị Minh Hoàng- Female-19/11/1984-046184001362"/>
    <x v="2"/>
    <m/>
    <x v="0"/>
    <x v="0"/>
    <x v="12"/>
    <s v="In"/>
    <x v="1"/>
    <n v="0"/>
    <n v="1"/>
    <n v="1"/>
    <n v="2"/>
    <x v="3"/>
    <x v="143"/>
    <m/>
    <m/>
    <m/>
    <m/>
    <x v="1"/>
    <x v="0"/>
  </r>
  <r>
    <n v="114"/>
    <d v="2026-04-24T15:04:25"/>
    <d v="2026-04-24T15:06:22"/>
    <x v="279"/>
    <x v="279"/>
    <x v="1"/>
    <s v="054098007348"/>
    <s v="0364911302"/>
    <s v="No"/>
    <m/>
    <x v="0"/>
    <m/>
    <x v="1"/>
    <x v="3"/>
    <x v="8"/>
    <s v="Not joining"/>
    <x v="0"/>
    <n v="0"/>
    <n v="0"/>
    <n v="0"/>
    <n v="1"/>
    <x v="3"/>
    <x v="31"/>
    <m/>
    <m/>
    <m/>
    <m/>
    <x v="1"/>
    <x v="0"/>
  </r>
  <r>
    <n v="117"/>
    <d v="2026-04-24T16:40:22"/>
    <d v="2026-04-24T16:40:25"/>
    <x v="280"/>
    <x v="280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0"/>
    <x v="0"/>
  </r>
  <r>
    <n v="120"/>
    <d v="2026-04-24T21:04:50"/>
    <d v="2026-04-24T21:05:38"/>
    <x v="281"/>
    <x v="281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128"/>
    <d v="2026-04-25T16:00:49"/>
    <d v="2026-04-25T16:01:32"/>
    <x v="282"/>
    <x v="282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132"/>
    <d v="2026-04-27T08:42:05"/>
    <d v="2026-04-27T08:42:28"/>
    <x v="283"/>
    <x v="283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147"/>
    <d v="2026-04-29T19:34:02"/>
    <d v="2026-04-29T19:34:42"/>
    <x v="284"/>
    <x v="284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149"/>
    <d v="2026-05-01T09:53:05"/>
    <d v="2026-05-01T09:55:33"/>
    <x v="285"/>
    <x v="285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151"/>
    <d v="2026-05-01T19:56:06"/>
    <d v="2026-05-01T19:56:24"/>
    <x v="286"/>
    <x v="286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227"/>
    <d v="2026-05-04T18:03:36"/>
    <d v="2026-05-04T18:04:33"/>
    <x v="287"/>
    <x v="287"/>
    <x v="1"/>
    <s v="079200014682"/>
    <s v="0707323959"/>
    <s v="No"/>
    <m/>
    <x v="0"/>
    <m/>
    <x v="1"/>
    <x v="3"/>
    <x v="8"/>
    <s v="Not joining"/>
    <x v="0"/>
    <n v="0"/>
    <n v="0"/>
    <n v="0"/>
    <n v="1"/>
    <x v="3"/>
    <x v="31"/>
    <m/>
    <m/>
    <m/>
    <m/>
    <x v="1"/>
    <x v="0"/>
  </r>
  <r>
    <n v="175"/>
    <d v="2026-05-04T13:40:11"/>
    <d v="2026-05-04T13:40:18"/>
    <x v="288"/>
    <x v="288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176"/>
    <d v="2026-05-04T13:40:44"/>
    <d v="2026-05-04T13:40:57"/>
    <x v="289"/>
    <x v="289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183"/>
    <d v="2026-05-04T13:51:06"/>
    <d v="2026-05-04T13:51:19"/>
    <x v="290"/>
    <x v="290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185"/>
    <d v="2026-05-04T13:52:39"/>
    <d v="2026-05-04T13:53:53"/>
    <x v="291"/>
    <x v="291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0"/>
    <x v="0"/>
  </r>
  <r>
    <n v="192"/>
    <d v="2026-05-04T13:57:37"/>
    <d v="2026-05-04T13:57:43"/>
    <x v="292"/>
    <x v="292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197"/>
    <d v="2026-05-04T14:00:14"/>
    <d v="2026-05-04T14:00:26"/>
    <x v="293"/>
    <x v="293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208"/>
    <d v="2026-05-04T14:58:08"/>
    <d v="2026-05-04T14:58:15"/>
    <x v="294"/>
    <x v="294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209"/>
    <d v="2026-05-04T15:31:15"/>
    <d v="2026-05-04T15:40:55"/>
    <x v="295"/>
    <x v="295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211"/>
    <d v="2026-05-04T15:49:22"/>
    <d v="2026-05-04T15:49:46"/>
    <x v="296"/>
    <x v="296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212"/>
    <d v="2026-05-04T16:18:19"/>
    <d v="2026-05-04T16:18:26"/>
    <x v="297"/>
    <x v="297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213"/>
    <d v="2026-05-04T16:20:35"/>
    <d v="2026-05-04T16:20:38"/>
    <x v="298"/>
    <x v="298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0"/>
    <x v="0"/>
  </r>
  <r>
    <n v="217"/>
    <d v="2026-05-04T16:53:32"/>
    <d v="2026-05-04T16:59:14"/>
    <x v="299"/>
    <x v="299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218"/>
    <d v="2026-05-04T17:08:00"/>
    <d v="2026-05-04T17:08:06"/>
    <x v="300"/>
    <x v="300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0"/>
    <x v="0"/>
  </r>
  <r>
    <n v="221"/>
    <d v="2026-05-04T15:17:58"/>
    <d v="2026-05-04T17:27:08"/>
    <x v="301"/>
    <x v="301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0"/>
    <x v="0"/>
  </r>
  <r>
    <n v="231"/>
    <d v="2026-05-04T21:59:17"/>
    <d v="2026-05-04T22:03:18"/>
    <x v="302"/>
    <x v="302"/>
    <x v="1"/>
    <s v="075201007668"/>
    <s v="0898522510"/>
    <s v="No"/>
    <m/>
    <x v="0"/>
    <m/>
    <x v="1"/>
    <x v="3"/>
    <x v="8"/>
    <s v="Not joining"/>
    <x v="0"/>
    <n v="0"/>
    <n v="0"/>
    <n v="0"/>
    <n v="1"/>
    <x v="3"/>
    <x v="31"/>
    <m/>
    <m/>
    <m/>
    <m/>
    <x v="1"/>
    <x v="0"/>
  </r>
  <r>
    <n v="237"/>
    <d v="2026-05-05T08:09:47"/>
    <d v="2026-05-05T08:09:53"/>
    <x v="303"/>
    <x v="303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239"/>
    <d v="2026-05-05T09:44:12"/>
    <d v="2026-05-05T09:44:18"/>
    <x v="304"/>
    <x v="304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245"/>
    <d v="2026-05-05T10:39:03"/>
    <d v="2026-05-05T10:39:08"/>
    <x v="305"/>
    <x v="305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250"/>
    <d v="2026-05-05T11:34:30"/>
    <d v="2026-05-05T11:34:41"/>
    <x v="306"/>
    <x v="306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252"/>
    <d v="2026-05-05T12:08:40"/>
    <d v="2026-05-05T12:11:28"/>
    <x v="307"/>
    <x v="307"/>
    <x v="0"/>
    <s v="068088003980"/>
    <s v="0773820182"/>
    <s v="No"/>
    <m/>
    <x v="2"/>
    <m/>
    <x v="4"/>
    <x v="15"/>
    <x v="38"/>
    <s v="In"/>
    <x v="0"/>
    <n v="0"/>
    <n v="0"/>
    <n v="0"/>
    <n v="1"/>
    <x v="3"/>
    <x v="105"/>
    <m/>
    <m/>
    <m/>
    <m/>
    <x v="1"/>
    <x v="0"/>
  </r>
  <r>
    <n v="254"/>
    <d v="2026-05-05T12:23:22"/>
    <d v="2026-05-05T12:23:32"/>
    <x v="308"/>
    <x v="308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259"/>
    <d v="2026-05-05T13:16:35"/>
    <d v="2026-05-05T13:16:52"/>
    <x v="309"/>
    <x v="309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263"/>
    <d v="2026-05-05T14:05:03"/>
    <d v="2026-05-05T14:05:09"/>
    <x v="310"/>
    <x v="310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0"/>
    <x v="0"/>
  </r>
  <r>
    <n v="265"/>
    <d v="2026-05-05T14:17:04"/>
    <d v="2026-05-05T14:18:29"/>
    <x v="311"/>
    <x v="311"/>
    <x v="0"/>
    <s v="082093010991"/>
    <s v="0345864246"/>
    <s v="No"/>
    <m/>
    <x v="2"/>
    <m/>
    <x v="0"/>
    <x v="0"/>
    <x v="12"/>
    <s v="In"/>
    <x v="0"/>
    <n v="0"/>
    <n v="0"/>
    <n v="0"/>
    <n v="1"/>
    <x v="3"/>
    <x v="71"/>
    <m/>
    <m/>
    <m/>
    <m/>
    <x v="1"/>
    <x v="1"/>
  </r>
  <r>
    <n v="266"/>
    <d v="2026-05-05T14:40:01"/>
    <d v="2026-05-05T14:40:22"/>
    <x v="312"/>
    <x v="312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268"/>
    <d v="2026-05-05T15:36:44"/>
    <d v="2026-05-05T15:37:25"/>
    <x v="313"/>
    <x v="313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271"/>
    <d v="2026-05-05T16:30:29"/>
    <d v="2026-05-05T16:30:37"/>
    <x v="314"/>
    <x v="314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272"/>
    <d v="2026-05-05T16:33:24"/>
    <d v="2026-05-05T16:33:37"/>
    <x v="315"/>
    <x v="315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0"/>
    <x v="0"/>
  </r>
  <r>
    <n v="274"/>
    <d v="2026-05-05T16:57:07"/>
    <d v="2026-05-05T17:04:23"/>
    <x v="316"/>
    <x v="316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275"/>
    <d v="2026-05-05T16:57:07"/>
    <d v="2026-05-05T17:04:23"/>
    <x v="317"/>
    <x v="317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2"/>
    <x v="0"/>
  </r>
  <r>
    <n v="279"/>
    <d v="2026-05-05T18:24:47"/>
    <d v="2026-05-05T18:26:12"/>
    <x v="318"/>
    <x v="318"/>
    <x v="0"/>
    <s v="079200004309"/>
    <s v="0963357143"/>
    <s v="No"/>
    <m/>
    <x v="2"/>
    <m/>
    <x v="0"/>
    <x v="0"/>
    <x v="7"/>
    <s v="In"/>
    <x v="0"/>
    <n v="0"/>
    <n v="0"/>
    <n v="0"/>
    <n v="1"/>
    <x v="3"/>
    <x v="142"/>
    <m/>
    <m/>
    <m/>
    <m/>
    <x v="1"/>
    <x v="1"/>
  </r>
  <r>
    <n v="280"/>
    <d v="2026-05-05T18:46:41"/>
    <d v="2026-05-05T18:47:02"/>
    <x v="319"/>
    <x v="319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292"/>
    <d v="2026-05-06T07:08:30"/>
    <d v="2026-05-06T07:08:36"/>
    <x v="320"/>
    <x v="320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295"/>
    <d v="2026-05-06T09:29:33"/>
    <d v="2026-05-06T09:29:48"/>
    <x v="321"/>
    <x v="321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0"/>
    <x v="0"/>
  </r>
  <r>
    <n v="300"/>
    <d v="2026-05-06T11:26:18"/>
    <d v="2026-05-06T11:29:11"/>
    <x v="322"/>
    <x v="322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302"/>
    <d v="2026-05-06T11:42:40"/>
    <d v="2026-05-06T11:44:57"/>
    <x v="323"/>
    <x v="323"/>
    <x v="1"/>
    <s v="052300000056"/>
    <s v="0914845799"/>
    <s v="No"/>
    <m/>
    <x v="0"/>
    <m/>
    <x v="1"/>
    <x v="3"/>
    <x v="8"/>
    <s v="Not joining"/>
    <x v="0"/>
    <n v="0"/>
    <n v="0"/>
    <n v="0"/>
    <n v="1"/>
    <x v="3"/>
    <x v="31"/>
    <m/>
    <m/>
    <m/>
    <m/>
    <x v="0"/>
    <x v="0"/>
  </r>
  <r>
    <n v="309"/>
    <d v="2026-05-06T14:17:57"/>
    <d v="2026-05-06T14:18:01"/>
    <x v="324"/>
    <x v="324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310"/>
    <d v="2026-05-06T16:37:44"/>
    <d v="2026-05-06T16:38:07"/>
    <x v="325"/>
    <x v="325"/>
    <x v="1"/>
    <m/>
    <m/>
    <m/>
    <m/>
    <x v="1"/>
    <m/>
    <x v="1"/>
    <x v="3"/>
    <x v="8"/>
    <s v="Not joining"/>
    <x v="0"/>
    <n v="0"/>
    <n v="0"/>
    <n v="0"/>
    <n v="1"/>
    <x v="3"/>
    <x v="31"/>
    <m/>
    <m/>
    <m/>
    <m/>
    <x v="1"/>
    <x v="0"/>
  </r>
  <r>
    <n v="317"/>
    <d v="2026-05-06T19:34:21"/>
    <d v="2026-05-06T23:51:45"/>
    <x v="326"/>
    <x v="326"/>
    <x v="0"/>
    <s v="056202000056"/>
    <s v="0908617538"/>
    <m/>
    <m/>
    <x v="0"/>
    <m/>
    <x v="0"/>
    <x v="0"/>
    <x v="13"/>
    <s v="In"/>
    <x v="0"/>
    <n v="0"/>
    <n v="0"/>
    <n v="0"/>
    <n v="1"/>
    <x v="5"/>
    <x v="144"/>
    <m/>
    <m/>
    <m/>
    <m/>
    <x v="1"/>
    <x v="1"/>
  </r>
  <r>
    <m/>
    <m/>
    <m/>
    <x v="327"/>
    <x v="327"/>
    <x v="0"/>
    <s v="079098028738"/>
    <s v="0903040298"/>
    <m/>
    <m/>
    <x v="0"/>
    <m/>
    <x v="0"/>
    <x v="0"/>
    <x v="7"/>
    <s v="In"/>
    <x v="0"/>
    <n v="0"/>
    <n v="0"/>
    <n v="0"/>
    <n v="1"/>
    <x v="6"/>
    <x v="77"/>
    <m/>
    <m/>
    <m/>
    <m/>
    <x v="1"/>
    <x v="1"/>
  </r>
  <r>
    <m/>
    <m/>
    <m/>
    <x v="328"/>
    <x v="328"/>
    <x v="0"/>
    <s v="079194006686"/>
    <s v="0973239494"/>
    <m/>
    <m/>
    <x v="0"/>
    <m/>
    <x v="2"/>
    <x v="6"/>
    <x v="68"/>
    <s v="In"/>
    <x v="0"/>
    <n v="0"/>
    <n v="0"/>
    <n v="0"/>
    <n v="1"/>
    <x v="7"/>
    <x v="93"/>
    <m/>
    <m/>
    <m/>
    <m/>
    <x v="0"/>
    <x v="0"/>
  </r>
  <r>
    <m/>
    <m/>
    <m/>
    <x v="329"/>
    <x v="329"/>
    <x v="1"/>
    <s v="052303002007"/>
    <m/>
    <m/>
    <m/>
    <x v="0"/>
    <m/>
    <x v="10"/>
    <x v="31"/>
    <x v="69"/>
    <s v="Not joining"/>
    <x v="0"/>
    <n v="0"/>
    <n v="0"/>
    <n v="0"/>
    <n v="1"/>
    <x v="3"/>
    <x v="31"/>
    <m/>
    <m/>
    <m/>
    <m/>
    <x v="0"/>
    <x v="0"/>
  </r>
  <r>
    <m/>
    <m/>
    <m/>
    <x v="330"/>
    <x v="330"/>
    <x v="0"/>
    <s v="060200001473"/>
    <s v="+84 327 629 830"/>
    <s v="No"/>
    <m/>
    <x v="0"/>
    <m/>
    <x v="0"/>
    <x v="0"/>
    <x v="13"/>
    <s v="In"/>
    <x v="0"/>
    <n v="0"/>
    <n v="0"/>
    <n v="0"/>
    <n v="1"/>
    <x v="5"/>
    <x v="144"/>
    <m/>
    <m/>
    <m/>
    <m/>
    <x v="1"/>
    <x v="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19E6ED4-CB87-431B-82A5-63037C4853D9}" name="PivotTable1" cacheId="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A3:AE286" firstHeaderRow="0" firstDataRow="1" firstDataCol="3" rowPageCount="1" colPageCount="1"/>
  <pivotFields count="20">
    <pivotField axis="axisRow" compact="0" outline="0" showAll="0">
      <items count="275">
        <item x="172"/>
        <item x="127"/>
        <item x="251"/>
        <item x="91"/>
        <item x="140"/>
        <item x="205"/>
        <item x="256"/>
        <item x="211"/>
        <item x="74"/>
        <item x="190"/>
        <item x="157"/>
        <item x="11"/>
        <item x="173"/>
        <item x="107"/>
        <item x="208"/>
        <item x="59"/>
        <item x="128"/>
        <item x="114"/>
        <item x="96"/>
        <item x="240"/>
        <item x="209"/>
        <item x="29"/>
        <item x="33"/>
        <item x="142"/>
        <item x="137"/>
        <item x="252"/>
        <item x="264"/>
        <item x="129"/>
        <item x="122"/>
        <item x="196"/>
        <item x="221"/>
        <item x="236"/>
        <item x="130"/>
        <item x="131"/>
        <item x="189"/>
        <item x="58"/>
        <item x="212"/>
        <item x="255"/>
        <item m="1" x="273"/>
        <item x="97"/>
        <item x="1"/>
        <item x="101"/>
        <item x="6"/>
        <item x="132"/>
        <item x="100"/>
        <item x="98"/>
        <item x="126"/>
        <item x="46"/>
        <item x="50"/>
        <item x="249"/>
        <item x="204"/>
        <item x="259"/>
        <item x="178"/>
        <item x="92"/>
        <item x="262"/>
        <item x="108"/>
        <item x="167"/>
        <item x="216"/>
        <item x="220"/>
        <item x="182"/>
        <item x="235"/>
        <item x="41"/>
        <item x="225"/>
        <item x="207"/>
        <item x="257"/>
        <item x="2"/>
        <item x="170"/>
        <item x="102"/>
        <item x="181"/>
        <item x="261"/>
        <item x="200"/>
        <item x="187"/>
        <item x="7"/>
        <item x="69"/>
        <item x="254"/>
        <item x="13"/>
        <item x="18"/>
        <item x="109"/>
        <item x="47"/>
        <item x="49"/>
        <item x="199"/>
        <item x="143"/>
        <item x="123"/>
        <item x="99"/>
        <item x="24"/>
        <item x="141"/>
        <item x="52"/>
        <item x="30"/>
        <item x="42"/>
        <item x="136"/>
        <item x="268"/>
        <item x="87"/>
        <item x="194"/>
        <item x="232"/>
        <item x="121"/>
        <item x="25"/>
        <item x="81"/>
        <item x="166"/>
        <item x="188"/>
        <item x="185"/>
        <item x="155"/>
        <item x="218"/>
        <item x="153"/>
        <item x="21"/>
        <item x="227"/>
        <item x="226"/>
        <item x="203"/>
        <item x="45"/>
        <item x="48"/>
        <item x="148"/>
        <item x="78"/>
        <item x="154"/>
        <item x="4"/>
        <item x="55"/>
        <item x="253"/>
        <item x="72"/>
        <item x="124"/>
        <item x="12"/>
        <item x="245"/>
        <item x="266"/>
        <item x="191"/>
        <item x="117"/>
        <item x="63"/>
        <item x="171"/>
        <item x="234"/>
        <item x="192"/>
        <item x="146"/>
        <item x="38"/>
        <item x="242"/>
        <item x="64"/>
        <item x="67"/>
        <item x="88"/>
        <item x="15"/>
        <item x="119"/>
        <item x="158"/>
        <item x="14"/>
        <item x="90"/>
        <item x="206"/>
        <item x="168"/>
        <item x="247"/>
        <item x="223"/>
        <item x="186"/>
        <item x="138"/>
        <item x="94"/>
        <item x="244"/>
        <item x="40"/>
        <item x="0"/>
        <item x="250"/>
        <item x="265"/>
        <item x="110"/>
        <item x="61"/>
        <item x="159"/>
        <item x="233"/>
        <item x="77"/>
        <item x="201"/>
        <item x="28"/>
        <item x="36"/>
        <item x="10"/>
        <item x="31"/>
        <item x="144"/>
        <item x="145"/>
        <item x="43"/>
        <item x="57"/>
        <item x="183"/>
        <item x="35"/>
        <item x="103"/>
        <item x="73"/>
        <item x="224"/>
        <item x="65"/>
        <item x="104"/>
        <item x="269"/>
        <item x="133"/>
        <item x="34"/>
        <item x="53"/>
        <item x="75"/>
        <item x="160"/>
        <item x="270"/>
        <item x="243"/>
        <item x="22"/>
        <item x="16"/>
        <item x="20"/>
        <item x="19"/>
        <item x="139"/>
        <item x="89"/>
        <item x="111"/>
        <item x="82"/>
        <item x="70"/>
        <item x="197"/>
        <item x="161"/>
        <item x="228"/>
        <item x="222"/>
        <item x="163"/>
        <item x="246"/>
        <item m="1" x="272"/>
        <item x="135"/>
        <item x="134"/>
        <item x="237"/>
        <item x="165"/>
        <item x="164"/>
        <item x="231"/>
        <item x="241"/>
        <item x="152"/>
        <item x="85"/>
        <item x="184"/>
        <item x="84"/>
        <item x="156"/>
        <item x="116"/>
        <item x="60"/>
        <item x="230"/>
        <item x="180"/>
        <item x="176"/>
        <item x="62"/>
        <item x="177"/>
        <item x="86"/>
        <item x="3"/>
        <item x="229"/>
        <item x="151"/>
        <item x="162"/>
        <item x="238"/>
        <item x="147"/>
        <item x="248"/>
        <item x="56"/>
        <item x="54"/>
        <item x="179"/>
        <item x="193"/>
        <item x="118"/>
        <item x="219"/>
        <item x="120"/>
        <item x="68"/>
        <item x="215"/>
        <item x="239"/>
        <item x="169"/>
        <item x="27"/>
        <item x="198"/>
        <item x="95"/>
        <item x="8"/>
        <item x="26"/>
        <item x="263"/>
        <item x="93"/>
        <item x="71"/>
        <item x="267"/>
        <item x="213"/>
        <item x="115"/>
        <item x="214"/>
        <item x="66"/>
        <item x="258"/>
        <item x="150"/>
        <item x="51"/>
        <item x="195"/>
        <item x="113"/>
        <item x="217"/>
        <item x="174"/>
        <item x="260"/>
        <item x="9"/>
        <item x="44"/>
        <item x="80"/>
        <item x="105"/>
        <item x="149"/>
        <item x="23"/>
        <item x="5"/>
        <item x="76"/>
        <item x="83"/>
        <item x="32"/>
        <item x="125"/>
        <item x="37"/>
        <item x="112"/>
        <item x="106"/>
        <item x="17"/>
        <item x="210"/>
        <item x="79"/>
        <item x="202"/>
        <item x="39"/>
        <item x="175"/>
        <item x="271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howAll="0">
      <items count="3">
        <item x="0"/>
        <item x="1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11">
        <item x="0"/>
        <item x="1"/>
        <item x="2"/>
        <item x="3"/>
        <item x="7"/>
        <item x="8"/>
        <item x="5"/>
        <item x="6"/>
        <item x="9"/>
        <item x="4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46">
        <item x="0"/>
        <item x="1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m="1" x="144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m="1" x="145"/>
        <item x="143"/>
        <item x="2"/>
        <item x="70"/>
        <item x="71"/>
        <item x="72"/>
        <item x="73"/>
        <item x="74"/>
        <item x="75"/>
        <item x="7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3">
    <field x="17"/>
    <field x="18"/>
    <field x="0"/>
  </rowFields>
  <rowItems count="283">
    <i>
      <x/>
      <x/>
      <x v="40"/>
    </i>
    <i r="2">
      <x v="146"/>
    </i>
    <i r="1">
      <x v="1"/>
      <x v="65"/>
    </i>
    <i r="2">
      <x v="214"/>
    </i>
    <i r="1">
      <x v="2"/>
      <x v="42"/>
    </i>
    <i r="2">
      <x v="72"/>
    </i>
    <i r="1">
      <x v="3"/>
      <x v="235"/>
    </i>
    <i r="2">
      <x v="253"/>
    </i>
    <i r="1">
      <x v="4"/>
      <x v="11"/>
    </i>
    <i r="2">
      <x v="157"/>
    </i>
    <i r="1">
      <x v="5"/>
      <x v="75"/>
    </i>
    <i r="2">
      <x v="117"/>
    </i>
    <i r="1">
      <x v="6"/>
      <x v="132"/>
    </i>
    <i r="2">
      <x v="135"/>
    </i>
    <i r="1">
      <x v="7"/>
      <x v="179"/>
    </i>
    <i r="2">
      <x v="267"/>
    </i>
    <i r="1">
      <x v="8"/>
      <x v="76"/>
    </i>
    <i r="2">
      <x v="181"/>
    </i>
    <i r="1">
      <x v="9"/>
      <x v="103"/>
    </i>
    <i r="2">
      <x v="180"/>
    </i>
    <i r="1">
      <x v="10"/>
      <x v="178"/>
    </i>
    <i r="2">
      <x v="258"/>
    </i>
    <i r="1">
      <x v="11"/>
      <x v="84"/>
    </i>
    <i r="2">
      <x v="95"/>
    </i>
    <i r="1">
      <x v="12"/>
      <x v="232"/>
    </i>
    <i r="2">
      <x v="236"/>
    </i>
    <i r="1">
      <x v="13"/>
      <x v="21"/>
    </i>
    <i r="2">
      <x v="155"/>
    </i>
    <i r="1">
      <x v="14"/>
      <x v="87"/>
    </i>
    <i r="2">
      <x v="158"/>
    </i>
    <i r="1">
      <x v="76"/>
      <x v="134"/>
    </i>
    <i r="2">
      <x v="151"/>
    </i>
    <i r="1">
      <x v="77"/>
      <x v="175"/>
    </i>
    <i r="1">
      <x v="81"/>
      <x v="138"/>
    </i>
    <i r="1">
      <x v="138"/>
      <x v="112"/>
    </i>
    <i r="2">
      <x v="259"/>
    </i>
    <i r="1">
      <x v="141"/>
      <x v="182"/>
    </i>
    <i t="default">
      <x/>
    </i>
    <i>
      <x v="1"/>
      <x v="15"/>
      <x v="22"/>
    </i>
    <i r="2">
      <x v="262"/>
    </i>
    <i r="1">
      <x v="16"/>
      <x v="164"/>
    </i>
    <i r="2">
      <x v="172"/>
    </i>
    <i r="1">
      <x v="17"/>
      <x v="156"/>
    </i>
    <i r="2">
      <x v="264"/>
    </i>
    <i r="1">
      <x v="18"/>
      <x v="127"/>
    </i>
    <i r="2">
      <x v="271"/>
    </i>
    <i r="1">
      <x v="19"/>
      <x v="61"/>
    </i>
    <i r="2">
      <x v="145"/>
    </i>
    <i r="1">
      <x v="20"/>
      <x v="88"/>
    </i>
    <i r="2">
      <x v="161"/>
    </i>
    <i r="1">
      <x v="21"/>
      <x v="107"/>
    </i>
    <i r="2">
      <x v="254"/>
    </i>
    <i r="1">
      <x v="22"/>
      <x v="47"/>
    </i>
    <i r="2">
      <x v="78"/>
    </i>
    <i r="1">
      <x v="23"/>
      <x v="79"/>
    </i>
    <i r="2">
      <x v="108"/>
    </i>
    <i r="1">
      <x v="24"/>
      <x v="48"/>
    </i>
    <i r="2">
      <x v="247"/>
    </i>
    <i r="1">
      <x v="25"/>
      <x v="86"/>
    </i>
    <i r="2">
      <x v="173"/>
    </i>
    <i r="1">
      <x v="26"/>
      <x v="113"/>
    </i>
    <i r="2">
      <x v="222"/>
    </i>
    <i r="1">
      <x v="27"/>
      <x v="162"/>
    </i>
    <i r="2">
      <x v="221"/>
    </i>
    <i r="1">
      <x v="28"/>
      <x v="15"/>
    </i>
    <i r="2">
      <x v="35"/>
    </i>
    <i r="1">
      <x v="29"/>
      <x v="150"/>
    </i>
    <i r="2">
      <x v="207"/>
    </i>
    <i r="1">
      <x v="30"/>
      <x v="122"/>
    </i>
    <i r="2">
      <x v="211"/>
    </i>
    <i r="1">
      <x v="31"/>
      <x v="129"/>
    </i>
    <i r="2">
      <x v="168"/>
    </i>
    <i r="1">
      <x v="32"/>
      <x v="130"/>
    </i>
    <i r="2">
      <x v="244"/>
    </i>
    <i r="1">
      <x v="78"/>
      <x v="217"/>
    </i>
    <i t="default">
      <x v="1"/>
    </i>
    <i>
      <x v="2"/>
      <x v="33"/>
      <x v="73"/>
    </i>
    <i r="2">
      <x v="228"/>
    </i>
    <i r="1">
      <x v="34"/>
      <x v="186"/>
    </i>
    <i r="2">
      <x v="239"/>
    </i>
    <i r="1">
      <x v="35"/>
      <x v="115"/>
    </i>
    <i r="2">
      <x v="166"/>
    </i>
    <i r="1">
      <x v="36"/>
      <x v="8"/>
    </i>
    <i r="2">
      <x v="174"/>
    </i>
    <i r="1">
      <x v="37"/>
      <x v="153"/>
    </i>
    <i r="2">
      <x v="260"/>
    </i>
    <i r="1">
      <x v="38"/>
      <x v="110"/>
    </i>
    <i r="2">
      <x v="269"/>
    </i>
    <i r="1">
      <x v="39"/>
      <x v="96"/>
    </i>
    <i r="2">
      <x v="255"/>
    </i>
    <i r="1">
      <x v="40"/>
      <x v="185"/>
    </i>
    <i r="2">
      <x v="261"/>
    </i>
    <i r="1">
      <x v="41"/>
      <x v="204"/>
    </i>
    <i r="1">
      <x v="42"/>
      <x v="202"/>
    </i>
    <i r="2">
      <x v="213"/>
    </i>
    <i r="1">
      <x v="43"/>
      <x v="91"/>
    </i>
    <i r="2">
      <x v="131"/>
    </i>
    <i r="1">
      <x v="77"/>
      <x v="188"/>
    </i>
    <i r="1">
      <x v="78"/>
      <x v="191"/>
    </i>
    <i r="1">
      <x v="139"/>
      <x v="24"/>
    </i>
    <i r="1">
      <x v="140"/>
      <x v="142"/>
    </i>
    <i r="1">
      <x v="142"/>
      <x v="4"/>
    </i>
    <i r="1">
      <x v="143"/>
      <x v="85"/>
    </i>
    <i r="1">
      <x v="144"/>
      <x v="23"/>
    </i>
    <i t="default">
      <x v="2"/>
    </i>
    <i>
      <x v="3"/>
      <x v="44"/>
      <x v="136"/>
    </i>
    <i r="2">
      <x v="183"/>
    </i>
    <i r="1">
      <x v="45"/>
      <x v="3"/>
    </i>
    <i r="2">
      <x v="53"/>
    </i>
    <i r="1">
      <x v="46"/>
      <x v="143"/>
    </i>
    <i r="2">
      <x v="238"/>
    </i>
    <i r="1">
      <x v="47"/>
      <x v="234"/>
    </i>
    <i r="1">
      <x v="48"/>
      <x v="18"/>
    </i>
    <i r="2">
      <x v="39"/>
    </i>
    <i r="1">
      <x v="49"/>
      <x v="45"/>
    </i>
    <i r="2">
      <x v="83"/>
    </i>
    <i r="1">
      <x v="50"/>
      <x v="41"/>
    </i>
    <i r="2">
      <x v="44"/>
    </i>
    <i r="1">
      <x v="51"/>
      <x v="67"/>
    </i>
    <i r="2">
      <x v="165"/>
    </i>
    <i r="1">
      <x v="52"/>
      <x v="169"/>
    </i>
    <i r="2">
      <x v="256"/>
    </i>
    <i r="1">
      <x v="53"/>
      <x v="266"/>
    </i>
    <i r="1">
      <x v="54"/>
      <x v="55"/>
    </i>
    <i r="2">
      <x v="77"/>
    </i>
    <i r="1">
      <x v="55"/>
      <x v="149"/>
    </i>
    <i r="2">
      <x v="184"/>
    </i>
    <i r="1">
      <x v="56"/>
      <x v="249"/>
    </i>
    <i r="2">
      <x v="265"/>
    </i>
    <i r="1">
      <x v="57"/>
      <x v="17"/>
    </i>
    <i r="2">
      <x v="242"/>
    </i>
    <i r="1">
      <x v="58"/>
      <x v="121"/>
    </i>
    <i r="2">
      <x v="206"/>
    </i>
    <i r="1">
      <x v="59"/>
      <x v="133"/>
    </i>
    <i r="2">
      <x v="225"/>
    </i>
    <i r="1">
      <x v="66"/>
      <x v="43"/>
    </i>
    <i r="1">
      <x v="68"/>
      <x v="89"/>
    </i>
    <i r="1">
      <x v="79"/>
      <x v="198"/>
    </i>
    <i r="1">
      <x v="80"/>
      <x v="97"/>
    </i>
    <i t="default">
      <x v="3"/>
    </i>
    <i>
      <x v="4"/>
      <x v="85"/>
      <x v="12"/>
    </i>
    <i r="2">
      <x v="251"/>
    </i>
    <i r="1">
      <x v="86"/>
      <x v="210"/>
    </i>
    <i r="2">
      <x v="272"/>
    </i>
    <i r="1">
      <x v="87"/>
      <x v="52"/>
    </i>
    <i r="2">
      <x v="212"/>
    </i>
    <i r="1">
      <x v="88"/>
      <x v="209"/>
    </i>
    <i r="2">
      <x v="223"/>
    </i>
    <i r="1">
      <x v="89"/>
      <x v="59"/>
    </i>
    <i r="2">
      <x v="68"/>
    </i>
    <i r="1">
      <x v="90"/>
      <x v="163"/>
    </i>
    <i r="2">
      <x v="203"/>
    </i>
    <i r="1">
      <x v="91"/>
      <x v="99"/>
    </i>
    <i r="2">
      <x v="141"/>
    </i>
    <i r="1">
      <x v="92"/>
      <x v="71"/>
    </i>
    <i r="2">
      <x v="98"/>
    </i>
    <i r="1">
      <x v="93"/>
      <x v="9"/>
    </i>
    <i r="2">
      <x v="34"/>
    </i>
    <i r="1">
      <x v="94"/>
      <x v="120"/>
    </i>
    <i r="2">
      <x v="125"/>
    </i>
    <i r="1">
      <x v="95"/>
      <x v="92"/>
    </i>
    <i r="2">
      <x v="224"/>
    </i>
    <i r="1">
      <x v="96"/>
      <x v="248"/>
    </i>
    <i r="1">
      <x v="97"/>
      <x v="29"/>
    </i>
    <i r="2">
      <x v="187"/>
    </i>
    <i r="1">
      <x v="98"/>
      <x v="80"/>
    </i>
    <i r="2">
      <x v="233"/>
    </i>
    <i r="1">
      <x v="99"/>
      <x v="70"/>
    </i>
    <i r="2">
      <x v="154"/>
    </i>
    <i r="1">
      <x v="100"/>
      <x v="106"/>
    </i>
    <i r="2">
      <x v="270"/>
    </i>
    <i r="1">
      <x v="101"/>
      <x v="50"/>
    </i>
    <i t="default">
      <x v="4"/>
    </i>
    <i>
      <x v="5"/>
      <x v="118"/>
      <x v="196"/>
    </i>
    <i r="1">
      <x v="119"/>
      <x v="19"/>
    </i>
    <i r="2">
      <x v="230"/>
    </i>
    <i r="1">
      <x v="120"/>
      <x v="128"/>
    </i>
    <i r="2">
      <x v="200"/>
    </i>
    <i r="1">
      <x v="121"/>
      <x v="144"/>
    </i>
    <i r="2">
      <x v="177"/>
    </i>
    <i r="1">
      <x v="122"/>
      <x v="118"/>
    </i>
    <i r="2">
      <x v="192"/>
    </i>
    <i r="1">
      <x v="123"/>
      <x v="139"/>
    </i>
    <i r="2">
      <x v="220"/>
    </i>
    <i r="1">
      <x v="124"/>
      <x v="49"/>
    </i>
    <i r="2">
      <x v="147"/>
    </i>
    <i r="1">
      <x v="125"/>
      <x v="2"/>
    </i>
    <i r="2">
      <x v="25"/>
    </i>
    <i r="1">
      <x v="126"/>
      <x v="114"/>
    </i>
    <i r="1">
      <x v="127"/>
      <x v="6"/>
    </i>
    <i r="2">
      <x v="37"/>
    </i>
    <i r="1">
      <x v="128"/>
      <x v="64"/>
    </i>
    <i r="2">
      <x v="245"/>
    </i>
    <i r="1">
      <x v="129"/>
      <x v="51"/>
    </i>
    <i r="2">
      <x v="252"/>
    </i>
    <i r="1">
      <x v="130"/>
      <x v="54"/>
    </i>
    <i r="2">
      <x v="69"/>
    </i>
    <i r="1">
      <x v="131"/>
      <x v="26"/>
    </i>
    <i r="2">
      <x v="237"/>
    </i>
    <i r="1">
      <x v="132"/>
      <x v="119"/>
    </i>
    <i r="2">
      <x v="148"/>
    </i>
    <i r="1">
      <x v="133"/>
      <x v="90"/>
    </i>
    <i r="2">
      <x v="240"/>
    </i>
    <i r="1">
      <x v="134"/>
      <x v="170"/>
    </i>
    <i r="1">
      <x v="135"/>
      <x v="176"/>
    </i>
    <i t="default">
      <x v="5"/>
    </i>
    <i>
      <x v="6"/>
      <x v="60"/>
      <x v="94"/>
    </i>
    <i r="2">
      <x v="227"/>
    </i>
    <i r="1">
      <x v="61"/>
      <x v="28"/>
    </i>
    <i r="2">
      <x v="82"/>
    </i>
    <i r="1">
      <x v="62"/>
      <x v="116"/>
    </i>
    <i r="2">
      <x v="263"/>
    </i>
    <i r="1">
      <x v="63"/>
      <x v="1"/>
    </i>
    <i r="2">
      <x v="46"/>
    </i>
    <i r="1">
      <x v="64"/>
      <x v="16"/>
    </i>
    <i r="2">
      <x v="27"/>
    </i>
    <i r="1">
      <x v="65"/>
      <x v="32"/>
    </i>
    <i r="2">
      <x v="33"/>
    </i>
    <i r="1">
      <x v="66"/>
      <x v="171"/>
    </i>
    <i r="1">
      <x v="67"/>
      <x v="194"/>
    </i>
    <i r="2">
      <x v="195"/>
    </i>
    <i r="1">
      <x v="70"/>
      <x v="126"/>
    </i>
    <i r="2">
      <x v="219"/>
    </i>
    <i r="1">
      <x v="71"/>
      <x v="109"/>
    </i>
    <i r="2">
      <x v="257"/>
    </i>
    <i r="1">
      <x v="72"/>
      <x v="216"/>
    </i>
    <i r="2">
      <x v="246"/>
    </i>
    <i r="1">
      <x v="73"/>
      <x v="102"/>
    </i>
    <i r="2">
      <x v="201"/>
    </i>
    <i r="1">
      <x v="74"/>
      <x v="100"/>
    </i>
    <i r="2">
      <x v="111"/>
    </i>
    <i r="1">
      <x v="75"/>
      <x v="10"/>
    </i>
    <i r="2">
      <x v="205"/>
    </i>
    <i r="1">
      <x v="79"/>
      <x v="197"/>
    </i>
    <i t="default">
      <x v="6"/>
    </i>
    <i>
      <x v="7"/>
      <x v="80"/>
      <x v="56"/>
    </i>
    <i r="1">
      <x v="81"/>
      <x v="231"/>
    </i>
    <i r="1">
      <x v="101"/>
      <x v="5"/>
    </i>
    <i r="1">
      <x v="102"/>
      <x v="63"/>
    </i>
    <i r="2">
      <x v="137"/>
    </i>
    <i r="1">
      <x v="103"/>
      <x v="14"/>
    </i>
    <i r="2">
      <x v="20"/>
    </i>
    <i r="1">
      <x v="104"/>
      <x v="7"/>
    </i>
    <i r="2">
      <x v="268"/>
    </i>
    <i r="1">
      <x v="105"/>
      <x v="36"/>
    </i>
    <i r="2">
      <x v="241"/>
    </i>
    <i r="1">
      <x v="106"/>
      <x v="229"/>
    </i>
    <i r="2">
      <x v="243"/>
    </i>
    <i r="1">
      <x v="107"/>
      <x v="57"/>
    </i>
    <i r="2">
      <x v="250"/>
    </i>
    <i r="1">
      <x v="108"/>
      <x v="101"/>
    </i>
    <i r="2">
      <x v="226"/>
    </i>
    <i r="1">
      <x v="109"/>
      <x v="30"/>
    </i>
    <i r="2">
      <x v="58"/>
    </i>
    <i r="1">
      <x v="110"/>
      <x v="140"/>
    </i>
    <i r="2">
      <x v="190"/>
    </i>
    <i r="1">
      <x v="111"/>
      <x v="167"/>
    </i>
    <i r="1">
      <x v="112"/>
      <x v="62"/>
    </i>
    <i r="1">
      <x v="113"/>
      <x v="104"/>
    </i>
    <i r="2">
      <x v="105"/>
    </i>
    <i r="1">
      <x v="114"/>
      <x v="189"/>
    </i>
    <i r="2">
      <x v="208"/>
    </i>
    <i r="2">
      <x v="215"/>
    </i>
    <i r="1">
      <x v="115"/>
      <x v="93"/>
    </i>
    <i r="2">
      <x v="199"/>
    </i>
    <i r="1">
      <x v="116"/>
      <x v="124"/>
    </i>
    <i r="2">
      <x v="152"/>
    </i>
    <i r="1">
      <x v="117"/>
      <x v="31"/>
    </i>
    <i r="2">
      <x v="60"/>
    </i>
    <i r="1">
      <x v="118"/>
      <x v="218"/>
    </i>
    <i t="default">
      <x v="7"/>
    </i>
    <i>
      <x v="8"/>
      <x v="137"/>
      <x v="273"/>
    </i>
    <i t="default">
      <x v="8"/>
    </i>
    <i>
      <x v="9"/>
      <x v="53"/>
      <x v="13"/>
    </i>
    <i r="1">
      <x v="69"/>
      <x v="159"/>
    </i>
    <i r="2">
      <x v="160"/>
    </i>
    <i r="1">
      <x v="83"/>
      <x v="66"/>
    </i>
    <i r="2">
      <x v="123"/>
    </i>
    <i r="1">
      <x v="84"/>
      <x/>
    </i>
    <i r="1">
      <x v="126"/>
      <x v="74"/>
    </i>
    <i r="1">
      <x v="145"/>
      <x v="81"/>
    </i>
    <i t="default">
      <x v="9"/>
    </i>
    <i t="grand">
      <x/>
    </i>
  </rowItems>
  <colFields count="1">
    <field x="-2"/>
  </colFields>
  <colItems count="2">
    <i>
      <x/>
    </i>
    <i i="1">
      <x v="1"/>
    </i>
  </colItems>
  <pageFields count="1">
    <pageField fld="1" hier="-1"/>
  </pageFields>
  <dataFields count="2">
    <dataField name="Sum of Fam Q" fld="15" baseField="0" baseItem="0"/>
    <dataField name="Sum of Total Hc" fld="16" baseField="0" baseItem="0"/>
  </dataFields>
  <formats count="1">
    <format dxfId="121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8FF3434-D800-4A4F-BAD4-7144CF102449}" name="PivotTable2" cacheId="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I3:AO134" firstHeaderRow="0" firstDataRow="1" firstDataCol="5" rowPageCount="1" colPageCount="1"/>
  <pivotFields count="20">
    <pivotField axis="axisRow" compact="0" outline="0" showAll="0" defaultSubtotal="0">
      <items count="274">
        <item x="172"/>
        <item x="127"/>
        <item x="251"/>
        <item x="91"/>
        <item x="140"/>
        <item x="205"/>
        <item x="256"/>
        <item x="211"/>
        <item x="74"/>
        <item x="190"/>
        <item x="157"/>
        <item x="11"/>
        <item x="173"/>
        <item x="107"/>
        <item x="208"/>
        <item x="59"/>
        <item x="128"/>
        <item x="114"/>
        <item x="96"/>
        <item x="240"/>
        <item x="209"/>
        <item x="29"/>
        <item x="33"/>
        <item x="142"/>
        <item x="137"/>
        <item x="252"/>
        <item x="264"/>
        <item x="129"/>
        <item x="122"/>
        <item x="196"/>
        <item x="221"/>
        <item x="236"/>
        <item x="130"/>
        <item x="131"/>
        <item x="189"/>
        <item x="58"/>
        <item x="212"/>
        <item x="255"/>
        <item m="1" x="272"/>
        <item x="97"/>
        <item x="1"/>
        <item x="101"/>
        <item x="6"/>
        <item x="132"/>
        <item x="100"/>
        <item x="98"/>
        <item x="126"/>
        <item x="46"/>
        <item x="50"/>
        <item x="249"/>
        <item x="204"/>
        <item x="259"/>
        <item x="178"/>
        <item x="92"/>
        <item x="262"/>
        <item x="108"/>
        <item x="167"/>
        <item x="216"/>
        <item x="220"/>
        <item x="182"/>
        <item x="235"/>
        <item x="41"/>
        <item x="225"/>
        <item x="207"/>
        <item x="257"/>
        <item x="2"/>
        <item x="170"/>
        <item x="102"/>
        <item x="181"/>
        <item x="261"/>
        <item x="200"/>
        <item x="187"/>
        <item x="7"/>
        <item x="69"/>
        <item x="254"/>
        <item x="13"/>
        <item x="18"/>
        <item x="109"/>
        <item x="47"/>
        <item x="49"/>
        <item x="199"/>
        <item x="143"/>
        <item x="123"/>
        <item x="99"/>
        <item x="24"/>
        <item x="141"/>
        <item x="52"/>
        <item x="30"/>
        <item x="42"/>
        <item x="136"/>
        <item x="268"/>
        <item x="87"/>
        <item x="194"/>
        <item x="232"/>
        <item x="121"/>
        <item x="25"/>
        <item x="81"/>
        <item x="166"/>
        <item x="188"/>
        <item x="185"/>
        <item x="155"/>
        <item x="218"/>
        <item x="153"/>
        <item x="21"/>
        <item x="227"/>
        <item x="226"/>
        <item x="203"/>
        <item x="45"/>
        <item x="48"/>
        <item x="148"/>
        <item x="78"/>
        <item x="154"/>
        <item x="4"/>
        <item x="55"/>
        <item x="253"/>
        <item x="72"/>
        <item x="124"/>
        <item x="12"/>
        <item x="245"/>
        <item x="266"/>
        <item x="191"/>
        <item x="117"/>
        <item x="63"/>
        <item x="171"/>
        <item x="234"/>
        <item x="192"/>
        <item x="146"/>
        <item x="38"/>
        <item x="242"/>
        <item x="64"/>
        <item x="67"/>
        <item x="88"/>
        <item x="15"/>
        <item x="119"/>
        <item x="158"/>
        <item x="14"/>
        <item x="90"/>
        <item x="206"/>
        <item x="168"/>
        <item x="247"/>
        <item x="223"/>
        <item x="186"/>
        <item x="138"/>
        <item x="94"/>
        <item x="244"/>
        <item x="40"/>
        <item x="0"/>
        <item x="250"/>
        <item x="265"/>
        <item x="110"/>
        <item x="61"/>
        <item x="159"/>
        <item x="233"/>
        <item x="77"/>
        <item x="201"/>
        <item x="28"/>
        <item x="36"/>
        <item x="10"/>
        <item x="31"/>
        <item x="144"/>
        <item x="145"/>
        <item x="43"/>
        <item x="57"/>
        <item x="183"/>
        <item x="35"/>
        <item x="103"/>
        <item x="73"/>
        <item x="224"/>
        <item x="65"/>
        <item x="104"/>
        <item x="269"/>
        <item x="133"/>
        <item x="34"/>
        <item x="53"/>
        <item x="75"/>
        <item x="160"/>
        <item x="270"/>
        <item x="243"/>
        <item x="22"/>
        <item x="16"/>
        <item x="20"/>
        <item x="19"/>
        <item x="139"/>
        <item x="89"/>
        <item x="111"/>
        <item x="82"/>
        <item x="70"/>
        <item x="197"/>
        <item x="161"/>
        <item x="228"/>
        <item x="222"/>
        <item x="163"/>
        <item x="246"/>
        <item m="1" x="273"/>
        <item x="135"/>
        <item x="134"/>
        <item x="237"/>
        <item x="165"/>
        <item x="164"/>
        <item x="231"/>
        <item x="241"/>
        <item x="152"/>
        <item x="85"/>
        <item x="184"/>
        <item x="84"/>
        <item x="156"/>
        <item x="116"/>
        <item x="60"/>
        <item x="230"/>
        <item x="180"/>
        <item x="176"/>
        <item x="62"/>
        <item x="177"/>
        <item x="86"/>
        <item x="3"/>
        <item x="229"/>
        <item x="151"/>
        <item x="162"/>
        <item x="238"/>
        <item x="147"/>
        <item x="248"/>
        <item x="56"/>
        <item x="54"/>
        <item x="179"/>
        <item x="193"/>
        <item x="118"/>
        <item x="219"/>
        <item x="120"/>
        <item x="68"/>
        <item x="215"/>
        <item x="239"/>
        <item x="169"/>
        <item x="27"/>
        <item x="198"/>
        <item x="95"/>
        <item x="8"/>
        <item x="26"/>
        <item x="263"/>
        <item x="93"/>
        <item x="71"/>
        <item x="267"/>
        <item x="213"/>
        <item x="115"/>
        <item x="214"/>
        <item x="66"/>
        <item x="258"/>
        <item x="150"/>
        <item x="51"/>
        <item x="195"/>
        <item x="113"/>
        <item x="217"/>
        <item x="174"/>
        <item x="260"/>
        <item x="9"/>
        <item x="44"/>
        <item x="80"/>
        <item x="105"/>
        <item x="149"/>
        <item x="23"/>
        <item x="5"/>
        <item x="76"/>
        <item x="83"/>
        <item x="32"/>
        <item x="125"/>
        <item x="37"/>
        <item x="112"/>
        <item x="106"/>
        <item x="17"/>
        <item x="210"/>
        <item x="79"/>
        <item x="202"/>
        <item x="39"/>
        <item x="175"/>
        <item x="27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howAll="0" defaultSubtotal="0">
      <items count="3">
        <item x="0"/>
        <item m="1" x="2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3">
        <item x="0"/>
        <item h="1" sd="0" x="1"/>
        <item sd="0"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0">
        <item x="0"/>
        <item x="1"/>
        <item x="2"/>
        <item x="3"/>
        <item x="7"/>
        <item x="8"/>
        <item x="5"/>
        <item x="6"/>
        <item x="9"/>
        <item x="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sortType="ascending" defaultSubtotal="0">
      <items count="146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m="1" x="144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m="1" x="145"/>
        <item sd="0" x="14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3">
        <item x="0"/>
        <item x="1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5">
    <field x="19"/>
    <field x="18"/>
    <field x="12"/>
    <field x="17"/>
    <field x="0"/>
  </rowFields>
  <rowItems count="131">
    <i>
      <x/>
      <x/>
    </i>
    <i r="1">
      <x v="1"/>
    </i>
    <i r="1">
      <x v="30"/>
    </i>
    <i r="1">
      <x v="31"/>
    </i>
    <i r="1">
      <x v="32"/>
    </i>
    <i r="1">
      <x v="33"/>
    </i>
    <i r="1">
      <x v="43"/>
    </i>
    <i r="1">
      <x v="44"/>
    </i>
    <i r="1">
      <x v="59"/>
    </i>
    <i r="1">
      <x v="60"/>
    </i>
    <i r="1">
      <x v="61"/>
    </i>
    <i r="1">
      <x v="67"/>
    </i>
    <i r="1">
      <x v="68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99"/>
    </i>
    <i r="1">
      <x v="100"/>
    </i>
    <i r="1">
      <x v="101"/>
    </i>
    <i r="1">
      <x v="102"/>
    </i>
    <i r="1">
      <x v="103"/>
    </i>
    <i r="1">
      <x v="115"/>
    </i>
    <i r="1">
      <x v="116"/>
    </i>
    <i r="1">
      <x v="117"/>
    </i>
    <i r="1">
      <x v="118"/>
    </i>
    <i r="1">
      <x v="121"/>
    </i>
    <i r="1">
      <x v="122"/>
    </i>
    <i r="1">
      <x v="123"/>
    </i>
    <i r="1">
      <x v="124"/>
    </i>
    <i r="1">
      <x v="125"/>
    </i>
    <i r="1">
      <x v="126"/>
    </i>
    <i r="1">
      <x v="127"/>
    </i>
    <i r="1">
      <x v="128"/>
    </i>
    <i r="1">
      <x v="129"/>
    </i>
    <i r="1">
      <x v="130"/>
    </i>
    <i>
      <x v="1"/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5"/>
    </i>
    <i r="1">
      <x v="46"/>
    </i>
    <i r="1">
      <x v="47"/>
    </i>
    <i r="1">
      <x v="49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62"/>
    </i>
    <i r="1">
      <x v="63"/>
    </i>
    <i r="1">
      <x v="64"/>
    </i>
    <i r="1">
      <x v="65"/>
    </i>
    <i r="1">
      <x v="66"/>
    </i>
    <i r="1">
      <x v="67"/>
    </i>
    <i r="1">
      <x v="77"/>
    </i>
    <i r="1">
      <x v="78"/>
    </i>
    <i r="1">
      <x v="79"/>
    </i>
    <i r="1">
      <x v="80"/>
    </i>
    <i r="1">
      <x v="89"/>
    </i>
    <i r="1">
      <x v="91"/>
    </i>
    <i r="1">
      <x v="105"/>
    </i>
    <i r="1">
      <x v="106"/>
    </i>
    <i r="1">
      <x v="107"/>
    </i>
    <i r="1">
      <x v="108"/>
    </i>
    <i r="1">
      <x v="109"/>
    </i>
    <i r="1">
      <x v="110"/>
    </i>
    <i r="1">
      <x v="111"/>
    </i>
    <i r="1">
      <x v="112"/>
    </i>
    <i r="1">
      <x v="113"/>
    </i>
    <i r="1">
      <x v="114"/>
    </i>
    <i r="1">
      <x v="131"/>
    </i>
    <i r="1">
      <x v="132"/>
    </i>
    <i r="1">
      <x v="133"/>
    </i>
    <i r="1">
      <x v="134"/>
    </i>
    <i r="1">
      <x v="135"/>
    </i>
    <i r="1">
      <x v="136"/>
    </i>
    <i r="1">
      <x v="137"/>
    </i>
    <i r="1">
      <x v="138"/>
    </i>
    <i r="1">
      <x v="139"/>
    </i>
    <i r="1">
      <x v="140"/>
    </i>
    <i r="1">
      <x v="141"/>
    </i>
    <i r="1">
      <x v="143"/>
    </i>
    <i>
      <x v="2"/>
      <x v="145"/>
    </i>
    <i t="grand">
      <x/>
    </i>
  </rowItems>
  <colFields count="1">
    <field x="-2"/>
  </colFields>
  <colItems count="2">
    <i>
      <x/>
    </i>
    <i i="1">
      <x v="1"/>
    </i>
  </colItems>
  <pageFields count="1">
    <pageField fld="1" hier="-1"/>
  </pageFields>
  <dataFields count="2">
    <dataField name="Sum of Fam Q" fld="15" baseField="0" baseItem="0"/>
    <dataField name="Sum of Total Hc" fld="16" baseField="0" baseItem="0"/>
  </dataFields>
  <formats count="1">
    <format dxfId="122">
      <pivotArea outline="0" collapsedLevelsAreSubtotals="1" fieldPosition="0"/>
    </format>
  </formats>
  <pivotTableStyleInfo name="PivotStyleMedium15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A20F648-DA61-481D-B211-030081367B75}" name="PivotTable2" cacheId="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Y3:Z132" firstHeaderRow="1" firstDataRow="1" firstDataCol="1" rowPageCount="1" colPageCount="1"/>
  <pivotFields count="19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Page" showAll="0">
      <items count="3">
        <item x="0"/>
        <item x="1"/>
        <item t="default"/>
      </items>
    </pivotField>
    <pivotField showAll="0"/>
    <pivotField showAll="0"/>
    <pivotField showAll="0"/>
    <pivotField dataField="1" showAll="0"/>
    <pivotField showAll="0"/>
    <pivotField axis="axisRow" showAll="0">
      <items count="144"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21"/>
        <item x="37"/>
        <item x="38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41"/>
        <item x="42"/>
        <item x="44"/>
        <item x="45"/>
        <item x="46"/>
        <item x="47"/>
        <item x="49"/>
        <item x="50"/>
        <item x="51"/>
        <item x="52"/>
        <item x="0"/>
        <item x="59"/>
        <item x="60"/>
        <item x="61"/>
        <item x="62"/>
        <item x="63"/>
        <item x="64"/>
        <item x="65"/>
        <item x="66"/>
        <item x="67"/>
        <item x="69"/>
        <item x="68"/>
        <item x="48"/>
        <item x="43"/>
        <item x="70"/>
        <item x="71"/>
        <item x="53"/>
        <item x="72"/>
        <item x="115"/>
        <item x="116"/>
        <item x="112"/>
        <item x="113"/>
        <item x="114"/>
        <item x="74"/>
        <item x="73"/>
        <item x="75"/>
        <item x="54"/>
        <item x="55"/>
        <item x="17"/>
        <item x="56"/>
        <item x="57"/>
        <item x="58"/>
        <item x="139"/>
        <item x="140"/>
        <item x="117"/>
        <item x="118"/>
        <item x="119"/>
        <item x="120"/>
        <item x="121"/>
        <item x="122"/>
        <item x="18"/>
        <item x="40"/>
        <item x="39"/>
        <item x="19"/>
        <item x="76"/>
        <item x="20"/>
        <item x="141"/>
        <item x="142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t="default"/>
      </items>
    </pivotField>
  </pivotFields>
  <rowFields count="1">
    <field x="18"/>
  </rowFields>
  <rowItems count="129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3"/>
    </i>
    <i>
      <x v="44"/>
    </i>
    <i>
      <x v="45"/>
    </i>
    <i>
      <x v="46"/>
    </i>
    <i>
      <x v="47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2"/>
    </i>
    <i t="grand">
      <x/>
    </i>
  </rowItems>
  <colItems count="1">
    <i/>
  </colItems>
  <pageFields count="1">
    <pageField fld="12" item="0" hier="-1"/>
  </pageFields>
  <dataFields count="1">
    <dataField name="Sum of Total Hc" fld="16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6B2678B-E079-4F74-9C1C-8EE0EAC31A9F}" name="PivotTable4" cacheId="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3:I46" firstHeaderRow="0" firstDataRow="1" firstDataCol="6" rowPageCount="1" colPageCount="1"/>
  <pivotFields count="29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22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22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334">
        <item x="270"/>
        <item x="223"/>
        <item x="191"/>
        <item x="104"/>
        <item x="91"/>
        <item x="312"/>
        <item x="253"/>
        <item x="313"/>
        <item x="186"/>
        <item x="239"/>
        <item x="84"/>
        <item x="167"/>
        <item x="222"/>
        <item x="308"/>
        <item x="15"/>
        <item x="162"/>
        <item x="311"/>
        <item x="240"/>
        <item x="72"/>
        <item x="215"/>
        <item x="127"/>
        <item x="110"/>
        <item x="200"/>
        <item x="244"/>
        <item x="34"/>
        <item x="43"/>
        <item x="97"/>
        <item x="101"/>
        <item x="192"/>
        <item x="177"/>
        <item x="216"/>
        <item x="226"/>
        <item x="144"/>
        <item x="255"/>
        <item x="243"/>
        <item x="213"/>
        <item x="214"/>
        <item x="163"/>
        <item x="237"/>
        <item x="185"/>
        <item x="287"/>
        <item x="111"/>
        <item x="1"/>
        <item x="116"/>
        <item x="7"/>
        <item x="288"/>
        <item x="135"/>
        <item x="115"/>
        <item x="316"/>
        <item x="112"/>
        <item x="217"/>
        <item x="55"/>
        <item x="60"/>
        <item x="193"/>
        <item x="150"/>
        <item x="169"/>
        <item x="152"/>
        <item x="105"/>
        <item x="175"/>
        <item x="119"/>
        <item x="299"/>
        <item x="280"/>
        <item x="261"/>
        <item x="263"/>
        <item x="279"/>
        <item x="251"/>
        <item x="140"/>
        <item x="241"/>
        <item x="49"/>
        <item x="254"/>
        <item x="259"/>
        <item x="325"/>
        <item x="183"/>
        <item x="2"/>
        <item x="286"/>
        <item x="265"/>
        <item x="117"/>
        <item x="138"/>
        <item x="305"/>
        <item x="172"/>
        <item x="151"/>
        <item x="285"/>
        <item x="155"/>
        <item x="8"/>
        <item x="79"/>
        <item x="307"/>
        <item x="16"/>
        <item x="25"/>
        <item x="120"/>
        <item x="56"/>
        <item x="58"/>
        <item x="158"/>
        <item x="278"/>
        <item x="228"/>
        <item x="113"/>
        <item x="273"/>
        <item x="295"/>
        <item x="24"/>
        <item x="320"/>
        <item x="94"/>
        <item x="63"/>
        <item x="275"/>
        <item x="35"/>
        <item x="283"/>
        <item x="51"/>
        <item x="121"/>
        <item x="182"/>
        <item x="86"/>
        <item x="157"/>
        <item x="201"/>
        <item x="235"/>
        <item x="227"/>
        <item x="18"/>
        <item x="96"/>
        <item x="108"/>
        <item x="303"/>
        <item x="164"/>
        <item x="137"/>
        <item x="221"/>
        <item x="258"/>
        <item x="220"/>
        <item x="22"/>
        <item x="262"/>
        <item x="249"/>
        <item x="304"/>
        <item x="284"/>
        <item x="290"/>
        <item x="147"/>
        <item x="54"/>
        <item x="57"/>
        <item x="208"/>
        <item x="90"/>
        <item x="207"/>
        <item x="10"/>
        <item x="67"/>
        <item x="187"/>
        <item x="81"/>
        <item x="224"/>
        <item x="14"/>
        <item x="300"/>
        <item x="301"/>
        <item x="170"/>
        <item x="180"/>
        <item x="154"/>
        <item x="122"/>
        <item x="50"/>
        <item x="267"/>
        <item x="232"/>
        <item x="161"/>
        <item x="203"/>
        <item x="42"/>
        <item x="194"/>
        <item x="59"/>
        <item x="65"/>
        <item x="89"/>
        <item x="19"/>
        <item x="289"/>
        <item x="130"/>
        <item x="326"/>
        <item x="317"/>
        <item x="4"/>
        <item x="17"/>
        <item x="103"/>
        <item x="323"/>
        <item x="245"/>
        <item x="196"/>
        <item x="256"/>
        <item x="92"/>
        <item x="107"/>
        <item x="179"/>
        <item x="47"/>
        <item x="319"/>
        <item x="0"/>
        <item x="195"/>
        <item x="178"/>
        <item x="309"/>
        <item x="306"/>
        <item x="123"/>
        <item x="46"/>
        <item x="292"/>
        <item x="5"/>
        <item x="231"/>
        <item x="88"/>
        <item x="168"/>
        <item x="31"/>
        <item x="40"/>
        <item x="13"/>
        <item x="36"/>
        <item x="276"/>
        <item x="277"/>
        <item x="271"/>
        <item x="318"/>
        <item x="52"/>
        <item x="70"/>
        <item x="145"/>
        <item x="136"/>
        <item x="39"/>
        <item x="118"/>
        <item x="83"/>
        <item x="257"/>
        <item x="69"/>
        <item x="132"/>
        <item x="188"/>
        <item x="229"/>
        <item x="38"/>
        <item x="64"/>
        <item x="85"/>
        <item x="6"/>
        <item x="190"/>
        <item x="174"/>
        <item x="23"/>
        <item x="302"/>
        <item x="20"/>
        <item x="281"/>
        <item x="282"/>
        <item x="32"/>
        <item x="28"/>
        <item x="29"/>
        <item x="102"/>
        <item x="124"/>
        <item x="98"/>
        <item x="77"/>
        <item x="166"/>
        <item x="74"/>
        <item x="246"/>
        <item x="252"/>
        <item x="80"/>
        <item x="173"/>
        <item x="274"/>
        <item x="204"/>
        <item x="202"/>
        <item x="269"/>
        <item x="198"/>
        <item x="218"/>
        <item x="109"/>
        <item x="233"/>
        <item x="189"/>
        <item x="212"/>
        <item x="298"/>
        <item x="315"/>
        <item x="266"/>
        <item x="75"/>
        <item x="146"/>
        <item x="99"/>
        <item x="219"/>
        <item x="321"/>
        <item x="114"/>
        <item x="45"/>
        <item x="248"/>
        <item x="142"/>
        <item x="291"/>
        <item x="159"/>
        <item x="48"/>
        <item x="143"/>
        <item x="82"/>
        <item x="272"/>
        <item x="296"/>
        <item x="3"/>
        <item x="247"/>
        <item x="324"/>
        <item x="211"/>
        <item x="73"/>
        <item x="242"/>
        <item x="322"/>
        <item x="205"/>
        <item x="197"/>
        <item x="68"/>
        <item x="66"/>
        <item x="141"/>
        <item x="149"/>
        <item x="128"/>
        <item x="260"/>
        <item x="206"/>
        <item x="76"/>
        <item x="236"/>
        <item x="199"/>
        <item x="250"/>
        <item x="27"/>
        <item x="148"/>
        <item x="131"/>
        <item x="9"/>
        <item x="21"/>
        <item x="176"/>
        <item x="106"/>
        <item x="78"/>
        <item x="181"/>
        <item x="238"/>
        <item m="1" x="333"/>
        <item x="230"/>
        <item x="61"/>
        <item x="184"/>
        <item x="293"/>
        <item x="210"/>
        <item x="62"/>
        <item x="153"/>
        <item x="126"/>
        <item x="264"/>
        <item x="165"/>
        <item x="171"/>
        <item x="12"/>
        <item x="53"/>
        <item x="95"/>
        <item x="133"/>
        <item x="268"/>
        <item x="209"/>
        <item x="30"/>
        <item x="11"/>
        <item x="87"/>
        <item x="100"/>
        <item x="314"/>
        <item x="37"/>
        <item x="297"/>
        <item x="225"/>
        <item x="294"/>
        <item x="125"/>
        <item x="134"/>
        <item x="26"/>
        <item x="234"/>
        <item x="93"/>
        <item x="139"/>
        <item x="44"/>
        <item x="310"/>
        <item x="156"/>
        <item x="129"/>
        <item x="71"/>
        <item x="33"/>
        <item m="1" x="332"/>
        <item x="41"/>
        <item m="1" x="331"/>
        <item x="160"/>
        <item x="327"/>
        <item x="328"/>
        <item x="329"/>
        <item x="33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howAll="0" defaultSubtotal="0">
      <items count="3">
        <item x="1"/>
        <item x="0"/>
        <item m="1"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5">
        <item x="3"/>
        <item x="2"/>
        <item x="0"/>
        <item x="1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3">
        <item x="6"/>
        <item x="2"/>
        <item x="0"/>
        <item x="5"/>
        <item x="4"/>
        <item x="9"/>
        <item m="1" x="12"/>
        <item x="1"/>
        <item x="7"/>
        <item x="3"/>
        <item x="8"/>
        <item m="1" x="11"/>
        <item x="1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34">
        <item x="24"/>
        <item x="14"/>
        <item x="18"/>
        <item x="0"/>
        <item x="29"/>
        <item x="28"/>
        <item x="4"/>
        <item x="30"/>
        <item x="2"/>
        <item x="11"/>
        <item x="8"/>
        <item x="5"/>
        <item x="6"/>
        <item x="10"/>
        <item x="25"/>
        <item x="1"/>
        <item m="1" x="33"/>
        <item x="3"/>
        <item x="9"/>
        <item x="27"/>
        <item x="7"/>
        <item x="20"/>
        <item x="21"/>
        <item x="19"/>
        <item x="17"/>
        <item x="16"/>
        <item x="12"/>
        <item x="15"/>
        <item x="13"/>
        <item x="26"/>
        <item x="23"/>
        <item x="22"/>
        <item m="1" x="32"/>
        <item x="3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74">
        <item x="16"/>
        <item x="56"/>
        <item x="17"/>
        <item x="18"/>
        <item x="32"/>
        <item x="45"/>
        <item x="44"/>
        <item x="57"/>
        <item x="19"/>
        <item x="20"/>
        <item x="46"/>
        <item x="21"/>
        <item x="33"/>
        <item x="22"/>
        <item x="58"/>
        <item x="59"/>
        <item x="0"/>
        <item x="23"/>
        <item x="1"/>
        <item x="5"/>
        <item x="60"/>
        <item x="34"/>
        <item x="6"/>
        <item x="13"/>
        <item x="35"/>
        <item x="36"/>
        <item x="61"/>
        <item x="7"/>
        <item x="37"/>
        <item x="52"/>
        <item x="67"/>
        <item x="38"/>
        <item x="53"/>
        <item m="1" x="72"/>
        <item x="54"/>
        <item x="39"/>
        <item x="14"/>
        <item x="62"/>
        <item x="63"/>
        <item x="11"/>
        <item x="47"/>
        <item x="2"/>
        <item x="24"/>
        <item x="9"/>
        <item x="15"/>
        <item x="48"/>
        <item x="4"/>
        <item m="1" x="70"/>
        <item x="50"/>
        <item x="25"/>
        <item x="8"/>
        <item x="40"/>
        <item x="64"/>
        <item x="41"/>
        <item x="65"/>
        <item x="27"/>
        <item x="42"/>
        <item x="28"/>
        <item x="49"/>
        <item x="66"/>
        <item x="29"/>
        <item x="55"/>
        <item m="1" x="73"/>
        <item x="3"/>
        <item x="51"/>
        <item x="30"/>
        <item x="10"/>
        <item m="1" x="71"/>
        <item x="69"/>
        <item x="43"/>
        <item x="31"/>
        <item x="26"/>
        <item x="68"/>
        <item x="1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10">
        <item sd="0" x="0"/>
        <item sd="0" x="2"/>
        <item sd="0" x="4"/>
        <item sd="0" x="5"/>
        <item sd="0" x="7"/>
        <item sd="0" x="8"/>
        <item sd="0" x="6"/>
        <item x="1"/>
        <item m="1" x="9"/>
        <item sd="0" x="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6">
    <field x="10"/>
    <field x="21"/>
    <field x="12"/>
    <field x="13"/>
    <field x="14"/>
    <field x="4"/>
  </rowFields>
  <rowItems count="43">
    <i>
      <x v="1"/>
      <x v="9"/>
    </i>
    <i t="default">
      <x v="1"/>
    </i>
    <i>
      <x v="2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  <x/>
      <x/>
      <x v="32"/>
      <x v="110"/>
    </i>
    <i r="5">
      <x v="274"/>
    </i>
    <i r="2">
      <x v="1"/>
      <x v="20"/>
      <x v="11"/>
      <x v="54"/>
    </i>
    <i r="2">
      <x v="2"/>
      <x v="3"/>
      <x v="64"/>
      <x v="181"/>
    </i>
    <i r="3">
      <x v="4"/>
      <x v="15"/>
      <x v="65"/>
    </i>
    <i r="4">
      <x v="20"/>
      <x v="225"/>
    </i>
    <i r="4">
      <x v="37"/>
      <x v="33"/>
    </i>
    <i r="5">
      <x v="69"/>
    </i>
    <i r="5">
      <x v="166"/>
    </i>
    <i r="5">
      <x v="199"/>
    </i>
    <i r="4">
      <x v="38"/>
      <x v="70"/>
    </i>
    <i r="5">
      <x v="119"/>
    </i>
    <i r="5">
      <x v="271"/>
    </i>
    <i r="4">
      <x v="52"/>
      <x v="62"/>
    </i>
    <i r="3">
      <x v="6"/>
      <x v="14"/>
      <x v="276"/>
    </i>
    <i r="4">
      <x v="48"/>
      <x v="288"/>
    </i>
    <i r="3">
      <x v="15"/>
      <x v="41"/>
      <x v="325"/>
    </i>
    <i r="3">
      <x v="24"/>
      <x v="26"/>
      <x v="6"/>
    </i>
    <i r="4">
      <x v="69"/>
      <x v="22"/>
    </i>
    <i r="2">
      <x v="4"/>
      <x v="9"/>
      <x v="4"/>
      <x v="55"/>
    </i>
    <i r="3">
      <x v="14"/>
      <x v="34"/>
      <x v="38"/>
    </i>
    <i r="3">
      <x v="29"/>
      <x v="61"/>
      <x v="9"/>
    </i>
    <i r="3">
      <x v="30"/>
      <x v="29"/>
      <x v="235"/>
    </i>
    <i r="5">
      <x v="317"/>
    </i>
    <i r="3">
      <x v="31"/>
      <x v="28"/>
      <x v="147"/>
    </i>
    <i r="2">
      <x v="5"/>
      <x v="7"/>
      <x v="59"/>
      <x v="63"/>
    </i>
    <i r="5">
      <x v="296"/>
    </i>
    <i r="2">
      <x v="8"/>
      <x v="19"/>
      <x v="1"/>
      <x v="224"/>
    </i>
    <i r="5">
      <x v="248"/>
    </i>
    <i r="5">
      <x v="258"/>
    </i>
    <i r="2">
      <x v="10"/>
      <x v="5"/>
      <x v="7"/>
      <x v="123"/>
    </i>
    <i r="4">
      <x v="54"/>
      <x v="122"/>
    </i>
    <i t="default">
      <x v="2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5" item="1" hier="-1"/>
  </pageFields>
  <dataFields count="3">
    <dataField name="Sum of C Fam" fld="17" baseField="0" baseItem="0"/>
    <dataField name="Sum of A Fam" fld="18" baseField="0" baseItem="0"/>
    <dataField name="Sum of Total Hc" fld="20" baseField="0" baseItem="0"/>
  </dataFields>
  <formats count="83">
    <format dxfId="120">
      <pivotArea outline="0" collapsedLevelsAreSubtotals="1" fieldPosition="0"/>
    </format>
    <format dxfId="119">
      <pivotArea dataOnly="0" labelOnly="1" outline="0" offset="IV12" fieldPosition="0">
        <references count="5"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3"/>
          </reference>
          <reference field="14" count="1">
            <x v="18"/>
          </reference>
          <reference field="21" count="1" selected="0">
            <x v="0"/>
          </reference>
        </references>
      </pivotArea>
    </format>
    <format dxfId="118">
      <pivotArea dataOnly="0" labelOnly="1" outline="0" fieldPosition="0">
        <references count="6">
          <reference field="4" count="1">
            <x v="217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3"/>
          </reference>
          <reference field="14" count="1" selected="0">
            <x v="18"/>
          </reference>
          <reference field="21" count="1" selected="0">
            <x v="0"/>
          </reference>
        </references>
      </pivotArea>
    </format>
    <format dxfId="117">
      <pivotArea dataOnly="0" labelOnly="1" outline="0" offset="IV12" fieldPosition="0">
        <references count="5"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3"/>
          </reference>
          <reference field="14" count="1">
            <x v="18"/>
          </reference>
          <reference field="21" count="1" selected="0">
            <x v="0"/>
          </reference>
        </references>
      </pivotArea>
    </format>
    <format dxfId="116">
      <pivotArea dataOnly="0" labelOnly="1" outline="0" fieldPosition="0">
        <references count="6">
          <reference field="4" count="1">
            <x v="217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3"/>
          </reference>
          <reference field="14" count="1" selected="0">
            <x v="18"/>
          </reference>
          <reference field="21" count="1" selected="0">
            <x v="0"/>
          </reference>
        </references>
      </pivotArea>
    </format>
    <format dxfId="115">
      <pivotArea dataOnly="0" labelOnly="1" outline="0" fieldPosition="0">
        <references count="6">
          <reference field="4" count="5">
            <x v="19"/>
            <x v="30"/>
            <x v="35"/>
            <x v="36"/>
            <x v="50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3"/>
          </reference>
          <reference field="14" count="1" selected="0">
            <x v="27"/>
          </reference>
          <reference field="21" count="1" selected="0">
            <x v="1"/>
          </reference>
        </references>
      </pivotArea>
    </format>
    <format dxfId="114">
      <pivotArea dataOnly="0" labelOnly="1" outline="0" fieldPosition="0">
        <references count="6">
          <reference field="4" count="1">
            <x v="4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3"/>
          </reference>
          <reference field="14" count="1" selected="0">
            <x v="73"/>
          </reference>
          <reference field="21" count="1" selected="0">
            <x v="2"/>
          </reference>
        </references>
      </pivotArea>
    </format>
    <format dxfId="113">
      <pivotArea dataOnly="0" labelOnly="1" outline="0" fieldPosition="0">
        <references count="6">
          <reference field="4" count="1">
            <x v="105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3"/>
          </reference>
          <reference field="14" count="1" selected="0">
            <x v="73"/>
          </reference>
          <reference field="21" count="1" selected="0">
            <x v="2"/>
          </reference>
        </references>
      </pivotArea>
    </format>
    <format dxfId="112">
      <pivotArea dataOnly="0" labelOnly="1" outline="0" fieldPosition="0">
        <references count="6">
          <reference field="4" count="1">
            <x v="167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3"/>
          </reference>
          <reference field="14" count="1" selected="0">
            <x v="73"/>
          </reference>
          <reference field="21" count="1" selected="0">
            <x v="2"/>
          </reference>
        </references>
      </pivotArea>
    </format>
    <format dxfId="111">
      <pivotArea dataOnly="0" labelOnly="1" outline="0" fieldPosition="0">
        <references count="3">
          <reference field="10" count="1" selected="0">
            <x v="2"/>
          </reference>
          <reference field="12" count="1">
            <x v="2"/>
          </reference>
          <reference field="21" count="1" selected="0">
            <x v="6"/>
          </reference>
        </references>
      </pivotArea>
    </format>
    <format dxfId="110">
      <pivotArea dataOnly="0" labelOnly="1" outline="0" fieldPosition="0">
        <references count="4">
          <reference field="10" count="1" selected="0">
            <x v="2"/>
          </reference>
          <reference field="12" count="1" selected="0">
            <x v="2"/>
          </reference>
          <reference field="13" count="1">
            <x v="3"/>
          </reference>
          <reference field="21" count="1" selected="0">
            <x v="6"/>
          </reference>
        </references>
      </pivotArea>
    </format>
    <format dxfId="109">
      <pivotArea dataOnly="0" labelOnly="1" outline="0" fieldPosition="0">
        <references count="5"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3"/>
          </reference>
          <reference field="14" count="1">
            <x v="18"/>
          </reference>
          <reference field="21" count="1" selected="0">
            <x v="6"/>
          </reference>
        </references>
      </pivotArea>
    </format>
    <format dxfId="108">
      <pivotArea dataOnly="0" labelOnly="1" outline="0" fieldPosition="0">
        <references count="6">
          <reference field="4" count="1">
            <x v="217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3"/>
          </reference>
          <reference field="14" count="1" selected="0">
            <x v="18"/>
          </reference>
          <reference field="21" count="1" selected="0">
            <x v="6"/>
          </reference>
        </references>
      </pivotArea>
    </format>
    <format dxfId="107">
      <pivotArea dataOnly="0" labelOnly="1" outline="0" fieldPosition="0">
        <references count="5"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15"/>
          </reference>
          <reference field="14" count="1">
            <x v="41"/>
          </reference>
          <reference field="21" count="1" selected="0">
            <x v="0"/>
          </reference>
        </references>
      </pivotArea>
    </format>
    <format dxfId="106">
      <pivotArea dataOnly="0" labelOnly="1" outline="0" fieldPosition="0">
        <references count="6">
          <reference field="4" count="3">
            <x v="160"/>
            <x v="180"/>
            <x v="325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15"/>
          </reference>
          <reference field="14" count="1" selected="0">
            <x v="41"/>
          </reference>
          <reference field="21" count="1" selected="0">
            <x v="0"/>
          </reference>
        </references>
      </pivotArea>
    </format>
    <format dxfId="105">
      <pivotArea dataOnly="0" labelOnly="1" outline="0" fieldPosition="0">
        <references count="6">
          <reference field="4" count="1">
            <x v="261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6"/>
          </reference>
          <reference field="14" count="1" selected="0">
            <x v="43"/>
          </reference>
          <reference field="21" count="1" selected="0">
            <x v="1"/>
          </reference>
        </references>
      </pivotArea>
    </format>
    <format dxfId="104">
      <pivotArea dataOnly="0" labelOnly="1" outline="0" fieldPosition="0">
        <references count="6">
          <reference field="4" count="1">
            <x v="18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3"/>
          </reference>
          <reference field="14" count="1" selected="0">
            <x v="43"/>
          </reference>
          <reference field="21" count="1" selected="0">
            <x v="1"/>
          </reference>
        </references>
      </pivotArea>
    </format>
    <format dxfId="103">
      <pivotArea dataOnly="0" labelOnly="1" outline="0" offset="IV31" fieldPosition="0">
        <references count="3">
          <reference field="10" count="1" selected="0">
            <x v="2"/>
          </reference>
          <reference field="12" count="1">
            <x v="2"/>
          </reference>
          <reference field="21" count="1" selected="0">
            <x v="2"/>
          </reference>
        </references>
      </pivotArea>
    </format>
    <format dxfId="102">
      <pivotArea dataOnly="0" labelOnly="1" outline="0" fieldPosition="0">
        <references count="4">
          <reference field="10" count="1" selected="0">
            <x v="2"/>
          </reference>
          <reference field="12" count="1" selected="0">
            <x v="2"/>
          </reference>
          <reference field="13" count="1">
            <x v="6"/>
          </reference>
          <reference field="21" count="1" selected="0">
            <x v="2"/>
          </reference>
        </references>
      </pivotArea>
    </format>
    <format dxfId="101">
      <pivotArea dataOnly="0" labelOnly="1" outline="0" fieldPosition="0">
        <references count="5"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6"/>
          </reference>
          <reference field="14" count="1">
            <x v="43"/>
          </reference>
          <reference field="21" count="1" selected="0">
            <x v="2"/>
          </reference>
        </references>
      </pivotArea>
    </format>
    <format dxfId="100">
      <pivotArea dataOnly="0" labelOnly="1" outline="0" fieldPosition="0">
        <references count="6">
          <reference field="4" count="1">
            <x v="226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6"/>
          </reference>
          <reference field="14" count="1" selected="0">
            <x v="43"/>
          </reference>
          <reference field="21" count="1" selected="0">
            <x v="2"/>
          </reference>
        </references>
      </pivotArea>
    </format>
    <format dxfId="99">
      <pivotArea dataOnly="0" labelOnly="1" outline="0" offset="IV256" fieldPosition="0">
        <references count="3">
          <reference field="10" count="1" selected="0">
            <x v="2"/>
          </reference>
          <reference field="12" count="1">
            <x v="2"/>
          </reference>
          <reference field="21" count="1" selected="0">
            <x v="2"/>
          </reference>
        </references>
      </pivotArea>
    </format>
    <format dxfId="98">
      <pivotArea dataOnly="0" labelOnly="1" outline="0" fieldPosition="0">
        <references count="4">
          <reference field="10" count="1" selected="0">
            <x v="2"/>
          </reference>
          <reference field="12" count="1" selected="0">
            <x v="2"/>
          </reference>
          <reference field="13" count="1">
            <x v="15"/>
          </reference>
          <reference field="21" count="1" selected="0">
            <x v="3"/>
          </reference>
        </references>
      </pivotArea>
    </format>
    <format dxfId="97">
      <pivotArea dataOnly="0" labelOnly="1" outline="0" fieldPosition="0">
        <references count="5"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15"/>
          </reference>
          <reference field="14" count="1">
            <x v="36"/>
          </reference>
          <reference field="21" count="1" selected="0">
            <x v="3"/>
          </reference>
        </references>
      </pivotArea>
    </format>
    <format dxfId="96">
      <pivotArea dataOnly="0" labelOnly="1" outline="0" fieldPosition="0">
        <references count="6">
          <reference field="4" count="1">
            <x v="234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15"/>
          </reference>
          <reference field="14" count="1" selected="0">
            <x v="36"/>
          </reference>
          <reference field="21" count="1" selected="0">
            <x v="3"/>
          </reference>
        </references>
      </pivotArea>
    </format>
    <format dxfId="95">
      <pivotArea dataOnly="0" labelOnly="1" outline="0" offset="IV256" fieldPosition="0">
        <references count="3">
          <reference field="10" count="1" selected="0">
            <x v="2"/>
          </reference>
          <reference field="12" count="1">
            <x v="2"/>
          </reference>
          <reference field="21" count="1" selected="0">
            <x v="6"/>
          </reference>
        </references>
      </pivotArea>
    </format>
    <format dxfId="94">
      <pivotArea dataOnly="0" labelOnly="1" outline="0" fieldPosition="0">
        <references count="4">
          <reference field="10" count="1" selected="0">
            <x v="2"/>
          </reference>
          <reference field="12" count="1" selected="0">
            <x v="2"/>
          </reference>
          <reference field="13" count="1">
            <x v="15"/>
          </reference>
          <reference field="21" count="1" selected="0">
            <x v="6"/>
          </reference>
        </references>
      </pivotArea>
    </format>
    <format dxfId="93">
      <pivotArea dataOnly="0" labelOnly="1" outline="0" offset="IV256" fieldPosition="0">
        <references count="5"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3"/>
          </reference>
          <reference field="14" count="1">
            <x v="36"/>
          </reference>
          <reference field="21" count="1" selected="0">
            <x v="6"/>
          </reference>
        </references>
      </pivotArea>
    </format>
    <format dxfId="92">
      <pivotArea dataOnly="0" labelOnly="1" outline="0" fieldPosition="0">
        <references count="6">
          <reference field="4" count="1">
            <x v="233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15"/>
          </reference>
          <reference field="14" count="1" selected="0">
            <x v="36"/>
          </reference>
          <reference field="21" count="1" selected="0">
            <x v="6"/>
          </reference>
        </references>
      </pivotArea>
    </format>
    <format dxfId="91">
      <pivotArea dataOnly="0" labelOnly="1" outline="0" offset="IV9:IV256" fieldPosition="0">
        <references count="3">
          <reference field="10" count="1" selected="0">
            <x v="2"/>
          </reference>
          <reference field="12" count="1">
            <x v="2"/>
          </reference>
          <reference field="21" count="1" selected="0">
            <x v="6"/>
          </reference>
        </references>
      </pivotArea>
    </format>
    <format dxfId="90">
      <pivotArea dataOnly="0" labelOnly="1" outline="0" offset="IV1:IV3" fieldPosition="0">
        <references count="3">
          <reference field="10" count="1" selected="0">
            <x v="2"/>
          </reference>
          <reference field="12" count="1">
            <x v="3"/>
          </reference>
          <reference field="21" count="1" selected="0">
            <x v="6"/>
          </reference>
        </references>
      </pivotArea>
    </format>
    <format dxfId="89">
      <pivotArea dataOnly="0" labelOnly="1" outline="0" offset="IV9:IV256" fieldPosition="0">
        <references count="4">
          <reference field="10" count="1" selected="0">
            <x v="2"/>
          </reference>
          <reference field="12" count="1" selected="0">
            <x v="2"/>
          </reference>
          <reference field="13" count="1">
            <x v="3"/>
          </reference>
          <reference field="21" count="1" selected="0">
            <x v="6"/>
          </reference>
        </references>
      </pivotArea>
    </format>
    <format dxfId="88">
      <pivotArea dataOnly="0" labelOnly="1" outline="0" fieldPosition="0">
        <references count="4">
          <reference field="10" count="1" selected="0">
            <x v="2"/>
          </reference>
          <reference field="12" count="1" selected="0">
            <x v="3"/>
          </reference>
          <reference field="13" count="2">
            <x v="21"/>
            <x v="22"/>
          </reference>
          <reference field="21" count="1" selected="0">
            <x v="6"/>
          </reference>
        </references>
      </pivotArea>
    </format>
    <format dxfId="87">
      <pivotArea dataOnly="0" labelOnly="1" outline="0" offset="IV1" fieldPosition="0">
        <references count="4">
          <reference field="10" count="1" selected="0">
            <x v="2"/>
          </reference>
          <reference field="12" count="1" selected="0">
            <x v="3"/>
          </reference>
          <reference field="13" count="1">
            <x v="23"/>
          </reference>
          <reference field="21" count="1" selected="0">
            <x v="6"/>
          </reference>
        </references>
      </pivotArea>
    </format>
    <format dxfId="86">
      <pivotArea dataOnly="0" labelOnly="1" outline="0" offset="IV4:IV256" fieldPosition="0">
        <references count="5"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3"/>
          </reference>
          <reference field="14" count="1">
            <x v="36"/>
          </reference>
          <reference field="21" count="1" selected="0">
            <x v="6"/>
          </reference>
        </references>
      </pivotArea>
    </format>
    <format dxfId="85">
      <pivotArea dataOnly="0" labelOnly="1" outline="0" fieldPosition="0">
        <references count="5">
          <reference field="10" count="1" selected="0">
            <x v="2"/>
          </reference>
          <reference field="12" count="1" selected="0">
            <x v="3"/>
          </reference>
          <reference field="13" count="1" selected="0">
            <x v="21"/>
          </reference>
          <reference field="14" count="1">
            <x v="10"/>
          </reference>
          <reference field="21" count="1" selected="0">
            <x v="6"/>
          </reference>
        </references>
      </pivotArea>
    </format>
    <format dxfId="84">
      <pivotArea dataOnly="0" labelOnly="1" outline="0" fieldPosition="0">
        <references count="5">
          <reference field="10" count="1" selected="0">
            <x v="2"/>
          </reference>
          <reference field="12" count="1" selected="0">
            <x v="3"/>
          </reference>
          <reference field="13" count="1" selected="0">
            <x v="22"/>
          </reference>
          <reference field="14" count="1">
            <x v="40"/>
          </reference>
          <reference field="21" count="1" selected="0">
            <x v="6"/>
          </reference>
        </references>
      </pivotArea>
    </format>
    <format dxfId="83">
      <pivotArea dataOnly="0" labelOnly="1" outline="0" fieldPosition="0">
        <references count="5">
          <reference field="10" count="1" selected="0">
            <x v="2"/>
          </reference>
          <reference field="12" count="1" selected="0">
            <x v="3"/>
          </reference>
          <reference field="13" count="1" selected="0">
            <x v="23"/>
          </reference>
          <reference field="14" count="1">
            <x v="5"/>
          </reference>
          <reference field="21" count="1" selected="0">
            <x v="6"/>
          </reference>
        </references>
      </pivotArea>
    </format>
    <format dxfId="82">
      <pivotArea dataOnly="0" labelOnly="1" outline="0" fieldPosition="0">
        <references count="6">
          <reference field="4" count="2">
            <x v="302"/>
            <x v="315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3"/>
          </reference>
          <reference field="14" count="1" selected="0">
            <x v="36"/>
          </reference>
          <reference field="21" count="1" selected="0">
            <x v="6"/>
          </reference>
        </references>
      </pivotArea>
    </format>
    <format dxfId="81">
      <pivotArea dataOnly="0" labelOnly="1" outline="0" fieldPosition="0">
        <references count="6">
          <reference field="4" count="1">
            <x v="233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15"/>
          </reference>
          <reference field="14" count="1" selected="0">
            <x v="36"/>
          </reference>
          <reference field="21" count="1" selected="0">
            <x v="6"/>
          </reference>
        </references>
      </pivotArea>
    </format>
    <format dxfId="80">
      <pivotArea dataOnly="0" labelOnly="1" outline="0" fieldPosition="0">
        <references count="6">
          <reference field="4" count="1">
            <x v="237"/>
          </reference>
          <reference field="10" count="1" selected="0">
            <x v="2"/>
          </reference>
          <reference field="12" count="1" selected="0">
            <x v="3"/>
          </reference>
          <reference field="13" count="1" selected="0">
            <x v="21"/>
          </reference>
          <reference field="14" count="1" selected="0">
            <x v="10"/>
          </reference>
          <reference field="21" count="1" selected="0">
            <x v="6"/>
          </reference>
        </references>
      </pivotArea>
    </format>
    <format dxfId="79">
      <pivotArea dataOnly="0" labelOnly="1" outline="0" fieldPosition="0">
        <references count="6">
          <reference field="4" count="1">
            <x v="244"/>
          </reference>
          <reference field="10" count="1" selected="0">
            <x v="2"/>
          </reference>
          <reference field="12" count="1" selected="0">
            <x v="3"/>
          </reference>
          <reference field="13" count="1" selected="0">
            <x v="22"/>
          </reference>
          <reference field="14" count="1" selected="0">
            <x v="40"/>
          </reference>
          <reference field="21" count="1" selected="0">
            <x v="6"/>
          </reference>
        </references>
      </pivotArea>
    </format>
    <format dxfId="78">
      <pivotArea dataOnly="0" labelOnly="1" outline="0" fieldPosition="0">
        <references count="6">
          <reference field="4" count="1">
            <x v="260"/>
          </reference>
          <reference field="10" count="1" selected="0">
            <x v="2"/>
          </reference>
          <reference field="12" count="1" selected="0">
            <x v="3"/>
          </reference>
          <reference field="13" count="1" selected="0">
            <x v="23"/>
          </reference>
          <reference field="14" count="1" selected="0">
            <x v="5"/>
          </reference>
          <reference field="21" count="1" selected="0">
            <x v="6"/>
          </reference>
        </references>
      </pivotArea>
    </format>
    <format dxfId="77">
      <pivotArea dataOnly="0" labelOnly="1" outline="0" fieldPosition="0">
        <references count="5"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6"/>
          </reference>
          <reference field="14" count="2">
            <x v="14"/>
            <x v="66"/>
          </reference>
          <reference field="21" count="1" selected="0">
            <x v="7"/>
          </reference>
        </references>
      </pivotArea>
    </format>
    <format dxfId="76">
      <pivotArea dataOnly="0" labelOnly="1" outline="0" fieldPosition="0">
        <references count="5"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8"/>
          </reference>
          <reference field="14" count="1">
            <x v="63"/>
          </reference>
          <reference field="21" count="1" selected="0">
            <x v="7"/>
          </reference>
        </references>
      </pivotArea>
    </format>
    <format dxfId="75">
      <pivotArea dataOnly="0" labelOnly="1" outline="0" fieldPosition="0">
        <references count="5"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15"/>
          </reference>
          <reference field="14" count="1">
            <x v="66"/>
          </reference>
          <reference field="21" count="1" selected="0">
            <x v="7"/>
          </reference>
        </references>
      </pivotArea>
    </format>
    <format dxfId="74">
      <pivotArea dataOnly="0" labelOnly="1" outline="0" fieldPosition="0">
        <references count="5"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24"/>
          </reference>
          <reference field="14" count="2">
            <x v="26"/>
            <x v="69"/>
          </reference>
          <reference field="21" count="1" selected="0">
            <x v="7"/>
          </reference>
        </references>
      </pivotArea>
    </format>
    <format dxfId="73">
      <pivotArea dataOnly="0" labelOnly="1" outline="0" fieldPosition="0">
        <references count="5">
          <reference field="10" count="1" selected="0">
            <x v="2"/>
          </reference>
          <reference field="12" count="1" selected="0">
            <x v="4"/>
          </reference>
          <reference field="13" count="1" selected="0">
            <x v="25"/>
          </reference>
          <reference field="14" count="1">
            <x v="35"/>
          </reference>
          <reference field="21" count="1" selected="0">
            <x v="7"/>
          </reference>
        </references>
      </pivotArea>
    </format>
    <format dxfId="72">
      <pivotArea dataOnly="0" labelOnly="1" outline="0" fieldPosition="0">
        <references count="6">
          <reference field="4" count="1">
            <x v="276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6"/>
          </reference>
          <reference field="14" count="1" selected="0">
            <x v="14"/>
          </reference>
          <reference field="21" count="1" selected="0">
            <x v="7"/>
          </reference>
        </references>
      </pivotArea>
    </format>
    <format dxfId="71">
      <pivotArea dataOnly="0" labelOnly="1" outline="0" fieldPosition="0">
        <references count="6">
          <reference field="4" count="1">
            <x v="223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6"/>
          </reference>
          <reference field="14" count="1" selected="0">
            <x v="66"/>
          </reference>
          <reference field="21" count="1" selected="0">
            <x v="7"/>
          </reference>
        </references>
      </pivotArea>
    </format>
    <format dxfId="70">
      <pivotArea dataOnly="0" labelOnly="1" outline="0" fieldPosition="0">
        <references count="6">
          <reference field="4" count="1">
            <x v="207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8"/>
          </reference>
          <reference field="14" count="1" selected="0">
            <x v="63"/>
          </reference>
          <reference field="21" count="1" selected="0">
            <x v="7"/>
          </reference>
        </references>
      </pivotArea>
    </format>
    <format dxfId="69">
      <pivotArea dataOnly="0" labelOnly="1" outline="0" fieldPosition="0">
        <references count="6">
          <reference field="4" count="2">
            <x v="46"/>
            <x v="203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15"/>
          </reference>
          <reference field="14" count="1" selected="0">
            <x v="66"/>
          </reference>
          <reference field="21" count="1" selected="0">
            <x v="7"/>
          </reference>
        </references>
      </pivotArea>
    </format>
    <format dxfId="68">
      <pivotArea dataOnly="0" labelOnly="1" outline="0" fieldPosition="0">
        <references count="6">
          <reference field="4" count="1">
            <x v="6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24"/>
          </reference>
          <reference field="14" count="1" selected="0">
            <x v="26"/>
          </reference>
          <reference field="21" count="1" selected="0">
            <x v="7"/>
          </reference>
        </references>
      </pivotArea>
    </format>
    <format dxfId="67">
      <pivotArea dataOnly="0" labelOnly="1" outline="0" fieldPosition="0">
        <references count="6">
          <reference field="4" count="1">
            <x v="22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24"/>
          </reference>
          <reference field="14" count="1" selected="0">
            <x v="69"/>
          </reference>
          <reference field="21" count="1" selected="0">
            <x v="7"/>
          </reference>
        </references>
      </pivotArea>
    </format>
    <format dxfId="66">
      <pivotArea dataOnly="0" labelOnly="1" outline="0" fieldPosition="0">
        <references count="6">
          <reference field="4" count="1">
            <x v="275"/>
          </reference>
          <reference field="10" count="1" selected="0">
            <x v="2"/>
          </reference>
          <reference field="12" count="1" selected="0">
            <x v="4"/>
          </reference>
          <reference field="13" count="1" selected="0">
            <x v="25"/>
          </reference>
          <reference field="14" count="1" selected="0">
            <x v="35"/>
          </reference>
          <reference field="21" count="1" selected="0">
            <x v="7"/>
          </reference>
        </references>
      </pivotArea>
    </format>
    <format dxfId="65">
      <pivotArea dataOnly="0" labelOnly="1" outline="0" fieldPosition="0">
        <references count="5"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3"/>
          </reference>
          <reference field="14" count="1">
            <x v="43"/>
          </reference>
          <reference field="21" count="1" selected="0">
            <x v="2"/>
          </reference>
        </references>
      </pivotArea>
    </format>
    <format dxfId="64">
      <pivotArea dataOnly="0" labelOnly="1" outline="0" fieldPosition="0">
        <references count="6">
          <reference field="4" count="1">
            <x v="84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3"/>
          </reference>
          <reference field="14" count="1" selected="0">
            <x v="43"/>
          </reference>
          <reference field="21" count="1" selected="0">
            <x v="2"/>
          </reference>
        </references>
      </pivotArea>
    </format>
    <format dxfId="63">
      <pivotArea dataOnly="0" labelOnly="1" outline="0" offset="IV12" fieldPosition="0">
        <references count="3">
          <reference field="10" count="1" selected="0">
            <x v="2"/>
          </reference>
          <reference field="12" count="1">
            <x v="2"/>
          </reference>
          <reference field="21" count="1" selected="0">
            <x v="2"/>
          </reference>
        </references>
      </pivotArea>
    </format>
    <format dxfId="62">
      <pivotArea dataOnly="0" labelOnly="1" outline="0" offset="IV12" fieldPosition="0">
        <references count="4">
          <reference field="10" count="1" selected="0">
            <x v="2"/>
          </reference>
          <reference field="12" count="1" selected="0">
            <x v="2"/>
          </reference>
          <reference field="13" count="1">
            <x v="3"/>
          </reference>
          <reference field="21" count="1" selected="0">
            <x v="2"/>
          </reference>
        </references>
      </pivotArea>
    </format>
    <format dxfId="61">
      <pivotArea dataOnly="0" labelOnly="1" outline="0" fieldPosition="0">
        <references count="5"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15"/>
          </reference>
          <reference field="14" count="1">
            <x v="41"/>
          </reference>
          <reference field="21" count="1" selected="0">
            <x v="3"/>
          </reference>
        </references>
      </pivotArea>
    </format>
    <format dxfId="60">
      <pivotArea dataOnly="0" labelOnly="1" outline="0" fieldPosition="0">
        <references count="6">
          <reference field="4" count="1">
            <x v="325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15"/>
          </reference>
          <reference field="14" count="1" selected="0">
            <x v="41"/>
          </reference>
          <reference field="21" count="1" selected="0">
            <x v="3"/>
          </reference>
        </references>
      </pivotArea>
    </format>
    <format dxfId="59">
      <pivotArea dataOnly="0" labelOnly="1" outline="0" offset="IV1" fieldPosition="0">
        <references count="4">
          <reference field="10" count="1" selected="0">
            <x v="2"/>
          </reference>
          <reference field="12" count="1" selected="0">
            <x v="2"/>
          </reference>
          <reference field="13" count="1">
            <x v="6"/>
          </reference>
          <reference field="21" count="1" selected="0">
            <x v="3"/>
          </reference>
        </references>
      </pivotArea>
    </format>
    <format dxfId="58">
      <pivotArea dataOnly="0" labelOnly="1" outline="0" fieldPosition="0">
        <references count="5"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6"/>
          </reference>
          <reference field="14" count="1">
            <x v="14"/>
          </reference>
          <reference field="21" count="1" selected="0">
            <x v="3"/>
          </reference>
        </references>
      </pivotArea>
    </format>
    <format dxfId="57">
      <pivotArea dataOnly="0" labelOnly="1" outline="0" fieldPosition="0">
        <references count="6">
          <reference field="4" count="1">
            <x v="276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6"/>
          </reference>
          <reference field="14" count="1" selected="0">
            <x v="14"/>
          </reference>
          <reference field="21" count="1" selected="0">
            <x v="3"/>
          </reference>
        </references>
      </pivotArea>
    </format>
    <format dxfId="56">
      <pivotArea dataOnly="0" labelOnly="1" outline="0" offset="IV256" fieldPosition="0">
        <references count="5"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3"/>
          </reference>
          <reference field="14" count="1">
            <x v="41"/>
          </reference>
          <reference field="21" count="1" selected="0">
            <x v="6"/>
          </reference>
        </references>
      </pivotArea>
    </format>
    <format dxfId="55">
      <pivotArea dataOnly="0" labelOnly="1" outline="0" fieldPosition="0">
        <references count="6">
          <reference field="4" count="1">
            <x v="325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15"/>
          </reference>
          <reference field="14" count="1" selected="0">
            <x v="41"/>
          </reference>
          <reference field="21" count="1" selected="0">
            <x v="6"/>
          </reference>
        </references>
      </pivotArea>
    </format>
    <format dxfId="54">
      <pivotArea dataOnly="0" labelOnly="1" outline="0" offset="IV256" fieldPosition="0">
        <references count="3">
          <reference field="10" count="1" selected="0">
            <x v="2"/>
          </reference>
          <reference field="12" count="1">
            <x v="2"/>
          </reference>
          <reference field="21" count="1" selected="0">
            <x v="6"/>
          </reference>
        </references>
      </pivotArea>
    </format>
    <format dxfId="53">
      <pivotArea dataOnly="0" labelOnly="1" outline="0" fieldPosition="0">
        <references count="4">
          <reference field="10" count="1" selected="0">
            <x v="2"/>
          </reference>
          <reference field="12" count="1" selected="0">
            <x v="2"/>
          </reference>
          <reference field="13" count="1">
            <x v="15"/>
          </reference>
          <reference field="21" count="1" selected="0">
            <x v="6"/>
          </reference>
        </references>
      </pivotArea>
    </format>
    <format dxfId="52">
      <pivotArea dataOnly="0" labelOnly="1" outline="0" fieldPosition="0">
        <references count="5"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15"/>
          </reference>
          <reference field="14" count="1">
            <x v="66"/>
          </reference>
          <reference field="21" count="1" selected="0">
            <x v="6"/>
          </reference>
        </references>
      </pivotArea>
    </format>
    <format dxfId="51">
      <pivotArea dataOnly="0" labelOnly="1" outline="0" fieldPosition="0">
        <references count="6">
          <reference field="4" count="1">
            <x v="203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15"/>
          </reference>
          <reference field="14" count="1" selected="0">
            <x v="66"/>
          </reference>
          <reference field="21" count="1" selected="0">
            <x v="6"/>
          </reference>
        </references>
      </pivotArea>
    </format>
    <format dxfId="50">
      <pivotArea dataOnly="0" labelOnly="1" outline="0" offset="IV256" fieldPosition="0">
        <references count="4">
          <reference field="10" count="1" selected="0">
            <x v="2"/>
          </reference>
          <reference field="12" count="1" selected="0">
            <x v="2"/>
          </reference>
          <reference field="13" count="1">
            <x v="15"/>
          </reference>
          <reference field="21" count="1" selected="0">
            <x v="3"/>
          </reference>
        </references>
      </pivotArea>
    </format>
    <format dxfId="49">
      <pivotArea dataOnly="0" labelOnly="1" outline="0" fieldPosition="0">
        <references count="5"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15"/>
          </reference>
          <reference field="14" count="1">
            <x v="66"/>
          </reference>
          <reference field="21" count="1" selected="0">
            <x v="3"/>
          </reference>
        </references>
      </pivotArea>
    </format>
    <format dxfId="48">
      <pivotArea dataOnly="0" labelOnly="1" outline="0" fieldPosition="0">
        <references count="6">
          <reference field="4" count="1">
            <x v="46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15"/>
          </reference>
          <reference field="14" count="1" selected="0">
            <x v="66"/>
          </reference>
          <reference field="21" count="1" selected="0">
            <x v="3"/>
          </reference>
        </references>
      </pivotArea>
    </format>
    <format dxfId="47">
      <pivotArea dataOnly="0" labelOnly="1" outline="0" fieldPosition="0">
        <references count="5"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15"/>
          </reference>
          <reference field="14" count="1">
            <x v="36"/>
          </reference>
          <reference field="21" count="1" selected="0">
            <x v="0"/>
          </reference>
        </references>
      </pivotArea>
    </format>
    <format dxfId="46">
      <pivotArea dataOnly="0" labelOnly="1" outline="0" fieldPosition="0">
        <references count="6">
          <reference field="4" count="1">
            <x v="233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15"/>
          </reference>
          <reference field="14" count="1" selected="0">
            <x v="36"/>
          </reference>
          <reference field="21" count="1" selected="0">
            <x v="0"/>
          </reference>
        </references>
      </pivotArea>
    </format>
    <format dxfId="45">
      <pivotArea dataOnly="0" labelOnly="1" outline="0" fieldPosition="0">
        <references count="6">
          <reference field="4" count="5">
            <x v="257"/>
            <x v="277"/>
            <x v="281"/>
            <x v="305"/>
            <x v="316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3"/>
          </reference>
          <reference field="14" count="1" selected="0">
            <x v="18"/>
          </reference>
          <reference field="21" count="1" selected="0">
            <x v="0"/>
          </reference>
        </references>
      </pivotArea>
    </format>
    <format dxfId="44">
      <pivotArea dataOnly="0" labelOnly="1" outline="0" fieldPosition="0">
        <references count="3">
          <reference field="10" count="1" selected="0">
            <x v="2"/>
          </reference>
          <reference field="12" count="1">
            <x v="2"/>
          </reference>
          <reference field="21" count="1" selected="0">
            <x v="6"/>
          </reference>
        </references>
      </pivotArea>
    </format>
    <format dxfId="43">
      <pivotArea dataOnly="0" labelOnly="1" outline="0" fieldPosition="0">
        <references count="4">
          <reference field="10" count="1" selected="0">
            <x v="2"/>
          </reference>
          <reference field="12" count="1" selected="0">
            <x v="2"/>
          </reference>
          <reference field="13" count="2">
            <x v="3"/>
            <x v="15"/>
          </reference>
          <reference field="21" count="1" selected="0">
            <x v="6"/>
          </reference>
        </references>
      </pivotArea>
    </format>
    <format dxfId="42">
      <pivotArea dataOnly="0" labelOnly="1" outline="0" fieldPosition="0">
        <references count="5"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6"/>
          </reference>
          <reference field="14" count="1">
            <x v="14"/>
          </reference>
          <reference field="21" count="1" selected="0">
            <x v="0"/>
          </reference>
        </references>
      </pivotArea>
    </format>
    <format dxfId="41">
      <pivotArea dataOnly="0" labelOnly="1" outline="0" fieldPosition="0">
        <references count="6">
          <reference field="4" count="1">
            <x v="276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6"/>
          </reference>
          <reference field="14" count="1" selected="0">
            <x v="14"/>
          </reference>
          <reference field="21" count="1" selected="0">
            <x v="0"/>
          </reference>
        </references>
      </pivotArea>
    </format>
    <format dxfId="40">
      <pivotArea dataOnly="0" labelOnly="1" outline="0" fieldPosition="0">
        <references count="5"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8"/>
          </reference>
          <reference field="14" count="1">
            <x v="63"/>
          </reference>
          <reference field="21" count="1" selected="0">
            <x v="0"/>
          </reference>
        </references>
      </pivotArea>
    </format>
    <format dxfId="39">
      <pivotArea dataOnly="0" labelOnly="1" outline="0" fieldPosition="0">
        <references count="6">
          <reference field="4" count="1">
            <x v="207"/>
          </reference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8"/>
          </reference>
          <reference field="14" count="1" selected="0">
            <x v="63"/>
          </reference>
          <reference field="21" count="1" selected="0">
            <x v="0"/>
          </reference>
        </references>
      </pivotArea>
    </format>
    <format dxfId="38">
      <pivotArea dataOnly="0" labelOnly="1" outline="0" offset="IV256" fieldPosition="0">
        <references count="5">
          <reference field="10" count="1" selected="0">
            <x v="2"/>
          </reference>
          <reference field="12" count="1" selected="0">
            <x v="2"/>
          </reference>
          <reference field="13" count="1" selected="0">
            <x v="3"/>
          </reference>
          <reference field="14" count="1">
            <x v="41"/>
          </reference>
          <reference field="21" count="1" selected="0">
            <x v="6"/>
          </reference>
        </references>
      </pivotArea>
    </format>
  </formats>
  <pivotTableStyleInfo name="PivotStyleMedium4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06A6437-052E-4B5B-9F67-EAFA32910B9D}" name="PivotTable5" cacheId="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E3:AP275" firstHeaderRow="0" firstDataRow="1" firstDataCol="8" rowPageCount="1" colPageCount="1"/>
  <pivotFields count="29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22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22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332">
        <item x="253"/>
        <item x="277"/>
        <item x="235"/>
        <item x="223"/>
        <item x="104"/>
        <item x="312"/>
        <item x="78"/>
        <item x="270"/>
        <item x="191"/>
        <item x="313"/>
        <item x="289"/>
        <item x="84"/>
        <item x="130"/>
        <item x="222"/>
        <item x="239"/>
        <item x="168"/>
        <item x="186"/>
        <item x="308"/>
        <item x="15"/>
        <item x="167"/>
        <item x="263"/>
        <item x="7"/>
        <item x="192"/>
        <item x="244"/>
        <item x="311"/>
        <item x="110"/>
        <item x="215"/>
        <item x="127"/>
        <item x="171"/>
        <item x="200"/>
        <item x="162"/>
        <item x="34"/>
        <item x="43"/>
        <item x="97"/>
        <item x="177"/>
        <item x="163"/>
        <item x="216"/>
        <item x="226"/>
        <item x="298"/>
        <item x="213"/>
        <item x="214"/>
        <item x="185"/>
        <item x="144"/>
        <item x="237"/>
        <item x="316"/>
        <item x="255"/>
        <item x="12"/>
        <item x="287"/>
        <item x="111"/>
        <item x="116"/>
        <item x="326"/>
        <item x="115"/>
        <item x="51"/>
        <item x="112"/>
        <item x="217"/>
        <item x="55"/>
        <item x="60"/>
        <item x="283"/>
        <item x="169"/>
        <item x="150"/>
        <item x="105"/>
        <item x="271"/>
        <item x="119"/>
        <item x="299"/>
        <item x="280"/>
        <item x="261"/>
        <item x="305"/>
        <item x="174"/>
        <item x="275"/>
        <item x="170"/>
        <item x="73"/>
        <item x="259"/>
        <item x="292"/>
        <item x="307"/>
        <item x="140"/>
        <item x="172"/>
        <item x="155"/>
        <item x="175"/>
        <item x="183"/>
        <item x="152"/>
        <item x="256"/>
        <item x="297"/>
        <item x="241"/>
        <item x="49"/>
        <item x="296"/>
        <item x="325"/>
        <item x="2"/>
        <item x="286"/>
        <item x="117"/>
        <item x="285"/>
        <item x="8"/>
        <item x="79"/>
        <item x="279"/>
        <item x="25"/>
        <item x="16"/>
        <item x="138"/>
        <item x="188"/>
        <item x="158"/>
        <item x="56"/>
        <item x="58"/>
        <item x="278"/>
        <item x="228"/>
        <item x="113"/>
        <item x="295"/>
        <item x="24"/>
        <item x="320"/>
        <item x="72"/>
        <item x="35"/>
        <item x="63"/>
        <item x="265"/>
        <item x="6"/>
        <item x="133"/>
        <item x="86"/>
        <item x="122"/>
        <item x="284"/>
        <item x="227"/>
        <item x="18"/>
        <item x="96"/>
        <item x="108"/>
        <item x="240"/>
        <item x="182"/>
        <item x="148"/>
        <item x="201"/>
        <item x="157"/>
        <item x="269"/>
        <item x="303"/>
        <item x="180"/>
        <item x="22"/>
        <item x="17"/>
        <item x="137"/>
        <item x="218"/>
        <item x="262"/>
        <item x="304"/>
        <item x="219"/>
        <item x="258"/>
        <item x="249"/>
        <item x="147"/>
        <item x="207"/>
        <item x="107"/>
        <item x="57"/>
        <item x="90"/>
        <item x="10"/>
        <item x="67"/>
        <item x="290"/>
        <item x="187"/>
        <item x="179"/>
        <item x="233"/>
        <item x="80"/>
        <item x="81"/>
        <item x="301"/>
        <item x="245"/>
        <item x="135"/>
        <item x="224"/>
        <item x="50"/>
        <item x="42"/>
        <item x="59"/>
        <item x="65"/>
        <item x="89"/>
        <item x="19"/>
        <item x="94"/>
        <item x="54"/>
        <item x="120"/>
        <item x="29"/>
        <item x="91"/>
        <item x="103"/>
        <item x="92"/>
        <item x="211"/>
        <item x="121"/>
        <item x="164"/>
        <item x="47"/>
        <item x="319"/>
        <item x="243"/>
        <item x="154"/>
        <item x="323"/>
        <item x="229"/>
        <item x="267"/>
        <item x="232"/>
        <item x="220"/>
        <item x="194"/>
        <item x="33"/>
        <item x="248"/>
        <item x="196"/>
        <item x="160"/>
        <item x="300"/>
        <item x="178"/>
        <item x="5"/>
        <item x="131"/>
        <item x="310"/>
        <item x="0"/>
        <item x="195"/>
        <item x="309"/>
        <item x="306"/>
        <item x="123"/>
        <item x="114"/>
        <item x="88"/>
        <item x="46"/>
        <item x="231"/>
        <item x="109"/>
        <item x="149"/>
        <item x="193"/>
        <item x="151"/>
        <item x="257"/>
        <item x="146"/>
        <item x="209"/>
        <item x="153"/>
        <item x="145"/>
        <item x="234"/>
        <item x="128"/>
        <item x="208"/>
        <item x="31"/>
        <item x="40"/>
        <item x="13"/>
        <item x="36"/>
        <item x="288"/>
        <item x="276"/>
        <item x="318"/>
        <item x="52"/>
        <item x="70"/>
        <item x="129"/>
        <item x="39"/>
        <item x="136"/>
        <item x="83"/>
        <item x="118"/>
        <item x="14"/>
        <item x="317"/>
        <item x="238"/>
        <item x="266"/>
        <item x="197"/>
        <item x="221"/>
        <item x="69"/>
        <item x="132"/>
        <item x="38"/>
        <item x="64"/>
        <item x="85"/>
        <item x="23"/>
        <item x="302"/>
        <item x="20"/>
        <item x="281"/>
        <item x="282"/>
        <item x="32"/>
        <item x="28"/>
        <item x="11"/>
        <item x="102"/>
        <item x="124"/>
        <item x="71"/>
        <item x="98"/>
        <item x="77"/>
        <item x="3"/>
        <item x="274"/>
        <item x="204"/>
        <item x="202"/>
        <item x="75"/>
        <item x="99"/>
        <item x="321"/>
        <item x="45"/>
        <item x="82"/>
        <item x="272"/>
        <item x="293"/>
        <item x="198"/>
        <item x="294"/>
        <item x="176"/>
        <item x="93"/>
        <item x="1"/>
        <item x="322"/>
        <item x="205"/>
        <item x="68"/>
        <item x="315"/>
        <item x="212"/>
        <item x="264"/>
        <item x="242"/>
        <item x="143"/>
        <item x="324"/>
        <item x="159"/>
        <item x="246"/>
        <item x="199"/>
        <item x="210"/>
        <item x="250"/>
        <item x="184"/>
        <item x="230"/>
        <item x="142"/>
        <item x="166"/>
        <item x="74"/>
        <item x="190"/>
        <item x="254"/>
        <item x="247"/>
        <item x="173"/>
        <item x="181"/>
        <item x="314"/>
        <item x="260"/>
        <item x="48"/>
        <item x="203"/>
        <item x="44"/>
        <item x="66"/>
        <item x="206"/>
        <item x="236"/>
        <item x="76"/>
        <item x="27"/>
        <item x="9"/>
        <item x="21"/>
        <item x="106"/>
        <item x="273"/>
        <item x="189"/>
        <item x="252"/>
        <item x="101"/>
        <item x="62"/>
        <item x="126"/>
        <item x="41"/>
        <item x="61"/>
        <item x="141"/>
        <item x="4"/>
        <item x="161"/>
        <item x="165"/>
        <item x="53"/>
        <item x="95"/>
        <item x="30"/>
        <item x="87"/>
        <item x="100"/>
        <item x="37"/>
        <item x="291"/>
        <item x="225"/>
        <item x="268"/>
        <item x="251"/>
        <item x="125"/>
        <item x="134"/>
        <item x="139"/>
        <item x="26"/>
        <item x="156"/>
        <item m="1" x="331"/>
        <item x="327"/>
        <item x="328"/>
        <item x="329"/>
        <item x="33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334">
        <item x="270"/>
        <item x="223"/>
        <item x="191"/>
        <item x="104"/>
        <item x="91"/>
        <item x="312"/>
        <item x="253"/>
        <item x="313"/>
        <item x="186"/>
        <item x="239"/>
        <item x="84"/>
        <item x="167"/>
        <item x="222"/>
        <item x="308"/>
        <item x="15"/>
        <item m="1" x="331"/>
        <item x="162"/>
        <item x="311"/>
        <item x="240"/>
        <item x="72"/>
        <item x="215"/>
        <item x="127"/>
        <item x="110"/>
        <item x="200"/>
        <item x="244"/>
        <item x="34"/>
        <item x="43"/>
        <item x="97"/>
        <item x="101"/>
        <item x="192"/>
        <item x="177"/>
        <item x="216"/>
        <item x="226"/>
        <item x="144"/>
        <item x="255"/>
        <item x="243"/>
        <item x="213"/>
        <item x="214"/>
        <item x="163"/>
        <item x="71"/>
        <item x="237"/>
        <item x="185"/>
        <item x="287"/>
        <item x="111"/>
        <item x="1"/>
        <item x="116"/>
        <item x="7"/>
        <item x="288"/>
        <item x="135"/>
        <item x="115"/>
        <item x="316"/>
        <item x="112"/>
        <item x="217"/>
        <item x="55"/>
        <item x="60"/>
        <item x="193"/>
        <item x="150"/>
        <item x="169"/>
        <item x="152"/>
        <item x="105"/>
        <item x="175"/>
        <item x="119"/>
        <item x="299"/>
        <item x="280"/>
        <item x="261"/>
        <item x="263"/>
        <item x="279"/>
        <item x="251"/>
        <item x="140"/>
        <item x="241"/>
        <item x="49"/>
        <item x="254"/>
        <item x="259"/>
        <item x="325"/>
        <item x="183"/>
        <item x="2"/>
        <item x="286"/>
        <item x="265"/>
        <item x="117"/>
        <item x="138"/>
        <item x="305"/>
        <item x="172"/>
        <item x="151"/>
        <item x="285"/>
        <item x="155"/>
        <item x="8"/>
        <item x="79"/>
        <item x="307"/>
        <item x="16"/>
        <item x="25"/>
        <item x="120"/>
        <item x="56"/>
        <item x="58"/>
        <item x="158"/>
        <item x="278"/>
        <item x="228"/>
        <item x="113"/>
        <item x="273"/>
        <item x="295"/>
        <item x="24"/>
        <item x="320"/>
        <item x="94"/>
        <item x="63"/>
        <item x="275"/>
        <item x="35"/>
        <item x="283"/>
        <item x="51"/>
        <item x="121"/>
        <item x="182"/>
        <item x="86"/>
        <item x="157"/>
        <item x="201"/>
        <item x="235"/>
        <item x="227"/>
        <item x="18"/>
        <item x="96"/>
        <item x="108"/>
        <item x="303"/>
        <item x="164"/>
        <item x="137"/>
        <item x="221"/>
        <item x="258"/>
        <item x="220"/>
        <item x="22"/>
        <item x="262"/>
        <item x="249"/>
        <item x="304"/>
        <item x="284"/>
        <item x="290"/>
        <item x="147"/>
        <item x="54"/>
        <item x="57"/>
        <item x="208"/>
        <item x="90"/>
        <item x="207"/>
        <item x="10"/>
        <item x="67"/>
        <item x="187"/>
        <item x="81"/>
        <item x="224"/>
        <item x="14"/>
        <item x="300"/>
        <item x="301"/>
        <item x="170"/>
        <item x="180"/>
        <item x="154"/>
        <item x="122"/>
        <item x="50"/>
        <item x="267"/>
        <item x="232"/>
        <item x="161"/>
        <item x="203"/>
        <item x="42"/>
        <item x="194"/>
        <item x="59"/>
        <item x="65"/>
        <item x="89"/>
        <item x="19"/>
        <item x="289"/>
        <item x="130"/>
        <item x="326"/>
        <item x="317"/>
        <item x="4"/>
        <item x="17"/>
        <item x="103"/>
        <item x="323"/>
        <item x="245"/>
        <item x="33"/>
        <item x="196"/>
        <item x="256"/>
        <item x="160"/>
        <item x="92"/>
        <item x="107"/>
        <item x="179"/>
        <item x="47"/>
        <item x="319"/>
        <item x="0"/>
        <item x="195"/>
        <item x="178"/>
        <item x="309"/>
        <item x="306"/>
        <item x="123"/>
        <item x="46"/>
        <item x="292"/>
        <item x="5"/>
        <item x="231"/>
        <item x="88"/>
        <item x="168"/>
        <item x="31"/>
        <item x="40"/>
        <item x="13"/>
        <item x="36"/>
        <item x="276"/>
        <item x="277"/>
        <item x="271"/>
        <item x="318"/>
        <item x="52"/>
        <item x="70"/>
        <item x="145"/>
        <item x="136"/>
        <item x="39"/>
        <item x="118"/>
        <item x="83"/>
        <item x="257"/>
        <item x="69"/>
        <item x="132"/>
        <item x="188"/>
        <item x="229"/>
        <item x="38"/>
        <item x="64"/>
        <item x="85"/>
        <item x="6"/>
        <item x="190"/>
        <item x="174"/>
        <item x="23"/>
        <item x="302"/>
        <item x="20"/>
        <item x="281"/>
        <item x="282"/>
        <item x="32"/>
        <item x="28"/>
        <item x="29"/>
        <item x="102"/>
        <item x="124"/>
        <item x="98"/>
        <item x="77"/>
        <item x="166"/>
        <item x="74"/>
        <item x="246"/>
        <item x="252"/>
        <item x="80"/>
        <item x="173"/>
        <item x="274"/>
        <item x="204"/>
        <item x="202"/>
        <item x="269"/>
        <item x="198"/>
        <item x="218"/>
        <item x="109"/>
        <item x="233"/>
        <item x="189"/>
        <item x="212"/>
        <item x="298"/>
        <item x="315"/>
        <item x="266"/>
        <item x="75"/>
        <item x="146"/>
        <item x="99"/>
        <item x="219"/>
        <item x="321"/>
        <item x="114"/>
        <item x="45"/>
        <item x="248"/>
        <item x="142"/>
        <item x="291"/>
        <item x="159"/>
        <item x="48"/>
        <item x="143"/>
        <item x="82"/>
        <item x="272"/>
        <item x="296"/>
        <item x="3"/>
        <item x="247"/>
        <item x="324"/>
        <item x="211"/>
        <item x="73"/>
        <item x="242"/>
        <item x="322"/>
        <item x="205"/>
        <item x="197"/>
        <item x="68"/>
        <item x="66"/>
        <item x="141"/>
        <item x="149"/>
        <item x="128"/>
        <item x="260"/>
        <item x="206"/>
        <item x="76"/>
        <item x="236"/>
        <item x="199"/>
        <item x="250"/>
        <item x="27"/>
        <item x="148"/>
        <item x="131"/>
        <item x="9"/>
        <item x="21"/>
        <item x="176"/>
        <item x="106"/>
        <item x="78"/>
        <item x="181"/>
        <item x="238"/>
        <item x="129"/>
        <item m="1" x="333"/>
        <item x="230"/>
        <item x="61"/>
        <item x="184"/>
        <item x="293"/>
        <item x="210"/>
        <item x="62"/>
        <item x="153"/>
        <item x="126"/>
        <item x="264"/>
        <item x="165"/>
        <item x="171"/>
        <item x="12"/>
        <item x="53"/>
        <item x="95"/>
        <item x="133"/>
        <item x="268"/>
        <item x="209"/>
        <item x="30"/>
        <item x="11"/>
        <item x="87"/>
        <item x="100"/>
        <item x="314"/>
        <item x="37"/>
        <item x="297"/>
        <item x="225"/>
        <item x="294"/>
        <item x="41"/>
        <item m="1" x="332"/>
        <item x="125"/>
        <item x="134"/>
        <item x="26"/>
        <item x="234"/>
        <item x="93"/>
        <item x="139"/>
        <item x="44"/>
        <item x="310"/>
        <item x="156"/>
        <item x="327"/>
        <item x="328"/>
        <item x="329"/>
        <item x="33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howAll="0" defaultSubtotal="0">
      <items count="3">
        <item x="1"/>
        <item x="0"/>
        <item m="1"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3">
        <item x="6"/>
        <item x="2"/>
        <item x="0"/>
        <item x="5"/>
        <item x="4"/>
        <item x="9"/>
        <item m="1" x="12"/>
        <item x="1"/>
        <item x="7"/>
        <item x="3"/>
        <item x="8"/>
        <item m="1" x="11"/>
        <item x="1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34">
        <item x="24"/>
        <item x="14"/>
        <item x="18"/>
        <item x="0"/>
        <item x="29"/>
        <item x="28"/>
        <item x="4"/>
        <item x="30"/>
        <item m="1" x="32"/>
        <item x="2"/>
        <item x="11"/>
        <item x="8"/>
        <item x="5"/>
        <item x="6"/>
        <item x="10"/>
        <item x="25"/>
        <item x="1"/>
        <item m="1" x="33"/>
        <item x="3"/>
        <item x="9"/>
        <item x="27"/>
        <item x="7"/>
        <item x="20"/>
        <item x="21"/>
        <item x="19"/>
        <item x="17"/>
        <item x="16"/>
        <item x="12"/>
        <item x="15"/>
        <item x="13"/>
        <item x="26"/>
        <item x="23"/>
        <item x="22"/>
        <item x="3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74">
        <item x="16"/>
        <item x="56"/>
        <item x="17"/>
        <item x="18"/>
        <item x="32"/>
        <item x="43"/>
        <item x="45"/>
        <item x="44"/>
        <item x="57"/>
        <item x="19"/>
        <item x="20"/>
        <item x="46"/>
        <item x="21"/>
        <item x="33"/>
        <item x="22"/>
        <item x="58"/>
        <item x="59"/>
        <item x="0"/>
        <item x="23"/>
        <item x="1"/>
        <item x="5"/>
        <item x="60"/>
        <item x="34"/>
        <item x="6"/>
        <item x="13"/>
        <item x="35"/>
        <item x="36"/>
        <item x="61"/>
        <item x="7"/>
        <item x="37"/>
        <item x="52"/>
        <item x="67"/>
        <item x="38"/>
        <item x="53"/>
        <item m="1" x="72"/>
        <item x="54"/>
        <item x="39"/>
        <item x="14"/>
        <item m="1" x="71"/>
        <item x="62"/>
        <item x="63"/>
        <item x="11"/>
        <item x="47"/>
        <item x="2"/>
        <item x="24"/>
        <item x="9"/>
        <item x="15"/>
        <item x="48"/>
        <item x="4"/>
        <item m="1" x="70"/>
        <item x="50"/>
        <item x="25"/>
        <item x="8"/>
        <item x="40"/>
        <item x="26"/>
        <item x="64"/>
        <item x="41"/>
        <item x="65"/>
        <item x="27"/>
        <item x="42"/>
        <item x="28"/>
        <item x="49"/>
        <item x="66"/>
        <item x="29"/>
        <item x="55"/>
        <item m="1" x="73"/>
        <item x="3"/>
        <item x="12"/>
        <item x="51"/>
        <item x="30"/>
        <item x="10"/>
        <item x="31"/>
        <item x="69"/>
        <item x="6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2"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sortType="ascending" defaultSubtotal="0">
      <items count="148">
        <item m="1" x="147"/>
        <item x="1"/>
        <item x="2"/>
        <item x="7"/>
        <item x="5"/>
        <item x="6"/>
        <item x="8"/>
        <item x="9"/>
        <item x="10"/>
        <item x="12"/>
        <item x="16"/>
        <item x="14"/>
        <item x="15"/>
        <item x="11"/>
        <item x="13"/>
        <item x="18"/>
        <item x="20"/>
        <item x="25"/>
        <item x="120"/>
        <item x="119"/>
        <item x="24"/>
        <item x="27"/>
        <item x="29"/>
        <item x="30"/>
        <item x="32"/>
        <item x="33"/>
        <item x="35"/>
        <item x="37"/>
        <item x="38"/>
        <item x="39"/>
        <item x="40"/>
        <item x="26"/>
        <item x="28"/>
        <item x="34"/>
        <item x="36"/>
        <item x="43"/>
        <item x="44"/>
        <item x="48"/>
        <item x="49"/>
        <item x="50"/>
        <item x="51"/>
        <item x="56"/>
        <item x="58"/>
        <item x="59"/>
        <item x="47"/>
        <item x="0"/>
        <item x="61"/>
        <item x="62"/>
        <item x="63"/>
        <item x="76"/>
        <item x="65"/>
        <item x="66"/>
        <item x="68"/>
        <item x="69"/>
        <item x="77"/>
        <item x="71"/>
        <item x="70"/>
        <item x="54"/>
        <item x="46"/>
        <item x="74"/>
        <item x="67"/>
        <item x="45"/>
        <item x="73"/>
        <item x="123"/>
        <item x="122"/>
        <item x="21"/>
        <item x="22"/>
        <item x="23"/>
        <item x="78"/>
        <item x="75"/>
        <item x="72"/>
        <item x="60"/>
        <item x="53"/>
        <item x="17"/>
        <item x="52"/>
        <item x="55"/>
        <item x="57"/>
        <item x="143"/>
        <item x="142"/>
        <item x="114"/>
        <item x="116"/>
        <item x="117"/>
        <item x="118"/>
        <item x="115"/>
        <item x="121"/>
        <item x="3"/>
        <item x="41"/>
        <item x="42"/>
        <item x="4"/>
        <item x="64"/>
        <item x="134"/>
        <item x="144"/>
        <item x="128"/>
        <item x="141"/>
        <item x="94"/>
        <item x="92"/>
        <item x="83"/>
        <item x="82"/>
        <item x="80"/>
        <item x="85"/>
        <item x="93"/>
        <item x="79"/>
        <item x="95"/>
        <item x="90"/>
        <item x="87"/>
        <item x="89"/>
        <item x="84"/>
        <item x="86"/>
        <item x="88"/>
        <item x="81"/>
        <item x="19"/>
        <item x="131"/>
        <item x="129"/>
        <item x="126"/>
        <item x="127"/>
        <item x="124"/>
        <item x="140"/>
        <item x="139"/>
        <item x="135"/>
        <item x="136"/>
        <item x="138"/>
        <item x="137"/>
        <item x="133"/>
        <item x="132"/>
        <item x="125"/>
        <item x="91"/>
        <item x="130"/>
        <item x="112"/>
        <item x="113"/>
        <item x="107"/>
        <item x="99"/>
        <item x="97"/>
        <item x="111"/>
        <item x="110"/>
        <item x="109"/>
        <item x="105"/>
        <item x="104"/>
        <item x="103"/>
        <item x="96"/>
        <item x="98"/>
        <item x="100"/>
        <item x="101"/>
        <item x="102"/>
        <item x="106"/>
        <item x="108"/>
        <item m="1" x="146"/>
        <item m="1" x="145"/>
        <item x="3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4">
        <item x="0"/>
        <item m="1" x="3"/>
        <item x="2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8">
    <field x="27"/>
    <field x="16"/>
    <field x="22"/>
    <field x="12"/>
    <field x="13"/>
    <field x="14"/>
    <field x="3"/>
    <field x="4"/>
  </rowFields>
  <rowItems count="272">
    <i>
      <x/>
      <x/>
      <x v="1"/>
      <x v="2"/>
      <x v="3"/>
      <x v="19"/>
      <x v="262"/>
      <x v="44"/>
    </i>
    <i r="5">
      <x v="67"/>
      <x v="112"/>
      <x v="109"/>
    </i>
    <i r="2">
      <x v="2"/>
      <x v="2"/>
      <x v="3"/>
      <x v="19"/>
      <x v="86"/>
      <x v="75"/>
    </i>
    <i r="6">
      <x v="247"/>
      <x v="261"/>
    </i>
    <i r="2">
      <x v="31"/>
      <x v="2"/>
      <x v="3"/>
      <x v="23"/>
      <x v="254"/>
      <x v="251"/>
    </i>
    <i r="5">
      <x v="28"/>
      <x v="195"/>
      <x v="182"/>
    </i>
    <i r="2">
      <x v="32"/>
      <x v="2"/>
      <x v="3"/>
      <x v="28"/>
      <x v="153"/>
      <x v="147"/>
    </i>
    <i r="6">
      <x v="289"/>
      <x v="256"/>
    </i>
    <i r="2">
      <x v="33"/>
      <x v="2"/>
      <x v="3"/>
      <x v="28"/>
      <x v="155"/>
      <x v="154"/>
    </i>
    <i r="6">
      <x v="229"/>
      <x v="204"/>
    </i>
    <i r="2">
      <x v="34"/>
      <x v="2"/>
      <x v="3"/>
      <x v="28"/>
      <x v="156"/>
      <x v="155"/>
    </i>
    <i r="6">
      <x v="307"/>
      <x v="294"/>
    </i>
    <i r="2">
      <x v="44"/>
      <x v="2"/>
      <x v="3"/>
      <x v="67"/>
      <x v="255"/>
      <x v="258"/>
    </i>
    <i r="6">
      <x v="293"/>
      <x v="276"/>
    </i>
    <i r="2">
      <x v="45"/>
      <x v="2"/>
      <x v="3"/>
      <x v="17"/>
      <x v="188"/>
      <x v="176"/>
    </i>
    <i r="5">
      <x v="41"/>
      <x v="251"/>
      <x v="245"/>
    </i>
    <i r="2">
      <x v="60"/>
      <x v="2"/>
      <x v="3"/>
      <x v="43"/>
      <x v="115"/>
      <x v="113"/>
    </i>
    <i r="5">
      <x v="46"/>
      <x v="193"/>
      <x v="250"/>
    </i>
    <i r="2">
      <x v="61"/>
      <x v="2"/>
      <x v="3"/>
      <x v="67"/>
      <x v="207"/>
      <x v="274"/>
    </i>
    <i r="4">
      <x v="6"/>
      <x v="45"/>
      <x v="147"/>
      <x v="230"/>
    </i>
    <i r="2">
      <x v="62"/>
      <x v="2"/>
      <x v="3"/>
      <x v="67"/>
      <x v="113"/>
      <x v="146"/>
    </i>
    <i r="6">
      <x v="249"/>
      <x v="233"/>
    </i>
    <i r="2">
      <x v="68"/>
      <x v="2"/>
      <x v="16"/>
      <x v="70"/>
      <x v="174"/>
      <x v="207"/>
    </i>
    <i r="2">
      <x v="69"/>
      <x v="2"/>
      <x v="3"/>
      <x v="67"/>
      <x v="12"/>
      <x v="159"/>
    </i>
    <i r="6">
      <x v="250"/>
      <x v="234"/>
    </i>
    <i r="2">
      <x v="82"/>
      <x v="3"/>
      <x v="22"/>
      <x v="11"/>
      <x v="267"/>
      <x v="241"/>
    </i>
    <i r="4">
      <x v="24"/>
      <x v="47"/>
      <x v="177"/>
      <x v="122"/>
    </i>
    <i r="2">
      <x v="83"/>
      <x v="3"/>
      <x v="2"/>
      <x v="7"/>
      <x v="137"/>
      <x v="134"/>
    </i>
    <i r="4">
      <x v="24"/>
      <x v="47"/>
      <x v="228"/>
      <x v="120"/>
    </i>
    <i r="2">
      <x v="84"/>
      <x v="3"/>
      <x v="23"/>
      <x v="42"/>
      <x v="133"/>
      <x v="248"/>
    </i>
    <i r="4">
      <x v="24"/>
      <x v="61"/>
      <x v="13"/>
      <x v="12"/>
    </i>
    <i r="2">
      <x v="85"/>
      <x v="2"/>
      <x v="9"/>
      <x v="66"/>
      <x v="110"/>
      <x v="211"/>
    </i>
    <i r="4">
      <x v="16"/>
      <x v="43"/>
      <x v="309"/>
      <x v="162"/>
    </i>
    <i r="2">
      <x v="86"/>
      <x v="2"/>
      <x v="6"/>
      <x v="45"/>
      <x v="70"/>
      <x v="265"/>
    </i>
    <i r="4">
      <x v="16"/>
      <x v="37"/>
      <x v="197"/>
      <x v="238"/>
    </i>
    <i r="2">
      <x v="87"/>
      <x v="2"/>
      <x v="3"/>
      <x v="67"/>
      <x v="157"/>
      <x v="156"/>
    </i>
    <i r="4">
      <x v="6"/>
      <x v="70"/>
      <x v="281"/>
      <x v="227"/>
    </i>
    <i r="2">
      <x v="88"/>
      <x v="2"/>
      <x v="16"/>
      <x v="37"/>
      <x v="130"/>
      <x v="237"/>
    </i>
    <i r="5">
      <x v="43"/>
      <x v="185"/>
      <x v="184"/>
    </i>
    <i r="2">
      <x v="89"/>
      <x v="2"/>
      <x v="3"/>
      <x v="24"/>
      <x v="118"/>
      <x v="116"/>
    </i>
    <i r="4">
      <x v="4"/>
      <x v="55"/>
      <x v="65"/>
      <x v="64"/>
    </i>
    <i r="2">
      <x v="94"/>
      <x v="1"/>
      <x v="12"/>
      <x v="58"/>
      <x v="30"/>
      <x v="16"/>
    </i>
    <i r="5">
      <x v="60"/>
      <x v="311"/>
      <x v="302"/>
    </i>
    <i r="2">
      <x v="95"/>
      <x v="1"/>
      <x v="12"/>
      <x v="60"/>
      <x v="168"/>
      <x v="118"/>
    </i>
    <i r="4">
      <x v="14"/>
      <x v="51"/>
      <x v="272"/>
      <x v="255"/>
    </i>
    <i r="2">
      <x v="96"/>
      <x v="1"/>
      <x v="12"/>
      <x v="2"/>
      <x v="270"/>
      <x v="257"/>
    </i>
    <i r="4">
      <x v="21"/>
      <x v="14"/>
      <x v="79"/>
      <x v="58"/>
    </i>
    <i r="2">
      <x v="97"/>
      <x v="1"/>
      <x v="12"/>
      <x v="2"/>
      <x v="279"/>
      <x v="253"/>
    </i>
    <i r="6">
      <x v="308"/>
      <x v="272"/>
    </i>
    <i r="2">
      <x v="98"/>
      <x v="1"/>
      <x v="12"/>
      <x v="2"/>
      <x v="74"/>
      <x v="68"/>
    </i>
    <i r="6">
      <x v="95"/>
      <x v="79"/>
    </i>
    <i r="2">
      <x v="99"/>
      <x v="1"/>
      <x v="13"/>
      <x v="3"/>
      <x v="202"/>
      <x v="246"/>
    </i>
    <i r="6">
      <x v="205"/>
      <x v="198"/>
    </i>
    <i r="2">
      <x v="100"/>
      <x v="1"/>
      <x v="13"/>
      <x v="73"/>
      <x v="329"/>
      <x v="331"/>
    </i>
    <i r="4">
      <x v="14"/>
      <x v="54"/>
      <x v="182"/>
      <x v="170"/>
    </i>
    <i r="2">
      <x v="101"/>
      <x v="1"/>
      <x v="12"/>
      <x/>
      <x v="129"/>
      <x v="119"/>
    </i>
    <i r="3">
      <x v="2"/>
      <x v="3"/>
      <x v="68"/>
      <x v="196"/>
      <x v="185"/>
    </i>
    <i r="2">
      <x v="102"/>
      <x v="1"/>
      <x v="12"/>
      <x v="60"/>
      <x v="35"/>
      <x v="38"/>
    </i>
    <i r="5">
      <x v="69"/>
      <x v="19"/>
      <x v="11"/>
    </i>
    <i r="2">
      <x v="103"/>
      <x v="1"/>
      <x v="12"/>
      <x v="44"/>
      <x v="172"/>
      <x v="145"/>
    </i>
    <i r="5">
      <x v="58"/>
      <x v="310"/>
      <x v="150"/>
    </i>
    <i r="2">
      <x v="104"/>
      <x v="1"/>
      <x v="12"/>
      <x v="10"/>
      <x v="198"/>
      <x v="273"/>
    </i>
    <i r="3">
      <x v="8"/>
      <x v="20"/>
      <x v="1"/>
      <x v="273"/>
      <x v="228"/>
    </i>
    <i r="2">
      <x v="116"/>
      <x v="5"/>
      <x v="7"/>
      <x v="62"/>
      <x v="20"/>
      <x v="65"/>
    </i>
    <i r="6">
      <x v="268"/>
      <x v="301"/>
    </i>
    <i r="2">
      <x v="117"/>
      <x v="2"/>
      <x v="4"/>
      <x v="40"/>
      <x v="134"/>
      <x v="121"/>
    </i>
    <i r="6">
      <x v="288"/>
      <x v="275"/>
    </i>
    <i r="2">
      <x v="118"/>
      <x v="2"/>
      <x v="4"/>
      <x v="16"/>
      <x v="321"/>
      <x v="67"/>
    </i>
    <i r="5">
      <x v="39"/>
      <x v="45"/>
      <x v="34"/>
    </i>
    <i r="2">
      <x v="119"/>
      <x v="2"/>
      <x v="4"/>
      <x v="21"/>
      <x v="302"/>
      <x v="229"/>
    </i>
    <i r="5">
      <x v="39"/>
      <x v="80"/>
      <x v="169"/>
    </i>
    <i r="2">
      <x v="122"/>
      <x v="10"/>
      <x v="5"/>
      <x v="8"/>
      <x v="135"/>
      <x v="125"/>
    </i>
    <i r="5">
      <x v="57"/>
      <x v="131"/>
      <x v="124"/>
    </i>
    <i r="2">
      <x v="123"/>
      <x v="8"/>
      <x v="20"/>
      <x v="1"/>
      <x v="180"/>
      <x v="252"/>
    </i>
    <i r="6">
      <x v="284"/>
      <x v="262"/>
    </i>
    <i r="2">
      <x v="124"/>
      <x/>
      <x/>
      <x v="33"/>
      <x v="2"/>
      <x v="112"/>
    </i>
    <i r="3">
      <x v="4"/>
      <x v="31"/>
      <x v="30"/>
      <x v="146"/>
      <x v="239"/>
    </i>
    <i r="2">
      <x v="125"/>
      <x v="4"/>
      <x v="32"/>
      <x v="29"/>
      <x v="176"/>
      <x v="149"/>
    </i>
    <i r="3">
      <x v="9"/>
      <x v="19"/>
      <x v="45"/>
      <x v="326"/>
      <x v="329"/>
    </i>
    <i r="2">
      <x v="126"/>
      <x v="4"/>
      <x v="26"/>
      <x v="13"/>
      <x v="82"/>
      <x v="69"/>
    </i>
    <i r="5">
      <x v="22"/>
      <x v="171"/>
      <x v="35"/>
    </i>
    <i r="2">
      <x v="127"/>
      <x v="4"/>
      <x v="26"/>
      <x v="22"/>
      <x v="269"/>
      <x v="266"/>
    </i>
    <i r="4">
      <x v="27"/>
      <x v="59"/>
      <x v="258"/>
      <x v="236"/>
    </i>
    <i r="2">
      <x v="128"/>
      <x v="2"/>
      <x v="25"/>
      <x v="5"/>
      <x v="29"/>
      <x v="23"/>
    </i>
    <i r="3">
      <x v="4"/>
      <x v="26"/>
      <x v="36"/>
      <x v="274"/>
      <x v="279"/>
    </i>
    <i r="2">
      <x v="129"/>
      <x v="4"/>
      <x v="27"/>
      <x v="36"/>
      <x v="301"/>
      <x v="240"/>
    </i>
    <i r="4">
      <x v="29"/>
      <x v="53"/>
      <x v="178"/>
      <x v="153"/>
    </i>
    <i r="2">
      <x v="130"/>
      <x v="4"/>
      <x v="27"/>
      <x v="22"/>
      <x v="67"/>
      <x v="213"/>
    </i>
    <i r="4">
      <x v="29"/>
      <x v="25"/>
      <x v="145"/>
      <x v="173"/>
    </i>
    <i r="2">
      <x v="131"/>
      <x v="4"/>
      <x v="1"/>
      <x v="22"/>
      <x v="285"/>
      <x v="231"/>
    </i>
    <i r="4">
      <x v="27"/>
      <x v="13"/>
      <x v="69"/>
      <x v="143"/>
    </i>
    <i r="1">
      <x v="1"/>
      <x v="43"/>
      <x v="2"/>
      <x v="3"/>
      <x v="67"/>
      <x v="252"/>
      <x v="247"/>
    </i>
    <i r="2">
      <x v="105"/>
      <x v="1"/>
      <x v="12"/>
      <x v="18"/>
      <x v="204"/>
      <x v="299"/>
    </i>
    <i r="2">
      <x v="120"/>
      <x v="2"/>
      <x v="4"/>
      <x v="39"/>
      <x v="201"/>
      <x v="203"/>
    </i>
    <i r="2">
      <x v="121"/>
      <x v="2"/>
      <x v="4"/>
      <x v="39"/>
      <x v="283"/>
      <x v="71"/>
    </i>
    <i>
      <x v="3"/>
      <x/>
      <x v="3"/>
      <x v="2"/>
      <x v="3"/>
      <x v="17"/>
      <x v="141"/>
      <x v="135"/>
    </i>
    <i r="6">
      <x v="241"/>
      <x v="311"/>
    </i>
    <i r="2">
      <x v="4"/>
      <x v="2"/>
      <x v="3"/>
      <x v="17"/>
      <x v="21"/>
      <x v="46"/>
    </i>
    <i r="6">
      <x v="90"/>
      <x v="85"/>
    </i>
    <i r="2">
      <x v="5"/>
      <x v="2"/>
      <x v="3"/>
      <x v="17"/>
      <x v="46"/>
      <x v="304"/>
    </i>
    <i r="6">
      <x v="297"/>
      <x v="284"/>
    </i>
    <i r="2">
      <x v="6"/>
      <x v="2"/>
      <x v="3"/>
      <x v="17"/>
      <x v="18"/>
      <x v="14"/>
    </i>
    <i r="6">
      <x v="211"/>
      <x v="190"/>
    </i>
    <i r="2">
      <x v="7"/>
      <x v="2"/>
      <x v="3"/>
      <x v="17"/>
      <x v="128"/>
      <x v="163"/>
    </i>
    <i r="6">
      <x v="223"/>
      <x v="140"/>
    </i>
    <i r="2">
      <x v="8"/>
      <x v="2"/>
      <x v="3"/>
      <x v="17"/>
      <x v="94"/>
      <x v="88"/>
    </i>
    <i r="5">
      <x v="19"/>
      <x v="158"/>
      <x v="157"/>
    </i>
    <i r="2">
      <x v="9"/>
      <x v="2"/>
      <x v="3"/>
      <x v="19"/>
      <x v="236"/>
      <x v="216"/>
    </i>
    <i r="6">
      <x v="325"/>
      <x v="323"/>
    </i>
    <i r="2">
      <x v="10"/>
      <x v="2"/>
      <x v="3"/>
      <x v="19"/>
      <x v="93"/>
      <x v="89"/>
    </i>
    <i r="6">
      <x v="240"/>
      <x v="220"/>
    </i>
    <i r="2">
      <x v="11"/>
      <x v="2"/>
      <x v="3"/>
      <x v="19"/>
      <x v="127"/>
      <x v="123"/>
    </i>
    <i r="6">
      <x v="239"/>
      <x v="219"/>
    </i>
    <i r="2">
      <x v="12"/>
      <x v="2"/>
      <x v="3"/>
      <x v="19"/>
      <x v="234"/>
      <x v="214"/>
    </i>
    <i r="6">
      <x v="314"/>
      <x v="310"/>
    </i>
    <i r="2">
      <x v="13"/>
      <x v="2"/>
      <x v="3"/>
      <x v="19"/>
      <x v="104"/>
      <x v="99"/>
    </i>
    <i r="6">
      <x v="116"/>
      <x v="114"/>
    </i>
    <i r="2">
      <x v="14"/>
      <x v="2"/>
      <x v="3"/>
      <x v="19"/>
      <x v="296"/>
      <x v="281"/>
    </i>
    <i r="6">
      <x v="298"/>
      <x v="285"/>
    </i>
    <i r="2">
      <x v="15"/>
      <x v="2"/>
      <x v="3"/>
      <x v="19"/>
      <x v="209"/>
      <x v="188"/>
    </i>
    <i r="5">
      <x v="48"/>
      <x v="31"/>
      <x v="25"/>
    </i>
    <i r="2">
      <x v="16"/>
      <x v="2"/>
      <x v="3"/>
      <x v="48"/>
      <x v="107"/>
      <x v="104"/>
    </i>
    <i r="6">
      <x v="212"/>
      <x v="191"/>
    </i>
    <i r="2">
      <x v="17"/>
      <x v="2"/>
      <x v="3"/>
      <x v="23"/>
      <x v="32"/>
      <x v="26"/>
    </i>
    <i r="5">
      <x v="28"/>
      <x v="54"/>
      <x v="52"/>
    </i>
    <i r="2">
      <x v="18"/>
      <x v="2"/>
      <x v="3"/>
      <x v="28"/>
      <x v="26"/>
      <x v="20"/>
    </i>
    <i r="6">
      <x v="36"/>
      <x v="31"/>
    </i>
    <i r="2">
      <x v="19"/>
      <x v="2"/>
      <x v="3"/>
      <x v="28"/>
      <x v="39"/>
      <x v="36"/>
    </i>
    <i r="6">
      <x v="40"/>
      <x v="37"/>
    </i>
    <i r="2">
      <x v="20"/>
      <x v="2"/>
      <x v="3"/>
      <x v="23"/>
      <x v="154"/>
      <x v="152"/>
    </i>
    <i r="6">
      <x v="291"/>
      <x v="327"/>
    </i>
    <i r="2">
      <x v="21"/>
      <x v="2"/>
      <x v="3"/>
      <x v="28"/>
      <x v="83"/>
      <x v="70"/>
    </i>
    <i r="6">
      <x v="169"/>
      <x v="174"/>
    </i>
    <i r="2">
      <x v="22"/>
      <x v="2"/>
      <x v="3"/>
      <x v="28"/>
      <x v="52"/>
      <x v="106"/>
    </i>
    <i r="6">
      <x v="216"/>
      <x v="196"/>
    </i>
    <i r="2">
      <x v="23"/>
      <x v="2"/>
      <x v="3"/>
      <x v="28"/>
      <x v="160"/>
      <x v="130"/>
    </i>
    <i r="6">
      <x v="312"/>
      <x v="305"/>
    </i>
    <i r="2">
      <x v="24"/>
      <x v="2"/>
      <x v="3"/>
      <x v="28"/>
      <x v="98"/>
      <x v="91"/>
    </i>
    <i r="2">
      <x v="25"/>
      <x v="2"/>
      <x v="3"/>
      <x v="28"/>
      <x v="99"/>
      <x v="92"/>
    </i>
    <i r="6">
      <x v="139"/>
      <x v="131"/>
    </i>
    <i r="2">
      <x v="26"/>
      <x v="2"/>
      <x v="3"/>
      <x v="28"/>
      <x v="56"/>
      <x v="54"/>
    </i>
    <i r="6">
      <x v="304"/>
      <x v="298"/>
    </i>
    <i r="2">
      <x v="27"/>
      <x v="2"/>
      <x v="3"/>
      <x v="28"/>
      <x v="108"/>
      <x v="102"/>
    </i>
    <i r="6">
      <x v="232"/>
      <x v="209"/>
    </i>
    <i r="2">
      <x v="28"/>
      <x v="2"/>
      <x v="3"/>
      <x v="28"/>
      <x v="142"/>
      <x v="136"/>
    </i>
    <i r="6">
      <x v="292"/>
      <x v="271"/>
    </i>
    <i r="2">
      <x v="29"/>
      <x v="2"/>
      <x v="3"/>
      <x v="28"/>
      <x v="217"/>
      <x v="197"/>
    </i>
    <i r="6">
      <x v="265"/>
      <x v="270"/>
    </i>
    <i r="2">
      <x v="30"/>
      <x v="2"/>
      <x v="3"/>
      <x v="28"/>
      <x v="244"/>
      <x v="39"/>
    </i>
    <i r="5">
      <x v="45"/>
      <x v="106"/>
      <x v="19"/>
    </i>
    <i r="2">
      <x v="35"/>
      <x v="2"/>
      <x v="3"/>
      <x v="41"/>
      <x v="295"/>
      <x v="277"/>
    </i>
    <i r="5">
      <x v="45"/>
      <x v="91"/>
      <x v="86"/>
    </i>
    <i r="2">
      <x v="36"/>
      <x v="2"/>
      <x v="3"/>
      <x v="41"/>
      <x v="6"/>
      <x v="288"/>
    </i>
    <i r="6">
      <x v="246"/>
      <x v="225"/>
    </i>
    <i r="2">
      <x v="37"/>
      <x v="2"/>
      <x v="3"/>
      <x v="67"/>
      <x v="27"/>
      <x v="21"/>
    </i>
    <i r="6">
      <x v="221"/>
      <x v="202"/>
    </i>
    <i r="2">
      <x v="38"/>
      <x v="2"/>
      <x v="3"/>
      <x v="67"/>
      <x v="11"/>
      <x v="10"/>
    </i>
    <i r="6">
      <x v="233"/>
      <x v="210"/>
    </i>
    <i r="2">
      <x v="39"/>
      <x v="2"/>
      <x v="3"/>
      <x v="67"/>
      <x v="194"/>
      <x v="186"/>
    </i>
    <i r="6">
      <x v="315"/>
      <x v="312"/>
    </i>
    <i r="2">
      <x v="40"/>
      <x v="2"/>
      <x v="3"/>
      <x v="67"/>
      <x v="140"/>
      <x v="133"/>
    </i>
    <i r="6">
      <x v="192"/>
      <x v="181"/>
    </i>
    <i r="2">
      <x v="41"/>
      <x v="2"/>
      <x v="3"/>
      <x v="67"/>
      <x v="117"/>
      <x v="115"/>
    </i>
    <i r="6">
      <x v="313"/>
      <x v="306"/>
    </i>
    <i r="2">
      <x v="42"/>
      <x v="2"/>
      <x v="3"/>
      <x v="67"/>
      <x v="245"/>
      <x v="224"/>
    </i>
    <i r="6">
      <x v="316"/>
      <x v="313"/>
    </i>
    <i r="2">
      <x v="46"/>
      <x v="2"/>
      <x v="3"/>
      <x v="24"/>
      <x v="164"/>
      <x v="164"/>
    </i>
    <i r="6">
      <x v="242"/>
      <x v="222"/>
    </i>
    <i r="2">
      <x v="47"/>
      <x v="2"/>
      <x v="3"/>
      <x v="24"/>
      <x v="4"/>
      <x v="3"/>
    </i>
    <i r="6">
      <x v="60"/>
      <x v="59"/>
    </i>
    <i r="2">
      <x v="48"/>
      <x v="2"/>
      <x v="3"/>
      <x v="24"/>
      <x v="138"/>
      <x v="172"/>
    </i>
    <i r="6">
      <x v="299"/>
      <x v="287"/>
    </i>
    <i r="2">
      <x v="50"/>
      <x v="2"/>
      <x v="3"/>
      <x v="46"/>
      <x v="25"/>
      <x v="22"/>
    </i>
    <i r="6">
      <x v="48"/>
      <x v="43"/>
    </i>
    <i r="2">
      <x v="51"/>
      <x v="2"/>
      <x v="3"/>
      <x v="46"/>
      <x v="53"/>
      <x v="51"/>
    </i>
    <i r="6">
      <x v="102"/>
      <x v="96"/>
    </i>
    <i r="2">
      <x v="52"/>
      <x v="2"/>
      <x v="3"/>
      <x v="46"/>
      <x v="49"/>
      <x v="45"/>
    </i>
    <i r="6">
      <x v="51"/>
      <x v="49"/>
    </i>
    <i r="2">
      <x v="53"/>
      <x v="2"/>
      <x v="3"/>
      <x v="46"/>
      <x v="88"/>
      <x v="78"/>
    </i>
    <i r="6">
      <x v="222"/>
      <x v="201"/>
    </i>
    <i r="2">
      <x v="54"/>
      <x v="2"/>
      <x v="3"/>
      <x v="28"/>
      <x v="328"/>
      <x v="330"/>
    </i>
    <i r="5">
      <x v="37"/>
      <x v="111"/>
      <x v="307"/>
    </i>
    <i r="2">
      <x v="55"/>
      <x v="2"/>
      <x v="3"/>
      <x v="67"/>
      <x v="24"/>
      <x v="17"/>
    </i>
    <i r="6">
      <x v="161"/>
      <x v="90"/>
    </i>
    <i r="2">
      <x v="56"/>
      <x v="2"/>
      <x v="3"/>
      <x v="37"/>
      <x v="323"/>
      <x v="322"/>
    </i>
    <i r="5">
      <x v="46"/>
      <x v="62"/>
      <x v="61"/>
    </i>
    <i r="2">
      <x v="57"/>
      <x v="2"/>
      <x v="3"/>
      <x v="67"/>
      <x v="243"/>
      <x v="223"/>
    </i>
    <i r="6">
      <x v="261"/>
      <x v="325"/>
    </i>
    <i r="2">
      <x v="58"/>
      <x v="2"/>
      <x v="3"/>
      <x v="67"/>
      <x v="148"/>
      <x v="138"/>
    </i>
    <i r="6">
      <x v="322"/>
      <x v="321"/>
    </i>
    <i r="2">
      <x v="59"/>
      <x v="2"/>
      <x v="3"/>
      <x v="67"/>
      <x v="218"/>
      <x v="291"/>
    </i>
    <i r="6">
      <x v="305"/>
      <x v="300"/>
    </i>
    <i r="2">
      <x v="63"/>
      <x v="2"/>
      <x v="3"/>
      <x v="43"/>
      <x v="37"/>
      <x v="32"/>
    </i>
    <i r="6">
      <x v="101"/>
      <x v="95"/>
    </i>
    <i r="2">
      <x v="64"/>
      <x v="2"/>
      <x v="3"/>
      <x v="43"/>
      <x v="152"/>
      <x v="139"/>
    </i>
    <i r="6">
      <x v="319"/>
      <x v="317"/>
    </i>
    <i r="2">
      <x v="65"/>
      <x v="2"/>
      <x v="3"/>
      <x v="20"/>
      <x v="317"/>
      <x v="315"/>
    </i>
    <i r="5">
      <x v="43"/>
      <x v="3"/>
      <x v="1"/>
    </i>
    <i r="2">
      <x v="66"/>
      <x v="2"/>
      <x v="3"/>
      <x v="20"/>
      <x v="219"/>
      <x v="200"/>
    </i>
    <i r="6">
      <x v="231"/>
      <x v="208"/>
    </i>
    <i r="2">
      <x v="67"/>
      <x v="2"/>
      <x v="3"/>
      <x v="20"/>
      <x v="210"/>
      <x v="189"/>
    </i>
    <i r="6">
      <x v="306"/>
      <x v="319"/>
    </i>
    <i r="2">
      <x v="68"/>
      <x v="2"/>
      <x v="16"/>
      <x v="70"/>
      <x v="151"/>
      <x v="48"/>
    </i>
    <i r="2">
      <x v="78"/>
      <x v="2"/>
      <x v="3"/>
      <x v="20"/>
      <x v="61"/>
      <x v="194"/>
    </i>
    <i r="5">
      <x v="28"/>
      <x v="215"/>
      <x v="195"/>
    </i>
    <i r="2">
      <x v="79"/>
      <x v="2"/>
      <x v="3"/>
      <x v="67"/>
      <x v="264"/>
      <x v="268"/>
    </i>
    <i r="6">
      <x v="290"/>
      <x v="151"/>
    </i>
    <i r="2">
      <x v="80"/>
      <x v="3"/>
      <x v="2"/>
      <x v="7"/>
      <x v="203"/>
      <x v="309"/>
    </i>
    <i r="6">
      <x v="208"/>
      <x v="132"/>
    </i>
    <i r="2">
      <x v="81"/>
      <x v="3"/>
      <x v="2"/>
      <x v="7"/>
      <x v="275"/>
      <x v="297"/>
    </i>
    <i r="4">
      <x v="24"/>
      <x v="6"/>
      <x v="166"/>
      <x v="264"/>
    </i>
    <i r="2">
      <x v="90"/>
      <x v="2"/>
      <x v="6"/>
      <x v="15"/>
      <x v="276"/>
      <x v="280"/>
    </i>
    <i r="4">
      <x v="25"/>
      <x v="27"/>
      <x/>
      <x v="6"/>
    </i>
    <i r="2">
      <x v="91"/>
      <x v="2"/>
      <x v="3"/>
      <x v="24"/>
      <x v="50"/>
      <x v="160"/>
    </i>
    <i r="6">
      <x v="331"/>
      <x v="333"/>
    </i>
    <i r="2">
      <x v="92"/>
      <x v="4"/>
      <x v="15"/>
      <x v="31"/>
      <x v="175"/>
      <x v="148"/>
    </i>
    <i r="5">
      <x v="35"/>
      <x v="225"/>
      <x v="290"/>
    </i>
    <i r="2">
      <x v="106"/>
      <x v="1"/>
      <x v="11"/>
      <x v="63"/>
      <x v="280"/>
      <x v="226"/>
    </i>
    <i r="4">
      <x v="13"/>
      <x v="3"/>
      <x v="42"/>
      <x v="33"/>
    </i>
    <i r="2">
      <x v="107"/>
      <x v="1"/>
      <x v="13"/>
      <x v="9"/>
      <x v="121"/>
      <x v="282"/>
    </i>
    <i r="4">
      <x v="14"/>
      <x v="51"/>
      <x v="97"/>
      <x v="93"/>
    </i>
    <i r="2">
      <x v="108"/>
      <x v="1"/>
      <x v="11"/>
      <x v="12"/>
      <x v="200"/>
      <x v="82"/>
    </i>
    <i r="5">
      <x v="71"/>
      <x v="15"/>
      <x v="187"/>
    </i>
    <i r="2">
      <x v="109"/>
      <x v="1"/>
      <x v="12"/>
      <x v="2"/>
      <x v="324"/>
      <x v="326"/>
    </i>
    <i r="5">
      <x v="3"/>
      <x v="136"/>
      <x v="129"/>
    </i>
    <i r="2">
      <x v="110"/>
      <x v="1"/>
      <x v="21"/>
      <x v="12"/>
      <x v="59"/>
      <x v="56"/>
    </i>
    <i r="3">
      <x v="2"/>
      <x v="16"/>
      <x v="43"/>
      <x v="179"/>
      <x v="167"/>
    </i>
    <i r="2">
      <x v="111"/>
      <x v="2"/>
      <x v="4"/>
      <x v="40"/>
      <x v="71"/>
      <x v="72"/>
    </i>
    <i r="3">
      <x v="4"/>
      <x v="26"/>
      <x v="29"/>
      <x v="150"/>
      <x v="166"/>
    </i>
    <i r="2">
      <x v="112"/>
      <x v="4"/>
      <x v="26"/>
      <x v="13"/>
      <x v="119"/>
      <x v="18"/>
    </i>
    <i r="5">
      <x v="29"/>
      <x v="23"/>
      <x v="24"/>
    </i>
    <i r="2">
      <x v="113"/>
      <x v="4"/>
      <x v="30"/>
      <x v="64"/>
      <x v="14"/>
      <x v="9"/>
    </i>
    <i r="4">
      <x v="31"/>
      <x v="30"/>
      <x v="206"/>
      <x v="324"/>
    </i>
    <i r="2">
      <x v="114"/>
      <x v="4"/>
      <x v="15"/>
      <x v="35"/>
      <x v="43"/>
      <x v="40"/>
    </i>
    <i r="4">
      <x v="30"/>
      <x v="64"/>
      <x v="109"/>
      <x v="77"/>
    </i>
    <i r="2">
      <x v="115"/>
      <x/>
      <x/>
      <x v="33"/>
      <x v="294"/>
      <x v="278"/>
    </i>
    <i r="3">
      <x v="2"/>
      <x v="6"/>
      <x v="50"/>
      <x v="278"/>
      <x v="293"/>
    </i>
    <i r="2">
      <x v="132"/>
      <x v="4"/>
      <x v="29"/>
      <x v="56"/>
      <x v="181"/>
      <x v="168"/>
    </i>
    <i r="6">
      <x v="227"/>
      <x v="269"/>
    </i>
    <i r="2">
      <x v="133"/>
      <x v="4"/>
      <x v="29"/>
      <x v="53"/>
      <x v="189"/>
      <x v="177"/>
    </i>
    <i r="6">
      <x v="199"/>
      <x v="55"/>
    </i>
    <i r="2">
      <x v="134"/>
      <x v="4"/>
      <x v="29"/>
      <x v="53"/>
      <x v="8"/>
      <x v="2"/>
    </i>
    <i r="6">
      <x v="22"/>
      <x v="29"/>
    </i>
    <i r="2">
      <x v="135"/>
      <x v="4"/>
      <x v="1"/>
      <x v="29"/>
      <x v="144"/>
      <x v="137"/>
    </i>
    <i r="4">
      <x v="28"/>
      <x v="32"/>
      <x v="73"/>
      <x v="87"/>
    </i>
    <i r="2">
      <x v="136"/>
      <x v="4"/>
      <x v="29"/>
      <x v="26"/>
      <x v="16"/>
      <x v="8"/>
    </i>
    <i r="6">
      <x v="41"/>
      <x v="41"/>
    </i>
    <i r="2">
      <x v="137"/>
      <x v="4"/>
      <x v="29"/>
      <x v="25"/>
      <x v="78"/>
      <x v="74"/>
    </i>
    <i r="5">
      <x v="26"/>
      <x v="277"/>
      <x v="295"/>
    </i>
    <i r="2">
      <x v="138"/>
      <x v="4"/>
      <x v="10"/>
      <x v="4"/>
      <x v="58"/>
      <x v="57"/>
    </i>
    <i r="4">
      <x v="29"/>
      <x v="13"/>
      <x v="28"/>
      <x v="303"/>
    </i>
    <i r="2">
      <x v="139"/>
      <x v="4"/>
      <x v="27"/>
      <x v="22"/>
      <x v="77"/>
      <x v="60"/>
    </i>
    <i r="4">
      <x v="29"/>
      <x v="13"/>
      <x v="75"/>
      <x v="81"/>
    </i>
    <i r="2">
      <x v="140"/>
      <x v="4"/>
      <x v="29"/>
      <x v="25"/>
      <x v="34"/>
      <x v="30"/>
    </i>
    <i r="6">
      <x v="260"/>
      <x v="286"/>
    </i>
    <i r="2">
      <x v="141"/>
      <x v="4"/>
      <x v="29"/>
      <x v="25"/>
      <x v="126"/>
      <x v="144"/>
    </i>
    <i r="6">
      <x v="184"/>
      <x v="178"/>
    </i>
    <i r="2">
      <x v="142"/>
      <x v="4"/>
      <x v="29"/>
      <x v="25"/>
      <x v="120"/>
      <x v="108"/>
    </i>
    <i r="6">
      <x v="286"/>
      <x v="289"/>
    </i>
    <i r="2">
      <x v="144"/>
      <x v="4"/>
      <x v="1"/>
      <x v="36"/>
      <x v="282"/>
      <x v="212"/>
    </i>
    <i r="1">
      <x v="1"/>
      <x v="49"/>
      <x v="2"/>
      <x v="3"/>
      <x v="37"/>
      <x v="186"/>
      <x v="283"/>
    </i>
    <i r="2">
      <x v="70"/>
      <x v="2"/>
      <x v="3"/>
      <x v="67"/>
      <x v="167"/>
      <x v="107"/>
    </i>
    <i r="2">
      <x v="71"/>
      <x v="2"/>
      <x v="3"/>
      <x v="67"/>
      <x v="303"/>
      <x v="28"/>
    </i>
    <i r="2">
      <x v="72"/>
      <x v="2"/>
      <x v="3"/>
      <x v="67"/>
      <x v="165"/>
      <x v="171"/>
    </i>
    <i r="2">
      <x v="73"/>
      <x v="2"/>
      <x v="3"/>
      <x v="19"/>
      <x v="162"/>
      <x v="221"/>
    </i>
    <i r="2">
      <x v="74"/>
      <x v="2"/>
      <x v="3"/>
      <x v="67"/>
      <x v="163"/>
      <x v="4"/>
    </i>
    <i r="2">
      <x v="75"/>
      <x v="2"/>
      <x v="3"/>
      <x v="67"/>
      <x v="159"/>
      <x v="101"/>
    </i>
    <i r="2">
      <x v="76"/>
      <x v="2"/>
      <x v="3"/>
      <x v="67"/>
      <x v="33"/>
      <x v="27"/>
    </i>
    <i r="2">
      <x v="77"/>
      <x v="2"/>
      <x v="3"/>
      <x v="67"/>
      <x v="100"/>
      <x v="94"/>
    </i>
    <i r="2">
      <x v="93"/>
      <x v="4"/>
      <x v="29"/>
      <x v="13"/>
      <x v="7"/>
      <x/>
    </i>
    <i r="2">
      <x v="143"/>
      <x v="4"/>
      <x v="28"/>
      <x v="32"/>
      <x v="96"/>
      <x v="206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pageFields count="1">
    <pageField fld="5" item="1" hier="-1"/>
  </pageFields>
  <dataFields count="4">
    <dataField name="Sum of C Fam" fld="17" baseField="0" baseItem="0"/>
    <dataField name="Sum of A Fam" fld="18" baseField="0" baseItem="0"/>
    <dataField name="Sum of Fam Q" fld="19" baseField="0" baseItem="0"/>
    <dataField name="Sum of Total Hc" fld="20" baseField="0" baseItem="0"/>
  </dataFields>
  <pivotTableStyleInfo name="PivotStyleLight8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E25B433-CFD5-465B-8D19-0672879A2A70}" name="OfficeForms.Table4" displayName="OfficeForms.Table4" ref="A1:K269" totalsRowShown="0" headerRowDxfId="135" dataDxfId="134">
  <autoFilter ref="A1:K269" xr:uid="{FE25B433-CFD5-465B-8D19-0672879A2A70}"/>
  <tableColumns count="11">
    <tableColumn id="1" xr3:uid="{B7FA066C-A9CF-4A0A-A920-95FB154D74B5}" name="No" dataDxfId="133"/>
    <tableColumn id="4" xr3:uid="{8ABF690A-FD36-4E76-98B0-930B78DB64F5}" name="Email" dataDxfId="132"/>
    <tableColumn id="2" xr3:uid="{75998F52-39EC-4CAF-B366-1DC8D3BCFB26}" name="Full name" dataDxfId="131"/>
    <tableColumn id="10" xr3:uid="{9E8DA0CD-BDA6-48C9-B0E4-98EB728507D8}" name="Người nhà" dataDxfId="130"/>
    <tableColumn id="27" xr3:uid="{021921F2-770D-4E78-9937-2F2D8500C97D}" name="Bus" dataDxfId="129"/>
    <tableColumn id="29" xr3:uid="{EC5299CA-20E7-48D9-9D0F-489DBAADFAE4}" name="Room" dataDxfId="128"/>
    <tableColumn id="24" xr3:uid="{8790D644-2BBE-470A-97EC-38A440457B1E}" name="Gender" dataDxfId="127"/>
    <tableColumn id="28" xr3:uid="{CB191E54-46A2-4981-BEEC-0FC3BD54C1F9}" name="Room Type" dataDxfId="126"/>
    <tableColumn id="6" xr3:uid="{0920E85A-3087-49A0-A6DA-CC230BA69ADC}" name="CCCD" dataDxfId="125"/>
    <tableColumn id="3" xr3:uid="{CFA2B92A-129F-4035-A315-3106BBD9F369}" name="Note" dataDxfId="124"/>
    <tableColumn id="7" xr3:uid="{E3F35A25-076A-4A09-87D4-7BAE8B120EF4}" name="Sheraton - Room" dataDxfId="12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1B4447DA-A53B-4B48-942E-9160C328A9A8}" name="Table4" displayName="Table4" ref="J3:L306" totalsRowShown="0">
  <autoFilter ref="J3:L306" xr:uid="{1B4447DA-A53B-4B48-942E-9160C328A9A8}"/>
  <tableColumns count="3">
    <tableColumn id="1" xr3:uid="{3E4AD810-94EB-4AAD-BF74-E0D40E47F9CE}" name="Bus No."/>
    <tableColumn id="3" xr3:uid="{17204792-668F-4BCE-95C0-05E1C74245C0}" name="Room No,"/>
    <tableColumn id="2" xr3:uid="{09C5CCA6-E21B-4FEC-895F-89B6BF02F3CD}" name="With Fam" dataDxfId="37">
      <calculatedColumnFormula>IF(E4="",0,IF(I4=1,0.5,1))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076DB-B208-4A8F-9D05-23F2C267DD4C}" name="Table5" displayName="Table5" ref="O3:T11" totalsRowShown="0">
  <autoFilter ref="O3:T11" xr:uid="{103076DB-B208-4A8F-9D05-23F2C267DD4C}"/>
  <tableColumns count="6">
    <tableColumn id="1" xr3:uid="{58D4C085-6ACC-42D8-B238-B4FC0D9A592C}" name="Bus"/>
    <tableColumn id="5" xr3:uid="{6EF245C7-FEE6-4E28-8DE3-E6DFC7B902A1}" name="Current"/>
    <tableColumn id="2" xr3:uid="{D335D951-72A6-4C0B-B6D0-F3292D30D432}" name="Remaining" dataDxfId="36">
      <calculatedColumnFormula>45-Table5[[#This Row],[Current]]</calculatedColumnFormula>
    </tableColumn>
    <tableColumn id="3" xr3:uid="{E9B6D921-4EB7-4ACD-8437-FD9A1E9D049D}" name="Note"/>
    <tableColumn id="4" xr3:uid="{12CACC8A-A1A8-4B80-A448-97F9564CC007}" name="Bus Leader"/>
    <tableColumn id="6" xr3:uid="{5D69948F-BB4B-4C43-9F7B-74FC0DE3B0A8}" name="Leader Mail 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EA79274-4DE9-4757-A36A-BEC5838CC2D7}" name="Table2" displayName="Table2" ref="A1:H457" totalsRowShown="0" headerRowDxfId="35" dataDxfId="34">
  <autoFilter ref="A1:H457" xr:uid="{BEA79274-4DE9-4757-A36A-BEC5838CC2D7}">
    <filterColumn colId="4">
      <filters>
        <filter val="ACT"/>
        <filter val="Amaris Consulting"/>
      </filters>
    </filterColumn>
    <filterColumn colId="5">
      <filters>
        <filter val="ACT Sales &amp; Pre-sales"/>
        <filter val="Delivery"/>
        <filter val="Directors"/>
        <filter val="Managers"/>
        <filter val="Presales"/>
      </filters>
    </filterColumn>
  </autoFilter>
  <tableColumns count="8">
    <tableColumn id="1" xr3:uid="{93F5726D-2A75-4499-9CDF-2A2392160ED5}" name="EmployeeId" dataDxfId="33"/>
    <tableColumn id="2" xr3:uid="{F7DEBE01-4308-486D-8B19-4E44E97FEDA6}" name="FullName" dataDxfId="32"/>
    <tableColumn id="3" xr3:uid="{8E01B04B-564E-4708-85C7-A2341EC0127C}" name="Email" dataDxfId="31"/>
    <tableColumn id="4" xr3:uid="{B5580FC6-8AEE-4B85-90B3-077F94E3A7E2}" name="ManagerFullName" dataDxfId="30"/>
    <tableColumn id="5" xr3:uid="{C06E9FF0-EF3D-4C29-9085-F7964E23E544}" name="Governance" dataDxfId="29"/>
    <tableColumn id="6" xr3:uid="{61F56178-5E0C-48FF-B1C0-63D3991E51CD}" name="Department" dataDxfId="28"/>
    <tableColumn id="7" xr3:uid="{12D8CF1D-81F0-45EC-8C90-FC6CA22E8698}" name="EmployeeStatus" dataDxfId="27"/>
    <tableColumn id="8" xr3:uid="{DD873F96-45D1-463C-A90C-2716FD1CD37B}" name="Gender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18A6CF8-83E2-46DE-A645-8E99653D82E3}" name="Table6" displayName="Table6" ref="H1:I8" totalsRowShown="0">
  <autoFilter ref="H1:I8" xr:uid="{A18A6CF8-83E2-46DE-A645-8E99653D82E3}"/>
  <sortState xmlns:xlrd2="http://schemas.microsoft.com/office/spreadsheetml/2017/richdata2" ref="H2:I8">
    <sortCondition ref="H1:H8"/>
  </sortState>
  <tableColumns count="2">
    <tableColumn id="1" xr3:uid="{F0A7442D-72E9-451F-80CA-640815D110CA}" name="Tuổi"/>
    <tableColumn id="2" xr3:uid="{F5124623-5807-42B3-8354-5BCB0B22CF8C}" name="Số lượng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nguyen.tai3@amaris.com" TargetMode="External"/><Relationship Id="rId7" Type="http://schemas.openxmlformats.org/officeDocument/2006/relationships/table" Target="../tables/table1.xml"/><Relationship Id="rId2" Type="http://schemas.openxmlformats.org/officeDocument/2006/relationships/hyperlink" Target="mailto:yhong@mantu.com" TargetMode="External"/><Relationship Id="rId1" Type="http://schemas.openxmlformats.org/officeDocument/2006/relationships/hyperlink" Target="mailto:qtran5@amaris.com" TargetMode="External"/><Relationship Id="rId6" Type="http://schemas.openxmlformats.org/officeDocument/2006/relationships/printerSettings" Target="../printerSettings/printerSettings1.bin"/><Relationship Id="rId5" Type="http://schemas.openxmlformats.org/officeDocument/2006/relationships/hyperlink" Target="mailto:tienthinh.le@amaris.com" TargetMode="External"/><Relationship Id="rId4" Type="http://schemas.openxmlformats.org/officeDocument/2006/relationships/hyperlink" Target="mailto:thanhviet.dinh@amaris.com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pivotTable" Target="../pivotTables/pivotTable5.xml"/><Relationship Id="rId1" Type="http://schemas.openxmlformats.org/officeDocument/2006/relationships/pivotTable" Target="../pivotTables/pivotTable4.xml"/><Relationship Id="rId4" Type="http://schemas.openxmlformats.org/officeDocument/2006/relationships/table" Target="../tables/table3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hyperlink" Target="mailto:hoaitrinh.do@amaris.com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hyperlink" Target="mailto:thanhviet.dinh@amaris.com" TargetMode="External"/><Relationship Id="rId2" Type="http://schemas.openxmlformats.org/officeDocument/2006/relationships/hyperlink" Target="mailto:nguyen.tai3@amaris.com" TargetMode="External"/><Relationship Id="rId1" Type="http://schemas.openxmlformats.org/officeDocument/2006/relationships/hyperlink" Target="mailto:qtran5@amaris.com" TargetMode="External"/><Relationship Id="rId5" Type="http://schemas.openxmlformats.org/officeDocument/2006/relationships/hyperlink" Target="mailto:tienthinh.le@amaris.com" TargetMode="External"/><Relationship Id="rId4" Type="http://schemas.openxmlformats.org/officeDocument/2006/relationships/hyperlink" Target="mailto:yhong@mantu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269"/>
  <sheetViews>
    <sheetView tabSelected="1" zoomScaleNormal="100" workbookViewId="0">
      <selection activeCell="H280" sqref="H280"/>
    </sheetView>
  </sheetViews>
  <sheetFormatPr baseColWidth="10" defaultColWidth="8.83203125" defaultRowHeight="15" customHeight="1" x14ac:dyDescent="0.2"/>
  <cols>
    <col min="1" max="1" width="5.33203125" customWidth="1"/>
    <col min="2" max="2" width="37" bestFit="1" customWidth="1"/>
    <col min="3" max="3" width="37" customWidth="1"/>
    <col min="4" max="4" width="60.6640625" bestFit="1" customWidth="1"/>
    <col min="5" max="5" width="10.33203125" bestFit="1" customWidth="1"/>
    <col min="6" max="6" width="12.1640625" bestFit="1" customWidth="1"/>
    <col min="7" max="7" width="14.1640625" bestFit="1" customWidth="1"/>
    <col min="8" max="9" width="13.5" bestFit="1" customWidth="1"/>
    <col min="10" max="10" width="8.83203125" bestFit="1" customWidth="1"/>
    <col min="11" max="11" width="18.1640625" style="108" bestFit="1" customWidth="1"/>
  </cols>
  <sheetData>
    <row r="1" spans="1:11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438</v>
      </c>
      <c r="K1" s="108" t="s">
        <v>3012</v>
      </c>
    </row>
    <row r="2" spans="1:11" x14ac:dyDescent="0.2">
      <c r="A2" s="106">
        <v>1</v>
      </c>
      <c r="B2" s="107" t="s">
        <v>9</v>
      </c>
      <c r="C2" s="106" t="s">
        <v>2681</v>
      </c>
      <c r="D2" s="107"/>
      <c r="E2" s="106">
        <v>1</v>
      </c>
      <c r="F2" s="106" t="s">
        <v>10</v>
      </c>
      <c r="G2" s="106" t="s">
        <v>456</v>
      </c>
      <c r="H2" s="106" t="s">
        <v>11</v>
      </c>
      <c r="I2" s="106" t="s">
        <v>450</v>
      </c>
      <c r="J2" s="106" t="s">
        <v>3008</v>
      </c>
      <c r="K2" s="109">
        <v>1203</v>
      </c>
    </row>
    <row r="3" spans="1:11" x14ac:dyDescent="0.2">
      <c r="A3">
        <v>2</v>
      </c>
      <c r="B3" s="2" t="s">
        <v>12</v>
      </c>
      <c r="C3" t="s">
        <v>2465</v>
      </c>
      <c r="D3" s="2"/>
      <c r="E3">
        <v>1</v>
      </c>
      <c r="F3" t="s">
        <v>13</v>
      </c>
      <c r="G3" t="s">
        <v>456</v>
      </c>
      <c r="H3" t="s">
        <v>14</v>
      </c>
      <c r="I3" t="s">
        <v>464</v>
      </c>
      <c r="K3" s="109" t="s">
        <v>3013</v>
      </c>
    </row>
    <row r="4" spans="1:11" x14ac:dyDescent="0.2">
      <c r="A4">
        <v>3</v>
      </c>
      <c r="B4" s="2" t="s">
        <v>15</v>
      </c>
      <c r="C4" t="s">
        <v>2744</v>
      </c>
      <c r="D4" s="2"/>
      <c r="E4">
        <v>1</v>
      </c>
      <c r="F4" t="s">
        <v>16</v>
      </c>
      <c r="G4" t="s">
        <v>456</v>
      </c>
      <c r="H4" t="s">
        <v>14</v>
      </c>
      <c r="I4" t="s">
        <v>476</v>
      </c>
      <c r="K4" s="109" t="s">
        <v>3014</v>
      </c>
    </row>
    <row r="5" spans="1:11" x14ac:dyDescent="0.2">
      <c r="A5">
        <v>4</v>
      </c>
      <c r="B5" s="2" t="s">
        <v>17</v>
      </c>
      <c r="C5" t="s">
        <v>2918</v>
      </c>
      <c r="D5" s="2"/>
      <c r="E5">
        <v>1</v>
      </c>
      <c r="F5" t="s">
        <v>16</v>
      </c>
      <c r="G5" t="s">
        <v>456</v>
      </c>
      <c r="H5" t="s">
        <v>14</v>
      </c>
      <c r="I5" t="s">
        <v>472</v>
      </c>
      <c r="K5" s="109" t="s">
        <v>3014</v>
      </c>
    </row>
    <row r="6" spans="1:11" x14ac:dyDescent="0.2">
      <c r="A6">
        <v>5</v>
      </c>
      <c r="B6" s="2" t="s">
        <v>18</v>
      </c>
      <c r="C6" t="s">
        <v>468</v>
      </c>
      <c r="D6" s="2"/>
      <c r="E6" s="25">
        <v>1</v>
      </c>
      <c r="F6" t="s">
        <v>19</v>
      </c>
      <c r="G6" t="s">
        <v>456</v>
      </c>
      <c r="H6" t="s">
        <v>14</v>
      </c>
      <c r="I6" t="s">
        <v>490</v>
      </c>
      <c r="K6" s="109" t="s">
        <v>3015</v>
      </c>
    </row>
    <row r="7" spans="1:11" x14ac:dyDescent="0.2">
      <c r="A7">
        <v>6</v>
      </c>
      <c r="B7" s="2" t="s">
        <v>20</v>
      </c>
      <c r="C7" t="s">
        <v>454</v>
      </c>
      <c r="D7" s="2"/>
      <c r="E7" s="25">
        <v>1</v>
      </c>
      <c r="F7" t="s">
        <v>21</v>
      </c>
      <c r="G7" t="s">
        <v>456</v>
      </c>
      <c r="H7" t="s">
        <v>14</v>
      </c>
      <c r="I7" t="s">
        <v>498</v>
      </c>
      <c r="K7" s="109" t="s">
        <v>3016</v>
      </c>
    </row>
    <row r="8" spans="1:11" x14ac:dyDescent="0.2">
      <c r="A8">
        <v>7</v>
      </c>
      <c r="B8" s="2" t="s">
        <v>22</v>
      </c>
      <c r="C8" t="s">
        <v>911</v>
      </c>
      <c r="D8" s="2"/>
      <c r="E8" s="25">
        <v>1</v>
      </c>
      <c r="F8" t="s">
        <v>19</v>
      </c>
      <c r="G8" t="s">
        <v>456</v>
      </c>
      <c r="H8" t="s">
        <v>14</v>
      </c>
      <c r="I8" t="s">
        <v>505</v>
      </c>
      <c r="K8" s="109" t="s">
        <v>3015</v>
      </c>
    </row>
    <row r="9" spans="1:11" x14ac:dyDescent="0.2">
      <c r="A9">
        <v>8</v>
      </c>
      <c r="B9" s="2" t="s">
        <v>23</v>
      </c>
      <c r="C9" t="s">
        <v>2794</v>
      </c>
      <c r="D9" s="2"/>
      <c r="E9">
        <v>1</v>
      </c>
      <c r="F9" t="s">
        <v>24</v>
      </c>
      <c r="G9" t="s">
        <v>513</v>
      </c>
      <c r="H9" t="s">
        <v>11</v>
      </c>
      <c r="I9" t="s">
        <v>512</v>
      </c>
      <c r="K9" s="109" t="s">
        <v>3017</v>
      </c>
    </row>
    <row r="10" spans="1:11" x14ac:dyDescent="0.2">
      <c r="A10">
        <v>9</v>
      </c>
      <c r="B10" s="2" t="s">
        <v>25</v>
      </c>
      <c r="C10" t="s">
        <v>2633</v>
      </c>
      <c r="D10" s="2"/>
      <c r="E10">
        <v>1</v>
      </c>
      <c r="F10" t="s">
        <v>24</v>
      </c>
      <c r="G10" t="s">
        <v>513</v>
      </c>
      <c r="H10" t="s">
        <v>11</v>
      </c>
      <c r="I10" t="s">
        <v>520</v>
      </c>
      <c r="K10" s="109" t="s">
        <v>3017</v>
      </c>
    </row>
    <row r="11" spans="1:11" x14ac:dyDescent="0.2">
      <c r="A11">
        <v>10</v>
      </c>
      <c r="B11" s="2" t="s">
        <v>26</v>
      </c>
      <c r="C11" t="s">
        <v>2736</v>
      </c>
      <c r="D11" s="2"/>
      <c r="E11">
        <v>1</v>
      </c>
      <c r="F11" t="s">
        <v>27</v>
      </c>
      <c r="G11" t="s">
        <v>513</v>
      </c>
      <c r="H11" t="s">
        <v>11</v>
      </c>
      <c r="I11" t="s">
        <v>526</v>
      </c>
      <c r="K11" s="109">
        <v>1003</v>
      </c>
    </row>
    <row r="12" spans="1:11" x14ac:dyDescent="0.2">
      <c r="A12">
        <v>11</v>
      </c>
      <c r="B12" s="2" t="s">
        <v>28</v>
      </c>
      <c r="C12" t="s">
        <v>2863</v>
      </c>
      <c r="D12" s="2"/>
      <c r="E12">
        <v>1</v>
      </c>
      <c r="F12" t="s">
        <v>29</v>
      </c>
      <c r="G12" t="s">
        <v>513</v>
      </c>
      <c r="H12" t="s">
        <v>11</v>
      </c>
      <c r="I12" t="s">
        <v>531</v>
      </c>
      <c r="K12" s="109" t="s">
        <v>3018</v>
      </c>
    </row>
    <row r="13" spans="1:11" x14ac:dyDescent="0.2">
      <c r="A13">
        <v>12</v>
      </c>
      <c r="B13" s="2" t="s">
        <v>30</v>
      </c>
      <c r="C13" t="s">
        <v>2560</v>
      </c>
      <c r="D13" s="2"/>
      <c r="E13">
        <v>1</v>
      </c>
      <c r="F13" t="s">
        <v>29</v>
      </c>
      <c r="G13" t="s">
        <v>513</v>
      </c>
      <c r="H13" t="s">
        <v>11</v>
      </c>
      <c r="I13" t="s">
        <v>538</v>
      </c>
      <c r="K13" s="109" t="s">
        <v>3018</v>
      </c>
    </row>
    <row r="14" spans="1:11" x14ac:dyDescent="0.2">
      <c r="A14">
        <v>13</v>
      </c>
      <c r="B14" s="2" t="s">
        <v>31</v>
      </c>
      <c r="C14" t="s">
        <v>2767</v>
      </c>
      <c r="D14" s="2"/>
      <c r="E14">
        <v>1</v>
      </c>
      <c r="F14" t="s">
        <v>27</v>
      </c>
      <c r="G14" t="s">
        <v>513</v>
      </c>
      <c r="H14" t="s">
        <v>11</v>
      </c>
      <c r="I14" t="s">
        <v>544</v>
      </c>
      <c r="K14" s="109">
        <v>1003</v>
      </c>
    </row>
    <row r="15" spans="1:11" x14ac:dyDescent="0.2">
      <c r="A15">
        <v>14</v>
      </c>
      <c r="B15" s="2" t="s">
        <v>32</v>
      </c>
      <c r="C15" t="s">
        <v>2805</v>
      </c>
      <c r="D15" s="2"/>
      <c r="E15">
        <v>1</v>
      </c>
      <c r="F15" t="s">
        <v>33</v>
      </c>
      <c r="G15" t="s">
        <v>513</v>
      </c>
      <c r="H15" t="s">
        <v>11</v>
      </c>
      <c r="I15" t="s">
        <v>486</v>
      </c>
      <c r="K15" s="109" t="s">
        <v>3019</v>
      </c>
    </row>
    <row r="16" spans="1:11" x14ac:dyDescent="0.2">
      <c r="A16">
        <v>15</v>
      </c>
      <c r="B16" s="2" t="s">
        <v>34</v>
      </c>
      <c r="C16" t="s">
        <v>555</v>
      </c>
      <c r="D16" s="2"/>
      <c r="E16">
        <v>1</v>
      </c>
      <c r="F16" t="s">
        <v>35</v>
      </c>
      <c r="G16" t="s">
        <v>513</v>
      </c>
      <c r="H16" t="s">
        <v>11</v>
      </c>
      <c r="I16" t="s">
        <v>556</v>
      </c>
      <c r="K16" s="109">
        <v>1004</v>
      </c>
    </row>
    <row r="17" spans="1:11" x14ac:dyDescent="0.2">
      <c r="A17">
        <v>16</v>
      </c>
      <c r="B17" s="2" t="s">
        <v>36</v>
      </c>
      <c r="C17" t="s">
        <v>2796</v>
      </c>
      <c r="D17" s="2"/>
      <c r="E17">
        <v>1</v>
      </c>
      <c r="F17" t="s">
        <v>33</v>
      </c>
      <c r="G17" t="s">
        <v>513</v>
      </c>
      <c r="H17" t="s">
        <v>11</v>
      </c>
      <c r="I17" t="s">
        <v>495</v>
      </c>
      <c r="K17" s="109" t="s">
        <v>3019</v>
      </c>
    </row>
    <row r="18" spans="1:11" x14ac:dyDescent="0.2">
      <c r="A18">
        <v>17</v>
      </c>
      <c r="B18" s="2" t="s">
        <v>37</v>
      </c>
      <c r="C18" t="s">
        <v>2650</v>
      </c>
      <c r="D18" s="2"/>
      <c r="E18">
        <v>1</v>
      </c>
      <c r="F18" t="s">
        <v>38</v>
      </c>
      <c r="G18" t="s">
        <v>513</v>
      </c>
      <c r="H18" t="s">
        <v>11</v>
      </c>
      <c r="I18" t="s">
        <v>567</v>
      </c>
      <c r="K18" s="109">
        <v>1007</v>
      </c>
    </row>
    <row r="19" spans="1:11" x14ac:dyDescent="0.2">
      <c r="A19">
        <v>18</v>
      </c>
      <c r="B19" s="2" t="s">
        <v>39</v>
      </c>
      <c r="C19" t="s">
        <v>571</v>
      </c>
      <c r="D19" s="2"/>
      <c r="E19">
        <v>1</v>
      </c>
      <c r="F19" t="s">
        <v>35</v>
      </c>
      <c r="G19" t="s">
        <v>513</v>
      </c>
      <c r="H19" t="s">
        <v>11</v>
      </c>
      <c r="I19" t="s">
        <v>572</v>
      </c>
      <c r="K19" s="109">
        <v>1004</v>
      </c>
    </row>
    <row r="20" spans="1:11" x14ac:dyDescent="0.2">
      <c r="A20">
        <v>19</v>
      </c>
      <c r="B20" t="s">
        <v>40</v>
      </c>
      <c r="C20" t="s">
        <v>2688</v>
      </c>
      <c r="E20">
        <v>1</v>
      </c>
      <c r="F20" t="s">
        <v>41</v>
      </c>
      <c r="G20" t="s">
        <v>513</v>
      </c>
      <c r="H20" t="s">
        <v>11</v>
      </c>
      <c r="I20" t="s">
        <v>578</v>
      </c>
      <c r="K20" s="109">
        <v>1103</v>
      </c>
    </row>
    <row r="21" spans="1:11" x14ac:dyDescent="0.2">
      <c r="A21">
        <v>20</v>
      </c>
      <c r="B21" s="2" t="s">
        <v>42</v>
      </c>
      <c r="C21" t="s">
        <v>2777</v>
      </c>
      <c r="D21" s="2"/>
      <c r="E21">
        <v>1</v>
      </c>
      <c r="F21" t="s">
        <v>38</v>
      </c>
      <c r="G21" t="s">
        <v>513</v>
      </c>
      <c r="H21" t="s">
        <v>11</v>
      </c>
      <c r="I21" t="s">
        <v>583</v>
      </c>
      <c r="K21" s="109">
        <v>1007</v>
      </c>
    </row>
    <row r="22" spans="1:11" x14ac:dyDescent="0.2">
      <c r="A22">
        <v>21</v>
      </c>
      <c r="B22" s="2" t="s">
        <v>43</v>
      </c>
      <c r="C22" t="s">
        <v>2668</v>
      </c>
      <c r="D22" s="2"/>
      <c r="E22">
        <v>1</v>
      </c>
      <c r="F22" t="s">
        <v>44</v>
      </c>
      <c r="G22" t="s">
        <v>513</v>
      </c>
      <c r="H22" t="s">
        <v>11</v>
      </c>
      <c r="I22" t="s">
        <v>589</v>
      </c>
      <c r="K22" s="109">
        <v>1008</v>
      </c>
    </row>
    <row r="23" spans="1:11" x14ac:dyDescent="0.2">
      <c r="A23">
        <v>22</v>
      </c>
      <c r="B23" s="2" t="s">
        <v>45</v>
      </c>
      <c r="C23" t="s">
        <v>2505</v>
      </c>
      <c r="D23" s="2"/>
      <c r="E23">
        <v>1</v>
      </c>
      <c r="F23" t="s">
        <v>46</v>
      </c>
      <c r="G23" t="s">
        <v>513</v>
      </c>
      <c r="H23" t="s">
        <v>11</v>
      </c>
      <c r="I23" t="s">
        <v>595</v>
      </c>
      <c r="K23" s="109">
        <v>1104</v>
      </c>
    </row>
    <row r="24" spans="1:11" x14ac:dyDescent="0.2">
      <c r="A24">
        <v>23</v>
      </c>
      <c r="B24" s="2" t="s">
        <v>47</v>
      </c>
      <c r="C24" t="s">
        <v>2678</v>
      </c>
      <c r="D24" s="2"/>
      <c r="E24">
        <v>1</v>
      </c>
      <c r="F24" t="s">
        <v>48</v>
      </c>
      <c r="G24" t="s">
        <v>513</v>
      </c>
      <c r="H24" t="s">
        <v>11</v>
      </c>
      <c r="I24" t="s">
        <v>601</v>
      </c>
      <c r="K24" s="109">
        <v>1009</v>
      </c>
    </row>
    <row r="25" spans="1:11" x14ac:dyDescent="0.2">
      <c r="A25">
        <v>24</v>
      </c>
      <c r="B25" s="2" t="s">
        <v>49</v>
      </c>
      <c r="C25" t="s">
        <v>2708</v>
      </c>
      <c r="D25" s="2"/>
      <c r="E25">
        <v>1</v>
      </c>
      <c r="F25" t="s">
        <v>50</v>
      </c>
      <c r="G25" t="s">
        <v>513</v>
      </c>
      <c r="H25" t="s">
        <v>11</v>
      </c>
      <c r="I25" t="s">
        <v>606</v>
      </c>
      <c r="K25" s="109">
        <v>1013</v>
      </c>
    </row>
    <row r="26" spans="1:11" x14ac:dyDescent="0.2">
      <c r="A26">
        <v>25</v>
      </c>
      <c r="B26" s="2" t="s">
        <v>51</v>
      </c>
      <c r="C26" t="s">
        <v>2848</v>
      </c>
      <c r="D26" s="2"/>
      <c r="E26">
        <v>1</v>
      </c>
      <c r="F26" t="s">
        <v>41</v>
      </c>
      <c r="G26" t="s">
        <v>513</v>
      </c>
      <c r="H26" t="s">
        <v>11</v>
      </c>
      <c r="I26" t="s">
        <v>613</v>
      </c>
      <c r="K26" s="109">
        <v>1103</v>
      </c>
    </row>
    <row r="27" spans="1:11" x14ac:dyDescent="0.2">
      <c r="A27" s="106">
        <v>26</v>
      </c>
      <c r="B27" s="107" t="s">
        <v>52</v>
      </c>
      <c r="C27" s="106" t="s">
        <v>2758</v>
      </c>
      <c r="D27" s="107"/>
      <c r="E27" s="106">
        <v>1</v>
      </c>
      <c r="F27" s="106" t="s">
        <v>53</v>
      </c>
      <c r="G27" s="106" t="s">
        <v>513</v>
      </c>
      <c r="H27" s="106" t="s">
        <v>14</v>
      </c>
      <c r="I27" s="106" t="s">
        <v>502</v>
      </c>
      <c r="J27" s="106" t="s">
        <v>3008</v>
      </c>
      <c r="K27" s="109" t="s">
        <v>3020</v>
      </c>
    </row>
    <row r="28" spans="1:11" x14ac:dyDescent="0.2">
      <c r="A28">
        <v>27</v>
      </c>
      <c r="B28" s="2" t="s">
        <v>54</v>
      </c>
      <c r="C28" t="s">
        <v>2904</v>
      </c>
      <c r="D28" s="2"/>
      <c r="E28">
        <v>1</v>
      </c>
      <c r="F28" t="s">
        <v>44</v>
      </c>
      <c r="G28" t="s">
        <v>513</v>
      </c>
      <c r="H28" t="s">
        <v>11</v>
      </c>
      <c r="I28" t="s">
        <v>610</v>
      </c>
      <c r="K28" s="109">
        <v>1008</v>
      </c>
    </row>
    <row r="29" spans="1:11" x14ac:dyDescent="0.2">
      <c r="A29" s="106">
        <v>29</v>
      </c>
      <c r="B29" s="107" t="s">
        <v>55</v>
      </c>
      <c r="C29" s="106" t="s">
        <v>407</v>
      </c>
      <c r="D29" s="107"/>
      <c r="E29" s="106">
        <v>1</v>
      </c>
      <c r="F29" s="106" t="s">
        <v>53</v>
      </c>
      <c r="G29" s="106" t="s">
        <v>513</v>
      </c>
      <c r="H29" s="106" t="s">
        <v>14</v>
      </c>
      <c r="I29" s="106" t="s">
        <v>510</v>
      </c>
      <c r="J29" s="106" t="s">
        <v>3008</v>
      </c>
      <c r="K29" s="109" t="s">
        <v>3020</v>
      </c>
    </row>
    <row r="30" spans="1:11" x14ac:dyDescent="0.2">
      <c r="A30">
        <v>30</v>
      </c>
      <c r="B30" s="76" t="s">
        <v>56</v>
      </c>
      <c r="C30" s="81" t="s">
        <v>2488</v>
      </c>
      <c r="D30" s="2" t="s">
        <v>57</v>
      </c>
      <c r="E30">
        <v>1</v>
      </c>
      <c r="F30" t="s">
        <v>58</v>
      </c>
      <c r="G30" t="s">
        <v>513</v>
      </c>
      <c r="H30" t="s">
        <v>14</v>
      </c>
      <c r="I30" t="s">
        <v>523</v>
      </c>
      <c r="K30" s="109" t="s">
        <v>3021</v>
      </c>
    </row>
    <row r="31" spans="1:11" x14ac:dyDescent="0.2">
      <c r="A31">
        <v>31</v>
      </c>
      <c r="B31" s="2" t="s">
        <v>59</v>
      </c>
      <c r="C31" t="s">
        <v>2861</v>
      </c>
      <c r="D31" s="2"/>
      <c r="E31">
        <v>1</v>
      </c>
      <c r="F31" t="s">
        <v>50</v>
      </c>
      <c r="G31" t="s">
        <v>513</v>
      </c>
      <c r="H31" t="s">
        <v>11</v>
      </c>
      <c r="I31" t="s">
        <v>635</v>
      </c>
      <c r="K31" s="109">
        <v>1013</v>
      </c>
    </row>
    <row r="32" spans="1:11" x14ac:dyDescent="0.2">
      <c r="A32">
        <v>33</v>
      </c>
      <c r="B32" s="2" t="s">
        <v>60</v>
      </c>
      <c r="C32" t="s">
        <v>2591</v>
      </c>
      <c r="D32" s="2"/>
      <c r="E32">
        <v>1</v>
      </c>
      <c r="F32" t="s">
        <v>48</v>
      </c>
      <c r="G32" t="s">
        <v>513</v>
      </c>
      <c r="H32" t="s">
        <v>11</v>
      </c>
      <c r="I32" t="s">
        <v>621</v>
      </c>
      <c r="K32" s="109">
        <v>1009</v>
      </c>
    </row>
    <row r="33" spans="1:11" x14ac:dyDescent="0.2">
      <c r="A33">
        <v>34</v>
      </c>
      <c r="B33" s="2" t="s">
        <v>61</v>
      </c>
      <c r="C33" t="s">
        <v>665</v>
      </c>
      <c r="D33" s="2"/>
      <c r="E33" s="25">
        <v>8</v>
      </c>
      <c r="F33">
        <v>110</v>
      </c>
      <c r="G33" t="s">
        <v>513</v>
      </c>
      <c r="H33" t="s">
        <v>11</v>
      </c>
      <c r="I33" t="s">
        <v>666</v>
      </c>
      <c r="K33" s="109">
        <v>2913</v>
      </c>
    </row>
    <row r="34" spans="1:11" x14ac:dyDescent="0.2">
      <c r="A34" s="106">
        <v>35</v>
      </c>
      <c r="B34" s="107" t="s">
        <v>62</v>
      </c>
      <c r="C34" s="106" t="s">
        <v>2629</v>
      </c>
      <c r="D34" s="107"/>
      <c r="E34" s="106">
        <v>1</v>
      </c>
      <c r="F34" s="106" t="s">
        <v>63</v>
      </c>
      <c r="G34" s="106" t="s">
        <v>513</v>
      </c>
      <c r="H34" s="106" t="s">
        <v>11</v>
      </c>
      <c r="I34" s="106" t="s">
        <v>663</v>
      </c>
      <c r="J34" s="106" t="s">
        <v>3009</v>
      </c>
      <c r="K34" s="109">
        <v>1108</v>
      </c>
    </row>
    <row r="35" spans="1:11" x14ac:dyDescent="0.2">
      <c r="A35">
        <v>36</v>
      </c>
      <c r="B35" s="2" t="s">
        <v>64</v>
      </c>
      <c r="C35" t="s">
        <v>2550</v>
      </c>
      <c r="D35" s="2"/>
      <c r="E35">
        <v>1</v>
      </c>
      <c r="F35" t="s">
        <v>65</v>
      </c>
      <c r="G35" t="s">
        <v>513</v>
      </c>
      <c r="H35" t="s">
        <v>11</v>
      </c>
      <c r="I35" t="s">
        <v>676</v>
      </c>
      <c r="K35" s="109">
        <v>1113</v>
      </c>
    </row>
    <row r="36" spans="1:11" x14ac:dyDescent="0.2">
      <c r="A36">
        <v>37</v>
      </c>
      <c r="B36" s="2" t="s">
        <v>66</v>
      </c>
      <c r="C36" t="s">
        <v>2901</v>
      </c>
      <c r="D36" s="2"/>
      <c r="E36">
        <v>1</v>
      </c>
      <c r="F36" t="s">
        <v>65</v>
      </c>
      <c r="G36" t="s">
        <v>513</v>
      </c>
      <c r="H36" t="s">
        <v>11</v>
      </c>
      <c r="I36" t="s">
        <v>670</v>
      </c>
      <c r="K36" s="109">
        <v>1113</v>
      </c>
    </row>
    <row r="37" spans="1:11" x14ac:dyDescent="0.2">
      <c r="A37">
        <v>38</v>
      </c>
      <c r="B37" s="2" t="s">
        <v>67</v>
      </c>
      <c r="C37" t="s">
        <v>2567</v>
      </c>
      <c r="D37" s="2"/>
      <c r="E37" s="83">
        <v>7</v>
      </c>
      <c r="F37" t="s">
        <v>68</v>
      </c>
      <c r="G37" t="s">
        <v>513</v>
      </c>
      <c r="H37" t="s">
        <v>11</v>
      </c>
      <c r="I37" t="s">
        <v>691</v>
      </c>
      <c r="K37" s="109">
        <v>2703</v>
      </c>
    </row>
    <row r="38" spans="1:11" x14ac:dyDescent="0.2">
      <c r="A38">
        <v>39</v>
      </c>
      <c r="B38" s="2" t="s">
        <v>69</v>
      </c>
      <c r="C38" t="s">
        <v>2663</v>
      </c>
      <c r="D38" s="2"/>
      <c r="E38" s="83">
        <v>7</v>
      </c>
      <c r="F38" t="s">
        <v>70</v>
      </c>
      <c r="G38" t="s">
        <v>513</v>
      </c>
      <c r="H38" t="s">
        <v>11</v>
      </c>
      <c r="I38" t="s">
        <v>698</v>
      </c>
      <c r="K38" s="109">
        <v>2708</v>
      </c>
    </row>
    <row r="39" spans="1:11" x14ac:dyDescent="0.2">
      <c r="A39">
        <v>40</v>
      </c>
      <c r="B39" s="2" t="s">
        <v>71</v>
      </c>
      <c r="C39" t="s">
        <v>2612</v>
      </c>
      <c r="D39" s="2"/>
      <c r="E39" s="83">
        <v>7</v>
      </c>
      <c r="F39" t="s">
        <v>70</v>
      </c>
      <c r="G39" t="s">
        <v>513</v>
      </c>
      <c r="H39" t="s">
        <v>11</v>
      </c>
      <c r="I39" t="s">
        <v>705</v>
      </c>
      <c r="K39" s="109">
        <v>2708</v>
      </c>
    </row>
    <row r="40" spans="1:11" x14ac:dyDescent="0.2">
      <c r="A40">
        <v>41</v>
      </c>
      <c r="B40" s="2" t="s">
        <v>72</v>
      </c>
      <c r="C40" t="s">
        <v>2628</v>
      </c>
      <c r="D40" s="2"/>
      <c r="E40" s="83">
        <v>7</v>
      </c>
      <c r="F40" t="s">
        <v>73</v>
      </c>
      <c r="G40" t="s">
        <v>513</v>
      </c>
      <c r="H40" t="s">
        <v>11</v>
      </c>
      <c r="I40" t="s">
        <v>711</v>
      </c>
      <c r="K40" s="109">
        <v>2713</v>
      </c>
    </row>
    <row r="41" spans="1:11" x14ac:dyDescent="0.2">
      <c r="A41">
        <v>42</v>
      </c>
      <c r="B41" s="2" t="s">
        <v>74</v>
      </c>
      <c r="C41" t="s">
        <v>2889</v>
      </c>
      <c r="D41" s="2"/>
      <c r="E41" s="83">
        <v>7</v>
      </c>
      <c r="F41" t="s">
        <v>73</v>
      </c>
      <c r="G41" t="s">
        <v>513</v>
      </c>
      <c r="H41" t="s">
        <v>11</v>
      </c>
      <c r="I41" t="s">
        <v>718</v>
      </c>
      <c r="K41" s="109">
        <v>2713</v>
      </c>
    </row>
    <row r="42" spans="1:11" x14ac:dyDescent="0.2">
      <c r="A42">
        <v>43</v>
      </c>
      <c r="B42" t="s">
        <v>75</v>
      </c>
      <c r="C42" t="s">
        <v>2632</v>
      </c>
      <c r="E42">
        <v>2</v>
      </c>
      <c r="F42" t="s">
        <v>76</v>
      </c>
      <c r="G42" t="s">
        <v>513</v>
      </c>
      <c r="H42" t="s">
        <v>11</v>
      </c>
      <c r="I42" t="s">
        <v>725</v>
      </c>
      <c r="K42" s="109">
        <v>1403</v>
      </c>
    </row>
    <row r="43" spans="1:11" x14ac:dyDescent="0.2">
      <c r="A43">
        <v>44</v>
      </c>
      <c r="B43" s="2" t="s">
        <v>77</v>
      </c>
      <c r="C43" t="s">
        <v>2697</v>
      </c>
      <c r="D43" s="2"/>
      <c r="E43">
        <v>2</v>
      </c>
      <c r="F43" t="s">
        <v>78</v>
      </c>
      <c r="G43" t="s">
        <v>513</v>
      </c>
      <c r="H43" t="s">
        <v>11</v>
      </c>
      <c r="I43" t="s">
        <v>733</v>
      </c>
      <c r="K43" s="109">
        <v>1204</v>
      </c>
    </row>
    <row r="44" spans="1:11" x14ac:dyDescent="0.2">
      <c r="A44">
        <v>45</v>
      </c>
      <c r="B44" s="2" t="s">
        <v>79</v>
      </c>
      <c r="C44" t="s">
        <v>2548</v>
      </c>
      <c r="D44" s="2"/>
      <c r="E44">
        <v>2</v>
      </c>
      <c r="F44" t="s">
        <v>76</v>
      </c>
      <c r="G44" t="s">
        <v>513</v>
      </c>
      <c r="H44" t="s">
        <v>11</v>
      </c>
      <c r="I44" t="s">
        <v>739</v>
      </c>
      <c r="K44" s="109">
        <v>1403</v>
      </c>
    </row>
    <row r="45" spans="1:11" x14ac:dyDescent="0.2">
      <c r="A45">
        <v>46</v>
      </c>
      <c r="B45" s="2" t="s">
        <v>80</v>
      </c>
      <c r="C45" t="s">
        <v>2693</v>
      </c>
      <c r="D45" s="2"/>
      <c r="E45">
        <v>2</v>
      </c>
      <c r="F45" t="s">
        <v>81</v>
      </c>
      <c r="G45" t="s">
        <v>456</v>
      </c>
      <c r="H45" t="s">
        <v>14</v>
      </c>
      <c r="I45" t="s">
        <v>708</v>
      </c>
      <c r="K45" s="109" t="s">
        <v>3022</v>
      </c>
    </row>
    <row r="46" spans="1:11" x14ac:dyDescent="0.2">
      <c r="A46">
        <v>47</v>
      </c>
      <c r="B46" t="s">
        <v>82</v>
      </c>
      <c r="C46" t="s">
        <v>2945</v>
      </c>
      <c r="E46">
        <v>2</v>
      </c>
      <c r="F46" t="s">
        <v>81</v>
      </c>
      <c r="G46" t="s">
        <v>456</v>
      </c>
      <c r="H46" t="s">
        <v>14</v>
      </c>
      <c r="I46" t="s">
        <v>702</v>
      </c>
      <c r="K46" s="109" t="s">
        <v>3022</v>
      </c>
    </row>
    <row r="47" spans="1:11" x14ac:dyDescent="0.2">
      <c r="A47">
        <v>48</v>
      </c>
      <c r="B47" t="s">
        <v>83</v>
      </c>
      <c r="C47" t="s">
        <v>2890</v>
      </c>
      <c r="E47">
        <v>2</v>
      </c>
      <c r="F47" t="s">
        <v>84</v>
      </c>
      <c r="G47" t="s">
        <v>513</v>
      </c>
      <c r="H47" t="s">
        <v>11</v>
      </c>
      <c r="I47" t="s">
        <v>759</v>
      </c>
      <c r="K47" s="109">
        <v>1404</v>
      </c>
    </row>
    <row r="48" spans="1:11" x14ac:dyDescent="0.2">
      <c r="A48">
        <v>49</v>
      </c>
      <c r="B48" t="s">
        <v>85</v>
      </c>
      <c r="C48" t="s">
        <v>2781</v>
      </c>
      <c r="E48">
        <v>2</v>
      </c>
      <c r="F48" t="s">
        <v>86</v>
      </c>
      <c r="G48" t="s">
        <v>456</v>
      </c>
      <c r="H48" t="s">
        <v>14</v>
      </c>
      <c r="I48" t="s">
        <v>722</v>
      </c>
      <c r="K48" s="109" t="s">
        <v>3023</v>
      </c>
    </row>
    <row r="49" spans="1:11" x14ac:dyDescent="0.2">
      <c r="A49">
        <v>50</v>
      </c>
      <c r="B49" t="s">
        <v>87</v>
      </c>
      <c r="C49" t="s">
        <v>2864</v>
      </c>
      <c r="E49">
        <v>2</v>
      </c>
      <c r="F49" t="s">
        <v>84</v>
      </c>
      <c r="G49" t="s">
        <v>513</v>
      </c>
      <c r="H49" t="s">
        <v>11</v>
      </c>
      <c r="I49" t="s">
        <v>771</v>
      </c>
      <c r="K49" s="109">
        <v>1404</v>
      </c>
    </row>
    <row r="50" spans="1:11" x14ac:dyDescent="0.2">
      <c r="A50">
        <v>51</v>
      </c>
      <c r="B50" t="s">
        <v>88</v>
      </c>
      <c r="C50" t="s">
        <v>2935</v>
      </c>
      <c r="E50">
        <v>2</v>
      </c>
      <c r="F50" t="s">
        <v>86</v>
      </c>
      <c r="G50" t="s">
        <v>456</v>
      </c>
      <c r="H50" t="s">
        <v>14</v>
      </c>
      <c r="I50" t="s">
        <v>715</v>
      </c>
      <c r="K50" s="109" t="s">
        <v>3023</v>
      </c>
    </row>
    <row r="51" spans="1:11" x14ac:dyDescent="0.2">
      <c r="A51">
        <v>52</v>
      </c>
      <c r="B51" t="s">
        <v>89</v>
      </c>
      <c r="C51" t="s">
        <v>2598</v>
      </c>
      <c r="E51">
        <v>2</v>
      </c>
      <c r="F51" t="s">
        <v>90</v>
      </c>
      <c r="G51" t="s">
        <v>513</v>
      </c>
      <c r="H51" t="s">
        <v>11</v>
      </c>
      <c r="I51" t="s">
        <v>783</v>
      </c>
      <c r="K51" s="109">
        <v>1408</v>
      </c>
    </row>
    <row r="52" spans="1:11" x14ac:dyDescent="0.2">
      <c r="A52">
        <v>53</v>
      </c>
      <c r="B52" t="s">
        <v>91</v>
      </c>
      <c r="C52" t="s">
        <v>2812</v>
      </c>
      <c r="E52">
        <v>2</v>
      </c>
      <c r="F52" t="s">
        <v>90</v>
      </c>
      <c r="G52" t="s">
        <v>513</v>
      </c>
      <c r="H52" t="s">
        <v>11</v>
      </c>
      <c r="I52" t="s">
        <v>790</v>
      </c>
      <c r="K52" s="109">
        <v>1408</v>
      </c>
    </row>
    <row r="53" spans="1:11" x14ac:dyDescent="0.2">
      <c r="A53">
        <v>54</v>
      </c>
      <c r="B53" s="2" t="s">
        <v>92</v>
      </c>
      <c r="C53" t="s">
        <v>2932</v>
      </c>
      <c r="D53" s="2"/>
      <c r="E53">
        <v>2</v>
      </c>
      <c r="F53" t="s">
        <v>93</v>
      </c>
      <c r="G53" t="s">
        <v>513</v>
      </c>
      <c r="H53" t="s">
        <v>11</v>
      </c>
      <c r="I53" t="s">
        <v>797</v>
      </c>
      <c r="K53" s="109">
        <v>1413</v>
      </c>
    </row>
    <row r="54" spans="1:11" x14ac:dyDescent="0.2">
      <c r="A54">
        <v>55</v>
      </c>
      <c r="B54" s="2" t="s">
        <v>94</v>
      </c>
      <c r="C54" t="s">
        <v>2525</v>
      </c>
      <c r="D54" s="2"/>
      <c r="E54">
        <v>2</v>
      </c>
      <c r="F54" t="s">
        <v>93</v>
      </c>
      <c r="G54" t="s">
        <v>513</v>
      </c>
      <c r="H54" t="s">
        <v>11</v>
      </c>
      <c r="I54" t="s">
        <v>803</v>
      </c>
      <c r="K54" s="109">
        <v>1413</v>
      </c>
    </row>
    <row r="55" spans="1:11" x14ac:dyDescent="0.2">
      <c r="A55">
        <v>56</v>
      </c>
      <c r="B55" s="2" t="s">
        <v>95</v>
      </c>
      <c r="C55" t="s">
        <v>2862</v>
      </c>
      <c r="D55" s="2"/>
      <c r="E55">
        <v>2</v>
      </c>
      <c r="F55" t="s">
        <v>96</v>
      </c>
      <c r="G55" t="s">
        <v>513</v>
      </c>
      <c r="H55" t="s">
        <v>14</v>
      </c>
      <c r="I55" t="s">
        <v>688</v>
      </c>
      <c r="K55" s="109" t="s">
        <v>3024</v>
      </c>
    </row>
    <row r="56" spans="1:11" x14ac:dyDescent="0.2">
      <c r="A56">
        <v>57</v>
      </c>
      <c r="B56" s="2" t="s">
        <v>97</v>
      </c>
      <c r="C56" t="s">
        <v>2821</v>
      </c>
      <c r="D56" s="2"/>
      <c r="E56">
        <v>2</v>
      </c>
      <c r="F56" t="s">
        <v>98</v>
      </c>
      <c r="G56" t="s">
        <v>513</v>
      </c>
      <c r="H56" t="s">
        <v>11</v>
      </c>
      <c r="I56" t="s">
        <v>817</v>
      </c>
      <c r="K56" s="109">
        <v>1503</v>
      </c>
    </row>
    <row r="57" spans="1:11" x14ac:dyDescent="0.2">
      <c r="A57">
        <v>58</v>
      </c>
      <c r="B57" s="2" t="s">
        <v>99</v>
      </c>
      <c r="C57" t="s">
        <v>2709</v>
      </c>
      <c r="D57" s="2"/>
      <c r="E57">
        <v>2</v>
      </c>
      <c r="F57" t="s">
        <v>98</v>
      </c>
      <c r="G57" t="s">
        <v>513</v>
      </c>
      <c r="H57" t="s">
        <v>11</v>
      </c>
      <c r="I57" t="s">
        <v>824</v>
      </c>
      <c r="K57" s="109">
        <v>1503</v>
      </c>
    </row>
    <row r="58" spans="1:11" x14ac:dyDescent="0.2">
      <c r="A58">
        <v>59</v>
      </c>
      <c r="B58" s="2" t="s">
        <v>100</v>
      </c>
      <c r="C58" t="s">
        <v>2635</v>
      </c>
      <c r="D58" s="2"/>
      <c r="E58">
        <v>2</v>
      </c>
      <c r="F58" t="s">
        <v>101</v>
      </c>
      <c r="G58" t="s">
        <v>456</v>
      </c>
      <c r="H58" t="s">
        <v>14</v>
      </c>
      <c r="I58" t="s">
        <v>730</v>
      </c>
      <c r="K58" s="109">
        <v>1005</v>
      </c>
    </row>
    <row r="59" spans="1:11" x14ac:dyDescent="0.2">
      <c r="A59">
        <v>60</v>
      </c>
      <c r="B59" s="2" t="s">
        <v>102</v>
      </c>
      <c r="C59" t="s">
        <v>2718</v>
      </c>
      <c r="D59" s="2"/>
      <c r="E59">
        <v>2</v>
      </c>
      <c r="F59" t="s">
        <v>103</v>
      </c>
      <c r="G59" t="s">
        <v>513</v>
      </c>
      <c r="H59" t="s">
        <v>11</v>
      </c>
      <c r="I59" t="s">
        <v>834</v>
      </c>
      <c r="K59" s="109">
        <v>1504</v>
      </c>
    </row>
    <row r="60" spans="1:11" x14ac:dyDescent="0.2">
      <c r="A60">
        <v>61</v>
      </c>
      <c r="B60" s="2" t="s">
        <v>104</v>
      </c>
      <c r="C60" t="s">
        <v>2844</v>
      </c>
      <c r="D60" s="2"/>
      <c r="E60">
        <v>2</v>
      </c>
      <c r="F60" t="s">
        <v>105</v>
      </c>
      <c r="G60" t="s">
        <v>456</v>
      </c>
      <c r="H60" t="s">
        <v>14</v>
      </c>
      <c r="I60" t="s">
        <v>743</v>
      </c>
      <c r="K60" s="109">
        <v>1015</v>
      </c>
    </row>
    <row r="61" spans="1:11" x14ac:dyDescent="0.2">
      <c r="A61">
        <v>62</v>
      </c>
      <c r="B61" s="2" t="s">
        <v>106</v>
      </c>
      <c r="C61" t="s">
        <v>2912</v>
      </c>
      <c r="D61" s="2"/>
      <c r="E61">
        <v>2</v>
      </c>
      <c r="F61" t="s">
        <v>103</v>
      </c>
      <c r="G61" t="s">
        <v>513</v>
      </c>
      <c r="H61" t="s">
        <v>11</v>
      </c>
      <c r="I61" t="s">
        <v>844</v>
      </c>
      <c r="K61" s="109">
        <v>1504</v>
      </c>
    </row>
    <row r="62" spans="1:11" x14ac:dyDescent="0.2">
      <c r="A62">
        <v>63</v>
      </c>
      <c r="B62" s="2" t="s">
        <v>107</v>
      </c>
      <c r="C62" t="s">
        <v>2851</v>
      </c>
      <c r="D62" s="2"/>
      <c r="E62">
        <v>2</v>
      </c>
      <c r="F62" t="s">
        <v>108</v>
      </c>
      <c r="G62" t="s">
        <v>513</v>
      </c>
      <c r="H62" t="s">
        <v>11</v>
      </c>
      <c r="I62" t="s">
        <v>849</v>
      </c>
      <c r="K62" s="109">
        <v>1508</v>
      </c>
    </row>
    <row r="63" spans="1:11" x14ac:dyDescent="0.2">
      <c r="A63">
        <v>64</v>
      </c>
      <c r="B63" s="2" t="s">
        <v>109</v>
      </c>
      <c r="C63" t="s">
        <v>2727</v>
      </c>
      <c r="D63" s="2"/>
      <c r="E63">
        <v>2</v>
      </c>
      <c r="F63" t="s">
        <v>108</v>
      </c>
      <c r="G63" t="s">
        <v>513</v>
      </c>
      <c r="H63" t="s">
        <v>11</v>
      </c>
      <c r="I63" t="s">
        <v>855</v>
      </c>
      <c r="K63" s="109">
        <v>1508</v>
      </c>
    </row>
    <row r="64" spans="1:11" x14ac:dyDescent="0.2">
      <c r="A64">
        <v>65</v>
      </c>
      <c r="B64" s="2" t="s">
        <v>110</v>
      </c>
      <c r="C64" t="s">
        <v>2778</v>
      </c>
      <c r="D64" s="2"/>
      <c r="E64">
        <v>2</v>
      </c>
      <c r="F64" t="s">
        <v>105</v>
      </c>
      <c r="G64" t="s">
        <v>456</v>
      </c>
      <c r="H64" t="s">
        <v>14</v>
      </c>
      <c r="I64" t="s">
        <v>748</v>
      </c>
      <c r="K64" s="109">
        <v>1015</v>
      </c>
    </row>
    <row r="65" spans="1:11" x14ac:dyDescent="0.2">
      <c r="A65">
        <v>66</v>
      </c>
      <c r="B65" s="2" t="s">
        <v>111</v>
      </c>
      <c r="C65" t="s">
        <v>864</v>
      </c>
      <c r="D65" s="2"/>
      <c r="E65">
        <v>2</v>
      </c>
      <c r="F65" t="s">
        <v>112</v>
      </c>
      <c r="G65" t="s">
        <v>513</v>
      </c>
      <c r="H65" t="s">
        <v>11</v>
      </c>
      <c r="I65" t="s">
        <v>865</v>
      </c>
      <c r="K65" s="109">
        <v>1513</v>
      </c>
    </row>
    <row r="66" spans="1:11" x14ac:dyDescent="0.2">
      <c r="A66">
        <v>67</v>
      </c>
      <c r="B66" s="2" t="s">
        <v>113</v>
      </c>
      <c r="C66" t="s">
        <v>869</v>
      </c>
      <c r="D66" s="2"/>
      <c r="E66">
        <v>2</v>
      </c>
      <c r="F66" t="s">
        <v>112</v>
      </c>
      <c r="G66" t="s">
        <v>513</v>
      </c>
      <c r="H66" t="s">
        <v>11</v>
      </c>
      <c r="I66" t="s">
        <v>870</v>
      </c>
      <c r="K66" s="109">
        <v>1513</v>
      </c>
    </row>
    <row r="67" spans="1:11" x14ac:dyDescent="0.2">
      <c r="A67">
        <v>68</v>
      </c>
      <c r="B67" s="2" t="s">
        <v>114</v>
      </c>
      <c r="C67" t="s">
        <v>2816</v>
      </c>
      <c r="D67" s="2"/>
      <c r="E67">
        <v>2</v>
      </c>
      <c r="F67" t="s">
        <v>115</v>
      </c>
      <c r="G67" t="s">
        <v>513</v>
      </c>
      <c r="H67" t="s">
        <v>11</v>
      </c>
      <c r="I67" t="s">
        <v>877</v>
      </c>
      <c r="K67" s="109">
        <v>1603</v>
      </c>
    </row>
    <row r="68" spans="1:11" x14ac:dyDescent="0.2">
      <c r="A68">
        <v>69</v>
      </c>
      <c r="B68" s="2" t="s">
        <v>116</v>
      </c>
      <c r="C68" t="s">
        <v>2806</v>
      </c>
      <c r="D68" s="2"/>
      <c r="E68">
        <v>2</v>
      </c>
      <c r="F68" t="s">
        <v>101</v>
      </c>
      <c r="G68" t="s">
        <v>456</v>
      </c>
      <c r="H68" t="s">
        <v>14</v>
      </c>
      <c r="I68" t="s">
        <v>736</v>
      </c>
      <c r="K68" s="109">
        <v>1005</v>
      </c>
    </row>
    <row r="69" spans="1:11" x14ac:dyDescent="0.2">
      <c r="A69">
        <v>70</v>
      </c>
      <c r="B69" s="2" t="s">
        <v>117</v>
      </c>
      <c r="C69" t="s">
        <v>2936</v>
      </c>
      <c r="D69" s="2"/>
      <c r="E69">
        <v>2</v>
      </c>
      <c r="F69" t="s">
        <v>115</v>
      </c>
      <c r="G69" t="s">
        <v>513</v>
      </c>
      <c r="H69" t="s">
        <v>11</v>
      </c>
      <c r="I69" t="s">
        <v>885</v>
      </c>
      <c r="K69" s="109">
        <v>1603</v>
      </c>
    </row>
    <row r="70" spans="1:11" x14ac:dyDescent="0.2">
      <c r="A70">
        <v>71</v>
      </c>
      <c r="B70" s="76" t="s">
        <v>118</v>
      </c>
      <c r="C70" s="81" t="s">
        <v>891</v>
      </c>
      <c r="D70" s="2"/>
      <c r="E70">
        <v>2</v>
      </c>
      <c r="F70" t="s">
        <v>119</v>
      </c>
      <c r="G70" t="s">
        <v>513</v>
      </c>
      <c r="H70" t="s">
        <v>11</v>
      </c>
      <c r="I70" t="s">
        <v>892</v>
      </c>
      <c r="K70" s="109">
        <v>1604</v>
      </c>
    </row>
    <row r="71" spans="1:11" x14ac:dyDescent="0.2">
      <c r="A71">
        <v>72</v>
      </c>
      <c r="B71" s="2" t="s">
        <v>120</v>
      </c>
      <c r="C71" t="s">
        <v>726</v>
      </c>
      <c r="D71" s="2"/>
      <c r="E71">
        <v>2</v>
      </c>
      <c r="F71" t="s">
        <v>119</v>
      </c>
      <c r="G71" t="s">
        <v>513</v>
      </c>
      <c r="H71" t="s">
        <v>11</v>
      </c>
      <c r="I71" t="s">
        <v>898</v>
      </c>
      <c r="K71" s="109">
        <v>1604</v>
      </c>
    </row>
    <row r="72" spans="1:11" x14ac:dyDescent="0.2">
      <c r="A72">
        <v>73</v>
      </c>
      <c r="B72" s="2" t="s">
        <v>121</v>
      </c>
      <c r="C72" t="s">
        <v>751</v>
      </c>
      <c r="D72" s="2"/>
      <c r="E72">
        <v>2</v>
      </c>
      <c r="F72" t="s">
        <v>122</v>
      </c>
      <c r="G72" t="s">
        <v>456</v>
      </c>
      <c r="H72" t="s">
        <v>14</v>
      </c>
      <c r="I72" t="s">
        <v>755</v>
      </c>
      <c r="K72" s="109">
        <v>1102</v>
      </c>
    </row>
    <row r="73" spans="1:11" x14ac:dyDescent="0.2">
      <c r="A73">
        <v>74</v>
      </c>
      <c r="B73" t="s">
        <v>123</v>
      </c>
      <c r="C73" t="s">
        <v>900</v>
      </c>
      <c r="E73">
        <v>7</v>
      </c>
      <c r="F73" t="s">
        <v>124</v>
      </c>
      <c r="G73" t="s">
        <v>456</v>
      </c>
      <c r="H73" t="s">
        <v>14</v>
      </c>
      <c r="I73" t="s">
        <v>910</v>
      </c>
      <c r="K73" s="109">
        <v>2111</v>
      </c>
    </row>
    <row r="74" spans="1:11" x14ac:dyDescent="0.2">
      <c r="A74">
        <v>75</v>
      </c>
      <c r="B74" t="s">
        <v>125</v>
      </c>
      <c r="C74" t="s">
        <v>2756</v>
      </c>
      <c r="E74">
        <v>3</v>
      </c>
      <c r="F74" t="s">
        <v>126</v>
      </c>
      <c r="G74" t="s">
        <v>456</v>
      </c>
      <c r="H74" t="s">
        <v>14</v>
      </c>
      <c r="I74" t="s">
        <v>918</v>
      </c>
      <c r="K74" s="109">
        <v>1202</v>
      </c>
    </row>
    <row r="75" spans="1:11" x14ac:dyDescent="0.2">
      <c r="A75">
        <v>76</v>
      </c>
      <c r="B75" t="s">
        <v>127</v>
      </c>
      <c r="C75" t="s">
        <v>2643</v>
      </c>
      <c r="E75">
        <v>3</v>
      </c>
      <c r="F75" t="s">
        <v>128</v>
      </c>
      <c r="G75" t="s">
        <v>513</v>
      </c>
      <c r="H75" t="s">
        <v>11</v>
      </c>
      <c r="I75" t="s">
        <v>925</v>
      </c>
      <c r="K75" s="109">
        <v>1608</v>
      </c>
    </row>
    <row r="76" spans="1:11" x14ac:dyDescent="0.2">
      <c r="A76">
        <v>77</v>
      </c>
      <c r="B76" s="2" t="s">
        <v>129</v>
      </c>
      <c r="C76" t="s">
        <v>2651</v>
      </c>
      <c r="D76" s="2"/>
      <c r="E76">
        <v>3</v>
      </c>
      <c r="F76" t="s">
        <v>130</v>
      </c>
      <c r="G76" t="s">
        <v>513</v>
      </c>
      <c r="H76" t="s">
        <v>11</v>
      </c>
      <c r="I76" t="s">
        <v>932</v>
      </c>
      <c r="K76" s="109">
        <v>1613</v>
      </c>
    </row>
    <row r="77" spans="1:11" x14ac:dyDescent="0.2">
      <c r="A77">
        <v>78</v>
      </c>
      <c r="B77" s="2" t="s">
        <v>131</v>
      </c>
      <c r="C77" t="s">
        <v>2542</v>
      </c>
      <c r="D77" s="2"/>
      <c r="E77">
        <v>3</v>
      </c>
      <c r="F77" t="s">
        <v>130</v>
      </c>
      <c r="G77" t="s">
        <v>513</v>
      </c>
      <c r="H77" t="s">
        <v>11</v>
      </c>
      <c r="I77" t="s">
        <v>938</v>
      </c>
      <c r="K77" s="109">
        <v>1613</v>
      </c>
    </row>
    <row r="78" spans="1:11" x14ac:dyDescent="0.2">
      <c r="A78">
        <v>79</v>
      </c>
      <c r="B78" s="2" t="s">
        <v>132</v>
      </c>
      <c r="C78" t="s">
        <v>919</v>
      </c>
      <c r="D78" s="2"/>
      <c r="E78">
        <v>3</v>
      </c>
      <c r="F78" t="s">
        <v>128</v>
      </c>
      <c r="G78" t="s">
        <v>513</v>
      </c>
      <c r="H78" t="s">
        <v>11</v>
      </c>
      <c r="I78" t="s">
        <v>946</v>
      </c>
      <c r="K78" s="109">
        <v>1608</v>
      </c>
    </row>
    <row r="79" spans="1:11" x14ac:dyDescent="0.2">
      <c r="A79">
        <v>80</v>
      </c>
      <c r="B79" s="2" t="s">
        <v>133</v>
      </c>
      <c r="C79" t="s">
        <v>959</v>
      </c>
      <c r="D79" s="2"/>
      <c r="E79">
        <v>3</v>
      </c>
      <c r="F79" t="s">
        <v>134</v>
      </c>
      <c r="G79" t="s">
        <v>456</v>
      </c>
      <c r="H79" t="s">
        <v>14</v>
      </c>
      <c r="I79" t="s">
        <v>935</v>
      </c>
      <c r="K79" s="109">
        <v>1106</v>
      </c>
    </row>
    <row r="80" spans="1:11" x14ac:dyDescent="0.2">
      <c r="A80">
        <v>81</v>
      </c>
      <c r="B80" t="s">
        <v>135</v>
      </c>
      <c r="C80" t="s">
        <v>2509</v>
      </c>
      <c r="E80">
        <v>4</v>
      </c>
      <c r="F80" t="s">
        <v>136</v>
      </c>
      <c r="G80" t="s">
        <v>513</v>
      </c>
      <c r="H80" t="s">
        <v>11</v>
      </c>
      <c r="I80" t="s">
        <v>958</v>
      </c>
      <c r="K80" s="109">
        <v>2308</v>
      </c>
    </row>
    <row r="81" spans="1:11" x14ac:dyDescent="0.2">
      <c r="A81">
        <v>82</v>
      </c>
      <c r="B81" s="2" t="s">
        <v>137</v>
      </c>
      <c r="C81" t="s">
        <v>2780</v>
      </c>
      <c r="D81" s="2"/>
      <c r="E81">
        <v>7</v>
      </c>
      <c r="F81" t="s">
        <v>138</v>
      </c>
      <c r="G81" t="s">
        <v>456</v>
      </c>
      <c r="H81" t="s">
        <v>14</v>
      </c>
      <c r="I81" t="s">
        <v>965</v>
      </c>
      <c r="K81" s="109">
        <v>2107</v>
      </c>
    </row>
    <row r="82" spans="1:11" x14ac:dyDescent="0.2">
      <c r="A82">
        <v>83</v>
      </c>
      <c r="B82" s="2" t="s">
        <v>139</v>
      </c>
      <c r="C82" t="s">
        <v>2769</v>
      </c>
      <c r="D82" s="2"/>
      <c r="E82">
        <v>3</v>
      </c>
      <c r="F82" t="s">
        <v>140</v>
      </c>
      <c r="G82" t="s">
        <v>513</v>
      </c>
      <c r="H82" t="s">
        <v>11</v>
      </c>
      <c r="I82" t="s">
        <v>973</v>
      </c>
      <c r="K82" s="109">
        <v>1703</v>
      </c>
    </row>
    <row r="83" spans="1:11" x14ac:dyDescent="0.2">
      <c r="A83">
        <v>84</v>
      </c>
      <c r="B83" s="2" t="s">
        <v>141</v>
      </c>
      <c r="C83" t="s">
        <v>2797</v>
      </c>
      <c r="D83" s="2"/>
      <c r="E83">
        <v>3</v>
      </c>
      <c r="F83" t="s">
        <v>142</v>
      </c>
      <c r="G83" t="s">
        <v>513</v>
      </c>
      <c r="H83" t="s">
        <v>11</v>
      </c>
      <c r="I83" t="s">
        <v>978</v>
      </c>
      <c r="K83" s="109">
        <v>1704</v>
      </c>
    </row>
    <row r="84" spans="1:11" x14ac:dyDescent="0.2">
      <c r="A84">
        <v>85</v>
      </c>
      <c r="B84" s="2" t="s">
        <v>143</v>
      </c>
      <c r="C84" t="s">
        <v>2808</v>
      </c>
      <c r="D84" s="2"/>
      <c r="E84">
        <v>3</v>
      </c>
      <c r="F84" t="s">
        <v>142</v>
      </c>
      <c r="G84" t="s">
        <v>513</v>
      </c>
      <c r="H84" t="s">
        <v>11</v>
      </c>
      <c r="I84" t="s">
        <v>983</v>
      </c>
      <c r="K84" s="109">
        <v>1704</v>
      </c>
    </row>
    <row r="85" spans="1:11" x14ac:dyDescent="0.2">
      <c r="A85">
        <v>86</v>
      </c>
      <c r="B85" s="2" t="s">
        <v>144</v>
      </c>
      <c r="C85" t="s">
        <v>2865</v>
      </c>
      <c r="D85" s="2"/>
      <c r="E85">
        <v>3</v>
      </c>
      <c r="F85" t="s">
        <v>13</v>
      </c>
      <c r="G85" t="s">
        <v>456</v>
      </c>
      <c r="H85" t="s">
        <v>14</v>
      </c>
      <c r="I85" t="s">
        <v>907</v>
      </c>
      <c r="K85" s="109" t="s">
        <v>3013</v>
      </c>
    </row>
    <row r="86" spans="1:11" x14ac:dyDescent="0.2">
      <c r="A86">
        <v>87</v>
      </c>
      <c r="B86" s="2" t="s">
        <v>145</v>
      </c>
      <c r="C86" t="s">
        <v>2676</v>
      </c>
      <c r="D86" s="2"/>
      <c r="E86">
        <v>3</v>
      </c>
      <c r="F86" t="s">
        <v>146</v>
      </c>
      <c r="G86" t="s">
        <v>513</v>
      </c>
      <c r="H86" t="s">
        <v>11</v>
      </c>
      <c r="I86" t="s">
        <v>995</v>
      </c>
      <c r="K86" s="109">
        <v>1708</v>
      </c>
    </row>
    <row r="87" spans="1:11" x14ac:dyDescent="0.2">
      <c r="A87">
        <v>88</v>
      </c>
      <c r="B87" s="2" t="s">
        <v>147</v>
      </c>
      <c r="C87" t="s">
        <v>2595</v>
      </c>
      <c r="D87" s="2"/>
      <c r="E87">
        <v>3</v>
      </c>
      <c r="F87" t="s">
        <v>146</v>
      </c>
      <c r="G87" t="s">
        <v>513</v>
      </c>
      <c r="H87" t="s">
        <v>11</v>
      </c>
      <c r="I87" t="s">
        <v>1002</v>
      </c>
      <c r="K87" s="109">
        <v>1708</v>
      </c>
    </row>
    <row r="88" spans="1:11" x14ac:dyDescent="0.2">
      <c r="A88">
        <v>89</v>
      </c>
      <c r="B88" s="2" t="s">
        <v>148</v>
      </c>
      <c r="C88" t="s">
        <v>2607</v>
      </c>
      <c r="D88" s="2"/>
      <c r="E88">
        <v>3</v>
      </c>
      <c r="F88" t="s">
        <v>126</v>
      </c>
      <c r="G88" t="s">
        <v>456</v>
      </c>
      <c r="H88" t="s">
        <v>14</v>
      </c>
      <c r="I88" t="s">
        <v>992</v>
      </c>
      <c r="K88" s="109">
        <v>1202</v>
      </c>
    </row>
    <row r="89" spans="1:11" x14ac:dyDescent="0.2">
      <c r="A89">
        <v>90</v>
      </c>
      <c r="B89" s="2" t="s">
        <v>149</v>
      </c>
      <c r="C89" t="s">
        <v>2830</v>
      </c>
      <c r="D89" s="2"/>
      <c r="E89">
        <v>3</v>
      </c>
      <c r="F89" t="s">
        <v>150</v>
      </c>
      <c r="G89" t="s">
        <v>513</v>
      </c>
      <c r="H89" t="s">
        <v>11</v>
      </c>
      <c r="I89" t="s">
        <v>1012</v>
      </c>
      <c r="K89" s="109">
        <v>1713</v>
      </c>
    </row>
    <row r="90" spans="1:11" ht="48" x14ac:dyDescent="0.2">
      <c r="A90">
        <v>91</v>
      </c>
      <c r="B90" s="2" t="s">
        <v>151</v>
      </c>
      <c r="C90" t="s">
        <v>2541</v>
      </c>
      <c r="D90" s="3" t="s">
        <v>152</v>
      </c>
      <c r="E90">
        <v>3</v>
      </c>
      <c r="F90" t="s">
        <v>153</v>
      </c>
      <c r="G90" t="s">
        <v>513</v>
      </c>
      <c r="H90" t="s">
        <v>11</v>
      </c>
      <c r="I90" t="s">
        <v>1017</v>
      </c>
      <c r="K90" s="109">
        <v>1808</v>
      </c>
    </row>
    <row r="91" spans="1:11" x14ac:dyDescent="0.2">
      <c r="A91">
        <v>92</v>
      </c>
      <c r="B91" s="2" t="s">
        <v>154</v>
      </c>
      <c r="C91" t="s">
        <v>2939</v>
      </c>
      <c r="D91" s="2" t="s">
        <v>155</v>
      </c>
      <c r="E91">
        <v>3</v>
      </c>
      <c r="F91" t="s">
        <v>156</v>
      </c>
      <c r="G91" t="s">
        <v>513</v>
      </c>
      <c r="H91" t="s">
        <v>14</v>
      </c>
      <c r="I91" t="s">
        <v>962</v>
      </c>
      <c r="K91" s="109">
        <v>1115</v>
      </c>
    </row>
    <row r="92" spans="1:11" x14ac:dyDescent="0.2">
      <c r="A92">
        <v>93</v>
      </c>
      <c r="B92" s="2" t="s">
        <v>157</v>
      </c>
      <c r="C92" t="s">
        <v>2534</v>
      </c>
      <c r="D92" s="2"/>
      <c r="E92">
        <v>4</v>
      </c>
      <c r="F92" t="s">
        <v>158</v>
      </c>
      <c r="G92" t="s">
        <v>513</v>
      </c>
      <c r="H92" t="s">
        <v>11</v>
      </c>
      <c r="I92" t="s">
        <v>1029</v>
      </c>
      <c r="K92" s="109">
        <v>2303</v>
      </c>
    </row>
    <row r="93" spans="1:11" x14ac:dyDescent="0.2">
      <c r="A93">
        <v>94</v>
      </c>
      <c r="B93" s="2" t="s">
        <v>159</v>
      </c>
      <c r="C93" t="s">
        <v>2535</v>
      </c>
      <c r="D93" s="2" t="s">
        <v>160</v>
      </c>
      <c r="E93">
        <v>3</v>
      </c>
      <c r="F93" t="s">
        <v>161</v>
      </c>
      <c r="G93" t="s">
        <v>513</v>
      </c>
      <c r="H93" t="s">
        <v>11</v>
      </c>
      <c r="I93" t="s">
        <v>1036</v>
      </c>
      <c r="K93" s="109">
        <v>1813</v>
      </c>
    </row>
    <row r="94" spans="1:11" x14ac:dyDescent="0.2">
      <c r="A94">
        <v>95</v>
      </c>
      <c r="B94" s="2" t="s">
        <v>162</v>
      </c>
      <c r="C94" t="s">
        <v>2536</v>
      </c>
      <c r="D94" s="2"/>
      <c r="E94">
        <v>3</v>
      </c>
      <c r="F94" t="s">
        <v>163</v>
      </c>
      <c r="G94" t="s">
        <v>513</v>
      </c>
      <c r="H94" t="s">
        <v>11</v>
      </c>
      <c r="I94" t="s">
        <v>1040</v>
      </c>
      <c r="K94" s="109">
        <v>1803</v>
      </c>
    </row>
    <row r="95" spans="1:11" x14ac:dyDescent="0.2">
      <c r="A95">
        <v>96</v>
      </c>
      <c r="B95" s="2" t="s">
        <v>164</v>
      </c>
      <c r="C95" t="s">
        <v>2742</v>
      </c>
      <c r="D95" s="2"/>
      <c r="E95">
        <v>3</v>
      </c>
      <c r="F95" t="s">
        <v>163</v>
      </c>
      <c r="G95" t="s">
        <v>513</v>
      </c>
      <c r="H95" t="s">
        <v>11</v>
      </c>
      <c r="I95" t="s">
        <v>1046</v>
      </c>
      <c r="K95" s="109">
        <v>1803</v>
      </c>
    </row>
    <row r="96" spans="1:11" x14ac:dyDescent="0.2">
      <c r="A96">
        <v>97</v>
      </c>
      <c r="B96" s="2" t="s">
        <v>165</v>
      </c>
      <c r="C96" t="s">
        <v>2520</v>
      </c>
      <c r="D96" s="2" t="s">
        <v>166</v>
      </c>
      <c r="E96">
        <v>3</v>
      </c>
      <c r="F96" t="s">
        <v>167</v>
      </c>
      <c r="G96" t="s">
        <v>513</v>
      </c>
      <c r="H96" t="s">
        <v>14</v>
      </c>
      <c r="I96" t="s">
        <v>969</v>
      </c>
      <c r="K96" s="109">
        <v>1201</v>
      </c>
    </row>
    <row r="97" spans="1:11" x14ac:dyDescent="0.2">
      <c r="A97">
        <v>98</v>
      </c>
      <c r="B97" s="2" t="s">
        <v>168</v>
      </c>
      <c r="C97" t="s">
        <v>2521</v>
      </c>
      <c r="D97" s="2"/>
      <c r="E97">
        <v>3</v>
      </c>
      <c r="F97" t="s">
        <v>169</v>
      </c>
      <c r="G97" t="s">
        <v>513</v>
      </c>
      <c r="H97" t="s">
        <v>11</v>
      </c>
      <c r="I97" t="s">
        <v>1057</v>
      </c>
      <c r="K97" s="109">
        <v>1804</v>
      </c>
    </row>
    <row r="98" spans="1:11" x14ac:dyDescent="0.2">
      <c r="A98">
        <v>99</v>
      </c>
      <c r="B98" s="2" t="s">
        <v>170</v>
      </c>
      <c r="C98" t="s">
        <v>2554</v>
      </c>
      <c r="D98" s="2" t="s">
        <v>171</v>
      </c>
      <c r="E98">
        <v>3</v>
      </c>
      <c r="F98" t="s">
        <v>172</v>
      </c>
      <c r="G98" t="s">
        <v>456</v>
      </c>
      <c r="H98" t="s">
        <v>14</v>
      </c>
      <c r="I98" t="s">
        <v>922</v>
      </c>
      <c r="K98" s="109">
        <v>1105</v>
      </c>
    </row>
    <row r="99" spans="1:11" x14ac:dyDescent="0.2">
      <c r="A99">
        <v>100</v>
      </c>
      <c r="B99" s="2" t="s">
        <v>173</v>
      </c>
      <c r="C99" t="s">
        <v>2504</v>
      </c>
      <c r="D99" s="2"/>
      <c r="E99">
        <v>3</v>
      </c>
      <c r="F99" t="s">
        <v>169</v>
      </c>
      <c r="G99" t="s">
        <v>513</v>
      </c>
      <c r="H99" t="s">
        <v>11</v>
      </c>
      <c r="I99" t="s">
        <v>1067</v>
      </c>
      <c r="K99" s="109">
        <v>1804</v>
      </c>
    </row>
    <row r="100" spans="1:11" x14ac:dyDescent="0.2">
      <c r="A100">
        <v>101</v>
      </c>
      <c r="B100" s="2" t="s">
        <v>174</v>
      </c>
      <c r="C100" t="s">
        <v>2493</v>
      </c>
      <c r="D100" s="2" t="s">
        <v>175</v>
      </c>
      <c r="E100">
        <v>3</v>
      </c>
      <c r="F100" t="s">
        <v>176</v>
      </c>
      <c r="G100" t="s">
        <v>513</v>
      </c>
      <c r="H100" t="s">
        <v>14</v>
      </c>
      <c r="I100" t="s">
        <v>949</v>
      </c>
      <c r="K100" s="109">
        <v>1111</v>
      </c>
    </row>
    <row r="101" spans="1:11" x14ac:dyDescent="0.2">
      <c r="A101">
        <v>102</v>
      </c>
      <c r="B101" s="2" t="s">
        <v>177</v>
      </c>
      <c r="C101" t="s">
        <v>2723</v>
      </c>
      <c r="D101" s="2"/>
      <c r="E101">
        <v>4</v>
      </c>
      <c r="F101" t="s">
        <v>178</v>
      </c>
      <c r="G101" t="s">
        <v>513</v>
      </c>
      <c r="H101" t="s">
        <v>11</v>
      </c>
      <c r="I101" t="s">
        <v>1076</v>
      </c>
      <c r="K101" s="109">
        <v>1903</v>
      </c>
    </row>
    <row r="102" spans="1:11" x14ac:dyDescent="0.2">
      <c r="A102">
        <v>103</v>
      </c>
      <c r="B102" s="2" t="s">
        <v>179</v>
      </c>
      <c r="C102" t="s">
        <v>2860</v>
      </c>
      <c r="D102" s="2"/>
      <c r="E102">
        <v>4</v>
      </c>
      <c r="F102" t="s">
        <v>178</v>
      </c>
      <c r="G102" t="s">
        <v>513</v>
      </c>
      <c r="H102" t="s">
        <v>11</v>
      </c>
      <c r="I102" t="s">
        <v>1082</v>
      </c>
      <c r="K102" s="109">
        <v>1903</v>
      </c>
    </row>
    <row r="103" spans="1:11" x14ac:dyDescent="0.2">
      <c r="A103">
        <v>104</v>
      </c>
      <c r="B103" s="2" t="s">
        <v>180</v>
      </c>
      <c r="C103" t="s">
        <v>2809</v>
      </c>
      <c r="D103" s="2"/>
      <c r="E103">
        <v>4</v>
      </c>
      <c r="F103" t="s">
        <v>181</v>
      </c>
      <c r="G103" t="s">
        <v>513</v>
      </c>
      <c r="H103" t="s">
        <v>11</v>
      </c>
      <c r="I103" t="s">
        <v>1089</v>
      </c>
      <c r="K103" s="109">
        <v>1904</v>
      </c>
    </row>
    <row r="104" spans="1:11" x14ac:dyDescent="0.2">
      <c r="A104">
        <v>105</v>
      </c>
      <c r="B104" s="2" t="s">
        <v>182</v>
      </c>
      <c r="C104" t="s">
        <v>2772</v>
      </c>
      <c r="D104" s="2"/>
      <c r="E104">
        <v>4</v>
      </c>
      <c r="F104" t="s">
        <v>181</v>
      </c>
      <c r="G104" t="s">
        <v>513</v>
      </c>
      <c r="H104" t="s">
        <v>11</v>
      </c>
      <c r="I104" t="s">
        <v>1094</v>
      </c>
      <c r="K104" s="109">
        <v>1904</v>
      </c>
    </row>
    <row r="105" spans="1:11" x14ac:dyDescent="0.2">
      <c r="A105">
        <v>106</v>
      </c>
      <c r="B105" s="2" t="s">
        <v>183</v>
      </c>
      <c r="C105" t="s">
        <v>2942</v>
      </c>
      <c r="D105" s="2"/>
      <c r="E105">
        <v>4</v>
      </c>
      <c r="F105" t="s">
        <v>184</v>
      </c>
      <c r="G105" t="s">
        <v>513</v>
      </c>
      <c r="H105" t="s">
        <v>11</v>
      </c>
      <c r="I105" t="s">
        <v>1100</v>
      </c>
      <c r="K105" s="109">
        <v>1908</v>
      </c>
    </row>
    <row r="106" spans="1:11" x14ac:dyDescent="0.2">
      <c r="A106">
        <v>107</v>
      </c>
      <c r="B106" s="2" t="s">
        <v>185</v>
      </c>
      <c r="C106" t="s">
        <v>2952</v>
      </c>
      <c r="D106" s="2"/>
      <c r="E106">
        <v>4</v>
      </c>
      <c r="F106" t="s">
        <v>184</v>
      </c>
      <c r="G106" t="s">
        <v>513</v>
      </c>
      <c r="H106" t="s">
        <v>11</v>
      </c>
      <c r="I106" t="s">
        <v>1105</v>
      </c>
      <c r="K106" s="109">
        <v>1908</v>
      </c>
    </row>
    <row r="107" spans="1:11" x14ac:dyDescent="0.2">
      <c r="A107" s="106">
        <v>108</v>
      </c>
      <c r="B107" s="107" t="s">
        <v>186</v>
      </c>
      <c r="C107" s="106" t="s">
        <v>2927</v>
      </c>
      <c r="D107" s="107"/>
      <c r="E107" s="106">
        <v>4</v>
      </c>
      <c r="F107" s="106" t="s">
        <v>10</v>
      </c>
      <c r="G107" s="106" t="s">
        <v>456</v>
      </c>
      <c r="H107" s="106" t="s">
        <v>11</v>
      </c>
      <c r="I107" s="106" t="s">
        <v>1112</v>
      </c>
      <c r="J107" s="106" t="s">
        <v>3008</v>
      </c>
      <c r="K107" s="109">
        <v>1203</v>
      </c>
    </row>
    <row r="108" spans="1:11" x14ac:dyDescent="0.2">
      <c r="A108">
        <v>109</v>
      </c>
      <c r="B108" s="2" t="s">
        <v>187</v>
      </c>
      <c r="C108" t="s">
        <v>1123</v>
      </c>
      <c r="D108" s="2"/>
      <c r="E108">
        <v>4</v>
      </c>
      <c r="F108" t="s">
        <v>122</v>
      </c>
      <c r="G108" t="s">
        <v>456</v>
      </c>
      <c r="H108" t="s">
        <v>14</v>
      </c>
      <c r="I108" t="s">
        <v>1116</v>
      </c>
      <c r="K108" s="109">
        <v>1102</v>
      </c>
    </row>
    <row r="109" spans="1:11" x14ac:dyDescent="0.2">
      <c r="A109">
        <v>110</v>
      </c>
      <c r="B109" s="2" t="s">
        <v>188</v>
      </c>
      <c r="C109" t="s">
        <v>2734</v>
      </c>
      <c r="D109" s="2"/>
      <c r="E109">
        <v>4</v>
      </c>
      <c r="F109" t="s">
        <v>189</v>
      </c>
      <c r="G109" t="s">
        <v>513</v>
      </c>
      <c r="H109" t="s">
        <v>11</v>
      </c>
      <c r="I109" t="s">
        <v>1122</v>
      </c>
      <c r="K109" s="109">
        <v>1913</v>
      </c>
    </row>
    <row r="110" spans="1:11" x14ac:dyDescent="0.2">
      <c r="A110">
        <v>111</v>
      </c>
      <c r="B110" s="2" t="s">
        <v>190</v>
      </c>
      <c r="C110" t="s">
        <v>2719</v>
      </c>
      <c r="D110" s="2"/>
      <c r="E110">
        <v>4</v>
      </c>
      <c r="F110" t="s">
        <v>189</v>
      </c>
      <c r="G110" t="s">
        <v>513</v>
      </c>
      <c r="H110" t="s">
        <v>11</v>
      </c>
      <c r="I110" t="s">
        <v>1128</v>
      </c>
      <c r="K110" s="109">
        <v>1913</v>
      </c>
    </row>
    <row r="111" spans="1:11" x14ac:dyDescent="0.2">
      <c r="A111" s="106">
        <v>112</v>
      </c>
      <c r="B111" s="107" t="s">
        <v>191</v>
      </c>
      <c r="C111" s="106" t="s">
        <v>2543</v>
      </c>
      <c r="D111" s="107"/>
      <c r="E111" s="106" t="s">
        <v>192</v>
      </c>
      <c r="F111" s="106" t="s">
        <v>193</v>
      </c>
      <c r="G111" s="106" t="s">
        <v>513</v>
      </c>
      <c r="H111" s="106" t="s">
        <v>11</v>
      </c>
      <c r="I111" s="106" t="s">
        <v>1136</v>
      </c>
      <c r="J111" s="106" t="s">
        <v>3010</v>
      </c>
      <c r="K111" s="109">
        <v>3003</v>
      </c>
    </row>
    <row r="112" spans="1:11" x14ac:dyDescent="0.2">
      <c r="A112" s="106">
        <v>113</v>
      </c>
      <c r="B112" s="107" t="s">
        <v>194</v>
      </c>
      <c r="C112" s="106" t="s">
        <v>2891</v>
      </c>
      <c r="D112" s="107"/>
      <c r="E112" s="106" t="s">
        <v>192</v>
      </c>
      <c r="F112" s="106" t="s">
        <v>193</v>
      </c>
      <c r="G112" s="106" t="s">
        <v>513</v>
      </c>
      <c r="H112" s="106" t="s">
        <v>11</v>
      </c>
      <c r="I112" s="106" t="s">
        <v>1142</v>
      </c>
      <c r="J112" s="106" t="s">
        <v>3010</v>
      </c>
      <c r="K112" s="109">
        <v>3003</v>
      </c>
    </row>
    <row r="113" spans="1:11" x14ac:dyDescent="0.2">
      <c r="A113">
        <v>114</v>
      </c>
      <c r="B113" s="2" t="s">
        <v>195</v>
      </c>
      <c r="C113" t="s">
        <v>2900</v>
      </c>
      <c r="D113" s="2"/>
      <c r="E113">
        <v>7</v>
      </c>
      <c r="F113" t="s">
        <v>196</v>
      </c>
      <c r="G113" t="s">
        <v>456</v>
      </c>
      <c r="H113" t="s">
        <v>14</v>
      </c>
      <c r="I113" t="s">
        <v>1149</v>
      </c>
      <c r="K113" s="109">
        <v>2207</v>
      </c>
    </row>
    <row r="114" spans="1:11" x14ac:dyDescent="0.2">
      <c r="A114">
        <v>115</v>
      </c>
      <c r="B114" s="2" t="s">
        <v>197</v>
      </c>
      <c r="C114" t="s">
        <v>2819</v>
      </c>
      <c r="D114" s="2"/>
      <c r="E114">
        <v>4</v>
      </c>
      <c r="F114" t="s">
        <v>198</v>
      </c>
      <c r="G114" t="s">
        <v>513</v>
      </c>
      <c r="H114" t="s">
        <v>11</v>
      </c>
      <c r="I114" t="s">
        <v>1156</v>
      </c>
      <c r="K114" s="109">
        <v>2003</v>
      </c>
    </row>
    <row r="115" spans="1:11" x14ac:dyDescent="0.2">
      <c r="A115">
        <v>116</v>
      </c>
      <c r="B115" s="2" t="s">
        <v>199</v>
      </c>
      <c r="C115" t="s">
        <v>2835</v>
      </c>
      <c r="D115" s="2"/>
      <c r="E115">
        <v>4</v>
      </c>
      <c r="F115" t="s">
        <v>198</v>
      </c>
      <c r="G115" t="s">
        <v>513</v>
      </c>
      <c r="H115" t="s">
        <v>11</v>
      </c>
      <c r="I115" t="s">
        <v>1164</v>
      </c>
      <c r="K115" s="109">
        <v>2003</v>
      </c>
    </row>
    <row r="116" spans="1:11" x14ac:dyDescent="0.2">
      <c r="A116">
        <v>117</v>
      </c>
      <c r="B116" s="2" t="s">
        <v>200</v>
      </c>
      <c r="C116" t="s">
        <v>2882</v>
      </c>
      <c r="D116" s="2"/>
      <c r="E116">
        <v>4</v>
      </c>
      <c r="F116" t="s">
        <v>201</v>
      </c>
      <c r="G116" t="s">
        <v>513</v>
      </c>
      <c r="H116" t="s">
        <v>11</v>
      </c>
      <c r="I116" t="s">
        <v>1171</v>
      </c>
      <c r="K116" s="109">
        <v>2103</v>
      </c>
    </row>
    <row r="117" spans="1:11" x14ac:dyDescent="0.2">
      <c r="A117">
        <v>118</v>
      </c>
      <c r="B117" s="2" t="s">
        <v>202</v>
      </c>
      <c r="C117" t="s">
        <v>2933</v>
      </c>
      <c r="D117" s="2"/>
      <c r="E117">
        <v>4</v>
      </c>
      <c r="F117" t="s">
        <v>201</v>
      </c>
      <c r="G117" t="s">
        <v>513</v>
      </c>
      <c r="H117" t="s">
        <v>11</v>
      </c>
      <c r="I117" t="s">
        <v>1177</v>
      </c>
      <c r="K117" s="109">
        <v>2103</v>
      </c>
    </row>
    <row r="118" spans="1:11" x14ac:dyDescent="0.2">
      <c r="A118">
        <v>119</v>
      </c>
      <c r="B118" s="2" t="s">
        <v>203</v>
      </c>
      <c r="C118" t="s">
        <v>2953</v>
      </c>
      <c r="D118" s="2"/>
      <c r="E118">
        <v>4</v>
      </c>
      <c r="F118" t="s">
        <v>204</v>
      </c>
      <c r="G118" t="s">
        <v>513</v>
      </c>
      <c r="H118" t="s">
        <v>11</v>
      </c>
      <c r="I118" t="s">
        <v>1182</v>
      </c>
      <c r="K118" s="109">
        <v>2213</v>
      </c>
    </row>
    <row r="119" spans="1:11" x14ac:dyDescent="0.2">
      <c r="A119">
        <v>120</v>
      </c>
      <c r="B119" s="2" t="s">
        <v>205</v>
      </c>
      <c r="C119" t="s">
        <v>2666</v>
      </c>
      <c r="D119" s="2"/>
      <c r="E119">
        <v>4</v>
      </c>
      <c r="F119" t="s">
        <v>206</v>
      </c>
      <c r="G119" t="s">
        <v>513</v>
      </c>
      <c r="H119" t="s">
        <v>11</v>
      </c>
      <c r="I119" t="s">
        <v>1191</v>
      </c>
      <c r="K119" s="109">
        <v>2113</v>
      </c>
    </row>
    <row r="120" spans="1:11" x14ac:dyDescent="0.2">
      <c r="A120">
        <v>121</v>
      </c>
      <c r="B120" s="2" t="s">
        <v>207</v>
      </c>
      <c r="C120" t="s">
        <v>2511</v>
      </c>
      <c r="D120" s="2" t="s">
        <v>208</v>
      </c>
      <c r="E120">
        <v>4</v>
      </c>
      <c r="F120" t="s">
        <v>209</v>
      </c>
      <c r="G120" t="s">
        <v>513</v>
      </c>
      <c r="H120" t="s">
        <v>14</v>
      </c>
      <c r="I120" t="s">
        <v>1174</v>
      </c>
      <c r="K120" s="109">
        <v>1215</v>
      </c>
    </row>
    <row r="121" spans="1:11" x14ac:dyDescent="0.2">
      <c r="A121">
        <v>122</v>
      </c>
      <c r="B121" s="2" t="s">
        <v>210</v>
      </c>
      <c r="C121" t="s">
        <v>2544</v>
      </c>
      <c r="D121" s="2"/>
      <c r="E121">
        <v>4</v>
      </c>
      <c r="F121" t="s">
        <v>211</v>
      </c>
      <c r="G121" t="s">
        <v>456</v>
      </c>
      <c r="H121" t="s">
        <v>14</v>
      </c>
      <c r="I121" t="s">
        <v>1146</v>
      </c>
      <c r="K121" s="109">
        <v>1206</v>
      </c>
    </row>
    <row r="122" spans="1:11" x14ac:dyDescent="0.2">
      <c r="A122">
        <v>123</v>
      </c>
      <c r="B122" s="2" t="s">
        <v>212</v>
      </c>
      <c r="C122" t="s">
        <v>2931</v>
      </c>
      <c r="D122" s="2"/>
      <c r="E122">
        <v>3</v>
      </c>
      <c r="F122" t="s">
        <v>150</v>
      </c>
      <c r="G122" t="s">
        <v>513</v>
      </c>
      <c r="H122" t="s">
        <v>11</v>
      </c>
      <c r="I122" t="s">
        <v>1054</v>
      </c>
      <c r="K122" s="109">
        <v>1713</v>
      </c>
    </row>
    <row r="123" spans="1:11" x14ac:dyDescent="0.2">
      <c r="A123">
        <v>124</v>
      </c>
      <c r="B123" s="2" t="s">
        <v>213</v>
      </c>
      <c r="C123" t="s">
        <v>2637</v>
      </c>
      <c r="D123" s="2"/>
      <c r="E123">
        <v>4</v>
      </c>
      <c r="F123" t="s">
        <v>158</v>
      </c>
      <c r="G123" t="s">
        <v>513</v>
      </c>
      <c r="H123" t="s">
        <v>11</v>
      </c>
      <c r="I123" t="s">
        <v>1211</v>
      </c>
      <c r="K123" s="109">
        <v>2303</v>
      </c>
    </row>
    <row r="124" spans="1:11" x14ac:dyDescent="0.2">
      <c r="A124">
        <v>125</v>
      </c>
      <c r="B124" s="2" t="s">
        <v>214</v>
      </c>
      <c r="C124" t="s">
        <v>2533</v>
      </c>
      <c r="D124" s="2"/>
      <c r="E124">
        <v>4</v>
      </c>
      <c r="F124" t="s">
        <v>136</v>
      </c>
      <c r="G124" t="s">
        <v>513</v>
      </c>
      <c r="H124" t="s">
        <v>11</v>
      </c>
      <c r="I124" t="s">
        <v>1217</v>
      </c>
      <c r="K124" s="109">
        <v>2308</v>
      </c>
    </row>
    <row r="125" spans="1:11" x14ac:dyDescent="0.2">
      <c r="A125">
        <v>126</v>
      </c>
      <c r="B125" s="2" t="s">
        <v>215</v>
      </c>
      <c r="C125" t="s">
        <v>2748</v>
      </c>
      <c r="D125" s="2"/>
      <c r="E125">
        <v>4</v>
      </c>
      <c r="F125" t="s">
        <v>216</v>
      </c>
      <c r="G125" t="s">
        <v>513</v>
      </c>
      <c r="H125" t="s">
        <v>11</v>
      </c>
      <c r="I125" t="s">
        <v>1222</v>
      </c>
      <c r="K125" s="109">
        <v>2313</v>
      </c>
    </row>
    <row r="126" spans="1:11" x14ac:dyDescent="0.2">
      <c r="A126">
        <v>127</v>
      </c>
      <c r="B126" s="2" t="s">
        <v>217</v>
      </c>
      <c r="C126" t="s">
        <v>2795</v>
      </c>
      <c r="D126" s="2"/>
      <c r="E126">
        <v>3</v>
      </c>
      <c r="F126" t="s">
        <v>140</v>
      </c>
      <c r="G126" t="s">
        <v>513</v>
      </c>
      <c r="H126" t="s">
        <v>11</v>
      </c>
      <c r="I126" t="s">
        <v>1022</v>
      </c>
      <c r="K126" s="109">
        <v>1703</v>
      </c>
    </row>
    <row r="127" spans="1:11" x14ac:dyDescent="0.2">
      <c r="A127">
        <v>128</v>
      </c>
      <c r="B127" s="76" t="s">
        <v>218</v>
      </c>
      <c r="C127" s="81" t="s">
        <v>1231</v>
      </c>
      <c r="D127" s="2"/>
      <c r="E127">
        <v>3</v>
      </c>
      <c r="F127" t="s">
        <v>134</v>
      </c>
      <c r="G127" t="s">
        <v>456</v>
      </c>
      <c r="H127" t="s">
        <v>14</v>
      </c>
      <c r="I127" t="s">
        <v>929</v>
      </c>
      <c r="K127" s="109">
        <v>1106</v>
      </c>
    </row>
    <row r="128" spans="1:11" x14ac:dyDescent="0.2">
      <c r="A128">
        <v>129</v>
      </c>
      <c r="B128" s="2" t="s">
        <v>219</v>
      </c>
      <c r="C128" t="s">
        <v>1236</v>
      </c>
      <c r="D128" s="2"/>
      <c r="E128">
        <v>4</v>
      </c>
      <c r="F128" t="s">
        <v>216</v>
      </c>
      <c r="G128" t="s">
        <v>513</v>
      </c>
      <c r="H128" t="s">
        <v>11</v>
      </c>
      <c r="I128" t="s">
        <v>1237</v>
      </c>
      <c r="K128" s="109">
        <v>2313</v>
      </c>
    </row>
    <row r="129" spans="1:11" x14ac:dyDescent="0.2">
      <c r="A129">
        <v>130</v>
      </c>
      <c r="B129" s="2" t="s">
        <v>220</v>
      </c>
      <c r="C129" s="5" t="s">
        <v>1241</v>
      </c>
      <c r="D129" s="2"/>
      <c r="E129">
        <v>4</v>
      </c>
      <c r="F129">
        <v>101</v>
      </c>
      <c r="G129" t="s">
        <v>456</v>
      </c>
      <c r="H129" t="s">
        <v>14</v>
      </c>
      <c r="I129" t="s">
        <v>1187</v>
      </c>
      <c r="K129" s="109">
        <v>1405</v>
      </c>
    </row>
    <row r="130" spans="1:11" x14ac:dyDescent="0.2">
      <c r="A130">
        <v>131</v>
      </c>
      <c r="B130" t="s">
        <v>221</v>
      </c>
      <c r="C130" t="s">
        <v>2572</v>
      </c>
      <c r="D130" s="21" t="s">
        <v>222</v>
      </c>
      <c r="E130">
        <v>4</v>
      </c>
      <c r="F130" t="s">
        <v>223</v>
      </c>
      <c r="G130" t="s">
        <v>513</v>
      </c>
      <c r="H130" t="s">
        <v>14</v>
      </c>
      <c r="I130" t="s">
        <v>1132</v>
      </c>
      <c r="K130" s="109">
        <v>1205</v>
      </c>
    </row>
    <row r="131" spans="1:11" x14ac:dyDescent="0.2">
      <c r="A131">
        <v>133</v>
      </c>
      <c r="B131" s="2" t="s">
        <v>224</v>
      </c>
      <c r="C131" t="s">
        <v>2573</v>
      </c>
      <c r="D131" s="2"/>
      <c r="E131">
        <v>4</v>
      </c>
      <c r="F131" t="s">
        <v>204</v>
      </c>
      <c r="G131" t="s">
        <v>513</v>
      </c>
      <c r="H131" t="s">
        <v>11</v>
      </c>
      <c r="I131" t="s">
        <v>1265</v>
      </c>
      <c r="K131" s="109">
        <v>2213</v>
      </c>
    </row>
    <row r="132" spans="1:11" x14ac:dyDescent="0.2">
      <c r="A132">
        <v>134</v>
      </c>
      <c r="B132" s="2" t="s">
        <v>225</v>
      </c>
      <c r="C132" t="s">
        <v>1117</v>
      </c>
      <c r="D132" s="2"/>
      <c r="E132">
        <v>4</v>
      </c>
      <c r="F132" t="s">
        <v>226</v>
      </c>
      <c r="G132" t="s">
        <v>513</v>
      </c>
      <c r="H132" t="s">
        <v>14</v>
      </c>
      <c r="I132" t="s">
        <v>1160</v>
      </c>
      <c r="K132" s="109">
        <v>1211</v>
      </c>
    </row>
    <row r="133" spans="1:11" x14ac:dyDescent="0.2">
      <c r="A133">
        <v>135</v>
      </c>
      <c r="B133" t="s">
        <v>227</v>
      </c>
      <c r="C133" s="5" t="s">
        <v>2553</v>
      </c>
      <c r="E133">
        <v>5</v>
      </c>
      <c r="F133">
        <v>101</v>
      </c>
      <c r="G133" t="s">
        <v>456</v>
      </c>
      <c r="H133" t="s">
        <v>14</v>
      </c>
      <c r="I133" t="s">
        <v>1282</v>
      </c>
      <c r="K133" s="109">
        <v>1405</v>
      </c>
    </row>
    <row r="134" spans="1:11" x14ac:dyDescent="0.2">
      <c r="A134">
        <v>136</v>
      </c>
      <c r="B134" s="2" t="s">
        <v>228</v>
      </c>
      <c r="C134" t="s">
        <v>2752</v>
      </c>
      <c r="D134" s="2"/>
      <c r="E134">
        <v>5</v>
      </c>
      <c r="F134" t="s">
        <v>229</v>
      </c>
      <c r="G134" t="s">
        <v>456</v>
      </c>
      <c r="H134" t="s">
        <v>14</v>
      </c>
      <c r="I134" t="s">
        <v>1291</v>
      </c>
      <c r="K134" s="109">
        <v>1411</v>
      </c>
    </row>
    <row r="135" spans="1:11" x14ac:dyDescent="0.2">
      <c r="A135">
        <v>137</v>
      </c>
      <c r="B135" s="2" t="s">
        <v>230</v>
      </c>
      <c r="C135" t="s">
        <v>2963</v>
      </c>
      <c r="D135" s="2"/>
      <c r="E135">
        <v>5</v>
      </c>
      <c r="F135">
        <v>109</v>
      </c>
      <c r="G135" t="s">
        <v>513</v>
      </c>
      <c r="H135" t="s">
        <v>11</v>
      </c>
      <c r="I135" t="s">
        <v>1299</v>
      </c>
      <c r="K135" s="109">
        <v>2603</v>
      </c>
    </row>
    <row r="136" spans="1:11" x14ac:dyDescent="0.2">
      <c r="A136">
        <v>138</v>
      </c>
      <c r="B136" s="2" t="s">
        <v>231</v>
      </c>
      <c r="C136" t="s">
        <v>2962</v>
      </c>
      <c r="D136" s="2"/>
      <c r="E136">
        <v>5</v>
      </c>
      <c r="F136" t="s">
        <v>229</v>
      </c>
      <c r="G136" t="s">
        <v>456</v>
      </c>
      <c r="H136" t="s">
        <v>14</v>
      </c>
      <c r="I136" t="s">
        <v>1305</v>
      </c>
      <c r="K136" s="109">
        <v>1411</v>
      </c>
    </row>
    <row r="137" spans="1:11" x14ac:dyDescent="0.2">
      <c r="A137">
        <v>139</v>
      </c>
      <c r="B137" s="2" t="s">
        <v>232</v>
      </c>
      <c r="C137" t="s">
        <v>2811</v>
      </c>
      <c r="D137" s="2"/>
      <c r="E137">
        <v>5</v>
      </c>
      <c r="F137" t="s">
        <v>233</v>
      </c>
      <c r="G137" t="s">
        <v>456</v>
      </c>
      <c r="H137" t="s">
        <v>14</v>
      </c>
      <c r="I137" t="s">
        <v>1311</v>
      </c>
      <c r="K137" s="109">
        <v>1410</v>
      </c>
    </row>
    <row r="138" spans="1:11" x14ac:dyDescent="0.2">
      <c r="A138">
        <v>140</v>
      </c>
      <c r="B138" s="2" t="s">
        <v>234</v>
      </c>
      <c r="C138" t="s">
        <v>2964</v>
      </c>
      <c r="D138" s="2"/>
      <c r="E138">
        <v>5</v>
      </c>
      <c r="F138" t="s">
        <v>233</v>
      </c>
      <c r="G138" t="s">
        <v>456</v>
      </c>
      <c r="H138" t="s">
        <v>14</v>
      </c>
      <c r="I138" t="s">
        <v>1316</v>
      </c>
      <c r="K138" s="109">
        <v>1410</v>
      </c>
    </row>
    <row r="139" spans="1:11" x14ac:dyDescent="0.2">
      <c r="A139">
        <v>141</v>
      </c>
      <c r="B139" s="2" t="s">
        <v>235</v>
      </c>
      <c r="C139" t="s">
        <v>2732</v>
      </c>
      <c r="D139" s="2"/>
      <c r="E139">
        <v>5</v>
      </c>
      <c r="F139" t="s">
        <v>236</v>
      </c>
      <c r="G139" t="s">
        <v>456</v>
      </c>
      <c r="H139" t="s">
        <v>14</v>
      </c>
      <c r="I139" t="s">
        <v>1324</v>
      </c>
      <c r="K139" s="109">
        <v>1409</v>
      </c>
    </row>
    <row r="140" spans="1:11" x14ac:dyDescent="0.2">
      <c r="A140">
        <v>142</v>
      </c>
      <c r="B140" t="s">
        <v>237</v>
      </c>
      <c r="C140" t="s">
        <v>2609</v>
      </c>
      <c r="E140">
        <v>5</v>
      </c>
      <c r="F140">
        <v>106</v>
      </c>
      <c r="G140" t="s">
        <v>513</v>
      </c>
      <c r="H140" t="s">
        <v>11</v>
      </c>
      <c r="I140" t="s">
        <v>1330</v>
      </c>
      <c r="K140" s="109">
        <v>2503</v>
      </c>
    </row>
    <row r="141" spans="1:11" x14ac:dyDescent="0.2">
      <c r="A141">
        <v>143</v>
      </c>
      <c r="B141" s="2" t="s">
        <v>238</v>
      </c>
      <c r="C141" t="s">
        <v>2680</v>
      </c>
      <c r="D141" s="2"/>
      <c r="E141">
        <v>5</v>
      </c>
      <c r="F141" t="s">
        <v>239</v>
      </c>
      <c r="G141" t="s">
        <v>456</v>
      </c>
      <c r="H141" t="s">
        <v>14</v>
      </c>
      <c r="I141" t="s">
        <v>1339</v>
      </c>
      <c r="K141" s="109">
        <v>1505</v>
      </c>
    </row>
    <row r="142" spans="1:11" x14ac:dyDescent="0.2">
      <c r="A142">
        <v>144</v>
      </c>
      <c r="B142" s="2" t="s">
        <v>240</v>
      </c>
      <c r="C142" t="s">
        <v>2660</v>
      </c>
      <c r="D142" s="2"/>
      <c r="E142">
        <v>5</v>
      </c>
      <c r="F142" t="s">
        <v>239</v>
      </c>
      <c r="G142" t="s">
        <v>456</v>
      </c>
      <c r="H142" t="s">
        <v>14</v>
      </c>
      <c r="I142" t="s">
        <v>1345</v>
      </c>
      <c r="K142" s="109">
        <v>1505</v>
      </c>
    </row>
    <row r="143" spans="1:11" x14ac:dyDescent="0.2">
      <c r="A143">
        <v>145</v>
      </c>
      <c r="B143" s="2" t="s">
        <v>241</v>
      </c>
      <c r="C143" t="s">
        <v>2965</v>
      </c>
      <c r="D143" s="2"/>
      <c r="E143">
        <v>5</v>
      </c>
      <c r="F143">
        <v>109</v>
      </c>
      <c r="G143" t="s">
        <v>513</v>
      </c>
      <c r="H143" t="s">
        <v>11</v>
      </c>
      <c r="I143" t="s">
        <v>1352</v>
      </c>
      <c r="K143" s="109">
        <v>2603</v>
      </c>
    </row>
    <row r="144" spans="1:11" x14ac:dyDescent="0.2">
      <c r="A144">
        <v>146</v>
      </c>
      <c r="B144" s="2" t="s">
        <v>242</v>
      </c>
      <c r="C144" t="s">
        <v>2510</v>
      </c>
      <c r="D144" s="2"/>
      <c r="E144">
        <v>5</v>
      </c>
      <c r="F144">
        <v>107</v>
      </c>
      <c r="G144" t="s">
        <v>513</v>
      </c>
      <c r="H144" t="s">
        <v>11</v>
      </c>
      <c r="I144" t="s">
        <v>1358</v>
      </c>
      <c r="K144" s="109">
        <v>2508</v>
      </c>
    </row>
    <row r="145" spans="1:11" x14ac:dyDescent="0.2">
      <c r="A145">
        <v>147</v>
      </c>
      <c r="B145" s="2" t="s">
        <v>243</v>
      </c>
      <c r="C145" t="s">
        <v>1424</v>
      </c>
      <c r="D145" s="2"/>
      <c r="E145">
        <v>5</v>
      </c>
      <c r="F145">
        <v>104</v>
      </c>
      <c r="G145" t="s">
        <v>456</v>
      </c>
      <c r="H145" t="s">
        <v>14</v>
      </c>
      <c r="I145" t="s">
        <v>1366</v>
      </c>
      <c r="K145" s="109">
        <v>1609</v>
      </c>
    </row>
    <row r="146" spans="1:11" x14ac:dyDescent="0.2">
      <c r="A146">
        <v>148</v>
      </c>
      <c r="B146" s="2" t="s">
        <v>244</v>
      </c>
      <c r="C146" t="s">
        <v>1389</v>
      </c>
      <c r="D146" s="2"/>
      <c r="E146">
        <v>8</v>
      </c>
      <c r="F146">
        <v>110</v>
      </c>
      <c r="G146" t="s">
        <v>513</v>
      </c>
      <c r="H146" t="s">
        <v>11</v>
      </c>
      <c r="I146" t="s">
        <v>1374</v>
      </c>
      <c r="K146" s="109">
        <v>2913</v>
      </c>
    </row>
    <row r="147" spans="1:11" x14ac:dyDescent="0.2">
      <c r="A147">
        <v>149</v>
      </c>
      <c r="B147" s="2" t="s">
        <v>245</v>
      </c>
      <c r="C147" t="s">
        <v>1441</v>
      </c>
      <c r="D147" s="2"/>
      <c r="E147">
        <v>5</v>
      </c>
      <c r="F147">
        <v>108</v>
      </c>
      <c r="G147" t="s">
        <v>513</v>
      </c>
      <c r="H147" t="s">
        <v>11</v>
      </c>
      <c r="I147" t="s">
        <v>1382</v>
      </c>
      <c r="K147" s="109">
        <v>2608</v>
      </c>
    </row>
    <row r="148" spans="1:11" x14ac:dyDescent="0.2">
      <c r="A148">
        <v>150</v>
      </c>
      <c r="B148" s="2" t="s">
        <v>246</v>
      </c>
      <c r="C148" t="s">
        <v>2849</v>
      </c>
      <c r="D148" s="2"/>
      <c r="E148">
        <v>5</v>
      </c>
      <c r="F148" t="s">
        <v>236</v>
      </c>
      <c r="G148" t="s">
        <v>456</v>
      </c>
      <c r="H148" t="s">
        <v>14</v>
      </c>
      <c r="I148" t="s">
        <v>1386</v>
      </c>
      <c r="K148" s="109">
        <v>1409</v>
      </c>
    </row>
    <row r="149" spans="1:11" x14ac:dyDescent="0.2">
      <c r="A149">
        <v>151</v>
      </c>
      <c r="B149" s="2" t="s">
        <v>247</v>
      </c>
      <c r="C149" t="s">
        <v>2631</v>
      </c>
      <c r="D149" s="2" t="s">
        <v>248</v>
      </c>
      <c r="E149">
        <v>5</v>
      </c>
      <c r="F149">
        <v>105</v>
      </c>
      <c r="G149" t="s">
        <v>456</v>
      </c>
      <c r="H149" t="s">
        <v>14</v>
      </c>
      <c r="I149" t="s">
        <v>1395</v>
      </c>
      <c r="K149" s="109">
        <v>1610</v>
      </c>
    </row>
    <row r="150" spans="1:11" x14ac:dyDescent="0.2">
      <c r="A150">
        <v>152</v>
      </c>
      <c r="B150" s="2" t="s">
        <v>249</v>
      </c>
      <c r="C150" t="s">
        <v>2731</v>
      </c>
      <c r="D150" s="2"/>
      <c r="E150">
        <v>5</v>
      </c>
      <c r="F150">
        <v>103</v>
      </c>
      <c r="G150" t="s">
        <v>456</v>
      </c>
      <c r="H150" t="s">
        <v>14</v>
      </c>
      <c r="I150" t="s">
        <v>1401</v>
      </c>
      <c r="K150" s="109">
        <v>1607</v>
      </c>
    </row>
    <row r="151" spans="1:11" x14ac:dyDescent="0.2">
      <c r="A151">
        <v>153</v>
      </c>
      <c r="B151" s="77" t="s">
        <v>250</v>
      </c>
      <c r="C151" s="81" t="s">
        <v>2954</v>
      </c>
      <c r="E151">
        <v>8</v>
      </c>
      <c r="F151">
        <v>125</v>
      </c>
      <c r="G151" t="s">
        <v>456</v>
      </c>
      <c r="H151" t="s">
        <v>14</v>
      </c>
      <c r="I151" t="s">
        <v>1413</v>
      </c>
      <c r="K151" s="109">
        <v>2615</v>
      </c>
    </row>
    <row r="152" spans="1:11" x14ac:dyDescent="0.2">
      <c r="A152">
        <v>154</v>
      </c>
      <c r="B152" s="2" t="s">
        <v>251</v>
      </c>
      <c r="C152" t="s">
        <v>2870</v>
      </c>
      <c r="D152" s="2"/>
      <c r="E152">
        <v>5</v>
      </c>
      <c r="F152">
        <v>107</v>
      </c>
      <c r="G152" t="s">
        <v>513</v>
      </c>
      <c r="H152" t="s">
        <v>11</v>
      </c>
      <c r="I152" t="s">
        <v>1428</v>
      </c>
      <c r="K152" s="109">
        <v>2508</v>
      </c>
    </row>
    <row r="153" spans="1:11" x14ac:dyDescent="0.2">
      <c r="A153">
        <v>155</v>
      </c>
      <c r="B153" s="2" t="s">
        <v>252</v>
      </c>
      <c r="C153" t="s">
        <v>2850</v>
      </c>
      <c r="D153" s="2"/>
      <c r="E153">
        <v>5</v>
      </c>
      <c r="F153" t="s">
        <v>253</v>
      </c>
      <c r="G153" t="s">
        <v>456</v>
      </c>
      <c r="H153" t="s">
        <v>14</v>
      </c>
      <c r="I153" t="s">
        <v>1371</v>
      </c>
      <c r="K153" s="109">
        <v>1407</v>
      </c>
    </row>
    <row r="154" spans="1:11" x14ac:dyDescent="0.2">
      <c r="A154">
        <v>156</v>
      </c>
      <c r="B154" s="2" t="s">
        <v>254</v>
      </c>
      <c r="C154" t="s">
        <v>1430</v>
      </c>
      <c r="D154" s="2"/>
      <c r="E154">
        <v>5</v>
      </c>
      <c r="F154">
        <v>100</v>
      </c>
      <c r="G154" t="s">
        <v>456</v>
      </c>
      <c r="H154" t="s">
        <v>14</v>
      </c>
      <c r="I154" t="s">
        <v>1439</v>
      </c>
      <c r="K154" s="109">
        <v>1511</v>
      </c>
    </row>
    <row r="155" spans="1:11" x14ac:dyDescent="0.2">
      <c r="A155">
        <v>157</v>
      </c>
      <c r="B155" s="2" t="s">
        <v>255</v>
      </c>
      <c r="C155" t="s">
        <v>2740</v>
      </c>
      <c r="D155" s="2"/>
      <c r="E155">
        <v>5</v>
      </c>
      <c r="F155">
        <v>103</v>
      </c>
      <c r="G155" t="s">
        <v>456</v>
      </c>
      <c r="H155" t="s">
        <v>14</v>
      </c>
      <c r="I155" t="s">
        <v>1447</v>
      </c>
      <c r="K155" s="109">
        <v>1607</v>
      </c>
    </row>
    <row r="156" spans="1:11" x14ac:dyDescent="0.2">
      <c r="A156">
        <v>158</v>
      </c>
      <c r="B156" s="2" t="s">
        <v>256</v>
      </c>
      <c r="C156" t="s">
        <v>2619</v>
      </c>
      <c r="D156" s="2"/>
      <c r="E156">
        <v>5</v>
      </c>
      <c r="F156" t="s">
        <v>257</v>
      </c>
      <c r="G156" t="s">
        <v>456</v>
      </c>
      <c r="H156" t="s">
        <v>14</v>
      </c>
      <c r="I156" t="s">
        <v>1349</v>
      </c>
      <c r="K156" s="109">
        <v>1406</v>
      </c>
    </row>
    <row r="157" spans="1:11" x14ac:dyDescent="0.2">
      <c r="A157">
        <v>159</v>
      </c>
      <c r="B157" s="2" t="s">
        <v>258</v>
      </c>
      <c r="C157" t="s">
        <v>2909</v>
      </c>
      <c r="D157" s="2"/>
      <c r="E157">
        <v>5</v>
      </c>
      <c r="F157">
        <v>102</v>
      </c>
      <c r="G157" t="s">
        <v>456</v>
      </c>
      <c r="H157" t="s">
        <v>14</v>
      </c>
      <c r="I157" t="s">
        <v>1457</v>
      </c>
      <c r="K157" s="109">
        <v>1606</v>
      </c>
    </row>
    <row r="158" spans="1:11" x14ac:dyDescent="0.2">
      <c r="A158">
        <v>160</v>
      </c>
      <c r="B158" s="2" t="s">
        <v>259</v>
      </c>
      <c r="C158" t="s">
        <v>2907</v>
      </c>
      <c r="D158" s="2"/>
      <c r="E158">
        <v>5</v>
      </c>
      <c r="F158" t="s">
        <v>253</v>
      </c>
      <c r="G158" t="s">
        <v>456</v>
      </c>
      <c r="H158" t="s">
        <v>14</v>
      </c>
      <c r="I158" t="s">
        <v>1363</v>
      </c>
      <c r="K158" s="109">
        <v>1407</v>
      </c>
    </row>
    <row r="159" spans="1:11" x14ac:dyDescent="0.2">
      <c r="A159">
        <v>161</v>
      </c>
      <c r="B159" s="2" t="s">
        <v>260</v>
      </c>
      <c r="C159" t="s">
        <v>2868</v>
      </c>
      <c r="D159" s="2"/>
      <c r="E159">
        <v>5</v>
      </c>
      <c r="F159" t="s">
        <v>257</v>
      </c>
      <c r="G159" t="s">
        <v>456</v>
      </c>
      <c r="H159" t="s">
        <v>14</v>
      </c>
      <c r="I159" t="s">
        <v>1356</v>
      </c>
      <c r="K159" s="109">
        <v>1406</v>
      </c>
    </row>
    <row r="160" spans="1:11" x14ac:dyDescent="0.2">
      <c r="A160">
        <v>162</v>
      </c>
      <c r="B160" t="s">
        <v>261</v>
      </c>
      <c r="C160" t="s">
        <v>1402</v>
      </c>
      <c r="E160">
        <v>5</v>
      </c>
      <c r="F160">
        <v>106</v>
      </c>
      <c r="G160" t="s">
        <v>513</v>
      </c>
      <c r="H160" t="s">
        <v>11</v>
      </c>
      <c r="I160" t="s">
        <v>1476</v>
      </c>
      <c r="K160" s="109">
        <v>2503</v>
      </c>
    </row>
    <row r="161" spans="1:11" x14ac:dyDescent="0.2">
      <c r="A161">
        <v>163</v>
      </c>
      <c r="B161" s="2" t="s">
        <v>262</v>
      </c>
      <c r="C161" t="s">
        <v>2771</v>
      </c>
      <c r="D161" s="2"/>
      <c r="E161">
        <v>5</v>
      </c>
      <c r="F161">
        <v>102</v>
      </c>
      <c r="G161" t="s">
        <v>456</v>
      </c>
      <c r="H161" t="s">
        <v>14</v>
      </c>
      <c r="I161" t="s">
        <v>1452</v>
      </c>
      <c r="K161" s="109">
        <v>1606</v>
      </c>
    </row>
    <row r="162" spans="1:11" x14ac:dyDescent="0.2">
      <c r="A162">
        <v>164</v>
      </c>
      <c r="B162" s="2" t="s">
        <v>263</v>
      </c>
      <c r="C162" t="s">
        <v>1292</v>
      </c>
      <c r="D162" s="2"/>
      <c r="E162">
        <v>5</v>
      </c>
      <c r="F162">
        <v>108</v>
      </c>
      <c r="G162" t="s">
        <v>513</v>
      </c>
      <c r="H162" t="s">
        <v>11</v>
      </c>
      <c r="I162" t="s">
        <v>1489</v>
      </c>
      <c r="K162" s="109">
        <v>2608</v>
      </c>
    </row>
    <row r="163" spans="1:11" x14ac:dyDescent="0.2">
      <c r="A163">
        <v>165</v>
      </c>
      <c r="B163" s="2" t="s">
        <v>264</v>
      </c>
      <c r="C163" t="s">
        <v>1508</v>
      </c>
      <c r="D163" s="2"/>
      <c r="E163">
        <v>8</v>
      </c>
      <c r="F163">
        <v>138</v>
      </c>
      <c r="G163" t="s">
        <v>513</v>
      </c>
      <c r="H163" t="s">
        <v>14</v>
      </c>
      <c r="I163" t="s">
        <v>1496</v>
      </c>
      <c r="K163" s="109">
        <v>1811</v>
      </c>
    </row>
    <row r="164" spans="1:11" x14ac:dyDescent="0.2">
      <c r="A164">
        <v>166</v>
      </c>
      <c r="B164" s="2" t="s">
        <v>265</v>
      </c>
      <c r="C164" t="s">
        <v>2698</v>
      </c>
      <c r="D164" s="2"/>
      <c r="E164">
        <v>6</v>
      </c>
      <c r="F164">
        <v>131</v>
      </c>
      <c r="G164" t="s">
        <v>456</v>
      </c>
      <c r="H164" t="s">
        <v>14</v>
      </c>
      <c r="I164" t="s">
        <v>1506</v>
      </c>
      <c r="K164" s="109">
        <v>1715</v>
      </c>
    </row>
    <row r="165" spans="1:11" x14ac:dyDescent="0.2">
      <c r="A165">
        <v>167</v>
      </c>
      <c r="B165" s="2" t="s">
        <v>266</v>
      </c>
      <c r="C165" t="s">
        <v>1545</v>
      </c>
      <c r="D165" s="2"/>
      <c r="E165">
        <v>6</v>
      </c>
      <c r="F165">
        <v>138</v>
      </c>
      <c r="G165" t="s">
        <v>513</v>
      </c>
      <c r="H165" t="s">
        <v>14</v>
      </c>
      <c r="I165" t="s">
        <v>1514</v>
      </c>
      <c r="K165" s="109">
        <v>1811</v>
      </c>
    </row>
    <row r="166" spans="1:11" x14ac:dyDescent="0.2">
      <c r="A166">
        <v>168</v>
      </c>
      <c r="B166" s="2" t="s">
        <v>267</v>
      </c>
      <c r="C166" t="s">
        <v>2913</v>
      </c>
      <c r="D166" s="2"/>
      <c r="E166">
        <v>6</v>
      </c>
      <c r="F166">
        <v>142</v>
      </c>
      <c r="G166" t="s">
        <v>513</v>
      </c>
      <c r="H166" t="s">
        <v>14</v>
      </c>
      <c r="I166" t="s">
        <v>1519</v>
      </c>
      <c r="K166" s="109">
        <v>2005</v>
      </c>
    </row>
    <row r="167" spans="1:11" x14ac:dyDescent="0.2">
      <c r="A167" s="106">
        <v>169</v>
      </c>
      <c r="B167" s="106" t="s">
        <v>268</v>
      </c>
      <c r="C167" s="106" t="s">
        <v>2917</v>
      </c>
      <c r="D167" s="106"/>
      <c r="E167" s="106">
        <v>6</v>
      </c>
      <c r="F167" s="106">
        <v>131</v>
      </c>
      <c r="G167" s="106" t="s">
        <v>456</v>
      </c>
      <c r="H167" s="106" t="s">
        <v>14</v>
      </c>
      <c r="I167" s="106" t="s">
        <v>1524</v>
      </c>
      <c r="J167" s="106" t="s">
        <v>3011</v>
      </c>
      <c r="K167" s="109">
        <v>1715</v>
      </c>
    </row>
    <row r="168" spans="1:11" x14ac:dyDescent="0.2">
      <c r="A168">
        <v>170</v>
      </c>
      <c r="B168" s="2" t="s">
        <v>269</v>
      </c>
      <c r="C168" t="s">
        <v>2580</v>
      </c>
      <c r="D168" s="2"/>
      <c r="E168">
        <v>6</v>
      </c>
      <c r="F168">
        <v>130</v>
      </c>
      <c r="G168" t="s">
        <v>456</v>
      </c>
      <c r="H168" t="s">
        <v>14</v>
      </c>
      <c r="I168" t="s">
        <v>1533</v>
      </c>
      <c r="K168" s="109">
        <v>1711</v>
      </c>
    </row>
    <row r="169" spans="1:11" x14ac:dyDescent="0.2">
      <c r="A169">
        <v>171</v>
      </c>
      <c r="B169" s="2" t="s">
        <v>270</v>
      </c>
      <c r="C169" t="s">
        <v>2855</v>
      </c>
      <c r="D169" s="2"/>
      <c r="E169">
        <v>6</v>
      </c>
      <c r="F169">
        <v>139</v>
      </c>
      <c r="G169" t="s">
        <v>513</v>
      </c>
      <c r="H169" t="s">
        <v>14</v>
      </c>
      <c r="I169" t="s">
        <v>1539</v>
      </c>
      <c r="K169" s="109">
        <v>1815</v>
      </c>
    </row>
    <row r="170" spans="1:11" x14ac:dyDescent="0.2">
      <c r="A170">
        <v>172</v>
      </c>
      <c r="B170" s="2" t="s">
        <v>271</v>
      </c>
      <c r="C170" t="s">
        <v>2622</v>
      </c>
      <c r="D170" s="2"/>
      <c r="E170">
        <v>6</v>
      </c>
      <c r="F170">
        <v>140</v>
      </c>
      <c r="G170" t="s">
        <v>513</v>
      </c>
      <c r="H170" t="s">
        <v>14</v>
      </c>
      <c r="I170" t="s">
        <v>1544</v>
      </c>
      <c r="K170" s="109">
        <v>1905</v>
      </c>
    </row>
    <row r="171" spans="1:11" x14ac:dyDescent="0.2">
      <c r="A171">
        <v>173</v>
      </c>
      <c r="B171" s="2" t="s">
        <v>272</v>
      </c>
      <c r="C171" t="s">
        <v>2450</v>
      </c>
      <c r="D171" s="2"/>
      <c r="E171">
        <v>6</v>
      </c>
      <c r="F171">
        <v>137</v>
      </c>
      <c r="G171" t="s">
        <v>513</v>
      </c>
      <c r="H171" t="s">
        <v>14</v>
      </c>
      <c r="I171" t="s">
        <v>1551</v>
      </c>
      <c r="K171" s="109">
        <v>1809</v>
      </c>
    </row>
    <row r="172" spans="1:11" x14ac:dyDescent="0.2">
      <c r="A172">
        <v>174</v>
      </c>
      <c r="B172" s="2" t="s">
        <v>273</v>
      </c>
      <c r="C172" t="s">
        <v>2446</v>
      </c>
      <c r="D172" s="2"/>
      <c r="E172">
        <v>6</v>
      </c>
      <c r="F172">
        <v>141</v>
      </c>
      <c r="G172" t="s">
        <v>513</v>
      </c>
      <c r="H172" t="s">
        <v>14</v>
      </c>
      <c r="I172" t="s">
        <v>1556</v>
      </c>
      <c r="K172" s="109">
        <v>1911</v>
      </c>
    </row>
    <row r="173" spans="1:11" x14ac:dyDescent="0.2">
      <c r="A173">
        <v>175</v>
      </c>
      <c r="B173" s="2" t="s">
        <v>274</v>
      </c>
      <c r="C173" t="s">
        <v>2911</v>
      </c>
      <c r="D173" s="2"/>
      <c r="E173">
        <v>6</v>
      </c>
      <c r="F173">
        <v>130</v>
      </c>
      <c r="G173" t="s">
        <v>456</v>
      </c>
      <c r="H173" t="s">
        <v>14</v>
      </c>
      <c r="I173" t="s">
        <v>1564</v>
      </c>
      <c r="K173" s="109">
        <v>1711</v>
      </c>
    </row>
    <row r="174" spans="1:11" x14ac:dyDescent="0.2">
      <c r="A174">
        <v>176</v>
      </c>
      <c r="B174" s="2" t="s">
        <v>275</v>
      </c>
      <c r="C174" t="s">
        <v>2489</v>
      </c>
      <c r="D174" s="2"/>
      <c r="E174">
        <v>6</v>
      </c>
      <c r="F174">
        <v>140</v>
      </c>
      <c r="G174" t="s">
        <v>513</v>
      </c>
      <c r="H174" t="s">
        <v>14</v>
      </c>
      <c r="I174" t="s">
        <v>1570</v>
      </c>
      <c r="K174" s="109">
        <v>1905</v>
      </c>
    </row>
    <row r="175" spans="1:11" x14ac:dyDescent="0.2">
      <c r="A175">
        <v>177</v>
      </c>
      <c r="B175" s="2" t="s">
        <v>276</v>
      </c>
      <c r="C175" t="s">
        <v>2724</v>
      </c>
      <c r="D175" s="2"/>
      <c r="E175">
        <v>6</v>
      </c>
      <c r="F175">
        <v>141</v>
      </c>
      <c r="G175" t="s">
        <v>513</v>
      </c>
      <c r="H175" t="s">
        <v>14</v>
      </c>
      <c r="I175" t="s">
        <v>1577</v>
      </c>
      <c r="K175" s="109">
        <v>1911</v>
      </c>
    </row>
    <row r="176" spans="1:11" x14ac:dyDescent="0.2">
      <c r="A176">
        <v>178</v>
      </c>
      <c r="B176" s="2" t="s">
        <v>277</v>
      </c>
      <c r="C176" t="s">
        <v>2852</v>
      </c>
      <c r="D176" s="2"/>
      <c r="E176">
        <v>6</v>
      </c>
      <c r="F176">
        <v>142</v>
      </c>
      <c r="G176" t="s">
        <v>513</v>
      </c>
      <c r="H176" t="s">
        <v>14</v>
      </c>
      <c r="I176" t="s">
        <v>1583</v>
      </c>
      <c r="K176" s="109">
        <v>2005</v>
      </c>
    </row>
    <row r="177" spans="1:11" x14ac:dyDescent="0.2">
      <c r="A177">
        <v>179</v>
      </c>
      <c r="B177" s="2" t="s">
        <v>278</v>
      </c>
      <c r="C177" t="s">
        <v>2441</v>
      </c>
      <c r="D177" s="2"/>
      <c r="E177">
        <v>6</v>
      </c>
      <c r="F177">
        <v>139</v>
      </c>
      <c r="G177" t="s">
        <v>513</v>
      </c>
      <c r="H177" t="s">
        <v>14</v>
      </c>
      <c r="I177" t="s">
        <v>1591</v>
      </c>
      <c r="K177" s="109">
        <v>1815</v>
      </c>
    </row>
    <row r="178" spans="1:11" x14ac:dyDescent="0.2">
      <c r="A178">
        <v>180</v>
      </c>
      <c r="B178" t="s">
        <v>279</v>
      </c>
      <c r="C178" t="s">
        <v>2469</v>
      </c>
      <c r="E178">
        <v>6</v>
      </c>
      <c r="F178">
        <v>137</v>
      </c>
      <c r="G178" t="s">
        <v>513</v>
      </c>
      <c r="H178" t="s">
        <v>14</v>
      </c>
      <c r="I178" t="s">
        <v>1597</v>
      </c>
      <c r="K178" s="109">
        <v>1809</v>
      </c>
    </row>
    <row r="179" spans="1:11" x14ac:dyDescent="0.2">
      <c r="A179">
        <v>181</v>
      </c>
      <c r="B179" s="2" t="s">
        <v>280</v>
      </c>
      <c r="C179" t="s">
        <v>2585</v>
      </c>
      <c r="D179" s="2"/>
      <c r="E179">
        <v>6</v>
      </c>
      <c r="F179">
        <v>136</v>
      </c>
      <c r="G179" t="s">
        <v>513</v>
      </c>
      <c r="H179" t="s">
        <v>14</v>
      </c>
      <c r="I179" t="s">
        <v>1605</v>
      </c>
      <c r="K179" s="109">
        <v>1807</v>
      </c>
    </row>
    <row r="180" spans="1:11" x14ac:dyDescent="0.2">
      <c r="A180">
        <v>182</v>
      </c>
      <c r="B180" s="2" t="s">
        <v>281</v>
      </c>
      <c r="C180" t="s">
        <v>2592</v>
      </c>
      <c r="D180" s="2"/>
      <c r="E180" s="2" t="s">
        <v>192</v>
      </c>
      <c r="F180">
        <v>136</v>
      </c>
      <c r="G180" t="s">
        <v>513</v>
      </c>
      <c r="H180" t="s">
        <v>14</v>
      </c>
      <c r="I180" t="s">
        <v>1612</v>
      </c>
      <c r="K180" s="109">
        <v>1807</v>
      </c>
    </row>
    <row r="181" spans="1:11" x14ac:dyDescent="0.2">
      <c r="A181">
        <v>183</v>
      </c>
      <c r="B181" s="2" t="s">
        <v>282</v>
      </c>
      <c r="C181" t="s">
        <v>2876</v>
      </c>
      <c r="D181" s="2"/>
      <c r="E181">
        <v>6</v>
      </c>
      <c r="F181">
        <v>135</v>
      </c>
      <c r="G181" t="s">
        <v>513</v>
      </c>
      <c r="H181" t="s">
        <v>14</v>
      </c>
      <c r="I181" t="s">
        <v>1618</v>
      </c>
      <c r="K181" s="109">
        <v>1806</v>
      </c>
    </row>
    <row r="182" spans="1:11" x14ac:dyDescent="0.2">
      <c r="A182">
        <v>184</v>
      </c>
      <c r="B182" s="2" t="s">
        <v>283</v>
      </c>
      <c r="C182" t="s">
        <v>2436</v>
      </c>
      <c r="D182" s="2" t="s">
        <v>284</v>
      </c>
      <c r="E182">
        <v>6</v>
      </c>
      <c r="F182">
        <v>143</v>
      </c>
      <c r="G182" t="s">
        <v>513</v>
      </c>
      <c r="H182" t="s">
        <v>14</v>
      </c>
      <c r="I182" t="s">
        <v>1626</v>
      </c>
      <c r="K182" s="109">
        <v>2007</v>
      </c>
    </row>
    <row r="183" spans="1:11" x14ac:dyDescent="0.2">
      <c r="A183">
        <v>185</v>
      </c>
      <c r="B183" s="2" t="s">
        <v>285</v>
      </c>
      <c r="C183" t="s">
        <v>2825</v>
      </c>
      <c r="D183" s="2"/>
      <c r="E183">
        <v>6</v>
      </c>
      <c r="F183">
        <v>129</v>
      </c>
      <c r="G183" t="s">
        <v>456</v>
      </c>
      <c r="H183" t="s">
        <v>14</v>
      </c>
      <c r="I183" t="s">
        <v>1615</v>
      </c>
      <c r="K183" s="109">
        <v>1709</v>
      </c>
    </row>
    <row r="184" spans="1:11" x14ac:dyDescent="0.2">
      <c r="A184">
        <v>186</v>
      </c>
      <c r="B184" s="2" t="s">
        <v>286</v>
      </c>
      <c r="C184" t="s">
        <v>2502</v>
      </c>
      <c r="D184" s="2"/>
      <c r="E184">
        <v>6</v>
      </c>
      <c r="F184">
        <v>144</v>
      </c>
      <c r="G184" t="s">
        <v>513</v>
      </c>
      <c r="H184" t="s">
        <v>14</v>
      </c>
      <c r="I184" t="s">
        <v>1641</v>
      </c>
      <c r="K184" s="109">
        <v>2009</v>
      </c>
    </row>
    <row r="185" spans="1:11" x14ac:dyDescent="0.2">
      <c r="A185">
        <v>187</v>
      </c>
      <c r="B185" t="s">
        <v>287</v>
      </c>
      <c r="C185" t="s">
        <v>2623</v>
      </c>
      <c r="E185">
        <v>6</v>
      </c>
      <c r="F185">
        <v>134</v>
      </c>
      <c r="G185" t="s">
        <v>513</v>
      </c>
      <c r="H185" t="s">
        <v>14</v>
      </c>
      <c r="I185" t="s">
        <v>1647</v>
      </c>
      <c r="K185" s="109">
        <v>1805</v>
      </c>
    </row>
    <row r="186" spans="1:11" x14ac:dyDescent="0.2">
      <c r="A186">
        <v>188</v>
      </c>
      <c r="B186" s="2" t="s">
        <v>288</v>
      </c>
      <c r="C186" t="s">
        <v>2766</v>
      </c>
      <c r="D186" s="2"/>
      <c r="E186">
        <v>6</v>
      </c>
      <c r="F186">
        <v>134</v>
      </c>
      <c r="G186" t="s">
        <v>513</v>
      </c>
      <c r="H186" t="s">
        <v>14</v>
      </c>
      <c r="I186" t="s">
        <v>1655</v>
      </c>
      <c r="K186" s="109">
        <v>1805</v>
      </c>
    </row>
    <row r="187" spans="1:11" x14ac:dyDescent="0.2">
      <c r="A187">
        <v>189</v>
      </c>
      <c r="B187" s="2" t="s">
        <v>289</v>
      </c>
      <c r="C187" t="s">
        <v>2490</v>
      </c>
      <c r="D187" s="2"/>
      <c r="E187">
        <v>6</v>
      </c>
      <c r="F187">
        <v>133</v>
      </c>
      <c r="G187" t="s">
        <v>513</v>
      </c>
      <c r="H187" t="s">
        <v>14</v>
      </c>
      <c r="I187" t="s">
        <v>1661</v>
      </c>
      <c r="K187" s="109">
        <v>1802</v>
      </c>
    </row>
    <row r="188" spans="1:11" x14ac:dyDescent="0.2">
      <c r="A188">
        <v>190</v>
      </c>
      <c r="B188" s="2" t="s">
        <v>290</v>
      </c>
      <c r="C188" t="s">
        <v>2867</v>
      </c>
      <c r="D188" s="2"/>
      <c r="E188">
        <v>6</v>
      </c>
      <c r="F188">
        <v>129</v>
      </c>
      <c r="G188" t="s">
        <v>456</v>
      </c>
      <c r="H188" t="s">
        <v>14</v>
      </c>
      <c r="I188" t="s">
        <v>1609</v>
      </c>
      <c r="K188" s="109">
        <v>1709</v>
      </c>
    </row>
    <row r="189" spans="1:11" x14ac:dyDescent="0.2">
      <c r="A189">
        <v>191</v>
      </c>
      <c r="B189" s="2" t="s">
        <v>291</v>
      </c>
      <c r="C189" t="s">
        <v>2854</v>
      </c>
      <c r="D189" s="2"/>
      <c r="E189">
        <v>6</v>
      </c>
      <c r="F189">
        <v>133</v>
      </c>
      <c r="G189" t="s">
        <v>513</v>
      </c>
      <c r="H189" t="s">
        <v>14</v>
      </c>
      <c r="I189" t="s">
        <v>1665</v>
      </c>
      <c r="K189" s="109">
        <v>1802</v>
      </c>
    </row>
    <row r="190" spans="1:11" x14ac:dyDescent="0.2">
      <c r="A190">
        <v>192</v>
      </c>
      <c r="B190" t="s">
        <v>292</v>
      </c>
      <c r="C190" t="s">
        <v>2834</v>
      </c>
      <c r="E190">
        <v>6</v>
      </c>
      <c r="F190">
        <v>132</v>
      </c>
      <c r="G190" t="s">
        <v>513</v>
      </c>
      <c r="H190" t="s">
        <v>14</v>
      </c>
      <c r="I190" t="s">
        <v>1658</v>
      </c>
      <c r="K190" s="109">
        <v>2911</v>
      </c>
    </row>
    <row r="191" spans="1:11" x14ac:dyDescent="0.2">
      <c r="A191">
        <v>193</v>
      </c>
      <c r="B191" s="2" t="s">
        <v>293</v>
      </c>
      <c r="C191" t="s">
        <v>2702</v>
      </c>
      <c r="D191" s="2"/>
      <c r="E191">
        <v>6</v>
      </c>
      <c r="F191">
        <v>132</v>
      </c>
      <c r="G191" t="s">
        <v>513</v>
      </c>
      <c r="H191" t="s">
        <v>14</v>
      </c>
      <c r="I191" t="s">
        <v>1652</v>
      </c>
      <c r="K191" s="109">
        <v>2911</v>
      </c>
    </row>
    <row r="192" spans="1:11" x14ac:dyDescent="0.2">
      <c r="A192">
        <v>194</v>
      </c>
      <c r="B192" s="2" t="s">
        <v>294</v>
      </c>
      <c r="C192" t="s">
        <v>2588</v>
      </c>
      <c r="D192" s="2"/>
      <c r="E192">
        <v>6</v>
      </c>
      <c r="F192">
        <v>127</v>
      </c>
      <c r="G192" t="s">
        <v>456</v>
      </c>
      <c r="H192" t="s">
        <v>14</v>
      </c>
      <c r="I192" t="s">
        <v>1587</v>
      </c>
      <c r="K192" s="109">
        <v>1705</v>
      </c>
    </row>
    <row r="193" spans="1:11" x14ac:dyDescent="0.2">
      <c r="A193">
        <v>195</v>
      </c>
      <c r="B193" s="2" t="s">
        <v>295</v>
      </c>
      <c r="C193" t="s">
        <v>411</v>
      </c>
      <c r="D193" s="2"/>
      <c r="E193">
        <v>6</v>
      </c>
      <c r="F193">
        <v>128</v>
      </c>
      <c r="G193" t="s">
        <v>456</v>
      </c>
      <c r="H193" t="s">
        <v>14</v>
      </c>
      <c r="I193" t="s">
        <v>1602</v>
      </c>
      <c r="K193" s="109">
        <v>1707</v>
      </c>
    </row>
    <row r="194" spans="1:11" x14ac:dyDescent="0.2">
      <c r="A194">
        <v>196</v>
      </c>
      <c r="B194" s="2" t="s">
        <v>296</v>
      </c>
      <c r="C194" t="s">
        <v>2978</v>
      </c>
      <c r="D194" s="2"/>
      <c r="E194">
        <v>8</v>
      </c>
      <c r="F194">
        <v>128</v>
      </c>
      <c r="G194" t="s">
        <v>456</v>
      </c>
      <c r="H194" t="s">
        <v>14</v>
      </c>
      <c r="I194" t="s">
        <v>1703</v>
      </c>
      <c r="K194" s="109">
        <v>1707</v>
      </c>
    </row>
    <row r="195" spans="1:11" x14ac:dyDescent="0.2">
      <c r="A195">
        <v>197</v>
      </c>
      <c r="B195" s="2" t="s">
        <v>297</v>
      </c>
      <c r="C195" s="5" t="s">
        <v>2940</v>
      </c>
      <c r="D195" s="2"/>
      <c r="E195">
        <v>4</v>
      </c>
      <c r="F195" t="s">
        <v>298</v>
      </c>
      <c r="G195" t="s">
        <v>456</v>
      </c>
      <c r="H195" t="s">
        <v>11</v>
      </c>
      <c r="I195" t="s">
        <v>1320</v>
      </c>
      <c r="K195" s="109">
        <v>2403</v>
      </c>
    </row>
    <row r="196" spans="1:11" x14ac:dyDescent="0.2">
      <c r="A196">
        <v>198</v>
      </c>
      <c r="B196" s="2" t="s">
        <v>299</v>
      </c>
      <c r="C196" t="s">
        <v>2557</v>
      </c>
      <c r="D196" s="2"/>
      <c r="E196">
        <v>7</v>
      </c>
      <c r="F196" t="s">
        <v>300</v>
      </c>
      <c r="G196" t="s">
        <v>513</v>
      </c>
      <c r="H196" t="s">
        <v>11</v>
      </c>
      <c r="I196" t="s">
        <v>1722</v>
      </c>
      <c r="K196" s="109">
        <v>2808</v>
      </c>
    </row>
    <row r="197" spans="1:11" x14ac:dyDescent="0.2">
      <c r="A197">
        <v>199</v>
      </c>
      <c r="B197" s="2" t="s">
        <v>301</v>
      </c>
      <c r="C197" t="s">
        <v>2590</v>
      </c>
      <c r="D197" s="2"/>
      <c r="E197">
        <v>4</v>
      </c>
      <c r="F197" t="s">
        <v>211</v>
      </c>
      <c r="G197" t="s">
        <v>456</v>
      </c>
      <c r="H197" t="s">
        <v>14</v>
      </c>
      <c r="I197" t="s">
        <v>1153</v>
      </c>
      <c r="K197" s="109">
        <v>1206</v>
      </c>
    </row>
    <row r="198" spans="1:11" x14ac:dyDescent="0.2">
      <c r="A198">
        <v>200</v>
      </c>
      <c r="B198" s="2" t="s">
        <v>302</v>
      </c>
      <c r="C198" t="s">
        <v>2853</v>
      </c>
      <c r="D198" s="2"/>
      <c r="E198">
        <v>7</v>
      </c>
      <c r="F198" t="s">
        <v>300</v>
      </c>
      <c r="G198" t="s">
        <v>513</v>
      </c>
      <c r="H198" t="s">
        <v>11</v>
      </c>
      <c r="I198" t="s">
        <v>1732</v>
      </c>
      <c r="K198" s="109">
        <v>2808</v>
      </c>
    </row>
    <row r="199" spans="1:11" x14ac:dyDescent="0.2">
      <c r="A199">
        <v>201</v>
      </c>
      <c r="B199" s="2" t="s">
        <v>303</v>
      </c>
      <c r="C199" t="s">
        <v>2761</v>
      </c>
      <c r="D199" s="2"/>
      <c r="E199">
        <v>7</v>
      </c>
      <c r="F199" t="s">
        <v>138</v>
      </c>
      <c r="G199" t="s">
        <v>456</v>
      </c>
      <c r="H199" t="s">
        <v>14</v>
      </c>
      <c r="I199" t="s">
        <v>1737</v>
      </c>
      <c r="K199" s="109">
        <v>2107</v>
      </c>
    </row>
    <row r="200" spans="1:11" x14ac:dyDescent="0.2">
      <c r="A200">
        <v>202</v>
      </c>
      <c r="B200" t="s">
        <v>304</v>
      </c>
      <c r="C200" t="s">
        <v>2687</v>
      </c>
      <c r="E200">
        <v>7</v>
      </c>
      <c r="F200" t="s">
        <v>305</v>
      </c>
      <c r="G200" t="s">
        <v>456</v>
      </c>
      <c r="H200" t="s">
        <v>14</v>
      </c>
      <c r="I200" t="s">
        <v>1744</v>
      </c>
      <c r="K200" s="109">
        <v>2211</v>
      </c>
    </row>
    <row r="201" spans="1:11" x14ac:dyDescent="0.2">
      <c r="A201">
        <v>203</v>
      </c>
      <c r="B201" t="s">
        <v>306</v>
      </c>
      <c r="C201" t="s">
        <v>2671</v>
      </c>
      <c r="E201">
        <v>7</v>
      </c>
      <c r="F201" t="s">
        <v>307</v>
      </c>
      <c r="G201" t="s">
        <v>513</v>
      </c>
      <c r="H201" t="s">
        <v>11</v>
      </c>
      <c r="I201" t="s">
        <v>1753</v>
      </c>
      <c r="K201" s="109">
        <v>2813</v>
      </c>
    </row>
    <row r="202" spans="1:11" x14ac:dyDescent="0.2">
      <c r="A202">
        <v>204</v>
      </c>
      <c r="B202" s="2" t="s">
        <v>308</v>
      </c>
      <c r="C202" t="s">
        <v>2655</v>
      </c>
      <c r="D202" s="2"/>
      <c r="E202">
        <v>7</v>
      </c>
      <c r="F202" t="s">
        <v>307</v>
      </c>
      <c r="G202" t="s">
        <v>513</v>
      </c>
      <c r="H202" t="s">
        <v>11</v>
      </c>
      <c r="I202" t="s">
        <v>1759</v>
      </c>
      <c r="K202" s="109">
        <v>2813</v>
      </c>
    </row>
    <row r="203" spans="1:11" x14ac:dyDescent="0.2">
      <c r="A203">
        <v>205</v>
      </c>
      <c r="B203" s="2" t="s">
        <v>309</v>
      </c>
      <c r="C203" t="s">
        <v>2696</v>
      </c>
      <c r="D203" s="2"/>
      <c r="E203">
        <v>7</v>
      </c>
      <c r="F203" t="s">
        <v>310</v>
      </c>
      <c r="G203" t="s">
        <v>513</v>
      </c>
      <c r="H203" t="s">
        <v>11</v>
      </c>
      <c r="I203" t="s">
        <v>1764</v>
      </c>
      <c r="K203" s="109">
        <v>2903</v>
      </c>
    </row>
    <row r="204" spans="1:11" x14ac:dyDescent="0.2">
      <c r="A204">
        <v>206</v>
      </c>
      <c r="B204" s="2" t="s">
        <v>311</v>
      </c>
      <c r="C204" t="s">
        <v>1831</v>
      </c>
      <c r="D204" s="2"/>
      <c r="E204">
        <v>7</v>
      </c>
      <c r="F204" t="s">
        <v>310</v>
      </c>
      <c r="G204" t="s">
        <v>513</v>
      </c>
      <c r="H204" t="s">
        <v>11</v>
      </c>
      <c r="I204" t="s">
        <v>1771</v>
      </c>
      <c r="K204" s="109">
        <v>2903</v>
      </c>
    </row>
    <row r="205" spans="1:11" x14ac:dyDescent="0.2">
      <c r="A205">
        <v>207</v>
      </c>
      <c r="B205" s="2" t="s">
        <v>312</v>
      </c>
      <c r="C205" t="s">
        <v>2886</v>
      </c>
      <c r="D205" s="2"/>
      <c r="E205">
        <v>7</v>
      </c>
      <c r="F205" t="s">
        <v>313</v>
      </c>
      <c r="G205" t="s">
        <v>456</v>
      </c>
      <c r="H205" t="s">
        <v>14</v>
      </c>
      <c r="I205" t="s">
        <v>1779</v>
      </c>
      <c r="K205" s="109">
        <v>2209</v>
      </c>
    </row>
    <row r="206" spans="1:11" x14ac:dyDescent="0.2">
      <c r="A206">
        <v>208</v>
      </c>
      <c r="B206" s="2" t="s">
        <v>314</v>
      </c>
      <c r="C206" t="s">
        <v>2840</v>
      </c>
      <c r="D206" s="2"/>
      <c r="E206">
        <v>2</v>
      </c>
      <c r="F206" t="s">
        <v>315</v>
      </c>
      <c r="G206" t="s">
        <v>513</v>
      </c>
      <c r="H206" t="s">
        <v>11</v>
      </c>
      <c r="I206" t="s">
        <v>787</v>
      </c>
      <c r="K206" s="109">
        <v>1213</v>
      </c>
    </row>
    <row r="207" spans="1:11" x14ac:dyDescent="0.2">
      <c r="A207">
        <v>209</v>
      </c>
      <c r="B207" s="2" t="s">
        <v>316</v>
      </c>
      <c r="C207" t="s">
        <v>2798</v>
      </c>
      <c r="D207" s="2"/>
      <c r="E207">
        <v>2</v>
      </c>
      <c r="F207" t="s">
        <v>315</v>
      </c>
      <c r="G207" t="s">
        <v>513</v>
      </c>
      <c r="H207" t="s">
        <v>11</v>
      </c>
      <c r="I207" t="s">
        <v>793</v>
      </c>
      <c r="K207" s="109">
        <v>1213</v>
      </c>
    </row>
    <row r="208" spans="1:11" x14ac:dyDescent="0.2">
      <c r="A208">
        <v>210</v>
      </c>
      <c r="B208" s="2" t="s">
        <v>317</v>
      </c>
      <c r="C208" t="s">
        <v>2866</v>
      </c>
      <c r="D208" s="2"/>
      <c r="E208">
        <v>2</v>
      </c>
      <c r="F208" t="s">
        <v>318</v>
      </c>
      <c r="G208" t="s">
        <v>513</v>
      </c>
      <c r="H208" t="s">
        <v>11</v>
      </c>
      <c r="I208" t="s">
        <v>775</v>
      </c>
      <c r="K208" s="109">
        <v>1208</v>
      </c>
    </row>
    <row r="209" spans="1:11" x14ac:dyDescent="0.2">
      <c r="A209">
        <v>211</v>
      </c>
      <c r="B209" s="2" t="s">
        <v>319</v>
      </c>
      <c r="C209" t="s">
        <v>2786</v>
      </c>
      <c r="D209" s="2"/>
      <c r="E209">
        <v>2</v>
      </c>
      <c r="F209" t="s">
        <v>318</v>
      </c>
      <c r="G209" t="s">
        <v>513</v>
      </c>
      <c r="H209" t="s">
        <v>11</v>
      </c>
      <c r="I209" t="s">
        <v>780</v>
      </c>
      <c r="K209" s="109">
        <v>1208</v>
      </c>
    </row>
    <row r="210" spans="1:11" x14ac:dyDescent="0.2">
      <c r="A210">
        <v>212</v>
      </c>
      <c r="B210" s="2" t="s">
        <v>320</v>
      </c>
      <c r="C210" t="s">
        <v>2768</v>
      </c>
      <c r="D210" s="2"/>
      <c r="E210">
        <v>2</v>
      </c>
      <c r="F210" t="s">
        <v>78</v>
      </c>
      <c r="G210" t="s">
        <v>513</v>
      </c>
      <c r="H210" t="s">
        <v>11</v>
      </c>
      <c r="I210" t="s">
        <v>768</v>
      </c>
      <c r="K210" s="109">
        <v>1204</v>
      </c>
    </row>
    <row r="211" spans="1:11" x14ac:dyDescent="0.2">
      <c r="A211">
        <v>213</v>
      </c>
      <c r="B211" s="2" t="s">
        <v>321</v>
      </c>
      <c r="C211" t="s">
        <v>2667</v>
      </c>
      <c r="D211" s="2"/>
      <c r="E211">
        <v>7</v>
      </c>
      <c r="F211" t="s">
        <v>21</v>
      </c>
      <c r="G211" t="s">
        <v>456</v>
      </c>
      <c r="H211" t="s">
        <v>14</v>
      </c>
      <c r="I211" t="s">
        <v>1813</v>
      </c>
      <c r="K211" s="109" t="s">
        <v>3016</v>
      </c>
    </row>
    <row r="212" spans="1:11" x14ac:dyDescent="0.2">
      <c r="A212">
        <v>214</v>
      </c>
      <c r="B212" s="2" t="s">
        <v>322</v>
      </c>
      <c r="C212" t="s">
        <v>2751</v>
      </c>
      <c r="D212" s="2"/>
      <c r="E212">
        <v>7</v>
      </c>
      <c r="F212" t="s">
        <v>323</v>
      </c>
      <c r="G212" t="s">
        <v>456</v>
      </c>
      <c r="H212" t="s">
        <v>14</v>
      </c>
      <c r="I212" t="s">
        <v>1820</v>
      </c>
      <c r="K212" s="109">
        <v>2215</v>
      </c>
    </row>
    <row r="213" spans="1:11" x14ac:dyDescent="0.2">
      <c r="A213">
        <v>215</v>
      </c>
      <c r="B213" t="s">
        <v>324</v>
      </c>
      <c r="C213" t="s">
        <v>2892</v>
      </c>
      <c r="E213">
        <v>7</v>
      </c>
      <c r="F213" t="s">
        <v>313</v>
      </c>
      <c r="G213" t="s">
        <v>456</v>
      </c>
      <c r="H213" t="s">
        <v>14</v>
      </c>
      <c r="I213" t="s">
        <v>1830</v>
      </c>
      <c r="K213" s="109">
        <v>2209</v>
      </c>
    </row>
    <row r="214" spans="1:11" x14ac:dyDescent="0.2">
      <c r="A214">
        <v>216</v>
      </c>
      <c r="B214" s="2" t="s">
        <v>325</v>
      </c>
      <c r="C214" t="s">
        <v>2683</v>
      </c>
      <c r="D214" s="2"/>
      <c r="E214">
        <v>7</v>
      </c>
      <c r="F214" t="s">
        <v>305</v>
      </c>
      <c r="G214" t="s">
        <v>456</v>
      </c>
      <c r="H214" t="s">
        <v>14</v>
      </c>
      <c r="I214" t="s">
        <v>1836</v>
      </c>
      <c r="K214" s="109">
        <v>2211</v>
      </c>
    </row>
    <row r="215" spans="1:11" x14ac:dyDescent="0.2">
      <c r="A215">
        <v>217</v>
      </c>
      <c r="B215" s="2" t="s">
        <v>326</v>
      </c>
      <c r="C215" t="s">
        <v>1774</v>
      </c>
      <c r="D215" s="2"/>
      <c r="E215">
        <v>7</v>
      </c>
      <c r="F215" t="s">
        <v>323</v>
      </c>
      <c r="G215" t="s">
        <v>456</v>
      </c>
      <c r="H215" t="s">
        <v>14</v>
      </c>
      <c r="I215" t="s">
        <v>1843</v>
      </c>
      <c r="K215" s="109">
        <v>2215</v>
      </c>
    </row>
    <row r="216" spans="1:11" x14ac:dyDescent="0.2">
      <c r="A216">
        <v>218</v>
      </c>
      <c r="B216" s="2" t="s">
        <v>327</v>
      </c>
      <c r="C216" t="s">
        <v>2858</v>
      </c>
      <c r="D216" s="2"/>
      <c r="E216">
        <v>7</v>
      </c>
      <c r="F216" t="s">
        <v>328</v>
      </c>
      <c r="G216" t="s">
        <v>513</v>
      </c>
      <c r="H216" t="s">
        <v>11</v>
      </c>
      <c r="I216" t="s">
        <v>1851</v>
      </c>
      <c r="K216" s="109">
        <v>2803</v>
      </c>
    </row>
    <row r="217" spans="1:11" x14ac:dyDescent="0.2">
      <c r="A217">
        <v>219</v>
      </c>
      <c r="B217" s="2" t="s">
        <v>329</v>
      </c>
      <c r="C217" t="s">
        <v>2549</v>
      </c>
      <c r="D217" s="2"/>
      <c r="E217">
        <v>7</v>
      </c>
      <c r="F217" t="s">
        <v>330</v>
      </c>
      <c r="G217" t="s">
        <v>513</v>
      </c>
      <c r="H217" t="s">
        <v>11</v>
      </c>
      <c r="I217" t="s">
        <v>1856</v>
      </c>
      <c r="K217" s="109">
        <v>2613</v>
      </c>
    </row>
    <row r="218" spans="1:11" x14ac:dyDescent="0.2">
      <c r="A218">
        <v>220</v>
      </c>
      <c r="B218" s="2" t="s">
        <v>331</v>
      </c>
      <c r="C218" t="s">
        <v>2743</v>
      </c>
      <c r="D218" s="2"/>
      <c r="E218">
        <v>7</v>
      </c>
      <c r="F218" t="s">
        <v>330</v>
      </c>
      <c r="G218" t="s">
        <v>513</v>
      </c>
      <c r="H218" t="s">
        <v>11</v>
      </c>
      <c r="I218" t="s">
        <v>1863</v>
      </c>
      <c r="K218" s="109">
        <v>2613</v>
      </c>
    </row>
    <row r="219" spans="1:11" x14ac:dyDescent="0.2">
      <c r="A219">
        <v>221</v>
      </c>
      <c r="B219" s="2" t="s">
        <v>332</v>
      </c>
      <c r="C219" t="s">
        <v>2899</v>
      </c>
      <c r="D219" s="2"/>
      <c r="E219">
        <v>7</v>
      </c>
      <c r="F219" t="s">
        <v>333</v>
      </c>
      <c r="G219" t="s">
        <v>513</v>
      </c>
      <c r="H219" t="s">
        <v>11</v>
      </c>
      <c r="I219" t="s">
        <v>1868</v>
      </c>
      <c r="K219" s="109">
        <v>2513</v>
      </c>
    </row>
    <row r="220" spans="1:11" x14ac:dyDescent="0.2">
      <c r="A220">
        <v>222</v>
      </c>
      <c r="B220" s="2" t="s">
        <v>334</v>
      </c>
      <c r="C220" t="s">
        <v>2526</v>
      </c>
      <c r="D220" s="2"/>
      <c r="E220">
        <v>7</v>
      </c>
      <c r="F220" t="s">
        <v>196</v>
      </c>
      <c r="G220" t="s">
        <v>456</v>
      </c>
      <c r="H220" t="s">
        <v>14</v>
      </c>
      <c r="I220" t="s">
        <v>1826</v>
      </c>
      <c r="K220" s="109">
        <v>2207</v>
      </c>
    </row>
    <row r="221" spans="1:11" x14ac:dyDescent="0.2">
      <c r="A221">
        <v>223</v>
      </c>
      <c r="B221" s="2" t="s">
        <v>335</v>
      </c>
      <c r="C221" t="s">
        <v>2755</v>
      </c>
      <c r="D221" s="2"/>
      <c r="E221">
        <v>7</v>
      </c>
      <c r="F221" t="s">
        <v>333</v>
      </c>
      <c r="G221" t="s">
        <v>513</v>
      </c>
      <c r="H221" t="s">
        <v>11</v>
      </c>
      <c r="I221" t="s">
        <v>1878</v>
      </c>
      <c r="K221" s="109">
        <v>2513</v>
      </c>
    </row>
    <row r="222" spans="1:11" x14ac:dyDescent="0.2">
      <c r="A222">
        <v>224</v>
      </c>
      <c r="B222" s="2" t="s">
        <v>336</v>
      </c>
      <c r="C222" t="s">
        <v>492</v>
      </c>
      <c r="D222" s="2"/>
      <c r="E222">
        <v>7</v>
      </c>
      <c r="F222" t="s">
        <v>226</v>
      </c>
      <c r="G222" t="s">
        <v>456</v>
      </c>
      <c r="H222" t="s">
        <v>14</v>
      </c>
      <c r="I222" t="s">
        <v>1840</v>
      </c>
      <c r="K222" s="109">
        <v>1211</v>
      </c>
    </row>
    <row r="223" spans="1:11" x14ac:dyDescent="0.2">
      <c r="A223">
        <v>226</v>
      </c>
      <c r="B223" s="2" t="s">
        <v>337</v>
      </c>
      <c r="C223" s="5" t="s">
        <v>2503</v>
      </c>
      <c r="D223" s="2"/>
      <c r="E223">
        <v>8</v>
      </c>
      <c r="F223">
        <v>124</v>
      </c>
      <c r="G223" t="s">
        <v>456</v>
      </c>
      <c r="H223" t="s">
        <v>14</v>
      </c>
      <c r="I223" t="s">
        <v>1896</v>
      </c>
      <c r="K223" s="109">
        <v>2611</v>
      </c>
    </row>
    <row r="224" spans="1:11" x14ac:dyDescent="0.2">
      <c r="A224" s="106">
        <v>227</v>
      </c>
      <c r="B224" s="107" t="s">
        <v>338</v>
      </c>
      <c r="C224" s="106" t="s">
        <v>2627</v>
      </c>
      <c r="D224" s="107"/>
      <c r="E224" s="106">
        <v>8</v>
      </c>
      <c r="F224" s="106">
        <v>125</v>
      </c>
      <c r="G224" s="106" t="s">
        <v>456</v>
      </c>
      <c r="H224" s="106" t="s">
        <v>14</v>
      </c>
      <c r="I224" s="106" t="s">
        <v>1902</v>
      </c>
      <c r="J224" s="106" t="s">
        <v>3011</v>
      </c>
      <c r="K224" s="109">
        <v>2615</v>
      </c>
    </row>
    <row r="225" spans="1:11" x14ac:dyDescent="0.2">
      <c r="A225">
        <v>228</v>
      </c>
      <c r="B225" t="s">
        <v>339</v>
      </c>
      <c r="C225" s="5" t="s">
        <v>2601</v>
      </c>
      <c r="E225">
        <v>8</v>
      </c>
      <c r="F225" t="s">
        <v>298</v>
      </c>
      <c r="G225" t="s">
        <v>456</v>
      </c>
      <c r="H225" t="s">
        <v>11</v>
      </c>
      <c r="I225" t="s">
        <v>1909</v>
      </c>
      <c r="K225" s="109">
        <v>2403</v>
      </c>
    </row>
    <row r="226" spans="1:11" x14ac:dyDescent="0.2">
      <c r="A226">
        <v>229</v>
      </c>
      <c r="B226" s="2" t="s">
        <v>340</v>
      </c>
      <c r="C226" t="s">
        <v>2661</v>
      </c>
      <c r="D226" s="2"/>
      <c r="E226">
        <v>8</v>
      </c>
      <c r="F226">
        <v>113</v>
      </c>
      <c r="G226" t="s">
        <v>513</v>
      </c>
      <c r="H226" t="s">
        <v>14</v>
      </c>
      <c r="I226" t="s">
        <v>1916</v>
      </c>
      <c r="K226" s="109">
        <v>2811</v>
      </c>
    </row>
    <row r="227" spans="1:11" x14ac:dyDescent="0.2">
      <c r="A227">
        <v>230</v>
      </c>
      <c r="B227" s="2" t="s">
        <v>341</v>
      </c>
      <c r="C227" s="5" t="s">
        <v>2630</v>
      </c>
      <c r="D227" s="2"/>
      <c r="E227">
        <v>8</v>
      </c>
      <c r="F227">
        <v>124</v>
      </c>
      <c r="G227" t="s">
        <v>456</v>
      </c>
      <c r="H227" t="s">
        <v>14</v>
      </c>
      <c r="I227" t="s">
        <v>1923</v>
      </c>
      <c r="K227" s="109">
        <v>2611</v>
      </c>
    </row>
    <row r="228" spans="1:11" x14ac:dyDescent="0.2">
      <c r="A228">
        <v>232</v>
      </c>
      <c r="B228" s="2" t="s">
        <v>342</v>
      </c>
      <c r="C228" t="s">
        <v>2841</v>
      </c>
      <c r="D228" s="2"/>
      <c r="E228">
        <v>8</v>
      </c>
      <c r="F228">
        <v>114</v>
      </c>
      <c r="G228" t="s">
        <v>513</v>
      </c>
      <c r="H228" t="s">
        <v>14</v>
      </c>
      <c r="I228" t="s">
        <v>1937</v>
      </c>
      <c r="K228" s="109">
        <v>2307</v>
      </c>
    </row>
    <row r="229" spans="1:11" x14ac:dyDescent="0.2">
      <c r="A229">
        <v>233</v>
      </c>
      <c r="B229" s="2" t="s">
        <v>343</v>
      </c>
      <c r="C229" t="s">
        <v>2606</v>
      </c>
      <c r="D229" s="2"/>
      <c r="E229" s="2" t="s">
        <v>192</v>
      </c>
      <c r="F229" t="s">
        <v>344</v>
      </c>
      <c r="G229" t="s">
        <v>513</v>
      </c>
      <c r="H229" t="s">
        <v>11</v>
      </c>
      <c r="I229" t="s">
        <v>1945</v>
      </c>
      <c r="K229" s="109">
        <v>3013</v>
      </c>
    </row>
    <row r="230" spans="1:11" x14ac:dyDescent="0.2">
      <c r="A230">
        <v>234</v>
      </c>
      <c r="B230" s="2" t="s">
        <v>345</v>
      </c>
      <c r="C230" t="s">
        <v>415</v>
      </c>
      <c r="D230" s="2"/>
      <c r="E230">
        <v>8</v>
      </c>
      <c r="F230">
        <v>113</v>
      </c>
      <c r="G230" t="s">
        <v>513</v>
      </c>
      <c r="H230" t="s">
        <v>14</v>
      </c>
      <c r="I230" t="s">
        <v>1950</v>
      </c>
      <c r="K230" s="109">
        <v>2811</v>
      </c>
    </row>
    <row r="231" spans="1:11" x14ac:dyDescent="0.2">
      <c r="A231">
        <v>235</v>
      </c>
      <c r="B231" t="s">
        <v>346</v>
      </c>
      <c r="C231" t="s">
        <v>1620</v>
      </c>
      <c r="E231">
        <v>6</v>
      </c>
      <c r="F231">
        <v>112</v>
      </c>
      <c r="G231" t="s">
        <v>513</v>
      </c>
      <c r="H231" t="s">
        <v>11</v>
      </c>
      <c r="I231" t="s">
        <v>1567</v>
      </c>
      <c r="K231" s="109">
        <v>2413</v>
      </c>
    </row>
    <row r="232" spans="1:11" x14ac:dyDescent="0.2">
      <c r="A232">
        <v>236</v>
      </c>
      <c r="B232" s="2" t="s">
        <v>347</v>
      </c>
      <c r="C232" t="s">
        <v>2659</v>
      </c>
      <c r="D232" s="2"/>
      <c r="E232">
        <v>6</v>
      </c>
      <c r="F232">
        <v>126</v>
      </c>
      <c r="G232" t="s">
        <v>456</v>
      </c>
      <c r="H232" t="s">
        <v>14</v>
      </c>
      <c r="I232" t="s">
        <v>1580</v>
      </c>
      <c r="K232" s="109">
        <v>1701</v>
      </c>
    </row>
    <row r="233" spans="1:11" x14ac:dyDescent="0.2">
      <c r="A233">
        <v>237</v>
      </c>
      <c r="B233" s="2" t="s">
        <v>348</v>
      </c>
      <c r="C233" t="s">
        <v>2941</v>
      </c>
      <c r="D233" s="2"/>
      <c r="E233">
        <v>6</v>
      </c>
      <c r="F233">
        <v>127</v>
      </c>
      <c r="G233" t="s">
        <v>456</v>
      </c>
      <c r="H233" t="s">
        <v>14</v>
      </c>
      <c r="I233" t="s">
        <v>1594</v>
      </c>
      <c r="K233" s="109">
        <v>1705</v>
      </c>
    </row>
    <row r="234" spans="1:11" x14ac:dyDescent="0.2">
      <c r="A234">
        <v>238</v>
      </c>
      <c r="B234" s="2" t="s">
        <v>349</v>
      </c>
      <c r="C234" t="s">
        <v>2701</v>
      </c>
      <c r="D234" s="2"/>
      <c r="E234">
        <v>6</v>
      </c>
      <c r="F234">
        <v>126</v>
      </c>
      <c r="G234" t="s">
        <v>456</v>
      </c>
      <c r="H234" t="s">
        <v>14</v>
      </c>
      <c r="I234" t="s">
        <v>1574</v>
      </c>
      <c r="K234" s="109">
        <v>1701</v>
      </c>
    </row>
    <row r="235" spans="1:11" x14ac:dyDescent="0.2">
      <c r="A235">
        <v>239</v>
      </c>
      <c r="B235" s="2" t="s">
        <v>350</v>
      </c>
      <c r="C235" t="s">
        <v>2473</v>
      </c>
      <c r="D235" s="2"/>
      <c r="E235">
        <v>6</v>
      </c>
      <c r="F235">
        <v>112</v>
      </c>
      <c r="G235" t="s">
        <v>513</v>
      </c>
      <c r="H235" t="s">
        <v>11</v>
      </c>
      <c r="I235" t="s">
        <v>1560</v>
      </c>
      <c r="K235" s="109">
        <v>2413</v>
      </c>
    </row>
    <row r="236" spans="1:11" x14ac:dyDescent="0.2">
      <c r="A236">
        <v>241</v>
      </c>
      <c r="B236" t="s">
        <v>351</v>
      </c>
      <c r="C236" t="s">
        <v>2507</v>
      </c>
      <c r="E236">
        <v>8</v>
      </c>
      <c r="F236">
        <v>104</v>
      </c>
      <c r="G236" t="s">
        <v>456</v>
      </c>
      <c r="H236" t="s">
        <v>14</v>
      </c>
      <c r="I236" t="s">
        <v>1988</v>
      </c>
      <c r="K236" s="109">
        <v>1609</v>
      </c>
    </row>
    <row r="237" spans="1:11" x14ac:dyDescent="0.2">
      <c r="A237">
        <v>242</v>
      </c>
      <c r="B237" s="2" t="s">
        <v>352</v>
      </c>
      <c r="C237" t="s">
        <v>2626</v>
      </c>
      <c r="D237" s="2"/>
      <c r="E237">
        <v>8</v>
      </c>
      <c r="F237">
        <v>123</v>
      </c>
      <c r="G237" t="s">
        <v>456</v>
      </c>
      <c r="H237" t="s">
        <v>14</v>
      </c>
      <c r="I237" t="s">
        <v>1998</v>
      </c>
      <c r="K237" s="109">
        <v>1615</v>
      </c>
    </row>
    <row r="238" spans="1:11" x14ac:dyDescent="0.2">
      <c r="A238">
        <v>243</v>
      </c>
      <c r="B238" s="2" t="s">
        <v>353</v>
      </c>
      <c r="C238" t="s">
        <v>2506</v>
      </c>
      <c r="D238" s="2"/>
      <c r="E238">
        <v>8</v>
      </c>
      <c r="F238">
        <v>123</v>
      </c>
      <c r="G238" t="s">
        <v>456</v>
      </c>
      <c r="H238" t="s">
        <v>14</v>
      </c>
      <c r="I238" t="s">
        <v>2004</v>
      </c>
      <c r="K238" s="109">
        <v>1615</v>
      </c>
    </row>
    <row r="239" spans="1:11" x14ac:dyDescent="0.2">
      <c r="A239">
        <v>244</v>
      </c>
      <c r="B239" s="2" t="s">
        <v>354</v>
      </c>
      <c r="C239" t="s">
        <v>2102</v>
      </c>
      <c r="D239" s="2"/>
      <c r="E239">
        <v>8</v>
      </c>
      <c r="F239">
        <v>122</v>
      </c>
      <c r="G239" t="s">
        <v>456</v>
      </c>
      <c r="H239" t="s">
        <v>14</v>
      </c>
      <c r="I239" t="s">
        <v>2010</v>
      </c>
      <c r="K239" s="109">
        <v>2605</v>
      </c>
    </row>
    <row r="240" spans="1:11" x14ac:dyDescent="0.2">
      <c r="A240">
        <v>245</v>
      </c>
      <c r="B240" s="2" t="s">
        <v>355</v>
      </c>
      <c r="C240" t="s">
        <v>1890</v>
      </c>
      <c r="D240" s="2"/>
      <c r="E240">
        <v>8</v>
      </c>
      <c r="F240" t="s">
        <v>356</v>
      </c>
      <c r="G240" t="s">
        <v>513</v>
      </c>
      <c r="H240" t="s">
        <v>11</v>
      </c>
      <c r="I240" t="s">
        <v>2018</v>
      </c>
      <c r="K240" s="109">
        <v>2908</v>
      </c>
    </row>
    <row r="241" spans="1:11" x14ac:dyDescent="0.2">
      <c r="A241">
        <v>246</v>
      </c>
      <c r="B241" s="2" t="s">
        <v>357</v>
      </c>
      <c r="C241" t="s">
        <v>2050</v>
      </c>
      <c r="D241" s="2"/>
      <c r="E241">
        <v>8</v>
      </c>
      <c r="F241" t="s">
        <v>124</v>
      </c>
      <c r="G241" t="s">
        <v>456</v>
      </c>
      <c r="H241" t="s">
        <v>14</v>
      </c>
      <c r="I241" t="s">
        <v>1994</v>
      </c>
      <c r="K241" s="109">
        <v>2111</v>
      </c>
    </row>
    <row r="242" spans="1:11" x14ac:dyDescent="0.2">
      <c r="A242">
        <v>247</v>
      </c>
      <c r="B242" s="2" t="s">
        <v>358</v>
      </c>
      <c r="C242" t="s">
        <v>2869</v>
      </c>
      <c r="D242" s="2"/>
      <c r="E242">
        <v>8</v>
      </c>
      <c r="F242">
        <v>119</v>
      </c>
      <c r="G242" t="s">
        <v>456</v>
      </c>
      <c r="H242" t="s">
        <v>14</v>
      </c>
      <c r="I242" t="s">
        <v>2034</v>
      </c>
      <c r="K242" s="109">
        <v>2415</v>
      </c>
    </row>
    <row r="243" spans="1:11" x14ac:dyDescent="0.2">
      <c r="A243">
        <v>248</v>
      </c>
      <c r="B243" s="2" t="s">
        <v>359</v>
      </c>
      <c r="C243" t="s">
        <v>1706</v>
      </c>
      <c r="D243" s="2"/>
      <c r="E243">
        <v>8</v>
      </c>
      <c r="F243" t="s">
        <v>356</v>
      </c>
      <c r="G243" t="s">
        <v>513</v>
      </c>
      <c r="H243" t="s">
        <v>11</v>
      </c>
      <c r="I243" t="s">
        <v>2041</v>
      </c>
      <c r="K243" s="109">
        <v>2908</v>
      </c>
    </row>
    <row r="244" spans="1:11" x14ac:dyDescent="0.2">
      <c r="A244">
        <v>249</v>
      </c>
      <c r="B244" t="s">
        <v>360</v>
      </c>
      <c r="C244" t="s">
        <v>2075</v>
      </c>
      <c r="D244" t="s">
        <v>361</v>
      </c>
      <c r="E244">
        <v>8</v>
      </c>
      <c r="F244">
        <v>121</v>
      </c>
      <c r="G244" t="s">
        <v>456</v>
      </c>
      <c r="H244" t="s">
        <v>14</v>
      </c>
      <c r="I244" t="s">
        <v>2049</v>
      </c>
      <c r="K244" s="109">
        <v>2505</v>
      </c>
    </row>
    <row r="245" spans="1:11" x14ac:dyDescent="0.2">
      <c r="A245">
        <v>250</v>
      </c>
      <c r="B245" t="s">
        <v>362</v>
      </c>
      <c r="C245" t="s">
        <v>2885</v>
      </c>
      <c r="E245">
        <v>8</v>
      </c>
      <c r="F245">
        <v>118</v>
      </c>
      <c r="G245" t="s">
        <v>456</v>
      </c>
      <c r="H245" t="s">
        <v>14</v>
      </c>
      <c r="I245" t="s">
        <v>2056</v>
      </c>
      <c r="K245" s="109">
        <v>2405</v>
      </c>
    </row>
    <row r="246" spans="1:11" x14ac:dyDescent="0.2">
      <c r="A246">
        <v>251</v>
      </c>
      <c r="B246" t="s">
        <v>363</v>
      </c>
      <c r="C246" t="s">
        <v>2035</v>
      </c>
      <c r="E246">
        <v>8</v>
      </c>
      <c r="F246">
        <v>119</v>
      </c>
      <c r="G246" t="s">
        <v>456</v>
      </c>
      <c r="H246" t="s">
        <v>14</v>
      </c>
      <c r="I246" t="s">
        <v>2062</v>
      </c>
      <c r="K246" s="109">
        <v>2415</v>
      </c>
    </row>
    <row r="247" spans="1:11" x14ac:dyDescent="0.2">
      <c r="A247">
        <v>252</v>
      </c>
      <c r="B247" s="2" t="s">
        <v>364</v>
      </c>
      <c r="C247" t="s">
        <v>2094</v>
      </c>
      <c r="D247" s="2" t="s">
        <v>365</v>
      </c>
      <c r="E247">
        <v>8</v>
      </c>
      <c r="F247">
        <v>120</v>
      </c>
      <c r="G247" t="s">
        <v>456</v>
      </c>
      <c r="H247" t="s">
        <v>14</v>
      </c>
      <c r="I247" t="s">
        <v>2069</v>
      </c>
      <c r="K247" s="109">
        <v>2411</v>
      </c>
    </row>
    <row r="248" spans="1:11" x14ac:dyDescent="0.2">
      <c r="A248">
        <v>253</v>
      </c>
      <c r="B248" t="s">
        <v>366</v>
      </c>
      <c r="C248" t="s">
        <v>2754</v>
      </c>
      <c r="E248">
        <v>8</v>
      </c>
      <c r="F248">
        <v>117</v>
      </c>
      <c r="G248" t="s">
        <v>456</v>
      </c>
      <c r="H248" t="s">
        <v>14</v>
      </c>
      <c r="I248" t="s">
        <v>2046</v>
      </c>
      <c r="K248" s="109">
        <v>2315</v>
      </c>
    </row>
    <row r="249" spans="1:11" x14ac:dyDescent="0.2">
      <c r="A249" s="106">
        <v>254</v>
      </c>
      <c r="B249" s="107" t="s">
        <v>367</v>
      </c>
      <c r="C249" s="106" t="s">
        <v>2813</v>
      </c>
      <c r="D249" s="107"/>
      <c r="E249" s="106">
        <v>8</v>
      </c>
      <c r="F249" s="106" t="s">
        <v>63</v>
      </c>
      <c r="G249" s="106" t="s">
        <v>513</v>
      </c>
      <c r="H249" s="106" t="s">
        <v>11</v>
      </c>
      <c r="I249" s="106" t="s">
        <v>2080</v>
      </c>
      <c r="J249" s="106" t="s">
        <v>3009</v>
      </c>
      <c r="K249" s="109">
        <v>1108</v>
      </c>
    </row>
    <row r="250" spans="1:11" x14ac:dyDescent="0.2">
      <c r="A250">
        <v>255</v>
      </c>
      <c r="B250" s="2" t="s">
        <v>368</v>
      </c>
      <c r="C250" t="s">
        <v>2810</v>
      </c>
      <c r="D250" s="2"/>
      <c r="E250">
        <v>8</v>
      </c>
      <c r="F250">
        <v>117</v>
      </c>
      <c r="G250" t="s">
        <v>456</v>
      </c>
      <c r="H250" t="s">
        <v>14</v>
      </c>
      <c r="I250" t="s">
        <v>2053</v>
      </c>
      <c r="K250" s="109">
        <v>2315</v>
      </c>
    </row>
    <row r="251" spans="1:11" x14ac:dyDescent="0.2">
      <c r="A251">
        <v>257</v>
      </c>
      <c r="B251" t="s">
        <v>369</v>
      </c>
      <c r="C251" t="s">
        <v>2705</v>
      </c>
      <c r="E251">
        <v>8</v>
      </c>
      <c r="F251">
        <v>122</v>
      </c>
      <c r="G251" t="s">
        <v>456</v>
      </c>
      <c r="H251" t="s">
        <v>14</v>
      </c>
      <c r="I251" t="s">
        <v>2101</v>
      </c>
      <c r="K251" s="109">
        <v>2605</v>
      </c>
    </row>
    <row r="252" spans="1:11" x14ac:dyDescent="0.2">
      <c r="A252">
        <v>258</v>
      </c>
      <c r="B252" t="s">
        <v>370</v>
      </c>
      <c r="C252" t="s">
        <v>2547</v>
      </c>
      <c r="E252">
        <v>8</v>
      </c>
      <c r="F252">
        <v>116</v>
      </c>
      <c r="G252" t="s">
        <v>456</v>
      </c>
      <c r="H252" t="s">
        <v>14</v>
      </c>
      <c r="I252" t="s">
        <v>2031</v>
      </c>
      <c r="K252" s="109">
        <v>2309</v>
      </c>
    </row>
    <row r="253" spans="1:11" x14ac:dyDescent="0.2">
      <c r="A253">
        <v>259</v>
      </c>
      <c r="B253" s="2" t="s">
        <v>371</v>
      </c>
      <c r="C253" t="s">
        <v>2527</v>
      </c>
      <c r="D253" s="2"/>
      <c r="E253">
        <v>8</v>
      </c>
      <c r="F253">
        <v>116</v>
      </c>
      <c r="G253" t="s">
        <v>456</v>
      </c>
      <c r="H253" t="s">
        <v>14</v>
      </c>
      <c r="I253" t="s">
        <v>2038</v>
      </c>
      <c r="K253" s="109">
        <v>2309</v>
      </c>
    </row>
    <row r="254" spans="1:11" x14ac:dyDescent="0.2">
      <c r="A254">
        <v>260</v>
      </c>
      <c r="B254" t="s">
        <v>372</v>
      </c>
      <c r="C254" t="s">
        <v>2472</v>
      </c>
      <c r="E254" s="2" t="s">
        <v>192</v>
      </c>
      <c r="F254">
        <v>114</v>
      </c>
      <c r="G254" t="s">
        <v>513</v>
      </c>
      <c r="H254" t="s">
        <v>14</v>
      </c>
      <c r="I254" t="s">
        <v>2119</v>
      </c>
      <c r="K254" s="109">
        <v>2307</v>
      </c>
    </row>
    <row r="255" spans="1:11" x14ac:dyDescent="0.2">
      <c r="A255">
        <v>261</v>
      </c>
      <c r="B255" t="s">
        <v>373</v>
      </c>
      <c r="C255" t="s">
        <v>1939</v>
      </c>
      <c r="E255" s="2" t="s">
        <v>192</v>
      </c>
      <c r="F255" t="s">
        <v>344</v>
      </c>
      <c r="G255" t="s">
        <v>513</v>
      </c>
      <c r="H255" t="s">
        <v>11</v>
      </c>
      <c r="I255" t="s">
        <v>2130</v>
      </c>
      <c r="K255" s="109">
        <v>3013</v>
      </c>
    </row>
    <row r="256" spans="1:11" x14ac:dyDescent="0.2">
      <c r="A256">
        <v>262</v>
      </c>
      <c r="B256" t="s">
        <v>374</v>
      </c>
      <c r="C256" t="s">
        <v>1678</v>
      </c>
      <c r="D256" t="s">
        <v>375</v>
      </c>
      <c r="E256" s="2" t="s">
        <v>192</v>
      </c>
      <c r="F256" t="s">
        <v>376</v>
      </c>
      <c r="G256" t="s">
        <v>513</v>
      </c>
      <c r="H256" t="s">
        <v>14</v>
      </c>
      <c r="I256" t="s">
        <v>2148</v>
      </c>
      <c r="K256" s="109">
        <v>2707</v>
      </c>
    </row>
    <row r="257" spans="1:11" x14ac:dyDescent="0.2">
      <c r="A257">
        <v>263</v>
      </c>
      <c r="B257" s="2" t="s">
        <v>377</v>
      </c>
      <c r="C257" t="s">
        <v>2770</v>
      </c>
      <c r="D257" s="2"/>
      <c r="E257" s="2" t="s">
        <v>192</v>
      </c>
      <c r="F257" t="s">
        <v>68</v>
      </c>
      <c r="G257" t="s">
        <v>513</v>
      </c>
      <c r="H257" t="s">
        <v>11</v>
      </c>
      <c r="I257" t="s">
        <v>2153</v>
      </c>
      <c r="K257" s="109">
        <v>2703</v>
      </c>
    </row>
    <row r="258" spans="1:11" x14ac:dyDescent="0.2">
      <c r="A258">
        <v>264</v>
      </c>
      <c r="B258" s="2" t="s">
        <v>378</v>
      </c>
      <c r="C258" t="s">
        <v>2946</v>
      </c>
      <c r="D258" s="2" t="s">
        <v>379</v>
      </c>
      <c r="E258" s="2" t="s">
        <v>192</v>
      </c>
      <c r="F258" t="s">
        <v>380</v>
      </c>
      <c r="G258" t="s">
        <v>513</v>
      </c>
      <c r="H258" t="s">
        <v>14</v>
      </c>
      <c r="I258" t="s">
        <v>2184</v>
      </c>
      <c r="K258" s="109">
        <v>2705</v>
      </c>
    </row>
    <row r="259" spans="1:11" x14ac:dyDescent="0.2">
      <c r="A259">
        <v>265</v>
      </c>
      <c r="B259" s="2" t="s">
        <v>381</v>
      </c>
      <c r="C259" t="s">
        <v>2458</v>
      </c>
      <c r="D259" s="2"/>
      <c r="E259" s="2" t="s">
        <v>192</v>
      </c>
      <c r="F259">
        <v>135</v>
      </c>
      <c r="G259" t="s">
        <v>513</v>
      </c>
      <c r="H259" t="s">
        <v>14</v>
      </c>
      <c r="I259" t="s">
        <v>2226</v>
      </c>
      <c r="K259" s="109">
        <v>1806</v>
      </c>
    </row>
    <row r="260" spans="1:11" x14ac:dyDescent="0.2">
      <c r="A260">
        <v>266</v>
      </c>
      <c r="B260" s="2" t="s">
        <v>382</v>
      </c>
      <c r="C260" t="s">
        <v>2910</v>
      </c>
      <c r="D260" s="2"/>
      <c r="E260" s="2" t="s">
        <v>192</v>
      </c>
      <c r="F260" t="s">
        <v>206</v>
      </c>
      <c r="G260" t="s">
        <v>513</v>
      </c>
      <c r="H260" t="s">
        <v>11</v>
      </c>
      <c r="I260" t="s">
        <v>2245</v>
      </c>
      <c r="K260" s="109">
        <v>2113</v>
      </c>
    </row>
    <row r="261" spans="1:11" x14ac:dyDescent="0.2">
      <c r="A261">
        <v>267</v>
      </c>
      <c r="B261" s="2" t="s">
        <v>383</v>
      </c>
      <c r="C261" t="s">
        <v>2859</v>
      </c>
      <c r="D261" s="2"/>
      <c r="E261" s="2" t="s">
        <v>192</v>
      </c>
      <c r="F261" t="s">
        <v>328</v>
      </c>
      <c r="G261" t="s">
        <v>513</v>
      </c>
      <c r="H261" t="s">
        <v>11</v>
      </c>
      <c r="I261" t="s">
        <v>2254</v>
      </c>
      <c r="K261" s="109">
        <v>2803</v>
      </c>
    </row>
    <row r="262" spans="1:11" x14ac:dyDescent="0.2">
      <c r="A262">
        <v>268</v>
      </c>
      <c r="B262" s="2" t="s">
        <v>384</v>
      </c>
      <c r="C262" t="s">
        <v>2715</v>
      </c>
      <c r="D262" s="2"/>
      <c r="E262">
        <v>4</v>
      </c>
      <c r="F262" t="s">
        <v>385</v>
      </c>
      <c r="G262" t="s">
        <v>513</v>
      </c>
      <c r="H262" t="s">
        <v>11</v>
      </c>
      <c r="I262" t="s">
        <v>1342</v>
      </c>
      <c r="K262" s="109">
        <v>2408</v>
      </c>
    </row>
    <row r="263" spans="1:11" x14ac:dyDescent="0.2">
      <c r="A263">
        <v>269</v>
      </c>
      <c r="B263" s="76" t="s">
        <v>386</v>
      </c>
      <c r="C263" s="81" t="s">
        <v>2332</v>
      </c>
      <c r="D263" s="2"/>
      <c r="E263">
        <v>7</v>
      </c>
      <c r="F263" t="s">
        <v>387</v>
      </c>
      <c r="G263" t="s">
        <v>513</v>
      </c>
      <c r="H263" t="s">
        <v>11</v>
      </c>
      <c r="I263" t="s">
        <v>1885</v>
      </c>
      <c r="K263" s="109">
        <v>2108</v>
      </c>
    </row>
    <row r="264" spans="1:11" x14ac:dyDescent="0.2">
      <c r="A264">
        <v>270</v>
      </c>
      <c r="B264" s="2" t="s">
        <v>388</v>
      </c>
      <c r="C264" t="s">
        <v>1332</v>
      </c>
      <c r="D264" s="2"/>
      <c r="E264">
        <v>5</v>
      </c>
      <c r="F264">
        <v>100</v>
      </c>
      <c r="G264" t="s">
        <v>456</v>
      </c>
      <c r="H264" t="s">
        <v>14</v>
      </c>
      <c r="I264" t="s">
        <v>1434</v>
      </c>
      <c r="K264" s="109">
        <v>1511</v>
      </c>
    </row>
    <row r="265" spans="1:11" ht="15" customHeight="1" x14ac:dyDescent="0.2">
      <c r="A265">
        <v>271</v>
      </c>
      <c r="B265" s="2" t="s">
        <v>389</v>
      </c>
      <c r="C265" t="s">
        <v>2339</v>
      </c>
      <c r="D265" s="2"/>
      <c r="E265">
        <v>4</v>
      </c>
      <c r="F265" t="s">
        <v>385</v>
      </c>
      <c r="G265" t="s">
        <v>513</v>
      </c>
      <c r="H265" t="s">
        <v>11</v>
      </c>
      <c r="I265" t="s">
        <v>1336</v>
      </c>
      <c r="K265" s="109">
        <v>2408</v>
      </c>
    </row>
    <row r="266" spans="1:11" ht="15" customHeight="1" x14ac:dyDescent="0.2">
      <c r="A266">
        <v>272</v>
      </c>
      <c r="B266" s="82" t="s">
        <v>390</v>
      </c>
      <c r="C266" t="s">
        <v>2753</v>
      </c>
      <c r="D266" s="2"/>
      <c r="E266">
        <v>2</v>
      </c>
      <c r="F266" t="s">
        <v>96</v>
      </c>
      <c r="G266" t="s">
        <v>513</v>
      </c>
      <c r="H266" t="s">
        <v>14</v>
      </c>
      <c r="I266" t="s">
        <v>695</v>
      </c>
      <c r="K266" s="109" t="s">
        <v>3024</v>
      </c>
    </row>
    <row r="267" spans="1:11" ht="15" customHeight="1" x14ac:dyDescent="0.2">
      <c r="A267">
        <v>273</v>
      </c>
      <c r="B267" s="2" t="s">
        <v>391</v>
      </c>
      <c r="C267" t="s">
        <v>2733</v>
      </c>
      <c r="D267" s="2" t="s">
        <v>392</v>
      </c>
      <c r="E267">
        <v>6</v>
      </c>
      <c r="F267">
        <v>145</v>
      </c>
      <c r="G267" t="s">
        <v>513</v>
      </c>
      <c r="H267" t="s">
        <v>14</v>
      </c>
      <c r="I267" t="s">
        <v>1796</v>
      </c>
      <c r="K267" s="109">
        <v>2105</v>
      </c>
    </row>
    <row r="268" spans="1:11" ht="15" customHeight="1" x14ac:dyDescent="0.2">
      <c r="A268">
        <v>274</v>
      </c>
      <c r="B268" s="82" t="s">
        <v>393</v>
      </c>
      <c r="C268" t="s">
        <v>2679</v>
      </c>
      <c r="D268" s="2"/>
      <c r="E268" s="78">
        <v>5</v>
      </c>
      <c r="F268" s="78">
        <v>146</v>
      </c>
      <c r="G268" t="s">
        <v>456</v>
      </c>
      <c r="H268" t="s">
        <v>14</v>
      </c>
      <c r="I268" t="s">
        <v>1408</v>
      </c>
      <c r="K268" s="109">
        <v>1611</v>
      </c>
    </row>
    <row r="269" spans="1:11" ht="15" customHeight="1" x14ac:dyDescent="0.2">
      <c r="A269">
        <v>275</v>
      </c>
      <c r="B269" s="82" t="s">
        <v>394</v>
      </c>
      <c r="C269" t="s">
        <v>2512</v>
      </c>
      <c r="D269" s="2"/>
      <c r="E269" s="79">
        <v>5</v>
      </c>
      <c r="F269" s="79">
        <v>146</v>
      </c>
      <c r="G269" t="s">
        <v>456</v>
      </c>
      <c r="H269" t="s">
        <v>14</v>
      </c>
      <c r="I269" t="s">
        <v>1422</v>
      </c>
      <c r="K269" s="109">
        <v>1611</v>
      </c>
    </row>
  </sheetData>
  <conditionalFormatting sqref="B1">
    <cfRule type="duplicateValues" dxfId="26" priority="5"/>
  </conditionalFormatting>
  <conditionalFormatting sqref="B1:B269">
    <cfRule type="colorScale" priority="1">
      <colorScale>
        <cfvo type="min"/>
        <cfvo type="max"/>
        <color rgb="FFFF7128"/>
        <color rgb="FFFFEF9C"/>
      </colorScale>
    </cfRule>
  </conditionalFormatting>
  <conditionalFormatting sqref="B270:B1048576">
    <cfRule type="colorScale" priority="8">
      <colorScale>
        <cfvo type="min"/>
        <cfvo type="max"/>
        <color rgb="FFFF7128"/>
        <color rgb="FFFFEF9C"/>
      </colorScale>
    </cfRule>
  </conditionalFormatting>
  <conditionalFormatting sqref="B2:C269">
    <cfRule type="duplicateValues" dxfId="25" priority="6"/>
  </conditionalFormatting>
  <conditionalFormatting sqref="B270:C1048576">
    <cfRule type="duplicateValues" dxfId="24" priority="21"/>
  </conditionalFormatting>
  <conditionalFormatting sqref="C1">
    <cfRule type="duplicateValues" dxfId="23" priority="2"/>
  </conditionalFormatting>
  <conditionalFormatting sqref="E180">
    <cfRule type="duplicateValues" dxfId="22" priority="4"/>
  </conditionalFormatting>
  <conditionalFormatting sqref="E254:E261 E229">
    <cfRule type="duplicateValues" dxfId="21" priority="3"/>
  </conditionalFormatting>
  <hyperlinks>
    <hyperlink ref="B127" r:id="rId1" xr:uid="{00B4E002-3832-4797-B764-3B39826F5851}"/>
    <hyperlink ref="B151" r:id="rId2" xr:uid="{313DC5E9-126A-464D-BE67-F90417C419FB}"/>
    <hyperlink ref="B30" r:id="rId3" xr:uid="{82CD163B-A6F5-40E3-A62F-E94C6377D4A2}"/>
    <hyperlink ref="B70" r:id="rId4" xr:uid="{E49BD128-F4CA-415C-AD68-E74674AC124D}"/>
    <hyperlink ref="B263" r:id="rId5" xr:uid="{E7BFDD18-F6AF-4568-A289-B1319CF232E6}"/>
  </hyperlinks>
  <pageMargins left="0.7" right="0.7" top="0.75" bottom="0.75" header="0.3" footer="0.3"/>
  <pageSetup paperSize="9" orientation="portrait" r:id="rId6"/>
  <tableParts count="1">
    <tablePart r:id="rId7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ACD430-2432-F840-8D3B-C2E242D6FCFA}">
  <dimension ref="A1:M9"/>
  <sheetViews>
    <sheetView workbookViewId="0">
      <selection activeCell="C5" sqref="C5"/>
    </sheetView>
  </sheetViews>
  <sheetFormatPr baseColWidth="10" defaultColWidth="11.5" defaultRowHeight="15" x14ac:dyDescent="0.2"/>
  <cols>
    <col min="2" max="2" width="24" bestFit="1" customWidth="1"/>
    <col min="3" max="3" width="24.6640625" bestFit="1" customWidth="1"/>
  </cols>
  <sheetData>
    <row r="1" spans="1:13" x14ac:dyDescent="0.2">
      <c r="A1" t="s">
        <v>395</v>
      </c>
      <c r="B1" t="s">
        <v>396</v>
      </c>
      <c r="C1" t="s">
        <v>397</v>
      </c>
      <c r="D1" t="s">
        <v>398</v>
      </c>
    </row>
    <row r="2" spans="1:13" x14ac:dyDescent="0.2">
      <c r="A2">
        <v>1</v>
      </c>
      <c r="B2" s="78" t="s">
        <v>62</v>
      </c>
      <c r="C2" s="78" t="s">
        <v>399</v>
      </c>
      <c r="D2" s="1" t="s">
        <v>400</v>
      </c>
    </row>
    <row r="3" spans="1:13" x14ac:dyDescent="0.2">
      <c r="A3">
        <v>2</v>
      </c>
      <c r="B3" s="32" t="s">
        <v>121</v>
      </c>
      <c r="C3" s="32" t="s">
        <v>401</v>
      </c>
      <c r="D3" s="1" t="s">
        <v>402</v>
      </c>
    </row>
    <row r="4" spans="1:13" x14ac:dyDescent="0.2">
      <c r="A4">
        <v>3</v>
      </c>
      <c r="B4" s="79" t="s">
        <v>162</v>
      </c>
      <c r="C4" s="79" t="s">
        <v>403</v>
      </c>
      <c r="D4" s="1" t="s">
        <v>404</v>
      </c>
    </row>
    <row r="5" spans="1:13" x14ac:dyDescent="0.2">
      <c r="A5">
        <v>4</v>
      </c>
      <c r="B5" s="10" t="s">
        <v>187</v>
      </c>
      <c r="C5" s="10" t="s">
        <v>405</v>
      </c>
      <c r="D5" s="1" t="s">
        <v>1180</v>
      </c>
      <c r="K5" t="s">
        <v>55</v>
      </c>
      <c r="L5" t="s">
        <v>407</v>
      </c>
      <c r="M5" s="1" t="s">
        <v>408</v>
      </c>
    </row>
    <row r="6" spans="1:13" x14ac:dyDescent="0.2">
      <c r="A6">
        <v>5</v>
      </c>
      <c r="B6" s="78" t="s">
        <v>242</v>
      </c>
      <c r="C6" s="78" t="s">
        <v>409</v>
      </c>
      <c r="D6" s="1" t="s">
        <v>410</v>
      </c>
    </row>
    <row r="7" spans="1:13" x14ac:dyDescent="0.2">
      <c r="A7">
        <v>6</v>
      </c>
      <c r="B7" s="79" t="s">
        <v>295</v>
      </c>
      <c r="C7" s="79" t="s">
        <v>411</v>
      </c>
      <c r="D7" s="1" t="s">
        <v>412</v>
      </c>
    </row>
    <row r="8" spans="1:13" x14ac:dyDescent="0.2">
      <c r="A8">
        <v>7</v>
      </c>
      <c r="B8" s="32" t="s">
        <v>299</v>
      </c>
      <c r="C8" s="32" t="s">
        <v>413</v>
      </c>
      <c r="D8" s="1" t="s">
        <v>414</v>
      </c>
    </row>
    <row r="9" spans="1:13" x14ac:dyDescent="0.2">
      <c r="A9">
        <v>8</v>
      </c>
      <c r="B9" s="79" t="s">
        <v>345</v>
      </c>
      <c r="C9" s="79" t="s">
        <v>415</v>
      </c>
      <c r="D9" s="80" t="s">
        <v>416</v>
      </c>
    </row>
  </sheetData>
  <conditionalFormatting sqref="B3">
    <cfRule type="duplicateValues" dxfId="20" priority="5"/>
  </conditionalFormatting>
  <conditionalFormatting sqref="B5">
    <cfRule type="duplicateValues" dxfId="19" priority="3"/>
  </conditionalFormatting>
  <conditionalFormatting sqref="B8">
    <cfRule type="duplicateValues" dxfId="18" priority="1"/>
  </conditionalFormatting>
  <conditionalFormatting sqref="C3">
    <cfRule type="duplicateValues" dxfId="17" priority="6"/>
  </conditionalFormatting>
  <conditionalFormatting sqref="C5">
    <cfRule type="duplicateValues" dxfId="16" priority="4"/>
  </conditionalFormatting>
  <conditionalFormatting sqref="C8">
    <cfRule type="duplicateValues" dxfId="15" priority="2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0B5B1F-7F1E-4AC3-A46F-9B0FCE71A9A1}">
  <dimension ref="A1:AM334"/>
  <sheetViews>
    <sheetView topLeftCell="Z1" workbookViewId="0">
      <selection activeCell="AO28" sqref="AO28"/>
    </sheetView>
  </sheetViews>
  <sheetFormatPr baseColWidth="10" defaultColWidth="8.83203125" defaultRowHeight="15" x14ac:dyDescent="0.2"/>
  <cols>
    <col min="1" max="1" width="36" bestFit="1" customWidth="1"/>
    <col min="2" max="2" width="32.6640625" bestFit="1" customWidth="1"/>
    <col min="3" max="3" width="39.5" bestFit="1" customWidth="1"/>
    <col min="4" max="4" width="36.1640625" bestFit="1" customWidth="1"/>
    <col min="5" max="5" width="64.83203125" bestFit="1" customWidth="1"/>
    <col min="6" max="6" width="51.5" bestFit="1" customWidth="1"/>
    <col min="7" max="7" width="58.33203125" bestFit="1" customWidth="1"/>
    <col min="8" max="8" width="42.5" bestFit="1" customWidth="1"/>
    <col min="9" max="9" width="107.33203125" bestFit="1" customWidth="1"/>
    <col min="10" max="10" width="30.33203125" bestFit="1" customWidth="1"/>
    <col min="11" max="11" width="28.5" bestFit="1" customWidth="1"/>
    <col min="12" max="12" width="27.5" bestFit="1" customWidth="1"/>
    <col min="13" max="13" width="17.6640625" bestFit="1" customWidth="1"/>
    <col min="14" max="14" width="9.5" bestFit="1" customWidth="1"/>
    <col min="15" max="15" width="6.33203125" bestFit="1" customWidth="1"/>
    <col min="16" max="17" width="6.5" bestFit="1" customWidth="1"/>
    <col min="18" max="18" width="8" bestFit="1" customWidth="1"/>
    <col min="19" max="19" width="7.6640625" bestFit="1" customWidth="1"/>
    <col min="20" max="20" width="9.6640625" bestFit="1" customWidth="1"/>
    <col min="21" max="21" width="12.33203125" bestFit="1" customWidth="1"/>
    <col min="22" max="22" width="10.83203125" bestFit="1" customWidth="1"/>
    <col min="23" max="23" width="102" bestFit="1" customWidth="1"/>
    <col min="24" max="24" width="7.83203125" bestFit="1" customWidth="1"/>
    <col min="25" max="25" width="26.6640625" bestFit="1" customWidth="1"/>
    <col min="26" max="26" width="26.33203125" bestFit="1" customWidth="1"/>
  </cols>
  <sheetData>
    <row r="1" spans="1:39" x14ac:dyDescent="0.2">
      <c r="A1" t="s">
        <v>1</v>
      </c>
      <c r="B1" t="s">
        <v>417</v>
      </c>
      <c r="C1" t="s">
        <v>418</v>
      </c>
      <c r="D1" t="s">
        <v>419</v>
      </c>
      <c r="E1" t="s">
        <v>420</v>
      </c>
      <c r="F1" t="s">
        <v>421</v>
      </c>
      <c r="G1" t="s">
        <v>422</v>
      </c>
      <c r="H1" t="s">
        <v>423</v>
      </c>
      <c r="I1" t="s">
        <v>424</v>
      </c>
      <c r="J1" t="s">
        <v>425</v>
      </c>
      <c r="K1" t="s">
        <v>426</v>
      </c>
      <c r="L1" t="s">
        <v>427</v>
      </c>
      <c r="M1" t="s">
        <v>428</v>
      </c>
      <c r="N1" t="s">
        <v>429</v>
      </c>
      <c r="O1" t="s">
        <v>430</v>
      </c>
      <c r="P1" t="s">
        <v>431</v>
      </c>
      <c r="Q1" t="s">
        <v>432</v>
      </c>
      <c r="R1" t="s">
        <v>433</v>
      </c>
      <c r="S1" t="s">
        <v>434</v>
      </c>
      <c r="T1" t="s">
        <v>435</v>
      </c>
      <c r="U1" t="s">
        <v>6</v>
      </c>
      <c r="V1" t="s">
        <v>7</v>
      </c>
      <c r="W1" t="s">
        <v>436</v>
      </c>
      <c r="X1" t="s">
        <v>437</v>
      </c>
      <c r="Y1" t="s">
        <v>438</v>
      </c>
      <c r="Z1" t="s">
        <v>439</v>
      </c>
      <c r="AE1" s="87" t="s">
        <v>440</v>
      </c>
      <c r="AF1" s="88" t="s">
        <v>437</v>
      </c>
      <c r="AG1" s="88" t="s">
        <v>441</v>
      </c>
      <c r="AH1" s="87" t="s">
        <v>442</v>
      </c>
      <c r="AI1" s="89" t="s">
        <v>443</v>
      </c>
      <c r="AJ1" s="87" t="s">
        <v>444</v>
      </c>
      <c r="AK1" s="89" t="s">
        <v>445</v>
      </c>
      <c r="AL1" s="87" t="s">
        <v>446</v>
      </c>
      <c r="AM1" s="87" t="s">
        <v>447</v>
      </c>
    </row>
    <row r="2" spans="1:39" x14ac:dyDescent="0.2">
      <c r="A2" t="s">
        <v>9</v>
      </c>
      <c r="B2" t="s">
        <v>448</v>
      </c>
      <c r="C2" t="s">
        <v>449</v>
      </c>
      <c r="D2" s="85" t="s">
        <v>450</v>
      </c>
      <c r="E2">
        <v>823387274</v>
      </c>
      <c r="F2" t="s">
        <v>0</v>
      </c>
      <c r="H2" t="s">
        <v>451</v>
      </c>
      <c r="J2" t="s">
        <v>452</v>
      </c>
      <c r="K2" t="s">
        <v>453</v>
      </c>
      <c r="L2" t="s">
        <v>454</v>
      </c>
      <c r="M2" t="s">
        <v>455</v>
      </c>
      <c r="N2" t="s">
        <v>0</v>
      </c>
      <c r="O2">
        <v>0</v>
      </c>
      <c r="P2">
        <v>0</v>
      </c>
      <c r="Q2">
        <v>0</v>
      </c>
      <c r="R2">
        <v>1</v>
      </c>
      <c r="S2">
        <v>1</v>
      </c>
      <c r="T2">
        <v>89</v>
      </c>
      <c r="U2" t="s">
        <v>456</v>
      </c>
      <c r="V2" t="s">
        <v>14</v>
      </c>
      <c r="W2" t="s">
        <v>457</v>
      </c>
      <c r="X2" t="s">
        <v>458</v>
      </c>
      <c r="Z2" t="s">
        <v>459</v>
      </c>
      <c r="AE2" s="90">
        <v>1</v>
      </c>
      <c r="AF2" s="92" t="s">
        <v>460</v>
      </c>
      <c r="AG2" s="84" t="s">
        <v>461</v>
      </c>
      <c r="AH2" s="91" t="s">
        <v>462</v>
      </c>
      <c r="AI2" s="92" t="s">
        <v>463</v>
      </c>
      <c r="AJ2" s="92" t="s">
        <v>464</v>
      </c>
      <c r="AK2" s="92" t="s">
        <v>465</v>
      </c>
      <c r="AL2" s="91" t="s">
        <v>466</v>
      </c>
      <c r="AM2" s="91" t="b">
        <v>0</v>
      </c>
    </row>
    <row r="3" spans="1:39" x14ac:dyDescent="0.2">
      <c r="A3" t="s">
        <v>12</v>
      </c>
      <c r="B3" t="s">
        <v>467</v>
      </c>
      <c r="C3" t="s">
        <v>449</v>
      </c>
      <c r="D3" s="85" t="s">
        <v>464</v>
      </c>
      <c r="E3">
        <v>396744435</v>
      </c>
      <c r="F3" t="s">
        <v>0</v>
      </c>
      <c r="H3" t="s">
        <v>451</v>
      </c>
      <c r="J3" t="s">
        <v>452</v>
      </c>
      <c r="K3" t="s">
        <v>453</v>
      </c>
      <c r="L3" t="s">
        <v>468</v>
      </c>
      <c r="M3" t="s">
        <v>455</v>
      </c>
      <c r="N3" t="s">
        <v>0</v>
      </c>
      <c r="O3">
        <v>0</v>
      </c>
      <c r="P3">
        <v>0</v>
      </c>
      <c r="Q3">
        <v>0</v>
      </c>
      <c r="R3">
        <v>1</v>
      </c>
      <c r="S3">
        <v>1</v>
      </c>
      <c r="T3">
        <v>1</v>
      </c>
      <c r="U3" t="s">
        <v>456</v>
      </c>
      <c r="V3" t="s">
        <v>14</v>
      </c>
      <c r="W3" t="s">
        <v>469</v>
      </c>
      <c r="X3" t="s">
        <v>458</v>
      </c>
      <c r="Z3" t="s">
        <v>459</v>
      </c>
      <c r="AE3" s="90">
        <v>1</v>
      </c>
      <c r="AF3" s="92" t="s">
        <v>460</v>
      </c>
      <c r="AG3" s="110" t="s">
        <v>470</v>
      </c>
      <c r="AH3" s="91" t="s">
        <v>471</v>
      </c>
      <c r="AI3" s="92" t="s">
        <v>463</v>
      </c>
      <c r="AJ3" s="92" t="s">
        <v>472</v>
      </c>
      <c r="AK3" s="92" t="s">
        <v>473</v>
      </c>
      <c r="AL3" s="91" t="s">
        <v>474</v>
      </c>
      <c r="AM3" s="91" t="b">
        <v>0</v>
      </c>
    </row>
    <row r="4" spans="1:39" x14ac:dyDescent="0.2">
      <c r="A4" t="s">
        <v>15</v>
      </c>
      <c r="B4" t="s">
        <v>475</v>
      </c>
      <c r="C4" t="s">
        <v>449</v>
      </c>
      <c r="D4" s="85" t="s">
        <v>476</v>
      </c>
      <c r="E4">
        <v>968963049</v>
      </c>
      <c r="F4" t="s">
        <v>0</v>
      </c>
      <c r="H4" t="s">
        <v>451</v>
      </c>
      <c r="J4" t="s">
        <v>452</v>
      </c>
      <c r="K4" t="s">
        <v>453</v>
      </c>
      <c r="L4" t="s">
        <v>468</v>
      </c>
      <c r="M4" t="s">
        <v>455</v>
      </c>
      <c r="N4" t="s">
        <v>0</v>
      </c>
      <c r="O4">
        <v>0</v>
      </c>
      <c r="P4">
        <v>0</v>
      </c>
      <c r="Q4">
        <v>0</v>
      </c>
      <c r="R4">
        <v>1</v>
      </c>
      <c r="S4">
        <v>1</v>
      </c>
      <c r="T4">
        <v>2</v>
      </c>
      <c r="U4" t="s">
        <v>456</v>
      </c>
      <c r="V4" t="s">
        <v>14</v>
      </c>
      <c r="W4" t="s">
        <v>477</v>
      </c>
      <c r="X4" t="s">
        <v>458</v>
      </c>
      <c r="Z4" t="s">
        <v>459</v>
      </c>
      <c r="AE4" s="90">
        <v>1</v>
      </c>
      <c r="AF4" s="92" t="s">
        <v>460</v>
      </c>
      <c r="AG4" s="110"/>
      <c r="AH4" s="91" t="s">
        <v>478</v>
      </c>
      <c r="AI4" s="92" t="s">
        <v>463</v>
      </c>
      <c r="AJ4" s="92" t="s">
        <v>476</v>
      </c>
      <c r="AK4" s="92" t="s">
        <v>479</v>
      </c>
      <c r="AL4" s="91" t="s">
        <v>474</v>
      </c>
      <c r="AM4" s="91" t="b">
        <v>0</v>
      </c>
    </row>
    <row r="5" spans="1:39" x14ac:dyDescent="0.2">
      <c r="A5" t="s">
        <v>17</v>
      </c>
      <c r="B5" t="s">
        <v>480</v>
      </c>
      <c r="C5" t="s">
        <v>449</v>
      </c>
      <c r="D5" s="85" t="s">
        <v>472</v>
      </c>
      <c r="E5">
        <v>918626459</v>
      </c>
      <c r="F5" t="s">
        <v>0</v>
      </c>
      <c r="H5" t="s">
        <v>451</v>
      </c>
      <c r="I5" t="s">
        <v>481</v>
      </c>
      <c r="J5" t="s">
        <v>452</v>
      </c>
      <c r="K5" t="s">
        <v>453</v>
      </c>
      <c r="L5" t="s">
        <v>468</v>
      </c>
      <c r="M5" t="s">
        <v>455</v>
      </c>
      <c r="N5" t="s">
        <v>0</v>
      </c>
      <c r="O5">
        <v>0</v>
      </c>
      <c r="P5">
        <v>0</v>
      </c>
      <c r="Q5">
        <v>0</v>
      </c>
      <c r="R5">
        <v>1</v>
      </c>
      <c r="S5">
        <v>1</v>
      </c>
      <c r="T5">
        <v>2</v>
      </c>
      <c r="U5" t="s">
        <v>456</v>
      </c>
      <c r="V5" t="s">
        <v>14</v>
      </c>
      <c r="W5" t="s">
        <v>482</v>
      </c>
      <c r="X5" t="s">
        <v>458</v>
      </c>
      <c r="Z5" t="s">
        <v>459</v>
      </c>
      <c r="AE5" s="90">
        <v>1</v>
      </c>
      <c r="AF5" s="92" t="s">
        <v>460</v>
      </c>
      <c r="AG5" s="110" t="s">
        <v>483</v>
      </c>
      <c r="AH5" s="101" t="s">
        <v>484</v>
      </c>
      <c r="AI5" s="102" t="s">
        <v>485</v>
      </c>
      <c r="AJ5" s="102" t="s">
        <v>486</v>
      </c>
      <c r="AK5" s="102" t="s">
        <v>487</v>
      </c>
      <c r="AL5" s="101" t="s">
        <v>488</v>
      </c>
      <c r="AM5" s="101" t="b">
        <v>0</v>
      </c>
    </row>
    <row r="6" spans="1:39" x14ac:dyDescent="0.2">
      <c r="A6" t="s">
        <v>18</v>
      </c>
      <c r="B6" t="s">
        <v>489</v>
      </c>
      <c r="C6" t="s">
        <v>449</v>
      </c>
      <c r="D6" s="85" t="s">
        <v>490</v>
      </c>
      <c r="E6">
        <v>901936418</v>
      </c>
      <c r="F6" t="s">
        <v>0</v>
      </c>
      <c r="H6" t="s">
        <v>451</v>
      </c>
      <c r="J6" t="s">
        <v>452</v>
      </c>
      <c r="K6" t="s">
        <v>491</v>
      </c>
      <c r="L6" t="s">
        <v>492</v>
      </c>
      <c r="M6" t="s">
        <v>455</v>
      </c>
      <c r="N6" t="s">
        <v>0</v>
      </c>
      <c r="O6">
        <v>0</v>
      </c>
      <c r="P6">
        <v>0</v>
      </c>
      <c r="Q6">
        <v>0</v>
      </c>
      <c r="R6">
        <v>1</v>
      </c>
      <c r="S6">
        <v>1</v>
      </c>
      <c r="T6">
        <v>85</v>
      </c>
      <c r="U6" t="s">
        <v>456</v>
      </c>
      <c r="V6" t="s">
        <v>14</v>
      </c>
      <c r="W6" t="s">
        <v>493</v>
      </c>
      <c r="X6" t="s">
        <v>458</v>
      </c>
      <c r="Z6" t="s">
        <v>459</v>
      </c>
      <c r="AE6" s="90">
        <v>1</v>
      </c>
      <c r="AF6" s="92" t="s">
        <v>460</v>
      </c>
      <c r="AG6" s="110"/>
      <c r="AH6" s="91" t="s">
        <v>494</v>
      </c>
      <c r="AI6" s="92" t="s">
        <v>485</v>
      </c>
      <c r="AJ6" s="92" t="s">
        <v>495</v>
      </c>
      <c r="AK6" s="92" t="s">
        <v>496</v>
      </c>
      <c r="AL6" s="91" t="s">
        <v>474</v>
      </c>
      <c r="AM6" s="91" t="b">
        <v>0</v>
      </c>
    </row>
    <row r="7" spans="1:39" x14ac:dyDescent="0.2">
      <c r="A7" t="s">
        <v>20</v>
      </c>
      <c r="B7" t="s">
        <v>497</v>
      </c>
      <c r="C7" t="s">
        <v>449</v>
      </c>
      <c r="D7" s="85" t="s">
        <v>498</v>
      </c>
      <c r="E7">
        <v>909324150</v>
      </c>
      <c r="F7" t="s">
        <v>0</v>
      </c>
      <c r="H7" t="s">
        <v>451</v>
      </c>
      <c r="J7" t="s">
        <v>452</v>
      </c>
      <c r="K7" t="s">
        <v>491</v>
      </c>
      <c r="L7" t="s">
        <v>492</v>
      </c>
      <c r="M7" t="s">
        <v>455</v>
      </c>
      <c r="N7" t="s">
        <v>0</v>
      </c>
      <c r="O7">
        <v>0</v>
      </c>
      <c r="P7">
        <v>0</v>
      </c>
      <c r="Q7">
        <v>0</v>
      </c>
      <c r="R7">
        <v>1</v>
      </c>
      <c r="S7">
        <v>1</v>
      </c>
      <c r="T7">
        <v>88</v>
      </c>
      <c r="U7" t="s">
        <v>456</v>
      </c>
      <c r="V7" t="s">
        <v>14</v>
      </c>
      <c r="W7" t="s">
        <v>499</v>
      </c>
      <c r="X7" t="s">
        <v>458</v>
      </c>
      <c r="Z7" t="s">
        <v>459</v>
      </c>
      <c r="AE7" s="90">
        <v>1</v>
      </c>
      <c r="AF7" s="92" t="s">
        <v>460</v>
      </c>
      <c r="AG7" s="110" t="s">
        <v>500</v>
      </c>
      <c r="AH7" s="91" t="s">
        <v>501</v>
      </c>
      <c r="AI7" s="92" t="s">
        <v>485</v>
      </c>
      <c r="AJ7" s="92" t="s">
        <v>502</v>
      </c>
      <c r="AK7" s="92" t="s">
        <v>503</v>
      </c>
      <c r="AL7" s="91" t="s">
        <v>474</v>
      </c>
      <c r="AM7" s="91" t="b">
        <v>0</v>
      </c>
    </row>
    <row r="8" spans="1:39" x14ac:dyDescent="0.2">
      <c r="A8" t="s">
        <v>22</v>
      </c>
      <c r="B8" t="s">
        <v>504</v>
      </c>
      <c r="C8" t="s">
        <v>449</v>
      </c>
      <c r="D8" s="85" t="s">
        <v>505</v>
      </c>
      <c r="E8">
        <v>901401929</v>
      </c>
      <c r="F8" t="s">
        <v>0</v>
      </c>
      <c r="H8" t="s">
        <v>451</v>
      </c>
      <c r="J8" t="s">
        <v>452</v>
      </c>
      <c r="K8" t="s">
        <v>506</v>
      </c>
      <c r="L8" t="s">
        <v>507</v>
      </c>
      <c r="M8" t="s">
        <v>455</v>
      </c>
      <c r="N8" t="s">
        <v>0</v>
      </c>
      <c r="O8">
        <v>0</v>
      </c>
      <c r="P8">
        <v>0</v>
      </c>
      <c r="Q8">
        <v>0</v>
      </c>
      <c r="R8">
        <v>1</v>
      </c>
      <c r="S8">
        <v>1</v>
      </c>
      <c r="T8">
        <v>85</v>
      </c>
      <c r="U8" t="s">
        <v>456</v>
      </c>
      <c r="V8" t="s">
        <v>14</v>
      </c>
      <c r="W8" t="s">
        <v>508</v>
      </c>
      <c r="X8" t="s">
        <v>458</v>
      </c>
      <c r="Z8" t="s">
        <v>459</v>
      </c>
      <c r="AE8" s="90">
        <v>1</v>
      </c>
      <c r="AF8" s="92" t="s">
        <v>460</v>
      </c>
      <c r="AG8" s="110"/>
      <c r="AH8" s="91" t="s">
        <v>509</v>
      </c>
      <c r="AI8" s="92" t="s">
        <v>485</v>
      </c>
      <c r="AJ8" s="92" t="s">
        <v>510</v>
      </c>
      <c r="AK8" s="92" t="s">
        <v>408</v>
      </c>
      <c r="AL8" s="91" t="s">
        <v>474</v>
      </c>
      <c r="AM8" s="91" t="b">
        <v>0</v>
      </c>
    </row>
    <row r="9" spans="1:39" x14ac:dyDescent="0.2">
      <c r="A9" t="s">
        <v>23</v>
      </c>
      <c r="B9" t="s">
        <v>511</v>
      </c>
      <c r="C9" t="s">
        <v>449</v>
      </c>
      <c r="D9" s="85" t="s">
        <v>512</v>
      </c>
      <c r="E9">
        <v>942198738</v>
      </c>
      <c r="F9" t="s">
        <v>0</v>
      </c>
      <c r="H9" t="s">
        <v>451</v>
      </c>
      <c r="J9" t="s">
        <v>452</v>
      </c>
      <c r="K9" t="s">
        <v>453</v>
      </c>
      <c r="L9" t="s">
        <v>454</v>
      </c>
      <c r="M9" t="s">
        <v>455</v>
      </c>
      <c r="N9" t="s">
        <v>0</v>
      </c>
      <c r="O9">
        <v>0</v>
      </c>
      <c r="P9">
        <v>0</v>
      </c>
      <c r="Q9">
        <v>0</v>
      </c>
      <c r="R9">
        <v>1</v>
      </c>
      <c r="S9">
        <v>1</v>
      </c>
      <c r="T9">
        <v>4</v>
      </c>
      <c r="U9" t="s">
        <v>513</v>
      </c>
      <c r="V9" t="s">
        <v>11</v>
      </c>
      <c r="W9" t="s">
        <v>514</v>
      </c>
      <c r="X9" t="s">
        <v>458</v>
      </c>
      <c r="Z9" t="s">
        <v>459</v>
      </c>
      <c r="AE9" s="90">
        <v>1</v>
      </c>
      <c r="AF9" s="92" t="s">
        <v>460</v>
      </c>
      <c r="AG9" s="110" t="s">
        <v>515</v>
      </c>
      <c r="AH9" s="91" t="s">
        <v>516</v>
      </c>
      <c r="AI9" s="92" t="s">
        <v>463</v>
      </c>
      <c r="AJ9" s="92" t="s">
        <v>517</v>
      </c>
      <c r="AK9" s="92" t="s">
        <v>518</v>
      </c>
      <c r="AL9" s="91" t="s">
        <v>518</v>
      </c>
      <c r="AM9" s="91" t="b">
        <v>0</v>
      </c>
    </row>
    <row r="10" spans="1:39" x14ac:dyDescent="0.2">
      <c r="A10" t="s">
        <v>25</v>
      </c>
      <c r="B10" t="s">
        <v>519</v>
      </c>
      <c r="C10" t="s">
        <v>449</v>
      </c>
      <c r="D10" s="85" t="s">
        <v>520</v>
      </c>
      <c r="E10">
        <v>386788883</v>
      </c>
      <c r="F10" t="s">
        <v>0</v>
      </c>
      <c r="H10" t="s">
        <v>451</v>
      </c>
      <c r="J10" t="s">
        <v>452</v>
      </c>
      <c r="K10" t="s">
        <v>453</v>
      </c>
      <c r="L10" t="s">
        <v>454</v>
      </c>
      <c r="M10" t="s">
        <v>455</v>
      </c>
      <c r="N10" t="s">
        <v>0</v>
      </c>
      <c r="O10">
        <v>0</v>
      </c>
      <c r="P10">
        <v>0</v>
      </c>
      <c r="Q10">
        <v>0</v>
      </c>
      <c r="R10">
        <v>1</v>
      </c>
      <c r="S10">
        <v>1</v>
      </c>
      <c r="T10">
        <v>4</v>
      </c>
      <c r="U10" t="s">
        <v>513</v>
      </c>
      <c r="V10" t="s">
        <v>11</v>
      </c>
      <c r="W10" t="s">
        <v>521</v>
      </c>
      <c r="X10" t="s">
        <v>458</v>
      </c>
      <c r="Z10" t="s">
        <v>459</v>
      </c>
      <c r="AE10" s="90">
        <v>1</v>
      </c>
      <c r="AF10" s="92" t="s">
        <v>460</v>
      </c>
      <c r="AG10" s="110"/>
      <c r="AH10" s="91" t="s">
        <v>522</v>
      </c>
      <c r="AI10" s="92" t="s">
        <v>485</v>
      </c>
      <c r="AJ10" s="92" t="s">
        <v>523</v>
      </c>
      <c r="AK10" s="92" t="s">
        <v>524</v>
      </c>
      <c r="AL10" s="91" t="s">
        <v>518</v>
      </c>
      <c r="AM10" s="91" t="b">
        <v>0</v>
      </c>
    </row>
    <row r="11" spans="1:39" x14ac:dyDescent="0.2">
      <c r="A11" t="s">
        <v>26</v>
      </c>
      <c r="B11" t="s">
        <v>525</v>
      </c>
      <c r="C11" t="s">
        <v>449</v>
      </c>
      <c r="D11" s="85" t="s">
        <v>526</v>
      </c>
      <c r="E11">
        <v>938945445</v>
      </c>
      <c r="F11" t="s">
        <v>0</v>
      </c>
      <c r="H11" t="s">
        <v>451</v>
      </c>
      <c r="J11" t="s">
        <v>452</v>
      </c>
      <c r="K11" t="s">
        <v>453</v>
      </c>
      <c r="L11" t="s">
        <v>454</v>
      </c>
      <c r="M11" t="s">
        <v>455</v>
      </c>
      <c r="N11" t="s">
        <v>0</v>
      </c>
      <c r="O11">
        <v>0</v>
      </c>
      <c r="P11">
        <v>0</v>
      </c>
      <c r="Q11">
        <v>0</v>
      </c>
      <c r="R11">
        <v>1</v>
      </c>
      <c r="S11">
        <v>1</v>
      </c>
      <c r="T11">
        <v>5</v>
      </c>
      <c r="U11" t="s">
        <v>513</v>
      </c>
      <c r="V11" t="s">
        <v>11</v>
      </c>
      <c r="W11" t="s">
        <v>527</v>
      </c>
      <c r="X11" t="s">
        <v>458</v>
      </c>
      <c r="Z11" t="s">
        <v>459</v>
      </c>
      <c r="AE11" s="90">
        <v>1</v>
      </c>
      <c r="AF11" s="92" t="s">
        <v>460</v>
      </c>
      <c r="AG11" s="110"/>
      <c r="AH11" s="91" t="s">
        <v>528</v>
      </c>
      <c r="AI11" s="92" t="s">
        <v>463</v>
      </c>
      <c r="AJ11" s="92" t="s">
        <v>529</v>
      </c>
      <c r="AK11" s="92" t="s">
        <v>518</v>
      </c>
      <c r="AL11" s="91" t="s">
        <v>518</v>
      </c>
      <c r="AM11" s="91" t="b">
        <v>0</v>
      </c>
    </row>
    <row r="12" spans="1:39" x14ac:dyDescent="0.2">
      <c r="A12" t="s">
        <v>28</v>
      </c>
      <c r="B12" t="s">
        <v>530</v>
      </c>
      <c r="C12" t="s">
        <v>449</v>
      </c>
      <c r="D12" s="85" t="s">
        <v>531</v>
      </c>
      <c r="E12">
        <v>968933873</v>
      </c>
      <c r="F12" t="s">
        <v>0</v>
      </c>
      <c r="H12" t="s">
        <v>451</v>
      </c>
      <c r="J12" t="s">
        <v>452</v>
      </c>
      <c r="K12" t="s">
        <v>453</v>
      </c>
      <c r="L12" t="s">
        <v>454</v>
      </c>
      <c r="M12" t="s">
        <v>455</v>
      </c>
      <c r="N12" t="s">
        <v>0</v>
      </c>
      <c r="O12">
        <v>0</v>
      </c>
      <c r="P12">
        <v>0</v>
      </c>
      <c r="Q12">
        <v>0</v>
      </c>
      <c r="R12">
        <v>1</v>
      </c>
      <c r="S12">
        <v>1</v>
      </c>
      <c r="T12">
        <v>3</v>
      </c>
      <c r="U12" t="s">
        <v>513</v>
      </c>
      <c r="V12" t="s">
        <v>11</v>
      </c>
      <c r="W12" t="s">
        <v>532</v>
      </c>
      <c r="X12" t="s">
        <v>458</v>
      </c>
      <c r="Z12" t="s">
        <v>533</v>
      </c>
      <c r="AE12" s="90">
        <v>1</v>
      </c>
      <c r="AF12" s="92" t="s">
        <v>460</v>
      </c>
      <c r="AG12" s="110" t="s">
        <v>534</v>
      </c>
      <c r="AH12" s="91" t="s">
        <v>535</v>
      </c>
      <c r="AI12" s="92" t="s">
        <v>463</v>
      </c>
      <c r="AJ12" s="92" t="s">
        <v>490</v>
      </c>
      <c r="AK12" s="92" t="s">
        <v>536</v>
      </c>
      <c r="AL12" s="91" t="s">
        <v>474</v>
      </c>
      <c r="AM12" s="91" t="b">
        <v>0</v>
      </c>
    </row>
    <row r="13" spans="1:39" x14ac:dyDescent="0.2">
      <c r="A13" t="s">
        <v>30</v>
      </c>
      <c r="B13" t="s">
        <v>537</v>
      </c>
      <c r="C13" t="s">
        <v>449</v>
      </c>
      <c r="D13" s="85" t="s">
        <v>538</v>
      </c>
      <c r="E13">
        <v>793485644</v>
      </c>
      <c r="F13" t="s">
        <v>0</v>
      </c>
      <c r="H13" t="s">
        <v>451</v>
      </c>
      <c r="I13" t="s">
        <v>539</v>
      </c>
      <c r="J13" t="s">
        <v>452</v>
      </c>
      <c r="K13" t="s">
        <v>453</v>
      </c>
      <c r="L13" t="s">
        <v>454</v>
      </c>
      <c r="M13" t="s">
        <v>455</v>
      </c>
      <c r="N13" t="s">
        <v>0</v>
      </c>
      <c r="O13">
        <v>0</v>
      </c>
      <c r="P13">
        <v>0</v>
      </c>
      <c r="Q13">
        <v>0</v>
      </c>
      <c r="R13">
        <v>1</v>
      </c>
      <c r="S13">
        <v>1</v>
      </c>
      <c r="T13">
        <v>3</v>
      </c>
      <c r="U13" t="s">
        <v>513</v>
      </c>
      <c r="V13" t="s">
        <v>11</v>
      </c>
      <c r="W13" t="s">
        <v>540</v>
      </c>
      <c r="X13" t="s">
        <v>458</v>
      </c>
      <c r="Z13" t="s">
        <v>533</v>
      </c>
      <c r="AE13" s="90">
        <v>1</v>
      </c>
      <c r="AF13" s="92" t="s">
        <v>460</v>
      </c>
      <c r="AG13" s="110"/>
      <c r="AH13" s="91" t="s">
        <v>541</v>
      </c>
      <c r="AI13" s="92" t="s">
        <v>463</v>
      </c>
      <c r="AJ13" s="92" t="s">
        <v>505</v>
      </c>
      <c r="AK13" s="92" t="s">
        <v>542</v>
      </c>
      <c r="AL13" s="91" t="s">
        <v>474</v>
      </c>
      <c r="AM13" s="91" t="b">
        <v>0</v>
      </c>
    </row>
    <row r="14" spans="1:39" x14ac:dyDescent="0.2">
      <c r="A14" t="s">
        <v>31</v>
      </c>
      <c r="B14" t="s">
        <v>543</v>
      </c>
      <c r="C14" t="s">
        <v>449</v>
      </c>
      <c r="D14" s="85" t="s">
        <v>544</v>
      </c>
      <c r="E14">
        <v>967513840</v>
      </c>
      <c r="F14" t="s">
        <v>0</v>
      </c>
      <c r="H14" t="s">
        <v>451</v>
      </c>
      <c r="J14" t="s">
        <v>452</v>
      </c>
      <c r="K14" t="s">
        <v>453</v>
      </c>
      <c r="L14" t="s">
        <v>454</v>
      </c>
      <c r="M14" t="s">
        <v>455</v>
      </c>
      <c r="N14" t="s">
        <v>0</v>
      </c>
      <c r="O14">
        <v>0</v>
      </c>
      <c r="P14">
        <v>0</v>
      </c>
      <c r="Q14">
        <v>0</v>
      </c>
      <c r="R14">
        <v>1</v>
      </c>
      <c r="S14">
        <v>1</v>
      </c>
      <c r="T14">
        <v>5</v>
      </c>
      <c r="U14" t="s">
        <v>513</v>
      </c>
      <c r="V14" t="s">
        <v>11</v>
      </c>
      <c r="W14" t="s">
        <v>545</v>
      </c>
      <c r="X14" t="s">
        <v>458</v>
      </c>
      <c r="Z14" t="s">
        <v>533</v>
      </c>
      <c r="AE14" s="90">
        <v>1</v>
      </c>
      <c r="AF14" s="92" t="s">
        <v>460</v>
      </c>
      <c r="AG14" s="84" t="s">
        <v>546</v>
      </c>
      <c r="AH14" s="91" t="s">
        <v>547</v>
      </c>
      <c r="AI14" s="92" t="s">
        <v>463</v>
      </c>
      <c r="AJ14" s="92" t="s">
        <v>498</v>
      </c>
      <c r="AK14" s="92" t="s">
        <v>548</v>
      </c>
      <c r="AL14" s="91" t="s">
        <v>549</v>
      </c>
      <c r="AM14" s="91" t="b">
        <v>0</v>
      </c>
    </row>
    <row r="15" spans="1:39" x14ac:dyDescent="0.2">
      <c r="A15" t="s">
        <v>32</v>
      </c>
      <c r="B15" t="s">
        <v>550</v>
      </c>
      <c r="C15" t="s">
        <v>449</v>
      </c>
      <c r="D15" s="85" t="s">
        <v>486</v>
      </c>
      <c r="E15">
        <v>826759579</v>
      </c>
      <c r="F15" t="s">
        <v>0</v>
      </c>
      <c r="H15" t="s">
        <v>451</v>
      </c>
      <c r="J15" t="s">
        <v>452</v>
      </c>
      <c r="K15" t="s">
        <v>453</v>
      </c>
      <c r="L15" t="s">
        <v>454</v>
      </c>
      <c r="M15" t="s">
        <v>455</v>
      </c>
      <c r="N15" t="s">
        <v>0</v>
      </c>
      <c r="O15">
        <v>0</v>
      </c>
      <c r="P15">
        <v>0</v>
      </c>
      <c r="Q15">
        <v>0</v>
      </c>
      <c r="R15">
        <v>1</v>
      </c>
      <c r="S15">
        <v>1</v>
      </c>
      <c r="T15">
        <v>6</v>
      </c>
      <c r="U15" t="s">
        <v>513</v>
      </c>
      <c r="V15" t="s">
        <v>11</v>
      </c>
      <c r="W15" t="s">
        <v>551</v>
      </c>
      <c r="X15" t="s">
        <v>458</v>
      </c>
      <c r="Z15" t="s">
        <v>533</v>
      </c>
      <c r="AE15" s="90">
        <v>1</v>
      </c>
      <c r="AF15" s="92" t="s">
        <v>460</v>
      </c>
      <c r="AG15" s="110" t="s">
        <v>552</v>
      </c>
      <c r="AH15" s="91" t="s">
        <v>553</v>
      </c>
      <c r="AI15" s="92" t="s">
        <v>485</v>
      </c>
      <c r="AJ15" s="92" t="s">
        <v>531</v>
      </c>
      <c r="AK15" s="92" t="s">
        <v>554</v>
      </c>
      <c r="AL15" s="91" t="s">
        <v>474</v>
      </c>
      <c r="AM15" s="91" t="b">
        <v>0</v>
      </c>
    </row>
    <row r="16" spans="1:39" x14ac:dyDescent="0.2">
      <c r="A16" t="s">
        <v>34</v>
      </c>
      <c r="B16" t="s">
        <v>555</v>
      </c>
      <c r="C16" t="s">
        <v>449</v>
      </c>
      <c r="D16" s="2" t="s">
        <v>556</v>
      </c>
      <c r="E16">
        <v>329382782</v>
      </c>
      <c r="F16" t="s">
        <v>0</v>
      </c>
      <c r="H16" t="s">
        <v>451</v>
      </c>
      <c r="I16" t="s">
        <v>557</v>
      </c>
      <c r="J16" t="s">
        <v>452</v>
      </c>
      <c r="K16" t="s">
        <v>453</v>
      </c>
      <c r="L16" t="s">
        <v>454</v>
      </c>
      <c r="M16" t="s">
        <v>455</v>
      </c>
      <c r="N16" t="s">
        <v>0</v>
      </c>
      <c r="O16">
        <v>0</v>
      </c>
      <c r="P16">
        <v>0</v>
      </c>
      <c r="Q16">
        <v>0</v>
      </c>
      <c r="R16">
        <v>1</v>
      </c>
      <c r="S16">
        <v>1</v>
      </c>
      <c r="T16">
        <v>7</v>
      </c>
      <c r="U16" t="s">
        <v>513</v>
      </c>
      <c r="V16" t="s">
        <v>11</v>
      </c>
      <c r="W16" t="s">
        <v>558</v>
      </c>
      <c r="X16" t="s">
        <v>458</v>
      </c>
      <c r="Z16" t="s">
        <v>533</v>
      </c>
      <c r="AE16" s="90">
        <v>1</v>
      </c>
      <c r="AF16" s="92" t="s">
        <v>460</v>
      </c>
      <c r="AG16" s="110"/>
      <c r="AH16" s="91" t="s">
        <v>559</v>
      </c>
      <c r="AI16" s="92" t="s">
        <v>485</v>
      </c>
      <c r="AJ16" s="92" t="s">
        <v>538</v>
      </c>
      <c r="AK16" s="92" t="s">
        <v>560</v>
      </c>
      <c r="AL16" s="91" t="s">
        <v>474</v>
      </c>
      <c r="AM16" s="91" t="b">
        <v>0</v>
      </c>
    </row>
    <row r="17" spans="1:39" x14ac:dyDescent="0.2">
      <c r="A17" t="s">
        <v>36</v>
      </c>
      <c r="B17" t="s">
        <v>561</v>
      </c>
      <c r="C17" t="s">
        <v>449</v>
      </c>
      <c r="D17" s="85" t="s">
        <v>495</v>
      </c>
      <c r="E17">
        <v>948527910</v>
      </c>
      <c r="F17" t="s">
        <v>0</v>
      </c>
      <c r="H17" t="s">
        <v>451</v>
      </c>
      <c r="J17" t="s">
        <v>452</v>
      </c>
      <c r="K17" t="s">
        <v>453</v>
      </c>
      <c r="L17" t="s">
        <v>454</v>
      </c>
      <c r="M17" t="s">
        <v>455</v>
      </c>
      <c r="N17" t="s">
        <v>0</v>
      </c>
      <c r="O17">
        <v>0</v>
      </c>
      <c r="P17">
        <v>0</v>
      </c>
      <c r="Q17">
        <v>0</v>
      </c>
      <c r="R17">
        <v>1</v>
      </c>
      <c r="S17">
        <v>1</v>
      </c>
      <c r="T17">
        <v>6</v>
      </c>
      <c r="U17" t="s">
        <v>513</v>
      </c>
      <c r="V17" t="s">
        <v>11</v>
      </c>
      <c r="W17" t="s">
        <v>562</v>
      </c>
      <c r="X17" t="s">
        <v>458</v>
      </c>
      <c r="Z17" t="s">
        <v>533</v>
      </c>
      <c r="AE17" s="90">
        <v>1</v>
      </c>
      <c r="AF17" s="92" t="s">
        <v>460</v>
      </c>
      <c r="AG17" s="110" t="s">
        <v>563</v>
      </c>
      <c r="AH17" s="91" t="s">
        <v>564</v>
      </c>
      <c r="AI17" s="92" t="s">
        <v>485</v>
      </c>
      <c r="AJ17" s="92" t="s">
        <v>512</v>
      </c>
      <c r="AK17" s="92" t="s">
        <v>565</v>
      </c>
      <c r="AL17" s="91" t="s">
        <v>474</v>
      </c>
      <c r="AM17" s="91" t="b">
        <v>0</v>
      </c>
    </row>
    <row r="18" spans="1:39" x14ac:dyDescent="0.2">
      <c r="A18" t="s">
        <v>37</v>
      </c>
      <c r="B18" t="s">
        <v>566</v>
      </c>
      <c r="C18" t="s">
        <v>449</v>
      </c>
      <c r="D18" s="85" t="s">
        <v>567</v>
      </c>
      <c r="E18">
        <v>989600669</v>
      </c>
      <c r="F18" t="s">
        <v>0</v>
      </c>
      <c r="H18" t="s">
        <v>451</v>
      </c>
      <c r="J18" t="s">
        <v>452</v>
      </c>
      <c r="K18" t="s">
        <v>453</v>
      </c>
      <c r="L18" t="s">
        <v>454</v>
      </c>
      <c r="M18" t="s">
        <v>455</v>
      </c>
      <c r="N18" t="s">
        <v>0</v>
      </c>
      <c r="O18">
        <v>0</v>
      </c>
      <c r="P18">
        <v>0</v>
      </c>
      <c r="Q18">
        <v>0</v>
      </c>
      <c r="R18">
        <v>1</v>
      </c>
      <c r="S18">
        <v>1</v>
      </c>
      <c r="T18">
        <v>8</v>
      </c>
      <c r="U18" t="s">
        <v>513</v>
      </c>
      <c r="V18" t="s">
        <v>11</v>
      </c>
      <c r="W18" t="s">
        <v>568</v>
      </c>
      <c r="X18" t="s">
        <v>458</v>
      </c>
      <c r="Z18" t="s">
        <v>533</v>
      </c>
      <c r="AE18" s="90">
        <v>1</v>
      </c>
      <c r="AF18" s="92" t="s">
        <v>460</v>
      </c>
      <c r="AG18" s="110"/>
      <c r="AH18" s="91" t="s">
        <v>569</v>
      </c>
      <c r="AI18" s="92" t="s">
        <v>485</v>
      </c>
      <c r="AJ18" s="92" t="s">
        <v>520</v>
      </c>
      <c r="AK18" s="92" t="s">
        <v>570</v>
      </c>
      <c r="AL18" s="91" t="s">
        <v>474</v>
      </c>
      <c r="AM18" s="91" t="b">
        <v>0</v>
      </c>
    </row>
    <row r="19" spans="1:39" x14ac:dyDescent="0.2">
      <c r="A19" t="s">
        <v>39</v>
      </c>
      <c r="B19" t="s">
        <v>571</v>
      </c>
      <c r="C19" t="s">
        <v>449</v>
      </c>
      <c r="D19" s="2" t="s">
        <v>572</v>
      </c>
      <c r="E19">
        <v>931182688</v>
      </c>
      <c r="F19" t="s">
        <v>0</v>
      </c>
      <c r="H19" t="s">
        <v>451</v>
      </c>
      <c r="J19" t="s">
        <v>452</v>
      </c>
      <c r="K19" t="s">
        <v>453</v>
      </c>
      <c r="L19" t="s">
        <v>454</v>
      </c>
      <c r="M19" t="s">
        <v>455</v>
      </c>
      <c r="N19" t="s">
        <v>0</v>
      </c>
      <c r="O19">
        <v>0</v>
      </c>
      <c r="P19">
        <v>0</v>
      </c>
      <c r="Q19">
        <v>0</v>
      </c>
      <c r="R19">
        <v>1</v>
      </c>
      <c r="S19">
        <v>1</v>
      </c>
      <c r="T19">
        <v>7</v>
      </c>
      <c r="U19" t="s">
        <v>513</v>
      </c>
      <c r="V19" t="s">
        <v>11</v>
      </c>
      <c r="W19" t="s">
        <v>573</v>
      </c>
      <c r="X19" t="s">
        <v>458</v>
      </c>
      <c r="Z19" t="s">
        <v>533</v>
      </c>
      <c r="AE19" s="90">
        <v>1</v>
      </c>
      <c r="AF19" s="92" t="s">
        <v>460</v>
      </c>
      <c r="AG19" s="110" t="s">
        <v>574</v>
      </c>
      <c r="AH19" s="91" t="s">
        <v>575</v>
      </c>
      <c r="AI19" s="92" t="s">
        <v>485</v>
      </c>
      <c r="AJ19" s="92" t="s">
        <v>526</v>
      </c>
      <c r="AK19" s="92" t="s">
        <v>576</v>
      </c>
      <c r="AL19" s="91" t="s">
        <v>474</v>
      </c>
      <c r="AM19" s="91" t="b">
        <v>0</v>
      </c>
    </row>
    <row r="20" spans="1:39" x14ac:dyDescent="0.2">
      <c r="A20" t="s">
        <v>40</v>
      </c>
      <c r="B20" t="s">
        <v>577</v>
      </c>
      <c r="C20" t="s">
        <v>449</v>
      </c>
      <c r="D20" s="1" t="s">
        <v>578</v>
      </c>
      <c r="E20">
        <v>988143980</v>
      </c>
      <c r="F20" t="s">
        <v>0</v>
      </c>
      <c r="H20" t="s">
        <v>451</v>
      </c>
      <c r="J20" t="s">
        <v>452</v>
      </c>
      <c r="K20" t="s">
        <v>453</v>
      </c>
      <c r="L20" t="s">
        <v>468</v>
      </c>
      <c r="M20" t="s">
        <v>455</v>
      </c>
      <c r="N20" t="s">
        <v>0</v>
      </c>
      <c r="O20">
        <v>0</v>
      </c>
      <c r="P20">
        <v>0</v>
      </c>
      <c r="Q20">
        <v>0</v>
      </c>
      <c r="R20">
        <v>1</v>
      </c>
      <c r="S20">
        <v>1</v>
      </c>
      <c r="T20">
        <v>13</v>
      </c>
      <c r="U20" t="s">
        <v>513</v>
      </c>
      <c r="V20" t="s">
        <v>11</v>
      </c>
      <c r="W20" t="s">
        <v>579</v>
      </c>
      <c r="X20" t="s">
        <v>458</v>
      </c>
      <c r="Z20" t="s">
        <v>533</v>
      </c>
      <c r="AE20" s="90">
        <v>1</v>
      </c>
      <c r="AF20" s="92" t="s">
        <v>460</v>
      </c>
      <c r="AG20" s="110"/>
      <c r="AH20" s="91" t="s">
        <v>580</v>
      </c>
      <c r="AI20" s="92" t="s">
        <v>485</v>
      </c>
      <c r="AJ20" s="92" t="s">
        <v>544</v>
      </c>
      <c r="AK20" s="92" t="s">
        <v>581</v>
      </c>
      <c r="AL20" s="91" t="s">
        <v>474</v>
      </c>
      <c r="AM20" s="91" t="b">
        <v>0</v>
      </c>
    </row>
    <row r="21" spans="1:39" x14ac:dyDescent="0.2">
      <c r="A21" t="s">
        <v>42</v>
      </c>
      <c r="B21" t="s">
        <v>582</v>
      </c>
      <c r="C21" t="s">
        <v>449</v>
      </c>
      <c r="D21" s="85" t="s">
        <v>583</v>
      </c>
      <c r="E21">
        <v>973724249</v>
      </c>
      <c r="F21" t="s">
        <v>0</v>
      </c>
      <c r="H21" t="s">
        <v>451</v>
      </c>
      <c r="J21" t="s">
        <v>452</v>
      </c>
      <c r="K21" t="s">
        <v>453</v>
      </c>
      <c r="L21" t="s">
        <v>468</v>
      </c>
      <c r="M21" t="s">
        <v>455</v>
      </c>
      <c r="N21" t="s">
        <v>0</v>
      </c>
      <c r="O21">
        <v>0</v>
      </c>
      <c r="P21">
        <v>0</v>
      </c>
      <c r="Q21">
        <v>0</v>
      </c>
      <c r="R21">
        <v>1</v>
      </c>
      <c r="S21">
        <v>1</v>
      </c>
      <c r="T21">
        <v>8</v>
      </c>
      <c r="U21" t="s">
        <v>513</v>
      </c>
      <c r="V21" t="s">
        <v>11</v>
      </c>
      <c r="W21" t="s">
        <v>584</v>
      </c>
      <c r="X21" t="s">
        <v>458</v>
      </c>
      <c r="Z21" t="s">
        <v>533</v>
      </c>
      <c r="AE21" s="90">
        <v>1</v>
      </c>
      <c r="AF21" s="92" t="s">
        <v>460</v>
      </c>
      <c r="AG21" s="110" t="s">
        <v>585</v>
      </c>
      <c r="AH21" s="91" t="s">
        <v>586</v>
      </c>
      <c r="AI21" s="92" t="s">
        <v>485</v>
      </c>
      <c r="AJ21" s="92" t="s">
        <v>556</v>
      </c>
      <c r="AK21" s="92" t="s">
        <v>587</v>
      </c>
      <c r="AL21" s="91" t="s">
        <v>474</v>
      </c>
      <c r="AM21" s="91" t="b">
        <v>0</v>
      </c>
    </row>
    <row r="22" spans="1:39" x14ac:dyDescent="0.2">
      <c r="A22" t="s">
        <v>43</v>
      </c>
      <c r="B22" t="s">
        <v>588</v>
      </c>
      <c r="C22" t="s">
        <v>449</v>
      </c>
      <c r="D22" s="85" t="s">
        <v>589</v>
      </c>
      <c r="E22">
        <v>392357076</v>
      </c>
      <c r="F22" t="s">
        <v>0</v>
      </c>
      <c r="H22" t="s">
        <v>451</v>
      </c>
      <c r="J22" t="s">
        <v>452</v>
      </c>
      <c r="K22" t="s">
        <v>453</v>
      </c>
      <c r="L22" t="s">
        <v>468</v>
      </c>
      <c r="M22" t="s">
        <v>455</v>
      </c>
      <c r="N22" t="s">
        <v>0</v>
      </c>
      <c r="O22">
        <v>0</v>
      </c>
      <c r="P22">
        <v>0</v>
      </c>
      <c r="Q22">
        <v>0</v>
      </c>
      <c r="R22">
        <v>1</v>
      </c>
      <c r="S22">
        <v>1</v>
      </c>
      <c r="T22">
        <v>9</v>
      </c>
      <c r="U22" t="s">
        <v>513</v>
      </c>
      <c r="V22" t="s">
        <v>11</v>
      </c>
      <c r="W22" t="s">
        <v>590</v>
      </c>
      <c r="X22" t="s">
        <v>458</v>
      </c>
      <c r="Z22" t="s">
        <v>591</v>
      </c>
      <c r="AE22" s="90">
        <v>1</v>
      </c>
      <c r="AF22" s="92" t="s">
        <v>460</v>
      </c>
      <c r="AG22" s="110"/>
      <c r="AH22" s="91" t="s">
        <v>592</v>
      </c>
      <c r="AI22" s="92" t="s">
        <v>485</v>
      </c>
      <c r="AJ22" s="92" t="s">
        <v>572</v>
      </c>
      <c r="AK22" s="92" t="s">
        <v>593</v>
      </c>
      <c r="AL22" s="91" t="s">
        <v>474</v>
      </c>
      <c r="AM22" s="91" t="b">
        <v>0</v>
      </c>
    </row>
    <row r="23" spans="1:39" x14ac:dyDescent="0.2">
      <c r="A23" t="s">
        <v>45</v>
      </c>
      <c r="B23" t="s">
        <v>594</v>
      </c>
      <c r="C23" t="s">
        <v>449</v>
      </c>
      <c r="D23" s="85" t="s">
        <v>595</v>
      </c>
      <c r="E23">
        <v>354219319</v>
      </c>
      <c r="F23" t="s">
        <v>0</v>
      </c>
      <c r="H23" t="s">
        <v>451</v>
      </c>
      <c r="J23" t="s">
        <v>452</v>
      </c>
      <c r="K23" t="s">
        <v>453</v>
      </c>
      <c r="L23" t="s">
        <v>468</v>
      </c>
      <c r="M23" t="s">
        <v>455</v>
      </c>
      <c r="N23" t="s">
        <v>0</v>
      </c>
      <c r="O23">
        <v>0</v>
      </c>
      <c r="P23">
        <v>0</v>
      </c>
      <c r="Q23">
        <v>0</v>
      </c>
      <c r="R23">
        <v>1</v>
      </c>
      <c r="S23">
        <v>1</v>
      </c>
      <c r="T23">
        <v>14</v>
      </c>
      <c r="U23" t="s">
        <v>513</v>
      </c>
      <c r="V23" t="s">
        <v>11</v>
      </c>
      <c r="W23" t="s">
        <v>596</v>
      </c>
      <c r="X23" t="s">
        <v>458</v>
      </c>
      <c r="Z23" t="s">
        <v>591</v>
      </c>
      <c r="AE23" s="90">
        <v>1</v>
      </c>
      <c r="AF23" s="92" t="s">
        <v>460</v>
      </c>
      <c r="AG23" s="110" t="s">
        <v>597</v>
      </c>
      <c r="AH23" s="91" t="s">
        <v>598</v>
      </c>
      <c r="AI23" s="92" t="s">
        <v>485</v>
      </c>
      <c r="AJ23" s="92" t="s">
        <v>567</v>
      </c>
      <c r="AK23" s="92" t="s">
        <v>599</v>
      </c>
      <c r="AL23" s="91" t="s">
        <v>474</v>
      </c>
      <c r="AM23" s="91" t="b">
        <v>0</v>
      </c>
    </row>
    <row r="24" spans="1:39" x14ac:dyDescent="0.2">
      <c r="A24" t="s">
        <v>47</v>
      </c>
      <c r="B24" t="s">
        <v>600</v>
      </c>
      <c r="C24" t="s">
        <v>449</v>
      </c>
      <c r="D24" s="85" t="s">
        <v>601</v>
      </c>
      <c r="E24">
        <v>337804259</v>
      </c>
      <c r="F24" t="s">
        <v>0</v>
      </c>
      <c r="H24" t="s">
        <v>451</v>
      </c>
      <c r="J24" t="s">
        <v>452</v>
      </c>
      <c r="K24" t="s">
        <v>453</v>
      </c>
      <c r="L24" t="s">
        <v>468</v>
      </c>
      <c r="M24" t="s">
        <v>455</v>
      </c>
      <c r="N24" t="s">
        <v>0</v>
      </c>
      <c r="O24">
        <v>0</v>
      </c>
      <c r="P24">
        <v>0</v>
      </c>
      <c r="Q24">
        <v>0</v>
      </c>
      <c r="R24">
        <v>1</v>
      </c>
      <c r="S24">
        <v>1</v>
      </c>
      <c r="T24">
        <v>11</v>
      </c>
      <c r="U24" t="s">
        <v>513</v>
      </c>
      <c r="V24" t="s">
        <v>11</v>
      </c>
      <c r="W24" t="s">
        <v>602</v>
      </c>
      <c r="X24" t="s">
        <v>458</v>
      </c>
      <c r="Z24" t="s">
        <v>591</v>
      </c>
      <c r="AE24" s="90">
        <v>1</v>
      </c>
      <c r="AF24" s="92" t="s">
        <v>460</v>
      </c>
      <c r="AG24" s="110"/>
      <c r="AH24" s="91" t="s">
        <v>603</v>
      </c>
      <c r="AI24" s="92" t="s">
        <v>485</v>
      </c>
      <c r="AJ24" s="92" t="s">
        <v>583</v>
      </c>
      <c r="AK24" s="92" t="s">
        <v>604</v>
      </c>
      <c r="AL24" s="91" t="s">
        <v>474</v>
      </c>
      <c r="AM24" s="91" t="b">
        <v>0</v>
      </c>
    </row>
    <row r="25" spans="1:39" x14ac:dyDescent="0.2">
      <c r="A25" t="s">
        <v>49</v>
      </c>
      <c r="B25" t="s">
        <v>605</v>
      </c>
      <c r="C25" t="s">
        <v>449</v>
      </c>
      <c r="D25" s="85" t="s">
        <v>606</v>
      </c>
      <c r="E25">
        <v>333515756</v>
      </c>
      <c r="F25" t="s">
        <v>0</v>
      </c>
      <c r="H25" t="s">
        <v>451</v>
      </c>
      <c r="J25" t="s">
        <v>452</v>
      </c>
      <c r="K25" t="s">
        <v>453</v>
      </c>
      <c r="L25" t="s">
        <v>468</v>
      </c>
      <c r="M25" t="s">
        <v>455</v>
      </c>
      <c r="N25" t="s">
        <v>0</v>
      </c>
      <c r="O25">
        <v>0</v>
      </c>
      <c r="P25">
        <v>0</v>
      </c>
      <c r="Q25">
        <v>0</v>
      </c>
      <c r="R25">
        <v>1</v>
      </c>
      <c r="S25">
        <v>1</v>
      </c>
      <c r="T25">
        <v>12</v>
      </c>
      <c r="U25" t="s">
        <v>513</v>
      </c>
      <c r="V25" t="s">
        <v>11</v>
      </c>
      <c r="W25" t="s">
        <v>607</v>
      </c>
      <c r="X25" t="s">
        <v>458</v>
      </c>
      <c r="Z25" t="s">
        <v>591</v>
      </c>
      <c r="AE25" s="90">
        <v>1</v>
      </c>
      <c r="AF25" s="92" t="s">
        <v>460</v>
      </c>
      <c r="AG25" s="110" t="s">
        <v>608</v>
      </c>
      <c r="AH25" s="91" t="s">
        <v>609</v>
      </c>
      <c r="AI25" s="92" t="s">
        <v>485</v>
      </c>
      <c r="AJ25" s="92" t="s">
        <v>610</v>
      </c>
      <c r="AK25" s="92" t="s">
        <v>611</v>
      </c>
      <c r="AL25" s="91" t="s">
        <v>474</v>
      </c>
      <c r="AM25" s="91" t="b">
        <v>0</v>
      </c>
    </row>
    <row r="26" spans="1:39" x14ac:dyDescent="0.2">
      <c r="A26" t="s">
        <v>51</v>
      </c>
      <c r="B26" t="s">
        <v>612</v>
      </c>
      <c r="C26" t="s">
        <v>449</v>
      </c>
      <c r="D26" s="85" t="s">
        <v>613</v>
      </c>
      <c r="E26">
        <v>974086701</v>
      </c>
      <c r="F26" t="s">
        <v>0</v>
      </c>
      <c r="H26" t="s">
        <v>451</v>
      </c>
      <c r="J26" t="s">
        <v>452</v>
      </c>
      <c r="K26" t="s">
        <v>453</v>
      </c>
      <c r="L26" t="s">
        <v>468</v>
      </c>
      <c r="M26" t="s">
        <v>455</v>
      </c>
      <c r="N26" t="s">
        <v>0</v>
      </c>
      <c r="O26">
        <v>0</v>
      </c>
      <c r="P26">
        <v>0</v>
      </c>
      <c r="Q26">
        <v>0</v>
      </c>
      <c r="R26">
        <v>1</v>
      </c>
      <c r="S26">
        <v>1</v>
      </c>
      <c r="T26">
        <v>13</v>
      </c>
      <c r="U26" t="s">
        <v>513</v>
      </c>
      <c r="V26" t="s">
        <v>11</v>
      </c>
      <c r="W26" t="s">
        <v>614</v>
      </c>
      <c r="X26" t="s">
        <v>458</v>
      </c>
      <c r="Z26" t="s">
        <v>591</v>
      </c>
      <c r="AE26" s="90">
        <v>1</v>
      </c>
      <c r="AF26" s="92" t="s">
        <v>460</v>
      </c>
      <c r="AG26" s="110"/>
      <c r="AH26" s="91" t="s">
        <v>615</v>
      </c>
      <c r="AI26" s="92" t="s">
        <v>485</v>
      </c>
      <c r="AJ26" s="92" t="s">
        <v>589</v>
      </c>
      <c r="AK26" s="92" t="s">
        <v>616</v>
      </c>
      <c r="AL26" s="91" t="s">
        <v>474</v>
      </c>
      <c r="AM26" s="91" t="b">
        <v>0</v>
      </c>
    </row>
    <row r="27" spans="1:39" x14ac:dyDescent="0.2">
      <c r="A27" t="s">
        <v>52</v>
      </c>
      <c r="B27" t="s">
        <v>617</v>
      </c>
      <c r="C27" t="s">
        <v>449</v>
      </c>
      <c r="D27" s="85" t="s">
        <v>502</v>
      </c>
      <c r="E27">
        <v>938316793</v>
      </c>
      <c r="F27" t="s">
        <v>0</v>
      </c>
      <c r="H27" t="s">
        <v>451</v>
      </c>
      <c r="J27" t="s">
        <v>452</v>
      </c>
      <c r="K27" t="s">
        <v>453</v>
      </c>
      <c r="L27" t="s">
        <v>468</v>
      </c>
      <c r="M27" t="s">
        <v>455</v>
      </c>
      <c r="N27" t="s">
        <v>0</v>
      </c>
      <c r="O27">
        <v>0</v>
      </c>
      <c r="P27">
        <v>0</v>
      </c>
      <c r="Q27">
        <v>0</v>
      </c>
      <c r="R27">
        <v>1</v>
      </c>
      <c r="S27">
        <v>1</v>
      </c>
      <c r="T27">
        <v>10</v>
      </c>
      <c r="U27" t="s">
        <v>513</v>
      </c>
      <c r="V27" t="s">
        <v>11</v>
      </c>
      <c r="W27" t="s">
        <v>618</v>
      </c>
      <c r="X27" t="s">
        <v>458</v>
      </c>
      <c r="Z27" t="s">
        <v>591</v>
      </c>
      <c r="AE27" s="90">
        <v>1</v>
      </c>
      <c r="AF27" s="92" t="s">
        <v>460</v>
      </c>
      <c r="AG27" s="110" t="s">
        <v>619</v>
      </c>
      <c r="AH27" s="91" t="s">
        <v>620</v>
      </c>
      <c r="AI27" s="92" t="s">
        <v>485</v>
      </c>
      <c r="AJ27" s="92" t="s">
        <v>621</v>
      </c>
      <c r="AK27" s="92" t="s">
        <v>622</v>
      </c>
      <c r="AL27" s="91" t="s">
        <v>474</v>
      </c>
      <c r="AM27" s="91" t="b">
        <v>0</v>
      </c>
    </row>
    <row r="28" spans="1:39" x14ac:dyDescent="0.2">
      <c r="A28" t="s">
        <v>54</v>
      </c>
      <c r="B28" t="s">
        <v>623</v>
      </c>
      <c r="C28" t="s">
        <v>449</v>
      </c>
      <c r="D28" s="85" t="s">
        <v>610</v>
      </c>
      <c r="E28">
        <v>393688714</v>
      </c>
      <c r="F28" t="s">
        <v>0</v>
      </c>
      <c r="H28" t="s">
        <v>451</v>
      </c>
      <c r="J28" t="s">
        <v>452</v>
      </c>
      <c r="K28" t="s">
        <v>453</v>
      </c>
      <c r="L28" t="s">
        <v>468</v>
      </c>
      <c r="M28" t="s">
        <v>455</v>
      </c>
      <c r="N28" t="s">
        <v>0</v>
      </c>
      <c r="O28">
        <v>0</v>
      </c>
      <c r="P28">
        <v>0</v>
      </c>
      <c r="Q28">
        <v>0</v>
      </c>
      <c r="R28">
        <v>1</v>
      </c>
      <c r="S28">
        <v>1</v>
      </c>
      <c r="T28">
        <v>9</v>
      </c>
      <c r="U28" t="s">
        <v>513</v>
      </c>
      <c r="V28" t="s">
        <v>11</v>
      </c>
      <c r="W28" t="s">
        <v>624</v>
      </c>
      <c r="X28" t="s">
        <v>458</v>
      </c>
      <c r="Z28" t="s">
        <v>591</v>
      </c>
      <c r="AE28" s="90">
        <v>1</v>
      </c>
      <c r="AF28" s="92" t="s">
        <v>460</v>
      </c>
      <c r="AG28" s="110"/>
      <c r="AH28" s="91" t="s">
        <v>625</v>
      </c>
      <c r="AI28" s="92" t="s">
        <v>485</v>
      </c>
      <c r="AJ28" s="92" t="s">
        <v>601</v>
      </c>
      <c r="AK28" s="92" t="s">
        <v>626</v>
      </c>
      <c r="AL28" s="91" t="s">
        <v>474</v>
      </c>
      <c r="AM28" s="91" t="b">
        <v>0</v>
      </c>
    </row>
    <row r="29" spans="1:39" x14ac:dyDescent="0.2">
      <c r="A29" t="s">
        <v>627</v>
      </c>
      <c r="B29" t="s">
        <v>628</v>
      </c>
      <c r="C29" t="s">
        <v>629</v>
      </c>
      <c r="D29" s="86" t="s">
        <v>630</v>
      </c>
      <c r="E29">
        <v>933284515</v>
      </c>
      <c r="F29" t="s">
        <v>0</v>
      </c>
      <c r="H29" t="s">
        <v>451</v>
      </c>
      <c r="J29" t="s">
        <v>631</v>
      </c>
      <c r="K29" t="s">
        <v>631</v>
      </c>
      <c r="L29" t="s">
        <v>631</v>
      </c>
      <c r="M29" t="s">
        <v>631</v>
      </c>
      <c r="N29" t="s">
        <v>0</v>
      </c>
      <c r="O29">
        <v>0</v>
      </c>
      <c r="P29">
        <v>0</v>
      </c>
      <c r="Q29">
        <v>0</v>
      </c>
      <c r="R29">
        <v>1</v>
      </c>
      <c r="S29">
        <v>1</v>
      </c>
      <c r="T29">
        <v>14</v>
      </c>
      <c r="U29" t="s">
        <v>513</v>
      </c>
      <c r="V29" t="s">
        <v>11</v>
      </c>
      <c r="W29" t="s">
        <v>632</v>
      </c>
      <c r="X29" t="s">
        <v>458</v>
      </c>
      <c r="Z29" t="s">
        <v>591</v>
      </c>
      <c r="AE29" s="90">
        <v>1</v>
      </c>
      <c r="AF29" s="92" t="s">
        <v>460</v>
      </c>
      <c r="AG29" s="110" t="s">
        <v>633</v>
      </c>
      <c r="AH29" s="91" t="s">
        <v>634</v>
      </c>
      <c r="AI29" s="92" t="s">
        <v>485</v>
      </c>
      <c r="AJ29" s="92" t="s">
        <v>635</v>
      </c>
      <c r="AK29" s="92" t="s">
        <v>636</v>
      </c>
      <c r="AL29" s="91" t="s">
        <v>474</v>
      </c>
      <c r="AM29" s="91" t="b">
        <v>0</v>
      </c>
    </row>
    <row r="30" spans="1:39" x14ac:dyDescent="0.2">
      <c r="A30" t="s">
        <v>55</v>
      </c>
      <c r="B30" t="s">
        <v>637</v>
      </c>
      <c r="C30" t="s">
        <v>449</v>
      </c>
      <c r="D30" s="85" t="s">
        <v>510</v>
      </c>
      <c r="E30">
        <v>392497315</v>
      </c>
      <c r="F30" t="s">
        <v>0</v>
      </c>
      <c r="H30" t="s">
        <v>451</v>
      </c>
      <c r="J30" t="s">
        <v>452</v>
      </c>
      <c r="K30" t="s">
        <v>453</v>
      </c>
      <c r="L30" t="s">
        <v>468</v>
      </c>
      <c r="M30" t="s">
        <v>455</v>
      </c>
      <c r="N30" t="s">
        <v>0</v>
      </c>
      <c r="O30">
        <v>0</v>
      </c>
      <c r="P30">
        <v>0</v>
      </c>
      <c r="Q30">
        <v>0</v>
      </c>
      <c r="R30">
        <v>1</v>
      </c>
      <c r="S30">
        <v>1</v>
      </c>
      <c r="T30">
        <v>10</v>
      </c>
      <c r="U30" t="s">
        <v>513</v>
      </c>
      <c r="V30" t="s">
        <v>11</v>
      </c>
      <c r="W30" t="s">
        <v>638</v>
      </c>
      <c r="X30" t="s">
        <v>458</v>
      </c>
      <c r="Z30" t="s">
        <v>591</v>
      </c>
      <c r="AE30" s="90">
        <v>1</v>
      </c>
      <c r="AF30" s="92" t="s">
        <v>460</v>
      </c>
      <c r="AG30" s="110"/>
      <c r="AH30" s="91" t="s">
        <v>639</v>
      </c>
      <c r="AI30" s="92" t="s">
        <v>485</v>
      </c>
      <c r="AJ30" s="92" t="s">
        <v>606</v>
      </c>
      <c r="AK30" s="92" t="s">
        <v>640</v>
      </c>
      <c r="AL30" s="91" t="s">
        <v>474</v>
      </c>
      <c r="AM30" s="91" t="b">
        <v>0</v>
      </c>
    </row>
    <row r="31" spans="1:39" ht="32" x14ac:dyDescent="0.2">
      <c r="A31" t="s">
        <v>56</v>
      </c>
      <c r="B31" t="s">
        <v>641</v>
      </c>
      <c r="C31" t="s">
        <v>449</v>
      </c>
      <c r="D31" s="85" t="s">
        <v>523</v>
      </c>
      <c r="E31">
        <v>988383049</v>
      </c>
      <c r="F31" t="s">
        <v>458</v>
      </c>
      <c r="G31" s="11" t="s">
        <v>57</v>
      </c>
      <c r="H31" t="s">
        <v>451</v>
      </c>
      <c r="J31" t="s">
        <v>452</v>
      </c>
      <c r="K31" t="s">
        <v>453</v>
      </c>
      <c r="L31" t="s">
        <v>468</v>
      </c>
      <c r="M31" t="s">
        <v>455</v>
      </c>
      <c r="N31" t="s">
        <v>458</v>
      </c>
      <c r="O31">
        <v>1</v>
      </c>
      <c r="P31">
        <v>1</v>
      </c>
      <c r="Q31">
        <v>2</v>
      </c>
      <c r="R31">
        <v>3</v>
      </c>
      <c r="S31">
        <v>1</v>
      </c>
      <c r="T31">
        <v>73</v>
      </c>
      <c r="U31" t="s">
        <v>513</v>
      </c>
      <c r="V31" t="s">
        <v>14</v>
      </c>
      <c r="W31" t="s">
        <v>642</v>
      </c>
      <c r="X31" t="s">
        <v>458</v>
      </c>
      <c r="Z31" t="s">
        <v>643</v>
      </c>
      <c r="AE31" s="90">
        <v>1</v>
      </c>
      <c r="AF31" s="92" t="s">
        <v>460</v>
      </c>
      <c r="AG31" s="110" t="s">
        <v>644</v>
      </c>
      <c r="AH31" s="91" t="s">
        <v>645</v>
      </c>
      <c r="AI31" s="92" t="s">
        <v>485</v>
      </c>
      <c r="AJ31" s="92" t="s">
        <v>613</v>
      </c>
      <c r="AK31" s="92" t="s">
        <v>646</v>
      </c>
      <c r="AL31" s="91" t="s">
        <v>474</v>
      </c>
      <c r="AM31" s="91" t="b">
        <v>0</v>
      </c>
    </row>
    <row r="32" spans="1:39" x14ac:dyDescent="0.2">
      <c r="A32" t="s">
        <v>59</v>
      </c>
      <c r="B32" t="s">
        <v>647</v>
      </c>
      <c r="C32" t="s">
        <v>449</v>
      </c>
      <c r="D32" s="85" t="s">
        <v>635</v>
      </c>
      <c r="E32">
        <v>971007831</v>
      </c>
      <c r="F32" t="s">
        <v>0</v>
      </c>
      <c r="H32" t="s">
        <v>451</v>
      </c>
      <c r="J32" t="s">
        <v>452</v>
      </c>
      <c r="K32" t="s">
        <v>453</v>
      </c>
      <c r="L32" t="s">
        <v>468</v>
      </c>
      <c r="M32" t="s">
        <v>455</v>
      </c>
      <c r="N32" t="s">
        <v>0</v>
      </c>
      <c r="O32">
        <v>0</v>
      </c>
      <c r="P32">
        <v>0</v>
      </c>
      <c r="Q32">
        <v>0</v>
      </c>
      <c r="R32">
        <v>1</v>
      </c>
      <c r="S32">
        <v>1</v>
      </c>
      <c r="T32">
        <v>12</v>
      </c>
      <c r="U32" t="s">
        <v>513</v>
      </c>
      <c r="V32" t="s">
        <v>11</v>
      </c>
      <c r="W32" t="s">
        <v>648</v>
      </c>
      <c r="X32" t="s">
        <v>458</v>
      </c>
      <c r="Z32" t="s">
        <v>649</v>
      </c>
      <c r="AE32" s="90">
        <v>1</v>
      </c>
      <c r="AF32" s="92" t="s">
        <v>460</v>
      </c>
      <c r="AG32" s="110"/>
      <c r="AH32" s="91" t="s">
        <v>650</v>
      </c>
      <c r="AI32" s="92" t="s">
        <v>485</v>
      </c>
      <c r="AJ32" s="92" t="s">
        <v>578</v>
      </c>
      <c r="AK32" s="92" t="s">
        <v>651</v>
      </c>
      <c r="AL32" s="91" t="s">
        <v>474</v>
      </c>
      <c r="AM32" s="91" t="b">
        <v>0</v>
      </c>
    </row>
    <row r="33" spans="1:39" x14ac:dyDescent="0.2">
      <c r="A33" t="s">
        <v>652</v>
      </c>
      <c r="B33" t="s">
        <v>653</v>
      </c>
      <c r="C33" t="s">
        <v>629</v>
      </c>
      <c r="D33" s="85" t="s">
        <v>654</v>
      </c>
      <c r="E33">
        <v>855586358</v>
      </c>
      <c r="F33" t="s">
        <v>0</v>
      </c>
      <c r="H33" t="s">
        <v>451</v>
      </c>
      <c r="J33" t="s">
        <v>631</v>
      </c>
      <c r="K33" t="s">
        <v>631</v>
      </c>
      <c r="L33" t="s">
        <v>631</v>
      </c>
      <c r="M33" t="s">
        <v>631</v>
      </c>
      <c r="N33" t="s">
        <v>0</v>
      </c>
      <c r="O33">
        <v>0</v>
      </c>
      <c r="P33">
        <v>0</v>
      </c>
      <c r="Q33">
        <v>0</v>
      </c>
      <c r="R33">
        <v>1</v>
      </c>
      <c r="S33">
        <v>1</v>
      </c>
      <c r="T33">
        <v>15</v>
      </c>
      <c r="U33" t="s">
        <v>513</v>
      </c>
      <c r="V33" t="s">
        <v>11</v>
      </c>
      <c r="W33" t="s">
        <v>655</v>
      </c>
      <c r="X33" t="s">
        <v>458</v>
      </c>
      <c r="Z33" t="s">
        <v>649</v>
      </c>
      <c r="AE33" s="90">
        <v>1</v>
      </c>
      <c r="AF33" s="92" t="s">
        <v>460</v>
      </c>
      <c r="AG33" s="84" t="s">
        <v>656</v>
      </c>
      <c r="AH33" s="91" t="s">
        <v>657</v>
      </c>
      <c r="AI33" s="92" t="s">
        <v>485</v>
      </c>
      <c r="AJ33" s="92" t="s">
        <v>595</v>
      </c>
      <c r="AK33" s="92" t="s">
        <v>658</v>
      </c>
      <c r="AL33" s="91"/>
      <c r="AM33" s="91" t="b">
        <v>0</v>
      </c>
    </row>
    <row r="34" spans="1:39" x14ac:dyDescent="0.2">
      <c r="A34" t="s">
        <v>60</v>
      </c>
      <c r="B34" t="s">
        <v>659</v>
      </c>
      <c r="C34" t="s">
        <v>449</v>
      </c>
      <c r="D34" s="85" t="s">
        <v>621</v>
      </c>
      <c r="E34">
        <v>357556867</v>
      </c>
      <c r="F34" t="s">
        <v>0</v>
      </c>
      <c r="H34" t="s">
        <v>451</v>
      </c>
      <c r="J34" t="s">
        <v>452</v>
      </c>
      <c r="K34" t="s">
        <v>453</v>
      </c>
      <c r="L34" t="s">
        <v>468</v>
      </c>
      <c r="M34" t="s">
        <v>455</v>
      </c>
      <c r="N34" t="s">
        <v>0</v>
      </c>
      <c r="O34">
        <v>0</v>
      </c>
      <c r="P34">
        <v>0</v>
      </c>
      <c r="Q34">
        <v>0</v>
      </c>
      <c r="R34">
        <v>1</v>
      </c>
      <c r="S34">
        <v>1</v>
      </c>
      <c r="T34">
        <v>11</v>
      </c>
      <c r="U34" t="s">
        <v>513</v>
      </c>
      <c r="V34" t="s">
        <v>11</v>
      </c>
      <c r="W34" t="s">
        <v>660</v>
      </c>
      <c r="X34" t="s">
        <v>458</v>
      </c>
      <c r="Z34" t="s">
        <v>649</v>
      </c>
      <c r="AE34" s="90">
        <v>1</v>
      </c>
      <c r="AF34" s="92" t="s">
        <v>460</v>
      </c>
      <c r="AG34" s="84" t="s">
        <v>661</v>
      </c>
      <c r="AH34" s="91" t="s">
        <v>662</v>
      </c>
      <c r="AI34" s="92" t="s">
        <v>485</v>
      </c>
      <c r="AJ34" s="92" t="s">
        <v>663</v>
      </c>
      <c r="AK34" s="92" t="s">
        <v>400</v>
      </c>
      <c r="AL34" s="91" t="s">
        <v>664</v>
      </c>
      <c r="AM34" s="91" t="b">
        <v>0</v>
      </c>
    </row>
    <row r="35" spans="1:39" x14ac:dyDescent="0.2">
      <c r="A35" t="s">
        <v>61</v>
      </c>
      <c r="B35" t="s">
        <v>665</v>
      </c>
      <c r="C35" t="s">
        <v>449</v>
      </c>
      <c r="D35" s="85" t="s">
        <v>666</v>
      </c>
      <c r="E35">
        <v>979040971</v>
      </c>
      <c r="F35" t="s">
        <v>0</v>
      </c>
      <c r="H35" t="s">
        <v>451</v>
      </c>
      <c r="J35" t="s">
        <v>452</v>
      </c>
      <c r="K35" t="s">
        <v>491</v>
      </c>
      <c r="L35" t="s">
        <v>492</v>
      </c>
      <c r="M35" t="s">
        <v>455</v>
      </c>
      <c r="N35" t="s">
        <v>0</v>
      </c>
      <c r="O35">
        <v>0</v>
      </c>
      <c r="P35">
        <v>0</v>
      </c>
      <c r="Q35">
        <v>0</v>
      </c>
      <c r="R35">
        <v>1</v>
      </c>
      <c r="S35">
        <v>8</v>
      </c>
      <c r="T35">
        <v>110</v>
      </c>
      <c r="U35" t="s">
        <v>513</v>
      </c>
      <c r="V35" t="s">
        <v>11</v>
      </c>
      <c r="W35" t="s">
        <v>667</v>
      </c>
      <c r="X35" t="s">
        <v>458</v>
      </c>
      <c r="Z35" t="s">
        <v>649</v>
      </c>
      <c r="AE35" s="90">
        <v>1</v>
      </c>
      <c r="AF35" s="92" t="s">
        <v>460</v>
      </c>
      <c r="AG35" s="110" t="s">
        <v>668</v>
      </c>
      <c r="AH35" s="91" t="s">
        <v>669</v>
      </c>
      <c r="AI35" s="92" t="s">
        <v>485</v>
      </c>
      <c r="AJ35" s="92" t="s">
        <v>670</v>
      </c>
      <c r="AK35" s="92" t="s">
        <v>671</v>
      </c>
      <c r="AL35" s="91" t="s">
        <v>474</v>
      </c>
      <c r="AM35" s="91" t="b">
        <v>0</v>
      </c>
    </row>
    <row r="36" spans="1:39" x14ac:dyDescent="0.2">
      <c r="A36" t="s">
        <v>62</v>
      </c>
      <c r="B36" t="s">
        <v>399</v>
      </c>
      <c r="C36" t="s">
        <v>449</v>
      </c>
      <c r="D36" s="85" t="s">
        <v>663</v>
      </c>
      <c r="E36">
        <v>902891404</v>
      </c>
      <c r="F36" t="s">
        <v>0</v>
      </c>
      <c r="H36" t="s">
        <v>451</v>
      </c>
      <c r="I36" t="s">
        <v>672</v>
      </c>
      <c r="J36" t="s">
        <v>452</v>
      </c>
      <c r="K36" t="s">
        <v>453</v>
      </c>
      <c r="L36" t="s">
        <v>665</v>
      </c>
      <c r="M36" t="s">
        <v>455</v>
      </c>
      <c r="N36" t="s">
        <v>0</v>
      </c>
      <c r="O36">
        <v>0</v>
      </c>
      <c r="P36">
        <v>0</v>
      </c>
      <c r="Q36">
        <v>0</v>
      </c>
      <c r="R36">
        <v>1</v>
      </c>
      <c r="S36">
        <v>1</v>
      </c>
      <c r="T36">
        <v>15</v>
      </c>
      <c r="U36" t="s">
        <v>513</v>
      </c>
      <c r="V36" t="s">
        <v>11</v>
      </c>
      <c r="W36" t="s">
        <v>673</v>
      </c>
      <c r="X36" t="s">
        <v>458</v>
      </c>
      <c r="Y36" t="s">
        <v>674</v>
      </c>
      <c r="Z36" t="s">
        <v>649</v>
      </c>
      <c r="AE36" s="90">
        <v>1</v>
      </c>
      <c r="AF36" s="92" t="s">
        <v>460</v>
      </c>
      <c r="AG36" s="110"/>
      <c r="AH36" s="91" t="s">
        <v>675</v>
      </c>
      <c r="AI36" s="92" t="s">
        <v>485</v>
      </c>
      <c r="AJ36" s="92" t="s">
        <v>676</v>
      </c>
      <c r="AK36" s="92" t="s">
        <v>677</v>
      </c>
      <c r="AL36" s="91" t="s">
        <v>474</v>
      </c>
      <c r="AM36" s="91" t="b">
        <v>0</v>
      </c>
    </row>
    <row r="37" spans="1:39" x14ac:dyDescent="0.2">
      <c r="A37" t="s">
        <v>64</v>
      </c>
      <c r="B37" t="s">
        <v>678</v>
      </c>
      <c r="C37" t="s">
        <v>449</v>
      </c>
      <c r="D37" s="85" t="s">
        <v>676</v>
      </c>
      <c r="E37">
        <v>777104166</v>
      </c>
      <c r="F37" t="s">
        <v>0</v>
      </c>
      <c r="H37" t="s">
        <v>451</v>
      </c>
      <c r="J37" t="s">
        <v>452</v>
      </c>
      <c r="K37" t="s">
        <v>453</v>
      </c>
      <c r="L37" t="s">
        <v>665</v>
      </c>
      <c r="M37" t="s">
        <v>455</v>
      </c>
      <c r="N37" t="s">
        <v>0</v>
      </c>
      <c r="O37">
        <v>0</v>
      </c>
      <c r="P37">
        <v>0</v>
      </c>
      <c r="Q37">
        <v>0</v>
      </c>
      <c r="R37">
        <v>1</v>
      </c>
      <c r="S37">
        <v>1</v>
      </c>
      <c r="T37">
        <v>16</v>
      </c>
      <c r="U37" t="s">
        <v>513</v>
      </c>
      <c r="V37" t="s">
        <v>11</v>
      </c>
      <c r="W37" t="s">
        <v>679</v>
      </c>
      <c r="X37" t="s">
        <v>458</v>
      </c>
      <c r="Z37" t="s">
        <v>649</v>
      </c>
      <c r="AE37" s="90">
        <v>1</v>
      </c>
      <c r="AF37" s="92" t="s">
        <v>460</v>
      </c>
      <c r="AG37" s="84" t="s">
        <v>680</v>
      </c>
      <c r="AH37" s="91" t="s">
        <v>681</v>
      </c>
      <c r="AI37" s="92" t="s">
        <v>463</v>
      </c>
      <c r="AJ37" s="92" t="s">
        <v>450</v>
      </c>
      <c r="AK37" s="92" t="s">
        <v>682</v>
      </c>
      <c r="AL37" s="91" t="s">
        <v>683</v>
      </c>
      <c r="AM37" s="91" t="b">
        <v>0</v>
      </c>
    </row>
    <row r="38" spans="1:39" x14ac:dyDescent="0.2">
      <c r="A38" t="s">
        <v>66</v>
      </c>
      <c r="B38" t="s">
        <v>684</v>
      </c>
      <c r="C38" t="s">
        <v>449</v>
      </c>
      <c r="D38" s="85" t="s">
        <v>670</v>
      </c>
      <c r="E38">
        <v>396402696</v>
      </c>
      <c r="F38" t="s">
        <v>0</v>
      </c>
      <c r="H38" t="s">
        <v>451</v>
      </c>
      <c r="J38" t="s">
        <v>452</v>
      </c>
      <c r="K38" t="s">
        <v>453</v>
      </c>
      <c r="L38" t="s">
        <v>665</v>
      </c>
      <c r="M38" t="s">
        <v>455</v>
      </c>
      <c r="N38" t="s">
        <v>0</v>
      </c>
      <c r="O38">
        <v>0</v>
      </c>
      <c r="P38">
        <v>0</v>
      </c>
      <c r="Q38">
        <v>0</v>
      </c>
      <c r="R38">
        <v>1</v>
      </c>
      <c r="S38">
        <v>1</v>
      </c>
      <c r="T38">
        <v>16</v>
      </c>
      <c r="U38" t="s">
        <v>513</v>
      </c>
      <c r="V38" t="s">
        <v>11</v>
      </c>
      <c r="W38" t="s">
        <v>685</v>
      </c>
      <c r="X38" t="s">
        <v>458</v>
      </c>
      <c r="Z38" t="s">
        <v>649</v>
      </c>
      <c r="AE38" s="93">
        <v>2</v>
      </c>
      <c r="AF38" s="92" t="s">
        <v>460</v>
      </c>
      <c r="AG38" s="110" t="s">
        <v>686</v>
      </c>
      <c r="AH38" s="91" t="s">
        <v>687</v>
      </c>
      <c r="AI38" s="92" t="s">
        <v>485</v>
      </c>
      <c r="AJ38" s="92" t="s">
        <v>688</v>
      </c>
      <c r="AK38" s="92" t="s">
        <v>689</v>
      </c>
      <c r="AL38" s="91" t="s">
        <v>474</v>
      </c>
      <c r="AM38" s="91" t="b">
        <v>0</v>
      </c>
    </row>
    <row r="39" spans="1:39" x14ac:dyDescent="0.2">
      <c r="A39" t="s">
        <v>67</v>
      </c>
      <c r="B39" t="s">
        <v>690</v>
      </c>
      <c r="C39" t="s">
        <v>449</v>
      </c>
      <c r="D39" s="85" t="s">
        <v>691</v>
      </c>
      <c r="E39">
        <v>981212098</v>
      </c>
      <c r="F39" t="s">
        <v>0</v>
      </c>
      <c r="H39" t="s">
        <v>451</v>
      </c>
      <c r="J39" t="s">
        <v>452</v>
      </c>
      <c r="K39" t="s">
        <v>453</v>
      </c>
      <c r="L39" t="s">
        <v>692</v>
      </c>
      <c r="M39" t="s">
        <v>455</v>
      </c>
      <c r="N39" t="s">
        <v>0</v>
      </c>
      <c r="O39">
        <v>0</v>
      </c>
      <c r="P39">
        <v>0</v>
      </c>
      <c r="Q39">
        <v>0</v>
      </c>
      <c r="R39">
        <v>1</v>
      </c>
      <c r="S39">
        <v>7</v>
      </c>
      <c r="T39">
        <v>65</v>
      </c>
      <c r="U39" t="s">
        <v>513</v>
      </c>
      <c r="V39" t="s">
        <v>11</v>
      </c>
      <c r="W39" t="s">
        <v>693</v>
      </c>
      <c r="X39" t="s">
        <v>458</v>
      </c>
      <c r="Z39" t="s">
        <v>649</v>
      </c>
      <c r="AE39" s="93">
        <v>2</v>
      </c>
      <c r="AF39" s="92" t="s">
        <v>460</v>
      </c>
      <c r="AG39" s="110"/>
      <c r="AH39" s="91" t="s">
        <v>694</v>
      </c>
      <c r="AI39" s="92" t="s">
        <v>485</v>
      </c>
      <c r="AJ39" s="92" t="s">
        <v>695</v>
      </c>
      <c r="AK39" s="92" t="s">
        <v>696</v>
      </c>
      <c r="AL39" s="91" t="s">
        <v>474</v>
      </c>
      <c r="AM39" s="91" t="b">
        <v>0</v>
      </c>
    </row>
    <row r="40" spans="1:39" x14ac:dyDescent="0.2">
      <c r="A40" t="s">
        <v>69</v>
      </c>
      <c r="B40" t="s">
        <v>697</v>
      </c>
      <c r="C40" t="s">
        <v>449</v>
      </c>
      <c r="D40" s="85" t="s">
        <v>698</v>
      </c>
      <c r="E40">
        <v>932980033</v>
      </c>
      <c r="F40" t="s">
        <v>0</v>
      </c>
      <c r="H40" t="s">
        <v>451</v>
      </c>
      <c r="J40" t="s">
        <v>452</v>
      </c>
      <c r="K40" t="s">
        <v>453</v>
      </c>
      <c r="L40" t="s">
        <v>692</v>
      </c>
      <c r="M40" t="s">
        <v>455</v>
      </c>
      <c r="N40" t="s">
        <v>0</v>
      </c>
      <c r="O40">
        <v>0</v>
      </c>
      <c r="P40">
        <v>0</v>
      </c>
      <c r="Q40">
        <v>0</v>
      </c>
      <c r="R40">
        <v>1</v>
      </c>
      <c r="S40">
        <v>7</v>
      </c>
      <c r="T40">
        <v>66</v>
      </c>
      <c r="U40" t="s">
        <v>513</v>
      </c>
      <c r="V40" t="s">
        <v>11</v>
      </c>
      <c r="W40" t="s">
        <v>699</v>
      </c>
      <c r="X40" t="s">
        <v>458</v>
      </c>
      <c r="Z40" t="s">
        <v>649</v>
      </c>
      <c r="AE40" s="93">
        <v>2</v>
      </c>
      <c r="AF40" s="92" t="s">
        <v>460</v>
      </c>
      <c r="AG40" s="110" t="s">
        <v>700</v>
      </c>
      <c r="AH40" s="91" t="s">
        <v>701</v>
      </c>
      <c r="AI40" s="92" t="s">
        <v>463</v>
      </c>
      <c r="AJ40" s="92" t="s">
        <v>702</v>
      </c>
      <c r="AK40" s="92" t="s">
        <v>703</v>
      </c>
      <c r="AL40" s="91" t="s">
        <v>474</v>
      </c>
      <c r="AM40" s="91" t="b">
        <v>0</v>
      </c>
    </row>
    <row r="41" spans="1:39" x14ac:dyDescent="0.2">
      <c r="A41" t="s">
        <v>71</v>
      </c>
      <c r="B41" t="s">
        <v>704</v>
      </c>
      <c r="C41" t="s">
        <v>449</v>
      </c>
      <c r="D41" s="85" t="s">
        <v>705</v>
      </c>
      <c r="E41">
        <v>335353685</v>
      </c>
      <c r="F41" t="s">
        <v>0</v>
      </c>
      <c r="H41" t="s">
        <v>451</v>
      </c>
      <c r="J41" t="s">
        <v>452</v>
      </c>
      <c r="K41" t="s">
        <v>453</v>
      </c>
      <c r="L41" t="s">
        <v>692</v>
      </c>
      <c r="M41" t="s">
        <v>455</v>
      </c>
      <c r="N41" t="s">
        <v>0</v>
      </c>
      <c r="O41">
        <v>0</v>
      </c>
      <c r="P41">
        <v>0</v>
      </c>
      <c r="Q41">
        <v>0</v>
      </c>
      <c r="R41">
        <v>1</v>
      </c>
      <c r="S41">
        <v>7</v>
      </c>
      <c r="T41">
        <v>66</v>
      </c>
      <c r="U41" t="s">
        <v>513</v>
      </c>
      <c r="V41" t="s">
        <v>11</v>
      </c>
      <c r="W41" t="s">
        <v>706</v>
      </c>
      <c r="X41" t="s">
        <v>458</v>
      </c>
      <c r="Z41" t="s">
        <v>649</v>
      </c>
      <c r="AE41" s="93">
        <v>2</v>
      </c>
      <c r="AF41" s="92" t="s">
        <v>460</v>
      </c>
      <c r="AG41" s="110"/>
      <c r="AH41" s="91" t="s">
        <v>707</v>
      </c>
      <c r="AI41" s="92" t="s">
        <v>463</v>
      </c>
      <c r="AJ41" s="92" t="s">
        <v>708</v>
      </c>
      <c r="AK41" s="92" t="s">
        <v>709</v>
      </c>
      <c r="AL41" s="91" t="s">
        <v>474</v>
      </c>
      <c r="AM41" s="91" t="b">
        <v>0</v>
      </c>
    </row>
    <row r="42" spans="1:39" x14ac:dyDescent="0.2">
      <c r="A42" t="s">
        <v>72</v>
      </c>
      <c r="B42" t="s">
        <v>710</v>
      </c>
      <c r="C42" t="s">
        <v>449</v>
      </c>
      <c r="D42" s="85" t="s">
        <v>711</v>
      </c>
      <c r="E42">
        <v>349687204</v>
      </c>
      <c r="F42" t="s">
        <v>0</v>
      </c>
      <c r="H42" t="s">
        <v>451</v>
      </c>
      <c r="J42" t="s">
        <v>452</v>
      </c>
      <c r="K42" t="s">
        <v>453</v>
      </c>
      <c r="L42" t="s">
        <v>692</v>
      </c>
      <c r="M42" t="s">
        <v>455</v>
      </c>
      <c r="N42" t="s">
        <v>0</v>
      </c>
      <c r="O42">
        <v>0</v>
      </c>
      <c r="P42">
        <v>0</v>
      </c>
      <c r="Q42">
        <v>0</v>
      </c>
      <c r="R42">
        <v>1</v>
      </c>
      <c r="S42">
        <v>7</v>
      </c>
      <c r="T42">
        <v>67</v>
      </c>
      <c r="U42" t="s">
        <v>513</v>
      </c>
      <c r="V42" t="s">
        <v>11</v>
      </c>
      <c r="W42" t="s">
        <v>712</v>
      </c>
      <c r="X42" t="s">
        <v>458</v>
      </c>
      <c r="Z42" t="s">
        <v>643</v>
      </c>
      <c r="AE42" s="93">
        <v>2</v>
      </c>
      <c r="AF42" s="92" t="s">
        <v>460</v>
      </c>
      <c r="AG42" s="110" t="s">
        <v>713</v>
      </c>
      <c r="AH42" s="91" t="s">
        <v>714</v>
      </c>
      <c r="AI42" s="92" t="s">
        <v>463</v>
      </c>
      <c r="AJ42" s="92" t="s">
        <v>715</v>
      </c>
      <c r="AK42" s="92" t="s">
        <v>716</v>
      </c>
      <c r="AL42" s="91" t="s">
        <v>474</v>
      </c>
      <c r="AM42" s="91" t="b">
        <v>0</v>
      </c>
    </row>
    <row r="43" spans="1:39" x14ac:dyDescent="0.2">
      <c r="A43" t="s">
        <v>74</v>
      </c>
      <c r="B43" t="s">
        <v>717</v>
      </c>
      <c r="C43" t="s">
        <v>449</v>
      </c>
      <c r="D43" s="2" t="s">
        <v>718</v>
      </c>
      <c r="E43">
        <v>397974403</v>
      </c>
      <c r="F43" t="s">
        <v>0</v>
      </c>
      <c r="H43" t="s">
        <v>451</v>
      </c>
      <c r="J43" t="s">
        <v>452</v>
      </c>
      <c r="K43" t="s">
        <v>453</v>
      </c>
      <c r="L43" t="s">
        <v>692</v>
      </c>
      <c r="M43" t="s">
        <v>719</v>
      </c>
      <c r="N43" t="s">
        <v>0</v>
      </c>
      <c r="O43">
        <v>0</v>
      </c>
      <c r="P43">
        <v>0</v>
      </c>
      <c r="Q43">
        <v>0</v>
      </c>
      <c r="R43">
        <v>1</v>
      </c>
      <c r="S43">
        <v>7</v>
      </c>
      <c r="T43">
        <v>67</v>
      </c>
      <c r="U43" t="s">
        <v>513</v>
      </c>
      <c r="V43" t="s">
        <v>11</v>
      </c>
      <c r="W43" t="s">
        <v>720</v>
      </c>
      <c r="X43" t="s">
        <v>458</v>
      </c>
      <c r="Z43" t="s">
        <v>643</v>
      </c>
      <c r="AE43" s="93">
        <v>2</v>
      </c>
      <c r="AF43" s="92" t="s">
        <v>460</v>
      </c>
      <c r="AG43" s="110"/>
      <c r="AH43" s="91" t="s">
        <v>721</v>
      </c>
      <c r="AI43" s="92" t="s">
        <v>463</v>
      </c>
      <c r="AJ43" s="92" t="s">
        <v>722</v>
      </c>
      <c r="AK43" s="92" t="s">
        <v>723</v>
      </c>
      <c r="AL43" s="91" t="s">
        <v>474</v>
      </c>
      <c r="AM43" s="91" t="b">
        <v>0</v>
      </c>
    </row>
    <row r="44" spans="1:39" x14ac:dyDescent="0.2">
      <c r="A44" t="s">
        <v>75</v>
      </c>
      <c r="B44" t="s">
        <v>724</v>
      </c>
      <c r="C44" t="s">
        <v>449</v>
      </c>
      <c r="D44" s="1" t="s">
        <v>725</v>
      </c>
      <c r="E44">
        <v>333950268</v>
      </c>
      <c r="F44" t="s">
        <v>0</v>
      </c>
      <c r="H44" t="s">
        <v>451</v>
      </c>
      <c r="J44" t="s">
        <v>452</v>
      </c>
      <c r="K44" t="s">
        <v>453</v>
      </c>
      <c r="L44" t="s">
        <v>726</v>
      </c>
      <c r="M44" t="s">
        <v>455</v>
      </c>
      <c r="N44" t="s">
        <v>0</v>
      </c>
      <c r="O44">
        <v>0</v>
      </c>
      <c r="P44">
        <v>0</v>
      </c>
      <c r="Q44">
        <v>0</v>
      </c>
      <c r="R44">
        <v>1</v>
      </c>
      <c r="S44">
        <v>2</v>
      </c>
      <c r="T44">
        <v>20</v>
      </c>
      <c r="U44" t="s">
        <v>513</v>
      </c>
      <c r="V44" t="s">
        <v>11</v>
      </c>
      <c r="W44" t="s">
        <v>727</v>
      </c>
      <c r="X44" t="s">
        <v>458</v>
      </c>
      <c r="Z44" t="s">
        <v>643</v>
      </c>
      <c r="AE44" s="93">
        <v>2</v>
      </c>
      <c r="AF44" s="92" t="s">
        <v>460</v>
      </c>
      <c r="AG44" s="110" t="s">
        <v>728</v>
      </c>
      <c r="AH44" s="91" t="s">
        <v>729</v>
      </c>
      <c r="AI44" s="92" t="s">
        <v>463</v>
      </c>
      <c r="AJ44" s="92" t="s">
        <v>730</v>
      </c>
      <c r="AK44" s="92" t="s">
        <v>731</v>
      </c>
      <c r="AL44" s="91" t="s">
        <v>474</v>
      </c>
      <c r="AM44" s="91" t="b">
        <v>0</v>
      </c>
    </row>
    <row r="45" spans="1:39" x14ac:dyDescent="0.2">
      <c r="A45" t="s">
        <v>77</v>
      </c>
      <c r="B45" t="s">
        <v>732</v>
      </c>
      <c r="C45" t="s">
        <v>449</v>
      </c>
      <c r="D45" s="85" t="s">
        <v>733</v>
      </c>
      <c r="E45">
        <v>777905219</v>
      </c>
      <c r="F45" t="s">
        <v>0</v>
      </c>
      <c r="H45" t="s">
        <v>451</v>
      </c>
      <c r="J45" t="s">
        <v>452</v>
      </c>
      <c r="K45" t="s">
        <v>453</v>
      </c>
      <c r="L45" t="s">
        <v>726</v>
      </c>
      <c r="M45" t="s">
        <v>455</v>
      </c>
      <c r="N45" t="s">
        <v>0</v>
      </c>
      <c r="O45">
        <v>0</v>
      </c>
      <c r="P45">
        <v>0</v>
      </c>
      <c r="Q45">
        <v>0</v>
      </c>
      <c r="R45">
        <v>1</v>
      </c>
      <c r="S45">
        <v>2</v>
      </c>
      <c r="T45">
        <v>17</v>
      </c>
      <c r="U45" t="s">
        <v>513</v>
      </c>
      <c r="V45" t="s">
        <v>11</v>
      </c>
      <c r="W45" t="s">
        <v>734</v>
      </c>
      <c r="X45" t="s">
        <v>458</v>
      </c>
      <c r="Z45" t="s">
        <v>643</v>
      </c>
      <c r="AE45" s="93">
        <v>2</v>
      </c>
      <c r="AF45" s="92" t="s">
        <v>460</v>
      </c>
      <c r="AG45" s="110"/>
      <c r="AH45" s="91" t="s">
        <v>735</v>
      </c>
      <c r="AI45" s="92" t="s">
        <v>463</v>
      </c>
      <c r="AJ45" s="92" t="s">
        <v>736</v>
      </c>
      <c r="AK45" s="92" t="s">
        <v>737</v>
      </c>
      <c r="AL45" s="91" t="s">
        <v>474</v>
      </c>
      <c r="AM45" s="91" t="b">
        <v>0</v>
      </c>
    </row>
    <row r="46" spans="1:39" x14ac:dyDescent="0.2">
      <c r="A46" t="s">
        <v>79</v>
      </c>
      <c r="B46" t="s">
        <v>738</v>
      </c>
      <c r="C46" t="s">
        <v>449</v>
      </c>
      <c r="D46" s="85" t="s">
        <v>739</v>
      </c>
      <c r="E46">
        <v>327360123</v>
      </c>
      <c r="F46" t="s">
        <v>0</v>
      </c>
      <c r="H46" t="s">
        <v>451</v>
      </c>
      <c r="J46" t="s">
        <v>452</v>
      </c>
      <c r="K46" t="s">
        <v>453</v>
      </c>
      <c r="L46" t="s">
        <v>726</v>
      </c>
      <c r="M46" t="s">
        <v>455</v>
      </c>
      <c r="N46" t="s">
        <v>0</v>
      </c>
      <c r="O46">
        <v>0</v>
      </c>
      <c r="P46">
        <v>0</v>
      </c>
      <c r="Q46">
        <v>0</v>
      </c>
      <c r="R46">
        <v>1</v>
      </c>
      <c r="S46">
        <v>2</v>
      </c>
      <c r="T46">
        <v>20</v>
      </c>
      <c r="U46" t="s">
        <v>513</v>
      </c>
      <c r="V46" t="s">
        <v>11</v>
      </c>
      <c r="W46" t="s">
        <v>740</v>
      </c>
      <c r="X46" t="s">
        <v>458</v>
      </c>
      <c r="Z46" t="s">
        <v>643</v>
      </c>
      <c r="AE46" s="93">
        <v>2</v>
      </c>
      <c r="AF46" s="92" t="s">
        <v>460</v>
      </c>
      <c r="AG46" s="110" t="s">
        <v>741</v>
      </c>
      <c r="AH46" s="91" t="s">
        <v>742</v>
      </c>
      <c r="AI46" s="92" t="s">
        <v>463</v>
      </c>
      <c r="AJ46" s="92" t="s">
        <v>743</v>
      </c>
      <c r="AK46" s="92" t="s">
        <v>744</v>
      </c>
      <c r="AL46" s="91" t="s">
        <v>474</v>
      </c>
      <c r="AM46" s="91" t="b">
        <v>0</v>
      </c>
    </row>
    <row r="47" spans="1:39" x14ac:dyDescent="0.2">
      <c r="A47" t="s">
        <v>80</v>
      </c>
      <c r="B47" t="s">
        <v>745</v>
      </c>
      <c r="C47" t="s">
        <v>449</v>
      </c>
      <c r="D47" s="85" t="s">
        <v>708</v>
      </c>
      <c r="E47">
        <v>703264721</v>
      </c>
      <c r="F47" t="s">
        <v>0</v>
      </c>
      <c r="H47" t="s">
        <v>451</v>
      </c>
      <c r="J47" t="s">
        <v>452</v>
      </c>
      <c r="K47" t="s">
        <v>453</v>
      </c>
      <c r="L47" t="s">
        <v>726</v>
      </c>
      <c r="M47" t="s">
        <v>455</v>
      </c>
      <c r="N47" t="s">
        <v>0</v>
      </c>
      <c r="O47">
        <v>0</v>
      </c>
      <c r="P47">
        <v>0</v>
      </c>
      <c r="Q47">
        <v>0</v>
      </c>
      <c r="R47">
        <v>1</v>
      </c>
      <c r="S47">
        <v>2</v>
      </c>
      <c r="T47">
        <v>31</v>
      </c>
      <c r="U47" t="s">
        <v>456</v>
      </c>
      <c r="V47" t="s">
        <v>14</v>
      </c>
      <c r="W47" t="s">
        <v>746</v>
      </c>
      <c r="X47" t="s">
        <v>458</v>
      </c>
      <c r="Z47" t="s">
        <v>643</v>
      </c>
      <c r="AE47" s="93">
        <v>2</v>
      </c>
      <c r="AF47" s="92" t="s">
        <v>460</v>
      </c>
      <c r="AG47" s="110"/>
      <c r="AH47" s="91" t="s">
        <v>747</v>
      </c>
      <c r="AI47" s="92" t="s">
        <v>463</v>
      </c>
      <c r="AJ47" s="92" t="s">
        <v>748</v>
      </c>
      <c r="AK47" s="92" t="s">
        <v>749</v>
      </c>
      <c r="AL47" s="91" t="s">
        <v>474</v>
      </c>
      <c r="AM47" s="91" t="b">
        <v>0</v>
      </c>
    </row>
    <row r="48" spans="1:39" x14ac:dyDescent="0.2">
      <c r="A48" t="s">
        <v>82</v>
      </c>
      <c r="B48" t="s">
        <v>750</v>
      </c>
      <c r="C48" t="s">
        <v>449</v>
      </c>
      <c r="D48" s="1" t="s">
        <v>702</v>
      </c>
      <c r="E48">
        <v>866876722</v>
      </c>
      <c r="F48" t="s">
        <v>0</v>
      </c>
      <c r="H48" t="s">
        <v>451</v>
      </c>
      <c r="J48" t="s">
        <v>452</v>
      </c>
      <c r="K48" t="s">
        <v>453</v>
      </c>
      <c r="L48" t="s">
        <v>751</v>
      </c>
      <c r="M48" t="s">
        <v>455</v>
      </c>
      <c r="N48" t="s">
        <v>0</v>
      </c>
      <c r="O48">
        <v>0</v>
      </c>
      <c r="P48">
        <v>0</v>
      </c>
      <c r="Q48">
        <v>0</v>
      </c>
      <c r="R48">
        <v>1</v>
      </c>
      <c r="S48">
        <v>2</v>
      </c>
      <c r="T48">
        <v>31</v>
      </c>
      <c r="U48" t="s">
        <v>456</v>
      </c>
      <c r="V48" t="s">
        <v>14</v>
      </c>
      <c r="W48" t="s">
        <v>752</v>
      </c>
      <c r="X48" t="s">
        <v>458</v>
      </c>
      <c r="Z48" t="s">
        <v>643</v>
      </c>
      <c r="AE48" s="93">
        <v>2</v>
      </c>
      <c r="AF48" s="92" t="s">
        <v>460</v>
      </c>
      <c r="AG48" s="84" t="s">
        <v>753</v>
      </c>
      <c r="AH48" s="91" t="s">
        <v>754</v>
      </c>
      <c r="AI48" s="92" t="s">
        <v>463</v>
      </c>
      <c r="AJ48" s="92" t="s">
        <v>755</v>
      </c>
      <c r="AK48" s="92" t="s">
        <v>756</v>
      </c>
      <c r="AL48" s="91" t="s">
        <v>757</v>
      </c>
      <c r="AM48" s="91" t="b">
        <v>0</v>
      </c>
    </row>
    <row r="49" spans="1:39" x14ac:dyDescent="0.2">
      <c r="A49" t="s">
        <v>83</v>
      </c>
      <c r="B49" t="s">
        <v>758</v>
      </c>
      <c r="C49" t="s">
        <v>449</v>
      </c>
      <c r="D49" s="1" t="s">
        <v>759</v>
      </c>
      <c r="E49">
        <v>379738098</v>
      </c>
      <c r="F49" t="s">
        <v>0</v>
      </c>
      <c r="H49" t="s">
        <v>451</v>
      </c>
      <c r="J49" t="s">
        <v>452</v>
      </c>
      <c r="K49" t="s">
        <v>453</v>
      </c>
      <c r="L49" t="s">
        <v>751</v>
      </c>
      <c r="M49" t="s">
        <v>455</v>
      </c>
      <c r="N49" t="s">
        <v>0</v>
      </c>
      <c r="O49">
        <v>0</v>
      </c>
      <c r="P49">
        <v>0</v>
      </c>
      <c r="Q49">
        <v>0</v>
      </c>
      <c r="R49">
        <v>1</v>
      </c>
      <c r="S49">
        <v>2</v>
      </c>
      <c r="T49">
        <v>21</v>
      </c>
      <c r="U49" t="s">
        <v>513</v>
      </c>
      <c r="V49" t="s">
        <v>11</v>
      </c>
      <c r="W49" t="s">
        <v>760</v>
      </c>
      <c r="X49" t="s">
        <v>458</v>
      </c>
      <c r="Z49" t="s">
        <v>761</v>
      </c>
      <c r="AE49" s="93">
        <v>2</v>
      </c>
      <c r="AF49" s="92" t="s">
        <v>460</v>
      </c>
      <c r="AG49" s="110" t="s">
        <v>762</v>
      </c>
      <c r="AH49" s="91" t="s">
        <v>763</v>
      </c>
      <c r="AI49" s="92" t="s">
        <v>485</v>
      </c>
      <c r="AJ49" s="92" t="s">
        <v>733</v>
      </c>
      <c r="AK49" s="92" t="s">
        <v>764</v>
      </c>
      <c r="AL49" s="91" t="s">
        <v>474</v>
      </c>
      <c r="AM49" s="91" t="b">
        <v>0</v>
      </c>
    </row>
    <row r="50" spans="1:39" x14ac:dyDescent="0.2">
      <c r="A50" t="s">
        <v>85</v>
      </c>
      <c r="B50" t="s">
        <v>765</v>
      </c>
      <c r="C50" t="s">
        <v>449</v>
      </c>
      <c r="D50" s="1" t="s">
        <v>722</v>
      </c>
      <c r="E50">
        <v>939053112</v>
      </c>
      <c r="F50" t="s">
        <v>0</v>
      </c>
      <c r="H50" t="s">
        <v>451</v>
      </c>
      <c r="J50" t="s">
        <v>452</v>
      </c>
      <c r="K50" t="s">
        <v>453</v>
      </c>
      <c r="L50" t="s">
        <v>751</v>
      </c>
      <c r="M50" t="s">
        <v>455</v>
      </c>
      <c r="N50" t="s">
        <v>0</v>
      </c>
      <c r="O50">
        <v>0</v>
      </c>
      <c r="P50">
        <v>0</v>
      </c>
      <c r="Q50">
        <v>0</v>
      </c>
      <c r="R50">
        <v>1</v>
      </c>
      <c r="S50">
        <v>2</v>
      </c>
      <c r="T50">
        <v>32</v>
      </c>
      <c r="U50" t="s">
        <v>456</v>
      </c>
      <c r="V50" t="s">
        <v>14</v>
      </c>
      <c r="W50" t="s">
        <v>766</v>
      </c>
      <c r="X50" t="s">
        <v>458</v>
      </c>
      <c r="Z50" t="s">
        <v>761</v>
      </c>
      <c r="AE50" s="93">
        <v>2</v>
      </c>
      <c r="AF50" s="92" t="s">
        <v>460</v>
      </c>
      <c r="AG50" s="110"/>
      <c r="AH50" s="91" t="s">
        <v>767</v>
      </c>
      <c r="AI50" s="92" t="s">
        <v>485</v>
      </c>
      <c r="AJ50" s="92" t="s">
        <v>768</v>
      </c>
      <c r="AK50" s="92" t="s">
        <v>769</v>
      </c>
      <c r="AL50" s="91" t="s">
        <v>474</v>
      </c>
      <c r="AM50" s="91" t="b">
        <v>0</v>
      </c>
    </row>
    <row r="51" spans="1:39" x14ac:dyDescent="0.2">
      <c r="A51" t="s">
        <v>87</v>
      </c>
      <c r="B51" t="s">
        <v>770</v>
      </c>
      <c r="C51" t="s">
        <v>449</v>
      </c>
      <c r="D51" s="1" t="s">
        <v>771</v>
      </c>
      <c r="E51">
        <v>944552050</v>
      </c>
      <c r="F51" t="s">
        <v>0</v>
      </c>
      <c r="H51" t="s">
        <v>451</v>
      </c>
      <c r="J51" t="s">
        <v>452</v>
      </c>
      <c r="K51" t="s">
        <v>453</v>
      </c>
      <c r="L51" t="s">
        <v>751</v>
      </c>
      <c r="M51" t="s">
        <v>455</v>
      </c>
      <c r="N51" t="s">
        <v>0</v>
      </c>
      <c r="O51">
        <v>0</v>
      </c>
      <c r="P51">
        <v>0</v>
      </c>
      <c r="Q51">
        <v>0</v>
      </c>
      <c r="R51">
        <v>1</v>
      </c>
      <c r="S51">
        <v>2</v>
      </c>
      <c r="T51">
        <v>21</v>
      </c>
      <c r="U51" t="s">
        <v>513</v>
      </c>
      <c r="V51" t="s">
        <v>11</v>
      </c>
      <c r="W51" t="s">
        <v>772</v>
      </c>
      <c r="X51" t="s">
        <v>458</v>
      </c>
      <c r="Z51" t="s">
        <v>761</v>
      </c>
      <c r="AE51" s="93">
        <v>2</v>
      </c>
      <c r="AF51" s="92" t="s">
        <v>460</v>
      </c>
      <c r="AG51" s="110" t="s">
        <v>773</v>
      </c>
      <c r="AH51" s="91" t="s">
        <v>774</v>
      </c>
      <c r="AI51" s="92" t="s">
        <v>485</v>
      </c>
      <c r="AJ51" s="92" t="s">
        <v>775</v>
      </c>
      <c r="AK51" s="92" t="s">
        <v>776</v>
      </c>
      <c r="AL51" s="91" t="s">
        <v>474</v>
      </c>
      <c r="AM51" s="91" t="b">
        <v>0</v>
      </c>
    </row>
    <row r="52" spans="1:39" x14ac:dyDescent="0.2">
      <c r="A52" t="s">
        <v>88</v>
      </c>
      <c r="B52" t="s">
        <v>777</v>
      </c>
      <c r="C52" t="s">
        <v>449</v>
      </c>
      <c r="D52" s="1" t="s">
        <v>715</v>
      </c>
      <c r="E52">
        <v>888745255</v>
      </c>
      <c r="F52" t="s">
        <v>0</v>
      </c>
      <c r="H52" t="s">
        <v>451</v>
      </c>
      <c r="J52" t="s">
        <v>452</v>
      </c>
      <c r="K52" t="s">
        <v>453</v>
      </c>
      <c r="L52" t="s">
        <v>751</v>
      </c>
      <c r="M52" t="s">
        <v>455</v>
      </c>
      <c r="N52" t="s">
        <v>0</v>
      </c>
      <c r="O52">
        <v>0</v>
      </c>
      <c r="P52">
        <v>0</v>
      </c>
      <c r="Q52">
        <v>0</v>
      </c>
      <c r="R52">
        <v>1</v>
      </c>
      <c r="S52">
        <v>2</v>
      </c>
      <c r="T52">
        <v>32</v>
      </c>
      <c r="U52" t="s">
        <v>456</v>
      </c>
      <c r="V52" t="s">
        <v>14</v>
      </c>
      <c r="W52" t="s">
        <v>778</v>
      </c>
      <c r="X52" t="s">
        <v>458</v>
      </c>
      <c r="Z52" t="s">
        <v>761</v>
      </c>
      <c r="AE52" s="93">
        <v>2</v>
      </c>
      <c r="AF52" s="92" t="s">
        <v>460</v>
      </c>
      <c r="AG52" s="110"/>
      <c r="AH52" s="91" t="s">
        <v>779</v>
      </c>
      <c r="AI52" s="92" t="s">
        <v>485</v>
      </c>
      <c r="AJ52" s="92" t="s">
        <v>780</v>
      </c>
      <c r="AK52" s="92" t="s">
        <v>781</v>
      </c>
      <c r="AL52" s="91" t="s">
        <v>474</v>
      </c>
      <c r="AM52" s="91" t="b">
        <v>0</v>
      </c>
    </row>
    <row r="53" spans="1:39" x14ac:dyDescent="0.2">
      <c r="A53" t="s">
        <v>89</v>
      </c>
      <c r="B53" t="s">
        <v>782</v>
      </c>
      <c r="C53" t="s">
        <v>449</v>
      </c>
      <c r="D53" s="1" t="s">
        <v>783</v>
      </c>
      <c r="E53">
        <v>979409417</v>
      </c>
      <c r="F53" t="s">
        <v>0</v>
      </c>
      <c r="H53" t="s">
        <v>451</v>
      </c>
      <c r="J53" t="s">
        <v>452</v>
      </c>
      <c r="K53" t="s">
        <v>453</v>
      </c>
      <c r="L53" t="s">
        <v>751</v>
      </c>
      <c r="M53" t="s">
        <v>455</v>
      </c>
      <c r="N53" t="s">
        <v>0</v>
      </c>
      <c r="O53">
        <v>0</v>
      </c>
      <c r="P53">
        <v>0</v>
      </c>
      <c r="Q53">
        <v>0</v>
      </c>
      <c r="R53">
        <v>1</v>
      </c>
      <c r="S53">
        <v>2</v>
      </c>
      <c r="T53">
        <v>22</v>
      </c>
      <c r="U53" t="s">
        <v>513</v>
      </c>
      <c r="V53" t="s">
        <v>11</v>
      </c>
      <c r="W53" t="s">
        <v>784</v>
      </c>
      <c r="X53" t="s">
        <v>458</v>
      </c>
      <c r="Z53" t="s">
        <v>761</v>
      </c>
      <c r="AE53" s="93">
        <v>2</v>
      </c>
      <c r="AF53" s="92" t="s">
        <v>460</v>
      </c>
      <c r="AG53" s="110" t="s">
        <v>785</v>
      </c>
      <c r="AH53" s="91" t="s">
        <v>786</v>
      </c>
      <c r="AI53" s="92" t="s">
        <v>485</v>
      </c>
      <c r="AJ53" s="92" t="s">
        <v>787</v>
      </c>
      <c r="AK53" s="92" t="s">
        <v>788</v>
      </c>
      <c r="AL53" s="91" t="s">
        <v>474</v>
      </c>
      <c r="AM53" s="91" t="b">
        <v>0</v>
      </c>
    </row>
    <row r="54" spans="1:39" x14ac:dyDescent="0.2">
      <c r="A54" t="s">
        <v>91</v>
      </c>
      <c r="B54" t="s">
        <v>789</v>
      </c>
      <c r="C54" t="s">
        <v>449</v>
      </c>
      <c r="D54" s="1" t="s">
        <v>790</v>
      </c>
      <c r="E54">
        <v>379218610</v>
      </c>
      <c r="F54" t="s">
        <v>0</v>
      </c>
      <c r="H54" t="s">
        <v>451</v>
      </c>
      <c r="J54" t="s">
        <v>452</v>
      </c>
      <c r="K54" t="s">
        <v>453</v>
      </c>
      <c r="L54" t="s">
        <v>751</v>
      </c>
      <c r="M54" t="s">
        <v>455</v>
      </c>
      <c r="N54" t="s">
        <v>0</v>
      </c>
      <c r="O54">
        <v>0</v>
      </c>
      <c r="P54">
        <v>0</v>
      </c>
      <c r="Q54">
        <v>0</v>
      </c>
      <c r="R54">
        <v>1</v>
      </c>
      <c r="S54">
        <v>2</v>
      </c>
      <c r="T54">
        <v>22</v>
      </c>
      <c r="U54" t="s">
        <v>513</v>
      </c>
      <c r="V54" t="s">
        <v>11</v>
      </c>
      <c r="W54" t="s">
        <v>791</v>
      </c>
      <c r="X54" t="s">
        <v>458</v>
      </c>
      <c r="Z54" t="s">
        <v>761</v>
      </c>
      <c r="AE54" s="93">
        <v>2</v>
      </c>
      <c r="AF54" s="92" t="s">
        <v>460</v>
      </c>
      <c r="AG54" s="110"/>
      <c r="AH54" s="91" t="s">
        <v>792</v>
      </c>
      <c r="AI54" s="92" t="s">
        <v>485</v>
      </c>
      <c r="AJ54" s="92" t="s">
        <v>793</v>
      </c>
      <c r="AK54" s="92" t="s">
        <v>794</v>
      </c>
      <c r="AL54" s="91" t="s">
        <v>795</v>
      </c>
      <c r="AM54" s="91" t="b">
        <v>0</v>
      </c>
    </row>
    <row r="55" spans="1:39" x14ac:dyDescent="0.2">
      <c r="A55" t="s">
        <v>92</v>
      </c>
      <c r="B55" t="s">
        <v>796</v>
      </c>
      <c r="C55" t="s">
        <v>449</v>
      </c>
      <c r="D55" s="85" t="s">
        <v>797</v>
      </c>
      <c r="E55">
        <v>378462578</v>
      </c>
      <c r="F55" t="s">
        <v>0</v>
      </c>
      <c r="H55" t="s">
        <v>451</v>
      </c>
      <c r="J55" t="s">
        <v>452</v>
      </c>
      <c r="K55" t="s">
        <v>453</v>
      </c>
      <c r="L55" t="s">
        <v>751</v>
      </c>
      <c r="M55" t="s">
        <v>455</v>
      </c>
      <c r="N55" t="s">
        <v>0</v>
      </c>
      <c r="O55">
        <v>0</v>
      </c>
      <c r="P55">
        <v>0</v>
      </c>
      <c r="Q55">
        <v>0</v>
      </c>
      <c r="R55">
        <v>1</v>
      </c>
      <c r="S55">
        <v>2</v>
      </c>
      <c r="T55">
        <v>23</v>
      </c>
      <c r="U55" t="s">
        <v>513</v>
      </c>
      <c r="V55" t="s">
        <v>11</v>
      </c>
      <c r="W55" t="s">
        <v>798</v>
      </c>
      <c r="X55" t="s">
        <v>458</v>
      </c>
      <c r="Z55" t="s">
        <v>761</v>
      </c>
      <c r="AE55" s="93">
        <v>2</v>
      </c>
      <c r="AF55" s="92" t="s">
        <v>460</v>
      </c>
      <c r="AG55" s="110" t="s">
        <v>799</v>
      </c>
      <c r="AH55" s="91" t="s">
        <v>800</v>
      </c>
      <c r="AI55" s="92" t="s">
        <v>485</v>
      </c>
      <c r="AJ55" s="92" t="s">
        <v>725</v>
      </c>
      <c r="AK55" s="92" t="s">
        <v>801</v>
      </c>
      <c r="AL55" s="91" t="s">
        <v>474</v>
      </c>
      <c r="AM55" s="91" t="b">
        <v>0</v>
      </c>
    </row>
    <row r="56" spans="1:39" x14ac:dyDescent="0.2">
      <c r="A56" t="s">
        <v>94</v>
      </c>
      <c r="B56" t="s">
        <v>802</v>
      </c>
      <c r="C56" t="s">
        <v>449</v>
      </c>
      <c r="D56" s="85" t="s">
        <v>803</v>
      </c>
      <c r="E56">
        <v>937686998</v>
      </c>
      <c r="F56" t="s">
        <v>0</v>
      </c>
      <c r="H56" t="s">
        <v>451</v>
      </c>
      <c r="J56" t="s">
        <v>452</v>
      </c>
      <c r="K56" t="s">
        <v>453</v>
      </c>
      <c r="L56" t="s">
        <v>751</v>
      </c>
      <c r="M56" t="s">
        <v>455</v>
      </c>
      <c r="N56" t="s">
        <v>0</v>
      </c>
      <c r="O56">
        <v>0</v>
      </c>
      <c r="P56">
        <v>0</v>
      </c>
      <c r="Q56">
        <v>0</v>
      </c>
      <c r="R56">
        <v>1</v>
      </c>
      <c r="S56">
        <v>2</v>
      </c>
      <c r="T56">
        <v>23</v>
      </c>
      <c r="U56" t="s">
        <v>513</v>
      </c>
      <c r="V56" t="s">
        <v>11</v>
      </c>
      <c r="W56" t="s">
        <v>804</v>
      </c>
      <c r="X56" t="s">
        <v>458</v>
      </c>
      <c r="Z56" t="s">
        <v>761</v>
      </c>
      <c r="AE56" s="93">
        <v>2</v>
      </c>
      <c r="AF56" s="92" t="s">
        <v>460</v>
      </c>
      <c r="AG56" s="110"/>
      <c r="AH56" s="91" t="s">
        <v>805</v>
      </c>
      <c r="AI56" s="92" t="s">
        <v>485</v>
      </c>
      <c r="AJ56" s="92" t="s">
        <v>739</v>
      </c>
      <c r="AK56" s="92" t="s">
        <v>806</v>
      </c>
      <c r="AL56" s="91" t="s">
        <v>474</v>
      </c>
      <c r="AM56" s="91" t="b">
        <v>0</v>
      </c>
    </row>
    <row r="57" spans="1:39" x14ac:dyDescent="0.2">
      <c r="A57" t="s">
        <v>390</v>
      </c>
      <c r="B57" t="s">
        <v>807</v>
      </c>
      <c r="C57" t="s">
        <v>449</v>
      </c>
      <c r="D57" s="85" t="s">
        <v>695</v>
      </c>
      <c r="E57">
        <v>967524457</v>
      </c>
      <c r="F57" t="s">
        <v>0</v>
      </c>
      <c r="H57" t="s">
        <v>451</v>
      </c>
      <c r="J57" t="s">
        <v>452</v>
      </c>
      <c r="K57" t="s">
        <v>453</v>
      </c>
      <c r="L57" t="s">
        <v>751</v>
      </c>
      <c r="M57" t="s">
        <v>455</v>
      </c>
      <c r="N57" t="s">
        <v>0</v>
      </c>
      <c r="O57">
        <v>0</v>
      </c>
      <c r="P57">
        <v>0</v>
      </c>
      <c r="Q57">
        <v>0</v>
      </c>
      <c r="R57">
        <v>1</v>
      </c>
      <c r="S57">
        <v>2</v>
      </c>
      <c r="T57">
        <v>24</v>
      </c>
      <c r="U57" t="s">
        <v>513</v>
      </c>
      <c r="V57" t="s">
        <v>14</v>
      </c>
      <c r="W57" t="s">
        <v>808</v>
      </c>
      <c r="X57" t="s">
        <v>458</v>
      </c>
      <c r="Z57" t="s">
        <v>761</v>
      </c>
      <c r="AE57" s="93">
        <v>2</v>
      </c>
      <c r="AF57" s="92" t="s">
        <v>460</v>
      </c>
      <c r="AG57" s="110" t="s">
        <v>809</v>
      </c>
      <c r="AH57" s="91" t="s">
        <v>810</v>
      </c>
      <c r="AI57" s="92" t="s">
        <v>485</v>
      </c>
      <c r="AJ57" s="92" t="s">
        <v>771</v>
      </c>
      <c r="AK57" s="92" t="s">
        <v>811</v>
      </c>
      <c r="AL57" s="91" t="s">
        <v>474</v>
      </c>
      <c r="AM57" s="91" t="b">
        <v>0</v>
      </c>
    </row>
    <row r="58" spans="1:39" x14ac:dyDescent="0.2">
      <c r="A58" t="s">
        <v>95</v>
      </c>
      <c r="B58" t="s">
        <v>812</v>
      </c>
      <c r="C58" t="s">
        <v>449</v>
      </c>
      <c r="D58" s="85" t="s">
        <v>688</v>
      </c>
      <c r="E58">
        <v>343734096</v>
      </c>
      <c r="F58" t="s">
        <v>0</v>
      </c>
      <c r="H58" t="s">
        <v>451</v>
      </c>
      <c r="J58" t="s">
        <v>452</v>
      </c>
      <c r="K58" t="s">
        <v>453</v>
      </c>
      <c r="L58" t="s">
        <v>751</v>
      </c>
      <c r="M58" t="s">
        <v>455</v>
      </c>
      <c r="N58" t="s">
        <v>0</v>
      </c>
      <c r="O58">
        <v>0</v>
      </c>
      <c r="P58">
        <v>0</v>
      </c>
      <c r="Q58">
        <v>0</v>
      </c>
      <c r="R58">
        <v>1</v>
      </c>
      <c r="S58">
        <v>2</v>
      </c>
      <c r="T58">
        <v>24</v>
      </c>
      <c r="U58" t="s">
        <v>513</v>
      </c>
      <c r="V58" t="s">
        <v>14</v>
      </c>
      <c r="W58" t="s">
        <v>813</v>
      </c>
      <c r="X58" t="s">
        <v>458</v>
      </c>
      <c r="Z58" t="s">
        <v>761</v>
      </c>
      <c r="AE58" s="93">
        <v>2</v>
      </c>
      <c r="AF58" s="92" t="s">
        <v>460</v>
      </c>
      <c r="AG58" s="110"/>
      <c r="AH58" s="91" t="s">
        <v>814</v>
      </c>
      <c r="AI58" s="92" t="s">
        <v>485</v>
      </c>
      <c r="AJ58" s="92" t="s">
        <v>759</v>
      </c>
      <c r="AK58" s="92" t="s">
        <v>815</v>
      </c>
      <c r="AL58" s="91" t="s">
        <v>474</v>
      </c>
      <c r="AM58" s="91" t="b">
        <v>0</v>
      </c>
    </row>
    <row r="59" spans="1:39" x14ac:dyDescent="0.2">
      <c r="A59" t="s">
        <v>97</v>
      </c>
      <c r="B59" t="s">
        <v>816</v>
      </c>
      <c r="C59" t="s">
        <v>449</v>
      </c>
      <c r="D59" s="85" t="s">
        <v>817</v>
      </c>
      <c r="E59">
        <v>941967745</v>
      </c>
      <c r="F59" t="s">
        <v>0</v>
      </c>
      <c r="H59" t="s">
        <v>451</v>
      </c>
      <c r="J59" t="s">
        <v>452</v>
      </c>
      <c r="K59" t="s">
        <v>453</v>
      </c>
      <c r="L59" t="s">
        <v>751</v>
      </c>
      <c r="M59" t="s">
        <v>455</v>
      </c>
      <c r="N59" t="s">
        <v>0</v>
      </c>
      <c r="O59">
        <v>0</v>
      </c>
      <c r="P59">
        <v>0</v>
      </c>
      <c r="Q59">
        <v>0</v>
      </c>
      <c r="R59">
        <v>1</v>
      </c>
      <c r="S59">
        <v>2</v>
      </c>
      <c r="T59">
        <v>25</v>
      </c>
      <c r="U59" t="s">
        <v>513</v>
      </c>
      <c r="V59" t="s">
        <v>11</v>
      </c>
      <c r="W59" t="s">
        <v>818</v>
      </c>
      <c r="X59" t="s">
        <v>458</v>
      </c>
      <c r="Z59" t="s">
        <v>819</v>
      </c>
      <c r="AE59" s="93">
        <v>2</v>
      </c>
      <c r="AF59" s="92" t="s">
        <v>460</v>
      </c>
      <c r="AG59" s="110" t="s">
        <v>820</v>
      </c>
      <c r="AH59" s="91" t="s">
        <v>821</v>
      </c>
      <c r="AI59" s="92" t="s">
        <v>485</v>
      </c>
      <c r="AJ59" s="92" t="s">
        <v>783</v>
      </c>
      <c r="AK59" s="92" t="s">
        <v>822</v>
      </c>
      <c r="AL59" s="91" t="s">
        <v>474</v>
      </c>
      <c r="AM59" s="91" t="b">
        <v>0</v>
      </c>
    </row>
    <row r="60" spans="1:39" x14ac:dyDescent="0.2">
      <c r="A60" t="s">
        <v>99</v>
      </c>
      <c r="B60" t="s">
        <v>823</v>
      </c>
      <c r="C60" t="s">
        <v>449</v>
      </c>
      <c r="D60" s="85" t="s">
        <v>824</v>
      </c>
      <c r="E60">
        <v>363543388</v>
      </c>
      <c r="F60" t="s">
        <v>0</v>
      </c>
      <c r="H60" t="s">
        <v>451</v>
      </c>
      <c r="J60" t="s">
        <v>452</v>
      </c>
      <c r="K60" t="s">
        <v>453</v>
      </c>
      <c r="L60" t="s">
        <v>751</v>
      </c>
      <c r="M60" t="s">
        <v>455</v>
      </c>
      <c r="N60" t="s">
        <v>0</v>
      </c>
      <c r="O60">
        <v>0</v>
      </c>
      <c r="P60">
        <v>0</v>
      </c>
      <c r="Q60">
        <v>0</v>
      </c>
      <c r="R60">
        <v>1</v>
      </c>
      <c r="S60">
        <v>2</v>
      </c>
      <c r="T60">
        <v>25</v>
      </c>
      <c r="U60" t="s">
        <v>513</v>
      </c>
      <c r="V60" t="s">
        <v>11</v>
      </c>
      <c r="W60" t="s">
        <v>825</v>
      </c>
      <c r="X60" t="s">
        <v>458</v>
      </c>
      <c r="Z60" t="s">
        <v>819</v>
      </c>
      <c r="AE60" s="93">
        <v>2</v>
      </c>
      <c r="AF60" s="92" t="s">
        <v>460</v>
      </c>
      <c r="AG60" s="110"/>
      <c r="AH60" s="91" t="s">
        <v>826</v>
      </c>
      <c r="AI60" s="92" t="s">
        <v>485</v>
      </c>
      <c r="AJ60" s="92" t="s">
        <v>790</v>
      </c>
      <c r="AK60" s="92" t="s">
        <v>827</v>
      </c>
      <c r="AL60" s="91" t="s">
        <v>474</v>
      </c>
      <c r="AM60" s="91" t="b">
        <v>0</v>
      </c>
    </row>
    <row r="61" spans="1:39" x14ac:dyDescent="0.2">
      <c r="A61" t="s">
        <v>100</v>
      </c>
      <c r="B61" t="s">
        <v>828</v>
      </c>
      <c r="C61" t="s">
        <v>449</v>
      </c>
      <c r="D61" s="85" t="s">
        <v>730</v>
      </c>
      <c r="E61">
        <v>707653589</v>
      </c>
      <c r="F61" t="s">
        <v>0</v>
      </c>
      <c r="H61" t="s">
        <v>451</v>
      </c>
      <c r="J61" t="s">
        <v>452</v>
      </c>
      <c r="K61" t="s">
        <v>453</v>
      </c>
      <c r="L61" t="s">
        <v>751</v>
      </c>
      <c r="M61" t="s">
        <v>455</v>
      </c>
      <c r="N61" t="s">
        <v>0</v>
      </c>
      <c r="O61">
        <v>0</v>
      </c>
      <c r="P61">
        <v>0</v>
      </c>
      <c r="Q61">
        <v>0</v>
      </c>
      <c r="R61">
        <v>1</v>
      </c>
      <c r="S61">
        <v>2</v>
      </c>
      <c r="T61">
        <v>33</v>
      </c>
      <c r="U61" t="s">
        <v>456</v>
      </c>
      <c r="V61" t="s">
        <v>14</v>
      </c>
      <c r="W61" t="s">
        <v>829</v>
      </c>
      <c r="X61" t="s">
        <v>458</v>
      </c>
      <c r="Z61" t="s">
        <v>819</v>
      </c>
      <c r="AE61" s="93">
        <v>2</v>
      </c>
      <c r="AF61" s="92" t="s">
        <v>460</v>
      </c>
      <c r="AG61" s="110" t="s">
        <v>830</v>
      </c>
      <c r="AH61" s="91" t="s">
        <v>831</v>
      </c>
      <c r="AI61" s="92" t="s">
        <v>485</v>
      </c>
      <c r="AJ61" s="92" t="s">
        <v>797</v>
      </c>
      <c r="AK61" s="92" t="s">
        <v>832</v>
      </c>
      <c r="AL61" s="91" t="s">
        <v>474</v>
      </c>
      <c r="AM61" s="91" t="b">
        <v>0</v>
      </c>
    </row>
    <row r="62" spans="1:39" x14ac:dyDescent="0.2">
      <c r="A62" t="s">
        <v>102</v>
      </c>
      <c r="B62" t="s">
        <v>833</v>
      </c>
      <c r="C62" t="s">
        <v>449</v>
      </c>
      <c r="D62" s="85" t="s">
        <v>834</v>
      </c>
      <c r="E62">
        <v>396428796</v>
      </c>
      <c r="F62" t="s">
        <v>0</v>
      </c>
      <c r="H62" t="s">
        <v>451</v>
      </c>
      <c r="J62" t="s">
        <v>452</v>
      </c>
      <c r="K62" t="s">
        <v>453</v>
      </c>
      <c r="L62" t="s">
        <v>751</v>
      </c>
      <c r="M62" t="s">
        <v>455</v>
      </c>
      <c r="N62" t="s">
        <v>0</v>
      </c>
      <c r="O62">
        <v>0</v>
      </c>
      <c r="P62">
        <v>0</v>
      </c>
      <c r="Q62">
        <v>0</v>
      </c>
      <c r="R62">
        <v>1</v>
      </c>
      <c r="S62">
        <v>2</v>
      </c>
      <c r="T62">
        <v>26</v>
      </c>
      <c r="U62" t="s">
        <v>513</v>
      </c>
      <c r="V62" t="s">
        <v>11</v>
      </c>
      <c r="W62" t="s">
        <v>835</v>
      </c>
      <c r="X62" t="s">
        <v>458</v>
      </c>
      <c r="Z62" t="s">
        <v>819</v>
      </c>
      <c r="AE62" s="93">
        <v>2</v>
      </c>
      <c r="AF62" s="92" t="s">
        <v>460</v>
      </c>
      <c r="AG62" s="110"/>
      <c r="AH62" s="91" t="s">
        <v>836</v>
      </c>
      <c r="AI62" s="92" t="s">
        <v>485</v>
      </c>
      <c r="AJ62" s="92" t="s">
        <v>803</v>
      </c>
      <c r="AK62" s="92" t="s">
        <v>837</v>
      </c>
      <c r="AL62" s="91" t="s">
        <v>474</v>
      </c>
      <c r="AM62" s="91" t="b">
        <v>0</v>
      </c>
    </row>
    <row r="63" spans="1:39" x14ac:dyDescent="0.2">
      <c r="A63" t="s">
        <v>104</v>
      </c>
      <c r="B63" t="s">
        <v>838</v>
      </c>
      <c r="C63" t="s">
        <v>449</v>
      </c>
      <c r="D63" s="85" t="s">
        <v>743</v>
      </c>
      <c r="E63">
        <v>383899275</v>
      </c>
      <c r="F63" t="s">
        <v>0</v>
      </c>
      <c r="H63" t="s">
        <v>451</v>
      </c>
      <c r="J63" t="s">
        <v>452</v>
      </c>
      <c r="K63" t="s">
        <v>453</v>
      </c>
      <c r="L63" t="s">
        <v>751</v>
      </c>
      <c r="M63" t="s">
        <v>455</v>
      </c>
      <c r="N63" t="s">
        <v>0</v>
      </c>
      <c r="O63">
        <v>0</v>
      </c>
      <c r="P63">
        <v>0</v>
      </c>
      <c r="Q63">
        <v>0</v>
      </c>
      <c r="R63">
        <v>1</v>
      </c>
      <c r="S63">
        <v>2</v>
      </c>
      <c r="T63">
        <v>34</v>
      </c>
      <c r="U63" t="s">
        <v>456</v>
      </c>
      <c r="V63" t="s">
        <v>14</v>
      </c>
      <c r="W63" t="s">
        <v>839</v>
      </c>
      <c r="X63" t="s">
        <v>458</v>
      </c>
      <c r="Z63" t="s">
        <v>819</v>
      </c>
      <c r="AE63" s="93">
        <v>2</v>
      </c>
      <c r="AF63" s="92" t="s">
        <v>460</v>
      </c>
      <c r="AG63" s="110" t="s">
        <v>840</v>
      </c>
      <c r="AH63" s="91" t="s">
        <v>841</v>
      </c>
      <c r="AI63" s="92" t="s">
        <v>485</v>
      </c>
      <c r="AJ63" s="92" t="s">
        <v>817</v>
      </c>
      <c r="AK63" s="92" t="s">
        <v>842</v>
      </c>
      <c r="AL63" s="91" t="s">
        <v>474</v>
      </c>
      <c r="AM63" s="91" t="b">
        <v>0</v>
      </c>
    </row>
    <row r="64" spans="1:39" x14ac:dyDescent="0.2">
      <c r="A64" t="s">
        <v>106</v>
      </c>
      <c r="B64" t="s">
        <v>843</v>
      </c>
      <c r="C64" t="s">
        <v>449</v>
      </c>
      <c r="D64" s="85" t="s">
        <v>844</v>
      </c>
      <c r="E64">
        <v>971850315</v>
      </c>
      <c r="F64" t="s">
        <v>0</v>
      </c>
      <c r="H64" t="s">
        <v>451</v>
      </c>
      <c r="J64" t="s">
        <v>452</v>
      </c>
      <c r="K64" t="s">
        <v>453</v>
      </c>
      <c r="L64" t="s">
        <v>751</v>
      </c>
      <c r="M64" t="s">
        <v>455</v>
      </c>
      <c r="N64" t="s">
        <v>0</v>
      </c>
      <c r="O64">
        <v>0</v>
      </c>
      <c r="P64">
        <v>0</v>
      </c>
      <c r="Q64">
        <v>0</v>
      </c>
      <c r="R64">
        <v>1</v>
      </c>
      <c r="S64">
        <v>2</v>
      </c>
      <c r="T64">
        <v>26</v>
      </c>
      <c r="U64" t="s">
        <v>513</v>
      </c>
      <c r="V64" t="s">
        <v>11</v>
      </c>
      <c r="W64" t="s">
        <v>845</v>
      </c>
      <c r="X64" t="s">
        <v>458</v>
      </c>
      <c r="Z64" t="s">
        <v>819</v>
      </c>
      <c r="AE64" s="93">
        <v>2</v>
      </c>
      <c r="AF64" s="92" t="s">
        <v>460</v>
      </c>
      <c r="AG64" s="110"/>
      <c r="AH64" s="91" t="s">
        <v>846</v>
      </c>
      <c r="AI64" s="92" t="s">
        <v>485</v>
      </c>
      <c r="AJ64" s="92" t="s">
        <v>824</v>
      </c>
      <c r="AK64" s="92" t="s">
        <v>847</v>
      </c>
      <c r="AL64" s="91" t="s">
        <v>474</v>
      </c>
      <c r="AM64" s="91" t="b">
        <v>0</v>
      </c>
    </row>
    <row r="65" spans="1:39" x14ac:dyDescent="0.2">
      <c r="A65" t="s">
        <v>107</v>
      </c>
      <c r="B65" t="s">
        <v>848</v>
      </c>
      <c r="C65" t="s">
        <v>449</v>
      </c>
      <c r="D65" s="85" t="s">
        <v>849</v>
      </c>
      <c r="E65">
        <v>963698249</v>
      </c>
      <c r="F65" t="s">
        <v>0</v>
      </c>
      <c r="H65" t="s">
        <v>451</v>
      </c>
      <c r="J65" t="s">
        <v>452</v>
      </c>
      <c r="K65" t="s">
        <v>453</v>
      </c>
      <c r="L65" t="s">
        <v>751</v>
      </c>
      <c r="M65" t="s">
        <v>455</v>
      </c>
      <c r="N65" t="s">
        <v>0</v>
      </c>
      <c r="O65">
        <v>0</v>
      </c>
      <c r="P65">
        <v>0</v>
      </c>
      <c r="Q65">
        <v>0</v>
      </c>
      <c r="R65">
        <v>1</v>
      </c>
      <c r="S65">
        <v>2</v>
      </c>
      <c r="T65">
        <v>27</v>
      </c>
      <c r="U65" t="s">
        <v>513</v>
      </c>
      <c r="V65" t="s">
        <v>11</v>
      </c>
      <c r="W65" t="s">
        <v>850</v>
      </c>
      <c r="X65" t="s">
        <v>458</v>
      </c>
      <c r="Z65" t="s">
        <v>819</v>
      </c>
      <c r="AE65" s="93">
        <v>2</v>
      </c>
      <c r="AF65" s="92" t="s">
        <v>460</v>
      </c>
      <c r="AG65" s="110" t="s">
        <v>851</v>
      </c>
      <c r="AH65" s="91" t="s">
        <v>852</v>
      </c>
      <c r="AI65" s="92" t="s">
        <v>485</v>
      </c>
      <c r="AJ65" s="92" t="s">
        <v>834</v>
      </c>
      <c r="AK65" s="92" t="s">
        <v>853</v>
      </c>
      <c r="AL65" s="91" t="s">
        <v>474</v>
      </c>
      <c r="AM65" s="91" t="b">
        <v>0</v>
      </c>
    </row>
    <row r="66" spans="1:39" x14ac:dyDescent="0.2">
      <c r="A66" t="s">
        <v>109</v>
      </c>
      <c r="B66" t="s">
        <v>854</v>
      </c>
      <c r="C66" t="s">
        <v>449</v>
      </c>
      <c r="D66" s="85" t="s">
        <v>855</v>
      </c>
      <c r="E66">
        <v>339310132</v>
      </c>
      <c r="F66" t="s">
        <v>0</v>
      </c>
      <c r="H66" t="s">
        <v>451</v>
      </c>
      <c r="J66" t="s">
        <v>452</v>
      </c>
      <c r="K66" t="s">
        <v>453</v>
      </c>
      <c r="L66" t="s">
        <v>751</v>
      </c>
      <c r="M66" t="s">
        <v>455</v>
      </c>
      <c r="N66" t="s">
        <v>0</v>
      </c>
      <c r="O66">
        <v>0</v>
      </c>
      <c r="P66">
        <v>0</v>
      </c>
      <c r="Q66">
        <v>0</v>
      </c>
      <c r="R66">
        <v>1</v>
      </c>
      <c r="S66">
        <v>2</v>
      </c>
      <c r="T66">
        <v>27</v>
      </c>
      <c r="U66" t="s">
        <v>513</v>
      </c>
      <c r="V66" t="s">
        <v>11</v>
      </c>
      <c r="W66" t="s">
        <v>856</v>
      </c>
      <c r="X66" t="s">
        <v>458</v>
      </c>
      <c r="Z66" t="s">
        <v>819</v>
      </c>
      <c r="AE66" s="93">
        <v>2</v>
      </c>
      <c r="AF66" s="92" t="s">
        <v>460</v>
      </c>
      <c r="AG66" s="110"/>
      <c r="AH66" s="91" t="s">
        <v>857</v>
      </c>
      <c r="AI66" s="92" t="s">
        <v>485</v>
      </c>
      <c r="AJ66" s="92" t="s">
        <v>844</v>
      </c>
      <c r="AK66" s="92" t="s">
        <v>858</v>
      </c>
      <c r="AL66" s="91" t="s">
        <v>474</v>
      </c>
      <c r="AM66" s="91" t="b">
        <v>0</v>
      </c>
    </row>
    <row r="67" spans="1:39" x14ac:dyDescent="0.2">
      <c r="A67" t="s">
        <v>110</v>
      </c>
      <c r="B67" t="s">
        <v>859</v>
      </c>
      <c r="C67" t="s">
        <v>449</v>
      </c>
      <c r="D67" s="85" t="s">
        <v>748</v>
      </c>
      <c r="E67">
        <v>369040747</v>
      </c>
      <c r="F67" t="s">
        <v>0</v>
      </c>
      <c r="H67" t="s">
        <v>451</v>
      </c>
      <c r="J67" t="s">
        <v>452</v>
      </c>
      <c r="K67" t="s">
        <v>453</v>
      </c>
      <c r="L67" t="s">
        <v>751</v>
      </c>
      <c r="M67" t="s">
        <v>455</v>
      </c>
      <c r="N67" t="s">
        <v>0</v>
      </c>
      <c r="O67">
        <v>0</v>
      </c>
      <c r="P67">
        <v>0</v>
      </c>
      <c r="Q67">
        <v>0</v>
      </c>
      <c r="R67">
        <v>1</v>
      </c>
      <c r="S67">
        <v>2</v>
      </c>
      <c r="T67">
        <v>34</v>
      </c>
      <c r="U67" t="s">
        <v>456</v>
      </c>
      <c r="V67" t="s">
        <v>14</v>
      </c>
      <c r="W67" t="s">
        <v>860</v>
      </c>
      <c r="X67" t="s">
        <v>458</v>
      </c>
      <c r="Z67" t="s">
        <v>819</v>
      </c>
      <c r="AE67" s="93">
        <v>2</v>
      </c>
      <c r="AF67" s="92" t="s">
        <v>460</v>
      </c>
      <c r="AG67" s="110" t="s">
        <v>861</v>
      </c>
      <c r="AH67" s="91" t="s">
        <v>862</v>
      </c>
      <c r="AI67" s="92" t="s">
        <v>485</v>
      </c>
      <c r="AJ67" s="92" t="s">
        <v>855</v>
      </c>
      <c r="AK67" s="92" t="s">
        <v>863</v>
      </c>
      <c r="AL67" s="91" t="s">
        <v>474</v>
      </c>
      <c r="AM67" s="91" t="b">
        <v>0</v>
      </c>
    </row>
    <row r="68" spans="1:39" x14ac:dyDescent="0.2">
      <c r="A68" t="s">
        <v>111</v>
      </c>
      <c r="B68" t="s">
        <v>864</v>
      </c>
      <c r="C68" t="s">
        <v>449</v>
      </c>
      <c r="D68" s="85" t="s">
        <v>865</v>
      </c>
      <c r="E68">
        <v>869885812</v>
      </c>
      <c r="F68" t="s">
        <v>0</v>
      </c>
      <c r="H68" t="s">
        <v>451</v>
      </c>
      <c r="J68" t="s">
        <v>452</v>
      </c>
      <c r="K68" t="s">
        <v>453</v>
      </c>
      <c r="L68" t="s">
        <v>751</v>
      </c>
      <c r="M68" t="s">
        <v>455</v>
      </c>
      <c r="N68" t="s">
        <v>0</v>
      </c>
      <c r="O68">
        <v>0</v>
      </c>
      <c r="P68">
        <v>0</v>
      </c>
      <c r="Q68">
        <v>0</v>
      </c>
      <c r="R68">
        <v>1</v>
      </c>
      <c r="S68">
        <v>2</v>
      </c>
      <c r="T68">
        <v>28</v>
      </c>
      <c r="U68" t="s">
        <v>513</v>
      </c>
      <c r="V68" t="s">
        <v>11</v>
      </c>
      <c r="W68" t="s">
        <v>866</v>
      </c>
      <c r="X68" t="s">
        <v>458</v>
      </c>
      <c r="Z68" t="s">
        <v>819</v>
      </c>
      <c r="AE68" s="93">
        <v>2</v>
      </c>
      <c r="AF68" s="92" t="s">
        <v>460</v>
      </c>
      <c r="AG68" s="110"/>
      <c r="AH68" s="91" t="s">
        <v>867</v>
      </c>
      <c r="AI68" s="92" t="s">
        <v>485</v>
      </c>
      <c r="AJ68" s="92" t="s">
        <v>849</v>
      </c>
      <c r="AK68" s="92" t="s">
        <v>868</v>
      </c>
      <c r="AL68" s="91" t="s">
        <v>474</v>
      </c>
      <c r="AM68" s="91" t="b">
        <v>0</v>
      </c>
    </row>
    <row r="69" spans="1:39" x14ac:dyDescent="0.2">
      <c r="A69" t="s">
        <v>113</v>
      </c>
      <c r="B69" t="s">
        <v>869</v>
      </c>
      <c r="C69" t="s">
        <v>449</v>
      </c>
      <c r="D69" s="85" t="s">
        <v>870</v>
      </c>
      <c r="E69">
        <v>935919461</v>
      </c>
      <c r="F69" t="s">
        <v>0</v>
      </c>
      <c r="H69" t="s">
        <v>451</v>
      </c>
      <c r="J69" t="s">
        <v>452</v>
      </c>
      <c r="K69" t="s">
        <v>453</v>
      </c>
      <c r="L69" t="s">
        <v>751</v>
      </c>
      <c r="M69" t="s">
        <v>455</v>
      </c>
      <c r="N69" t="s">
        <v>0</v>
      </c>
      <c r="O69">
        <v>0</v>
      </c>
      <c r="P69">
        <v>0</v>
      </c>
      <c r="Q69">
        <v>0</v>
      </c>
      <c r="R69">
        <v>1</v>
      </c>
      <c r="S69">
        <v>2</v>
      </c>
      <c r="T69">
        <v>28</v>
      </c>
      <c r="U69" t="s">
        <v>513</v>
      </c>
      <c r="V69" t="s">
        <v>11</v>
      </c>
      <c r="W69" t="s">
        <v>871</v>
      </c>
      <c r="X69" t="s">
        <v>458</v>
      </c>
      <c r="Z69" t="s">
        <v>872</v>
      </c>
      <c r="AE69" s="93">
        <v>2</v>
      </c>
      <c r="AF69" s="92" t="s">
        <v>460</v>
      </c>
      <c r="AG69" s="110" t="s">
        <v>873</v>
      </c>
      <c r="AH69" s="91" t="s">
        <v>874</v>
      </c>
      <c r="AI69" s="92" t="s">
        <v>485</v>
      </c>
      <c r="AJ69" s="92" t="s">
        <v>870</v>
      </c>
      <c r="AK69" s="92" t="s">
        <v>875</v>
      </c>
      <c r="AL69" s="91" t="s">
        <v>474</v>
      </c>
      <c r="AM69" s="91" t="b">
        <v>0</v>
      </c>
    </row>
    <row r="70" spans="1:39" x14ac:dyDescent="0.2">
      <c r="A70" t="s">
        <v>114</v>
      </c>
      <c r="B70" t="s">
        <v>876</v>
      </c>
      <c r="C70" t="s">
        <v>449</v>
      </c>
      <c r="D70" s="85" t="s">
        <v>877</v>
      </c>
      <c r="E70">
        <v>829622879</v>
      </c>
      <c r="F70" t="s">
        <v>0</v>
      </c>
      <c r="H70" t="s">
        <v>451</v>
      </c>
      <c r="J70" t="s">
        <v>452</v>
      </c>
      <c r="K70" t="s">
        <v>453</v>
      </c>
      <c r="L70" t="s">
        <v>751</v>
      </c>
      <c r="M70" t="s">
        <v>455</v>
      </c>
      <c r="N70" t="s">
        <v>0</v>
      </c>
      <c r="O70">
        <v>0</v>
      </c>
      <c r="P70">
        <v>0</v>
      </c>
      <c r="Q70">
        <v>0</v>
      </c>
      <c r="R70">
        <v>1</v>
      </c>
      <c r="S70">
        <v>2</v>
      </c>
      <c r="T70">
        <v>29</v>
      </c>
      <c r="U70" t="s">
        <v>513</v>
      </c>
      <c r="V70" t="s">
        <v>11</v>
      </c>
      <c r="W70" t="s">
        <v>878</v>
      </c>
      <c r="X70" t="s">
        <v>458</v>
      </c>
      <c r="Z70" t="s">
        <v>872</v>
      </c>
      <c r="AE70" s="93">
        <v>2</v>
      </c>
      <c r="AF70" s="92" t="s">
        <v>460</v>
      </c>
      <c r="AG70" s="110"/>
      <c r="AH70" s="91" t="s">
        <v>879</v>
      </c>
      <c r="AI70" s="92" t="s">
        <v>485</v>
      </c>
      <c r="AJ70" s="92" t="s">
        <v>865</v>
      </c>
      <c r="AK70" s="92" t="s">
        <v>880</v>
      </c>
      <c r="AL70" s="91" t="s">
        <v>474</v>
      </c>
      <c r="AM70" s="91" t="b">
        <v>0</v>
      </c>
    </row>
    <row r="71" spans="1:39" x14ac:dyDescent="0.2">
      <c r="A71" t="s">
        <v>116</v>
      </c>
      <c r="B71" t="s">
        <v>881</v>
      </c>
      <c r="C71" t="s">
        <v>449</v>
      </c>
      <c r="D71" s="85" t="s">
        <v>736</v>
      </c>
      <c r="E71">
        <v>913854054</v>
      </c>
      <c r="F71" t="s">
        <v>0</v>
      </c>
      <c r="H71" t="s">
        <v>451</v>
      </c>
      <c r="J71" t="s">
        <v>452</v>
      </c>
      <c r="K71" t="s">
        <v>453</v>
      </c>
      <c r="L71" t="s">
        <v>751</v>
      </c>
      <c r="M71" t="s">
        <v>455</v>
      </c>
      <c r="N71" t="s">
        <v>0</v>
      </c>
      <c r="O71">
        <v>0</v>
      </c>
      <c r="P71">
        <v>0</v>
      </c>
      <c r="Q71">
        <v>0</v>
      </c>
      <c r="R71">
        <v>1</v>
      </c>
      <c r="S71">
        <v>2</v>
      </c>
      <c r="T71">
        <v>33</v>
      </c>
      <c r="U71" t="s">
        <v>456</v>
      </c>
      <c r="V71" t="s">
        <v>14</v>
      </c>
      <c r="W71" t="s">
        <v>882</v>
      </c>
      <c r="X71" t="s">
        <v>458</v>
      </c>
      <c r="Z71" t="s">
        <v>872</v>
      </c>
      <c r="AE71" s="93">
        <v>2</v>
      </c>
      <c r="AF71" s="92" t="s">
        <v>460</v>
      </c>
      <c r="AG71" s="110" t="s">
        <v>883</v>
      </c>
      <c r="AH71" s="91" t="s">
        <v>884</v>
      </c>
      <c r="AI71" s="92" t="s">
        <v>485</v>
      </c>
      <c r="AJ71" s="92" t="s">
        <v>885</v>
      </c>
      <c r="AK71" s="92" t="s">
        <v>886</v>
      </c>
      <c r="AL71" s="91" t="s">
        <v>474</v>
      </c>
      <c r="AM71" s="91" t="b">
        <v>0</v>
      </c>
    </row>
    <row r="72" spans="1:39" x14ac:dyDescent="0.2">
      <c r="A72" t="s">
        <v>117</v>
      </c>
      <c r="B72" t="s">
        <v>887</v>
      </c>
      <c r="C72" t="s">
        <v>449</v>
      </c>
      <c r="D72" s="85" t="s">
        <v>885</v>
      </c>
      <c r="E72">
        <v>932535781</v>
      </c>
      <c r="F72" t="s">
        <v>0</v>
      </c>
      <c r="H72" t="s">
        <v>451</v>
      </c>
      <c r="J72" t="s">
        <v>452</v>
      </c>
      <c r="K72" t="s">
        <v>453</v>
      </c>
      <c r="L72" t="s">
        <v>751</v>
      </c>
      <c r="M72" t="s">
        <v>455</v>
      </c>
      <c r="N72" t="s">
        <v>0</v>
      </c>
      <c r="O72">
        <v>0</v>
      </c>
      <c r="P72">
        <v>0</v>
      </c>
      <c r="Q72">
        <v>0</v>
      </c>
      <c r="R72">
        <v>1</v>
      </c>
      <c r="S72">
        <v>2</v>
      </c>
      <c r="T72">
        <v>29</v>
      </c>
      <c r="U72" t="s">
        <v>513</v>
      </c>
      <c r="V72" t="s">
        <v>11</v>
      </c>
      <c r="W72" t="s">
        <v>888</v>
      </c>
      <c r="X72" t="s">
        <v>458</v>
      </c>
      <c r="Z72" t="s">
        <v>872</v>
      </c>
      <c r="AE72" s="93">
        <v>2</v>
      </c>
      <c r="AF72" s="92" t="s">
        <v>460</v>
      </c>
      <c r="AG72" s="110"/>
      <c r="AH72" s="91" t="s">
        <v>889</v>
      </c>
      <c r="AI72" s="92" t="s">
        <v>485</v>
      </c>
      <c r="AJ72" s="92" t="s">
        <v>877</v>
      </c>
      <c r="AK72" s="92" t="s">
        <v>890</v>
      </c>
      <c r="AL72" s="91" t="s">
        <v>474</v>
      </c>
      <c r="AM72" s="91" t="b">
        <v>0</v>
      </c>
    </row>
    <row r="73" spans="1:39" x14ac:dyDescent="0.2">
      <c r="A73" t="s">
        <v>118</v>
      </c>
      <c r="B73" t="s">
        <v>891</v>
      </c>
      <c r="C73" t="s">
        <v>449</v>
      </c>
      <c r="D73" s="85" t="s">
        <v>892</v>
      </c>
      <c r="E73">
        <v>377130331</v>
      </c>
      <c r="F73" t="s">
        <v>0</v>
      </c>
      <c r="H73" t="s">
        <v>451</v>
      </c>
      <c r="J73" t="s">
        <v>452</v>
      </c>
      <c r="K73" t="s">
        <v>453</v>
      </c>
      <c r="L73" t="s">
        <v>751</v>
      </c>
      <c r="M73" t="s">
        <v>455</v>
      </c>
      <c r="N73" t="s">
        <v>0</v>
      </c>
      <c r="O73">
        <v>0</v>
      </c>
      <c r="P73">
        <v>0</v>
      </c>
      <c r="Q73">
        <v>0</v>
      </c>
      <c r="R73">
        <v>1</v>
      </c>
      <c r="S73">
        <v>2</v>
      </c>
      <c r="T73">
        <v>30</v>
      </c>
      <c r="U73" t="s">
        <v>513</v>
      </c>
      <c r="V73" t="s">
        <v>11</v>
      </c>
      <c r="W73" t="s">
        <v>893</v>
      </c>
      <c r="X73" t="s">
        <v>458</v>
      </c>
      <c r="Z73" t="s">
        <v>872</v>
      </c>
      <c r="AE73" s="93">
        <v>2</v>
      </c>
      <c r="AF73" s="92" t="s">
        <v>460</v>
      </c>
      <c r="AG73" s="110" t="s">
        <v>894</v>
      </c>
      <c r="AH73" s="91" t="s">
        <v>895</v>
      </c>
      <c r="AI73" s="92" t="s">
        <v>485</v>
      </c>
      <c r="AJ73" s="92" t="s">
        <v>892</v>
      </c>
      <c r="AK73" s="92" t="s">
        <v>896</v>
      </c>
      <c r="AL73" s="91" t="s">
        <v>474</v>
      </c>
      <c r="AM73" s="91" t="b">
        <v>0</v>
      </c>
    </row>
    <row r="74" spans="1:39" x14ac:dyDescent="0.2">
      <c r="A74" t="s">
        <v>120</v>
      </c>
      <c r="B74" t="s">
        <v>897</v>
      </c>
      <c r="C74" t="s">
        <v>449</v>
      </c>
      <c r="D74" s="85" t="s">
        <v>898</v>
      </c>
      <c r="E74">
        <v>937251707</v>
      </c>
      <c r="F74" t="s">
        <v>0</v>
      </c>
      <c r="H74" t="s">
        <v>451</v>
      </c>
      <c r="I74" t="s">
        <v>899</v>
      </c>
      <c r="J74" t="s">
        <v>452</v>
      </c>
      <c r="K74" t="s">
        <v>453</v>
      </c>
      <c r="L74" t="s">
        <v>900</v>
      </c>
      <c r="M74" t="s">
        <v>455</v>
      </c>
      <c r="N74" t="s">
        <v>0</v>
      </c>
      <c r="O74">
        <v>0</v>
      </c>
      <c r="P74">
        <v>0</v>
      </c>
      <c r="Q74">
        <v>0</v>
      </c>
      <c r="R74">
        <v>1</v>
      </c>
      <c r="S74">
        <v>2</v>
      </c>
      <c r="T74">
        <v>30</v>
      </c>
      <c r="U74" t="s">
        <v>513</v>
      </c>
      <c r="V74" t="s">
        <v>11</v>
      </c>
      <c r="W74" t="s">
        <v>901</v>
      </c>
      <c r="X74" t="s">
        <v>458</v>
      </c>
      <c r="Y74" t="s">
        <v>899</v>
      </c>
      <c r="Z74" t="s">
        <v>872</v>
      </c>
      <c r="AE74" s="93">
        <v>2</v>
      </c>
      <c r="AF74" s="92" t="s">
        <v>460</v>
      </c>
      <c r="AG74" s="110"/>
      <c r="AH74" s="91" t="s">
        <v>902</v>
      </c>
      <c r="AI74" s="92" t="s">
        <v>485</v>
      </c>
      <c r="AJ74" s="92" t="s">
        <v>898</v>
      </c>
      <c r="AK74" s="92" t="s">
        <v>903</v>
      </c>
      <c r="AL74" s="91" t="s">
        <v>899</v>
      </c>
      <c r="AM74" s="91" t="b">
        <v>0</v>
      </c>
    </row>
    <row r="75" spans="1:39" x14ac:dyDescent="0.2">
      <c r="A75" t="s">
        <v>121</v>
      </c>
      <c r="B75" t="s">
        <v>401</v>
      </c>
      <c r="C75" t="s">
        <v>449</v>
      </c>
      <c r="D75" s="85" t="s">
        <v>755</v>
      </c>
      <c r="E75">
        <v>375225989</v>
      </c>
      <c r="F75" t="s">
        <v>0</v>
      </c>
      <c r="H75" t="s">
        <v>451</v>
      </c>
      <c r="J75" t="s">
        <v>452</v>
      </c>
      <c r="K75" t="s">
        <v>904</v>
      </c>
      <c r="L75" t="s">
        <v>900</v>
      </c>
      <c r="M75" t="s">
        <v>455</v>
      </c>
      <c r="N75" t="s">
        <v>0</v>
      </c>
      <c r="O75">
        <v>0</v>
      </c>
      <c r="P75">
        <v>0</v>
      </c>
      <c r="Q75">
        <v>0</v>
      </c>
      <c r="R75">
        <v>1</v>
      </c>
      <c r="S75">
        <v>2</v>
      </c>
      <c r="T75">
        <v>86</v>
      </c>
      <c r="U75" t="s">
        <v>456</v>
      </c>
      <c r="V75" t="s">
        <v>14</v>
      </c>
      <c r="W75" t="s">
        <v>905</v>
      </c>
      <c r="X75" t="s">
        <v>458</v>
      </c>
      <c r="Z75" t="s">
        <v>872</v>
      </c>
      <c r="AE75" s="94">
        <v>3</v>
      </c>
      <c r="AF75" s="92" t="s">
        <v>460</v>
      </c>
      <c r="AG75" s="84" t="s">
        <v>461</v>
      </c>
      <c r="AH75" s="91" t="s">
        <v>906</v>
      </c>
      <c r="AI75" s="92" t="s">
        <v>463</v>
      </c>
      <c r="AJ75" s="92" t="s">
        <v>907</v>
      </c>
      <c r="AK75" s="92" t="s">
        <v>908</v>
      </c>
      <c r="AL75" s="91" t="s">
        <v>466</v>
      </c>
      <c r="AM75" s="91" t="b">
        <v>0</v>
      </c>
    </row>
    <row r="76" spans="1:39" x14ac:dyDescent="0.2">
      <c r="A76" t="s">
        <v>123</v>
      </c>
      <c r="B76" t="s">
        <v>909</v>
      </c>
      <c r="C76" t="s">
        <v>449</v>
      </c>
      <c r="D76" s="1" t="s">
        <v>910</v>
      </c>
      <c r="E76">
        <v>983068421</v>
      </c>
      <c r="F76" t="s">
        <v>0</v>
      </c>
      <c r="H76" t="s">
        <v>451</v>
      </c>
      <c r="J76" t="s">
        <v>452</v>
      </c>
      <c r="K76" t="s">
        <v>904</v>
      </c>
      <c r="L76" t="s">
        <v>911</v>
      </c>
      <c r="M76" t="s">
        <v>455</v>
      </c>
      <c r="N76" t="s">
        <v>0</v>
      </c>
      <c r="O76">
        <v>0</v>
      </c>
      <c r="P76">
        <v>0</v>
      </c>
      <c r="Q76">
        <v>0</v>
      </c>
      <c r="R76">
        <v>1</v>
      </c>
      <c r="S76">
        <v>7</v>
      </c>
      <c r="T76">
        <v>45</v>
      </c>
      <c r="U76" t="s">
        <v>456</v>
      </c>
      <c r="V76" t="s">
        <v>14</v>
      </c>
      <c r="W76" t="s">
        <v>912</v>
      </c>
      <c r="X76" t="s">
        <v>458</v>
      </c>
      <c r="Z76" t="s">
        <v>872</v>
      </c>
      <c r="AE76" s="94">
        <v>3</v>
      </c>
      <c r="AF76" s="92" t="s">
        <v>460</v>
      </c>
      <c r="AG76" s="110" t="s">
        <v>913</v>
      </c>
      <c r="AH76" s="91" t="s">
        <v>914</v>
      </c>
      <c r="AI76" s="92" t="s">
        <v>463</v>
      </c>
      <c r="AJ76" s="92" t="s">
        <v>915</v>
      </c>
      <c r="AK76" s="92" t="s">
        <v>916</v>
      </c>
      <c r="AL76" s="91" t="s">
        <v>916</v>
      </c>
      <c r="AM76" s="91" t="b">
        <v>0</v>
      </c>
    </row>
    <row r="77" spans="1:39" x14ac:dyDescent="0.2">
      <c r="A77" t="s">
        <v>125</v>
      </c>
      <c r="B77" t="s">
        <v>917</v>
      </c>
      <c r="C77" t="s">
        <v>449</v>
      </c>
      <c r="D77" s="1" t="s">
        <v>918</v>
      </c>
      <c r="E77">
        <v>768811159</v>
      </c>
      <c r="F77" t="s">
        <v>0</v>
      </c>
      <c r="H77" t="s">
        <v>451</v>
      </c>
      <c r="J77" t="s">
        <v>452</v>
      </c>
      <c r="K77" t="s">
        <v>453</v>
      </c>
      <c r="L77" t="s">
        <v>919</v>
      </c>
      <c r="M77" t="s">
        <v>455</v>
      </c>
      <c r="N77" t="s">
        <v>0</v>
      </c>
      <c r="O77">
        <v>0</v>
      </c>
      <c r="P77">
        <v>0</v>
      </c>
      <c r="Q77">
        <v>0</v>
      </c>
      <c r="R77">
        <v>1</v>
      </c>
      <c r="S77">
        <v>3</v>
      </c>
      <c r="T77">
        <v>87</v>
      </c>
      <c r="U77" t="s">
        <v>456</v>
      </c>
      <c r="V77" t="s">
        <v>14</v>
      </c>
      <c r="W77" t="s">
        <v>920</v>
      </c>
      <c r="X77" t="s">
        <v>458</v>
      </c>
      <c r="Z77" t="s">
        <v>872</v>
      </c>
      <c r="AE77" s="94">
        <v>3</v>
      </c>
      <c r="AF77" s="92" t="s">
        <v>460</v>
      </c>
      <c r="AG77" s="110"/>
      <c r="AH77" s="91" t="s">
        <v>921</v>
      </c>
      <c r="AI77" s="92" t="s">
        <v>463</v>
      </c>
      <c r="AJ77" s="92" t="s">
        <v>922</v>
      </c>
      <c r="AK77" s="92" t="s">
        <v>923</v>
      </c>
      <c r="AL77" s="91" t="s">
        <v>916</v>
      </c>
      <c r="AM77" s="91" t="b">
        <v>0</v>
      </c>
    </row>
    <row r="78" spans="1:39" x14ac:dyDescent="0.2">
      <c r="A78" t="s">
        <v>127</v>
      </c>
      <c r="B78" t="s">
        <v>924</v>
      </c>
      <c r="C78" t="s">
        <v>449</v>
      </c>
      <c r="D78" s="1" t="s">
        <v>925</v>
      </c>
      <c r="E78">
        <v>946650045</v>
      </c>
      <c r="F78" t="s">
        <v>0</v>
      </c>
      <c r="H78" t="s">
        <v>451</v>
      </c>
      <c r="J78" t="s">
        <v>452</v>
      </c>
      <c r="K78" t="s">
        <v>453</v>
      </c>
      <c r="L78" t="s">
        <v>919</v>
      </c>
      <c r="M78" t="s">
        <v>455</v>
      </c>
      <c r="N78" t="s">
        <v>0</v>
      </c>
      <c r="O78">
        <v>0</v>
      </c>
      <c r="P78">
        <v>0</v>
      </c>
      <c r="Q78">
        <v>0</v>
      </c>
      <c r="R78">
        <v>1</v>
      </c>
      <c r="S78">
        <v>3</v>
      </c>
      <c r="T78">
        <v>35</v>
      </c>
      <c r="U78" t="s">
        <v>513</v>
      </c>
      <c r="V78" t="s">
        <v>11</v>
      </c>
      <c r="W78" t="s">
        <v>926</v>
      </c>
      <c r="X78" t="s">
        <v>458</v>
      </c>
      <c r="Z78" t="s">
        <v>591</v>
      </c>
      <c r="AE78" s="94">
        <v>3</v>
      </c>
      <c r="AF78" s="92" t="s">
        <v>460</v>
      </c>
      <c r="AG78" s="110" t="s">
        <v>927</v>
      </c>
      <c r="AH78" s="91" t="s">
        <v>928</v>
      </c>
      <c r="AI78" s="92" t="s">
        <v>463</v>
      </c>
      <c r="AJ78" s="92" t="s">
        <v>929</v>
      </c>
      <c r="AK78" s="92" t="s">
        <v>930</v>
      </c>
      <c r="AL78" s="91" t="s">
        <v>474</v>
      </c>
      <c r="AM78" s="91" t="b">
        <v>0</v>
      </c>
    </row>
    <row r="79" spans="1:39" x14ac:dyDescent="0.2">
      <c r="A79" t="s">
        <v>129</v>
      </c>
      <c r="B79" t="s">
        <v>931</v>
      </c>
      <c r="C79" t="s">
        <v>449</v>
      </c>
      <c r="D79" s="85" t="s">
        <v>932</v>
      </c>
      <c r="E79">
        <v>934297931</v>
      </c>
      <c r="F79" t="s">
        <v>0</v>
      </c>
      <c r="H79" t="s">
        <v>451</v>
      </c>
      <c r="J79" t="s">
        <v>452</v>
      </c>
      <c r="K79" t="s">
        <v>453</v>
      </c>
      <c r="L79" t="s">
        <v>919</v>
      </c>
      <c r="M79" t="s">
        <v>455</v>
      </c>
      <c r="N79" t="s">
        <v>0</v>
      </c>
      <c r="O79">
        <v>0</v>
      </c>
      <c r="P79">
        <v>0</v>
      </c>
      <c r="Q79">
        <v>0</v>
      </c>
      <c r="R79">
        <v>1</v>
      </c>
      <c r="S79">
        <v>3</v>
      </c>
      <c r="T79">
        <v>36</v>
      </c>
      <c r="U79" t="s">
        <v>513</v>
      </c>
      <c r="V79" t="s">
        <v>11</v>
      </c>
      <c r="W79" t="s">
        <v>933</v>
      </c>
      <c r="X79" t="s">
        <v>458</v>
      </c>
      <c r="Z79" t="s">
        <v>872</v>
      </c>
      <c r="AE79" s="94">
        <v>3</v>
      </c>
      <c r="AF79" s="92" t="s">
        <v>460</v>
      </c>
      <c r="AG79" s="110"/>
      <c r="AH79" s="91" t="s">
        <v>934</v>
      </c>
      <c r="AI79" s="92" t="s">
        <v>463</v>
      </c>
      <c r="AJ79" s="92" t="s">
        <v>935</v>
      </c>
      <c r="AK79" s="92" t="s">
        <v>936</v>
      </c>
      <c r="AL79" s="91" t="s">
        <v>474</v>
      </c>
      <c r="AM79" s="91" t="b">
        <v>0</v>
      </c>
    </row>
    <row r="80" spans="1:39" x14ac:dyDescent="0.2">
      <c r="A80" t="s">
        <v>131</v>
      </c>
      <c r="B80" t="s">
        <v>937</v>
      </c>
      <c r="C80" t="s">
        <v>449</v>
      </c>
      <c r="D80" s="85" t="s">
        <v>938</v>
      </c>
      <c r="E80">
        <v>352680918</v>
      </c>
      <c r="F80" t="s">
        <v>0</v>
      </c>
      <c r="H80" t="s">
        <v>451</v>
      </c>
      <c r="J80" t="s">
        <v>452</v>
      </c>
      <c r="K80" t="s">
        <v>453</v>
      </c>
      <c r="L80" t="s">
        <v>919</v>
      </c>
      <c r="M80" t="s">
        <v>455</v>
      </c>
      <c r="N80" t="s">
        <v>0</v>
      </c>
      <c r="O80">
        <v>0</v>
      </c>
      <c r="P80">
        <v>0</v>
      </c>
      <c r="Q80">
        <v>0</v>
      </c>
      <c r="R80">
        <v>1</v>
      </c>
      <c r="S80">
        <v>3</v>
      </c>
      <c r="T80">
        <v>36</v>
      </c>
      <c r="U80" t="s">
        <v>513</v>
      </c>
      <c r="V80" t="s">
        <v>11</v>
      </c>
      <c r="W80" t="s">
        <v>939</v>
      </c>
      <c r="X80" t="s">
        <v>458</v>
      </c>
      <c r="Z80" t="s">
        <v>940</v>
      </c>
      <c r="AE80" s="94">
        <v>3</v>
      </c>
      <c r="AF80" s="92" t="s">
        <v>460</v>
      </c>
      <c r="AG80" s="110" t="s">
        <v>941</v>
      </c>
      <c r="AH80" s="91" t="s">
        <v>942</v>
      </c>
      <c r="AI80" s="92" t="s">
        <v>463</v>
      </c>
      <c r="AJ80" s="92" t="s">
        <v>943</v>
      </c>
      <c r="AK80" s="92" t="s">
        <v>944</v>
      </c>
      <c r="AL80" s="91" t="s">
        <v>944</v>
      </c>
      <c r="AM80" s="91" t="b">
        <v>0</v>
      </c>
    </row>
    <row r="81" spans="1:39" x14ac:dyDescent="0.2">
      <c r="A81" t="s">
        <v>132</v>
      </c>
      <c r="B81" t="s">
        <v>945</v>
      </c>
      <c r="C81" t="s">
        <v>449</v>
      </c>
      <c r="D81" s="85" t="s">
        <v>946</v>
      </c>
      <c r="E81">
        <v>938282487</v>
      </c>
      <c r="F81" t="s">
        <v>0</v>
      </c>
      <c r="H81" t="s">
        <v>451</v>
      </c>
      <c r="J81" t="s">
        <v>452</v>
      </c>
      <c r="K81" t="s">
        <v>453</v>
      </c>
      <c r="L81" t="s">
        <v>900</v>
      </c>
      <c r="M81" t="s">
        <v>455</v>
      </c>
      <c r="N81" t="s">
        <v>0</v>
      </c>
      <c r="O81">
        <v>0</v>
      </c>
      <c r="P81">
        <v>0</v>
      </c>
      <c r="Q81">
        <v>0</v>
      </c>
      <c r="R81">
        <v>1</v>
      </c>
      <c r="S81">
        <v>3</v>
      </c>
      <c r="T81">
        <v>35</v>
      </c>
      <c r="U81" t="s">
        <v>513</v>
      </c>
      <c r="V81" t="s">
        <v>11</v>
      </c>
      <c r="W81" t="s">
        <v>947</v>
      </c>
      <c r="X81" t="s">
        <v>458</v>
      </c>
      <c r="Z81" t="s">
        <v>940</v>
      </c>
      <c r="AE81" s="94">
        <v>3</v>
      </c>
      <c r="AF81" s="92" t="s">
        <v>460</v>
      </c>
      <c r="AG81" s="110"/>
      <c r="AH81" s="91" t="s">
        <v>948</v>
      </c>
      <c r="AI81" s="92" t="s">
        <v>485</v>
      </c>
      <c r="AJ81" s="92" t="s">
        <v>949</v>
      </c>
      <c r="AK81" s="92" t="s">
        <v>950</v>
      </c>
      <c r="AL81" s="91" t="s">
        <v>944</v>
      </c>
      <c r="AM81" s="91" t="b">
        <v>0</v>
      </c>
    </row>
    <row r="82" spans="1:39" x14ac:dyDescent="0.2">
      <c r="A82" t="s">
        <v>133</v>
      </c>
      <c r="B82" t="s">
        <v>951</v>
      </c>
      <c r="C82" t="s">
        <v>449</v>
      </c>
      <c r="D82" s="85" t="s">
        <v>935</v>
      </c>
      <c r="E82">
        <v>966272279</v>
      </c>
      <c r="F82" t="s">
        <v>0</v>
      </c>
      <c r="H82" t="s">
        <v>451</v>
      </c>
      <c r="J82" t="s">
        <v>452</v>
      </c>
      <c r="K82" t="s">
        <v>904</v>
      </c>
      <c r="L82" t="s">
        <v>900</v>
      </c>
      <c r="M82" t="s">
        <v>455</v>
      </c>
      <c r="N82" t="s">
        <v>0</v>
      </c>
      <c r="O82">
        <v>0</v>
      </c>
      <c r="P82">
        <v>0</v>
      </c>
      <c r="Q82">
        <v>0</v>
      </c>
      <c r="R82">
        <v>1</v>
      </c>
      <c r="S82">
        <v>3</v>
      </c>
      <c r="T82">
        <v>61</v>
      </c>
      <c r="U82" t="s">
        <v>456</v>
      </c>
      <c r="V82" t="s">
        <v>14</v>
      </c>
      <c r="W82" t="s">
        <v>952</v>
      </c>
      <c r="X82" t="s">
        <v>458</v>
      </c>
      <c r="Z82" t="s">
        <v>940</v>
      </c>
      <c r="AE82" s="94">
        <v>3</v>
      </c>
      <c r="AF82" s="92" t="s">
        <v>460</v>
      </c>
      <c r="AG82" s="110" t="s">
        <v>953</v>
      </c>
      <c r="AH82" s="91" t="s">
        <v>954</v>
      </c>
      <c r="AI82" s="92" t="s">
        <v>463</v>
      </c>
      <c r="AJ82" s="92" t="s">
        <v>955</v>
      </c>
      <c r="AK82" s="92" t="s">
        <v>956</v>
      </c>
      <c r="AL82" s="91" t="s">
        <v>956</v>
      </c>
      <c r="AM82" s="91" t="b">
        <v>0</v>
      </c>
    </row>
    <row r="83" spans="1:39" x14ac:dyDescent="0.2">
      <c r="A83" t="s">
        <v>135</v>
      </c>
      <c r="B83" t="s">
        <v>957</v>
      </c>
      <c r="C83" t="s">
        <v>449</v>
      </c>
      <c r="D83" s="1" t="s">
        <v>958</v>
      </c>
      <c r="E83">
        <v>776756952</v>
      </c>
      <c r="F83" t="s">
        <v>0</v>
      </c>
      <c r="H83" t="s">
        <v>451</v>
      </c>
      <c r="J83" t="s">
        <v>452</v>
      </c>
      <c r="K83" t="s">
        <v>453</v>
      </c>
      <c r="L83" t="s">
        <v>959</v>
      </c>
      <c r="M83" t="s">
        <v>455</v>
      </c>
      <c r="N83" t="s">
        <v>0</v>
      </c>
      <c r="O83">
        <v>0</v>
      </c>
      <c r="P83">
        <v>0</v>
      </c>
      <c r="Q83">
        <v>0</v>
      </c>
      <c r="R83">
        <v>1</v>
      </c>
      <c r="S83">
        <v>4</v>
      </c>
      <c r="T83">
        <v>58</v>
      </c>
      <c r="U83" t="s">
        <v>513</v>
      </c>
      <c r="V83" t="s">
        <v>11</v>
      </c>
      <c r="W83" t="s">
        <v>960</v>
      </c>
      <c r="X83" t="s">
        <v>458</v>
      </c>
      <c r="Z83" t="s">
        <v>940</v>
      </c>
      <c r="AE83" s="94">
        <v>3</v>
      </c>
      <c r="AF83" s="92" t="s">
        <v>460</v>
      </c>
      <c r="AG83" s="110"/>
      <c r="AH83" s="91" t="s">
        <v>961</v>
      </c>
      <c r="AI83" s="92" t="s">
        <v>485</v>
      </c>
      <c r="AJ83" s="92" t="s">
        <v>962</v>
      </c>
      <c r="AK83" s="92" t="s">
        <v>963</v>
      </c>
      <c r="AL83" s="91" t="s">
        <v>956</v>
      </c>
      <c r="AM83" s="91" t="b">
        <v>0</v>
      </c>
    </row>
    <row r="84" spans="1:39" x14ac:dyDescent="0.2">
      <c r="A84" t="s">
        <v>137</v>
      </c>
      <c r="B84" t="s">
        <v>964</v>
      </c>
      <c r="C84" t="s">
        <v>449</v>
      </c>
      <c r="D84" s="85" t="s">
        <v>965</v>
      </c>
      <c r="E84">
        <v>356055190</v>
      </c>
      <c r="F84" t="s">
        <v>0</v>
      </c>
      <c r="H84" t="s">
        <v>451</v>
      </c>
      <c r="J84" t="s">
        <v>452</v>
      </c>
      <c r="K84" t="s">
        <v>453</v>
      </c>
      <c r="L84" t="s">
        <v>959</v>
      </c>
      <c r="M84" t="s">
        <v>455</v>
      </c>
      <c r="N84" t="s">
        <v>0</v>
      </c>
      <c r="O84">
        <v>0</v>
      </c>
      <c r="P84">
        <v>0</v>
      </c>
      <c r="Q84">
        <v>0</v>
      </c>
      <c r="R84">
        <v>1</v>
      </c>
      <c r="S84">
        <v>7</v>
      </c>
      <c r="T84">
        <v>44</v>
      </c>
      <c r="U84" t="s">
        <v>456</v>
      </c>
      <c r="V84" t="s">
        <v>14</v>
      </c>
      <c r="W84" t="s">
        <v>966</v>
      </c>
      <c r="X84" t="s">
        <v>458</v>
      </c>
      <c r="Z84" t="s">
        <v>940</v>
      </c>
      <c r="AE84" s="94">
        <v>3</v>
      </c>
      <c r="AF84" s="92" t="s">
        <v>460</v>
      </c>
      <c r="AG84" s="110" t="s">
        <v>967</v>
      </c>
      <c r="AH84" s="91" t="s">
        <v>968</v>
      </c>
      <c r="AI84" s="92" t="s">
        <v>485</v>
      </c>
      <c r="AJ84" s="92" t="s">
        <v>969</v>
      </c>
      <c r="AK84" s="92" t="s">
        <v>970</v>
      </c>
      <c r="AL84" s="91" t="s">
        <v>971</v>
      </c>
      <c r="AM84" s="91" t="b">
        <v>0</v>
      </c>
    </row>
    <row r="85" spans="1:39" x14ac:dyDescent="0.2">
      <c r="A85" t="s">
        <v>139</v>
      </c>
      <c r="B85" t="s">
        <v>972</v>
      </c>
      <c r="C85" t="s">
        <v>449</v>
      </c>
      <c r="D85" s="85" t="s">
        <v>973</v>
      </c>
      <c r="E85">
        <v>345717796</v>
      </c>
      <c r="F85" t="s">
        <v>0</v>
      </c>
      <c r="H85" t="s">
        <v>451</v>
      </c>
      <c r="J85" t="s">
        <v>452</v>
      </c>
      <c r="K85" t="s">
        <v>453</v>
      </c>
      <c r="L85" t="s">
        <v>959</v>
      </c>
      <c r="M85" t="s">
        <v>455</v>
      </c>
      <c r="N85" t="s">
        <v>0</v>
      </c>
      <c r="O85">
        <v>0</v>
      </c>
      <c r="P85">
        <v>0</v>
      </c>
      <c r="Q85">
        <v>0</v>
      </c>
      <c r="R85">
        <v>1</v>
      </c>
      <c r="S85">
        <v>3</v>
      </c>
      <c r="T85">
        <v>37</v>
      </c>
      <c r="U85" t="s">
        <v>513</v>
      </c>
      <c r="V85" t="s">
        <v>11</v>
      </c>
      <c r="W85" t="s">
        <v>974</v>
      </c>
      <c r="X85" t="s">
        <v>458</v>
      </c>
      <c r="Z85" t="s">
        <v>940</v>
      </c>
      <c r="AE85" s="94">
        <v>3</v>
      </c>
      <c r="AF85" s="92" t="s">
        <v>460</v>
      </c>
      <c r="AG85" s="110"/>
      <c r="AH85" s="91" t="s">
        <v>975</v>
      </c>
      <c r="AI85" s="92" t="s">
        <v>485</v>
      </c>
      <c r="AJ85" s="92" t="s">
        <v>976</v>
      </c>
      <c r="AK85" s="92" t="s">
        <v>971</v>
      </c>
      <c r="AL85" s="91" t="s">
        <v>971</v>
      </c>
      <c r="AM85" s="91" t="b">
        <v>0</v>
      </c>
    </row>
    <row r="86" spans="1:39" x14ac:dyDescent="0.2">
      <c r="A86" t="s">
        <v>141</v>
      </c>
      <c r="B86" t="s">
        <v>977</v>
      </c>
      <c r="C86" t="s">
        <v>449</v>
      </c>
      <c r="D86" s="85" t="s">
        <v>978</v>
      </c>
      <c r="E86">
        <v>762922184</v>
      </c>
      <c r="F86" t="s">
        <v>0</v>
      </c>
      <c r="H86" t="s">
        <v>451</v>
      </c>
      <c r="J86" t="s">
        <v>452</v>
      </c>
      <c r="K86" t="s">
        <v>453</v>
      </c>
      <c r="L86" t="s">
        <v>959</v>
      </c>
      <c r="M86" t="s">
        <v>455</v>
      </c>
      <c r="N86" t="s">
        <v>0</v>
      </c>
      <c r="O86">
        <v>0</v>
      </c>
      <c r="P86">
        <v>0</v>
      </c>
      <c r="Q86">
        <v>0</v>
      </c>
      <c r="R86">
        <v>1</v>
      </c>
      <c r="S86">
        <v>3</v>
      </c>
      <c r="T86">
        <v>38</v>
      </c>
      <c r="U86" t="s">
        <v>513</v>
      </c>
      <c r="V86" t="s">
        <v>11</v>
      </c>
      <c r="W86" t="s">
        <v>979</v>
      </c>
      <c r="X86" t="s">
        <v>458</v>
      </c>
      <c r="Z86" t="s">
        <v>940</v>
      </c>
      <c r="AE86" s="94">
        <v>3</v>
      </c>
      <c r="AF86" s="92" t="s">
        <v>460</v>
      </c>
      <c r="AG86" s="110"/>
      <c r="AH86" s="91" t="s">
        <v>980</v>
      </c>
      <c r="AI86" s="92" t="s">
        <v>463</v>
      </c>
      <c r="AJ86" s="92" t="s">
        <v>981</v>
      </c>
      <c r="AK86" s="92" t="s">
        <v>971</v>
      </c>
      <c r="AL86" s="91" t="s">
        <v>971</v>
      </c>
      <c r="AM86" s="91" t="b">
        <v>0</v>
      </c>
    </row>
    <row r="87" spans="1:39" x14ac:dyDescent="0.2">
      <c r="A87" t="s">
        <v>143</v>
      </c>
      <c r="B87" t="s">
        <v>982</v>
      </c>
      <c r="C87" t="s">
        <v>449</v>
      </c>
      <c r="D87" s="85" t="s">
        <v>983</v>
      </c>
      <c r="E87">
        <v>879295967</v>
      </c>
      <c r="F87" t="s">
        <v>0</v>
      </c>
      <c r="H87" t="s">
        <v>451</v>
      </c>
      <c r="J87" t="s">
        <v>452</v>
      </c>
      <c r="K87" t="s">
        <v>453</v>
      </c>
      <c r="L87" t="s">
        <v>959</v>
      </c>
      <c r="M87" t="s">
        <v>455</v>
      </c>
      <c r="N87" t="s">
        <v>0</v>
      </c>
      <c r="O87">
        <v>0</v>
      </c>
      <c r="P87">
        <v>0</v>
      </c>
      <c r="Q87">
        <v>0</v>
      </c>
      <c r="R87">
        <v>1</v>
      </c>
      <c r="S87">
        <v>3</v>
      </c>
      <c r="T87">
        <v>38</v>
      </c>
      <c r="U87" t="s">
        <v>513</v>
      </c>
      <c r="V87" t="s">
        <v>11</v>
      </c>
      <c r="W87" t="s">
        <v>984</v>
      </c>
      <c r="X87" t="s">
        <v>458</v>
      </c>
      <c r="Z87" t="s">
        <v>940</v>
      </c>
      <c r="AE87" s="94">
        <v>3</v>
      </c>
      <c r="AF87" s="92" t="s">
        <v>460</v>
      </c>
      <c r="AG87" s="110" t="s">
        <v>985</v>
      </c>
      <c r="AH87" s="91" t="s">
        <v>986</v>
      </c>
      <c r="AI87" s="92" t="s">
        <v>463</v>
      </c>
      <c r="AJ87" s="92" t="s">
        <v>918</v>
      </c>
      <c r="AK87" s="92" t="s">
        <v>987</v>
      </c>
      <c r="AL87" s="91" t="s">
        <v>474</v>
      </c>
      <c r="AM87" s="91" t="b">
        <v>0</v>
      </c>
    </row>
    <row r="88" spans="1:39" x14ac:dyDescent="0.2">
      <c r="A88" t="s">
        <v>144</v>
      </c>
      <c r="B88" t="s">
        <v>988</v>
      </c>
      <c r="C88" t="s">
        <v>449</v>
      </c>
      <c r="D88" s="85" t="s">
        <v>907</v>
      </c>
      <c r="E88">
        <v>779911643</v>
      </c>
      <c r="F88" t="s">
        <v>0</v>
      </c>
      <c r="H88" t="s">
        <v>451</v>
      </c>
      <c r="J88" t="s">
        <v>452</v>
      </c>
      <c r="K88" t="s">
        <v>453</v>
      </c>
      <c r="L88" t="s">
        <v>959</v>
      </c>
      <c r="M88" t="s">
        <v>455</v>
      </c>
      <c r="N88" t="s">
        <v>0</v>
      </c>
      <c r="O88">
        <v>0</v>
      </c>
      <c r="P88">
        <v>0</v>
      </c>
      <c r="Q88">
        <v>0</v>
      </c>
      <c r="R88">
        <v>1</v>
      </c>
      <c r="S88">
        <v>3</v>
      </c>
      <c r="T88">
        <v>1</v>
      </c>
      <c r="U88" t="s">
        <v>456</v>
      </c>
      <c r="V88" t="s">
        <v>14</v>
      </c>
      <c r="W88" t="s">
        <v>989</v>
      </c>
      <c r="X88" t="s">
        <v>458</v>
      </c>
      <c r="Z88" t="s">
        <v>990</v>
      </c>
      <c r="AE88" s="94">
        <v>3</v>
      </c>
      <c r="AF88" s="92" t="s">
        <v>460</v>
      </c>
      <c r="AG88" s="110"/>
      <c r="AH88" s="91" t="s">
        <v>991</v>
      </c>
      <c r="AI88" s="92" t="s">
        <v>463</v>
      </c>
      <c r="AJ88" s="92" t="s">
        <v>992</v>
      </c>
      <c r="AK88" s="92" t="s">
        <v>993</v>
      </c>
      <c r="AL88" s="91" t="s">
        <v>474</v>
      </c>
      <c r="AM88" s="91" t="b">
        <v>0</v>
      </c>
    </row>
    <row r="89" spans="1:39" x14ac:dyDescent="0.2">
      <c r="A89" t="s">
        <v>145</v>
      </c>
      <c r="B89" t="s">
        <v>994</v>
      </c>
      <c r="C89" t="s">
        <v>449</v>
      </c>
      <c r="D89" s="85" t="s">
        <v>995</v>
      </c>
      <c r="E89">
        <v>584106886</v>
      </c>
      <c r="F89" t="s">
        <v>0</v>
      </c>
      <c r="H89" t="s">
        <v>451</v>
      </c>
      <c r="J89" t="s">
        <v>452</v>
      </c>
      <c r="K89" t="s">
        <v>453</v>
      </c>
      <c r="L89" t="s">
        <v>959</v>
      </c>
      <c r="M89" t="s">
        <v>455</v>
      </c>
      <c r="N89" t="s">
        <v>0</v>
      </c>
      <c r="O89">
        <v>0</v>
      </c>
      <c r="P89">
        <v>0</v>
      </c>
      <c r="Q89">
        <v>0</v>
      </c>
      <c r="R89">
        <v>1</v>
      </c>
      <c r="S89">
        <v>3</v>
      </c>
      <c r="T89">
        <v>39</v>
      </c>
      <c r="U89" t="s">
        <v>513</v>
      </c>
      <c r="V89" t="s">
        <v>11</v>
      </c>
      <c r="W89" t="s">
        <v>996</v>
      </c>
      <c r="X89" t="s">
        <v>458</v>
      </c>
      <c r="Z89" t="s">
        <v>997</v>
      </c>
      <c r="AE89" s="94">
        <v>3</v>
      </c>
      <c r="AF89" s="92" t="s">
        <v>460</v>
      </c>
      <c r="AG89" s="110" t="s">
        <v>998</v>
      </c>
      <c r="AH89" s="91" t="s">
        <v>999</v>
      </c>
      <c r="AI89" s="92" t="s">
        <v>485</v>
      </c>
      <c r="AJ89" s="92" t="s">
        <v>946</v>
      </c>
      <c r="AK89" s="92" t="s">
        <v>1000</v>
      </c>
      <c r="AL89" s="91" t="s">
        <v>474</v>
      </c>
      <c r="AM89" s="91" t="b">
        <v>0</v>
      </c>
    </row>
    <row r="90" spans="1:39" x14ac:dyDescent="0.2">
      <c r="A90" t="s">
        <v>147</v>
      </c>
      <c r="B90" t="s">
        <v>1001</v>
      </c>
      <c r="C90" t="s">
        <v>449</v>
      </c>
      <c r="D90" s="85" t="s">
        <v>1002</v>
      </c>
      <c r="E90">
        <v>962359719</v>
      </c>
      <c r="F90" t="s">
        <v>0</v>
      </c>
      <c r="H90" t="s">
        <v>451</v>
      </c>
      <c r="J90" t="s">
        <v>452</v>
      </c>
      <c r="K90" t="s">
        <v>453</v>
      </c>
      <c r="L90" t="s">
        <v>959</v>
      </c>
      <c r="M90" t="s">
        <v>455</v>
      </c>
      <c r="N90" t="s">
        <v>0</v>
      </c>
      <c r="O90">
        <v>0</v>
      </c>
      <c r="P90">
        <v>0</v>
      </c>
      <c r="Q90">
        <v>0</v>
      </c>
      <c r="R90">
        <v>1</v>
      </c>
      <c r="S90">
        <v>3</v>
      </c>
      <c r="T90">
        <v>39</v>
      </c>
      <c r="U90" t="s">
        <v>513</v>
      </c>
      <c r="V90" t="s">
        <v>11</v>
      </c>
      <c r="W90" t="s">
        <v>1003</v>
      </c>
      <c r="X90" t="s">
        <v>458</v>
      </c>
      <c r="Z90" t="s">
        <v>997</v>
      </c>
      <c r="AE90" s="94">
        <v>3</v>
      </c>
      <c r="AF90" s="92" t="s">
        <v>460</v>
      </c>
      <c r="AG90" s="110"/>
      <c r="AH90" s="91" t="s">
        <v>1004</v>
      </c>
      <c r="AI90" s="92" t="s">
        <v>485</v>
      </c>
      <c r="AJ90" s="92" t="s">
        <v>925</v>
      </c>
      <c r="AK90" s="92" t="s">
        <v>1005</v>
      </c>
      <c r="AL90" s="91" t="s">
        <v>474</v>
      </c>
      <c r="AM90" s="91" t="b">
        <v>0</v>
      </c>
    </row>
    <row r="91" spans="1:39" x14ac:dyDescent="0.2">
      <c r="A91" t="s">
        <v>148</v>
      </c>
      <c r="B91" t="s">
        <v>1006</v>
      </c>
      <c r="C91" t="s">
        <v>449</v>
      </c>
      <c r="D91" s="85" t="s">
        <v>992</v>
      </c>
      <c r="E91">
        <v>936610147</v>
      </c>
      <c r="F91" t="s">
        <v>0</v>
      </c>
      <c r="H91" t="s">
        <v>451</v>
      </c>
      <c r="J91" t="s">
        <v>452</v>
      </c>
      <c r="K91" t="s">
        <v>453</v>
      </c>
      <c r="L91" t="s">
        <v>959</v>
      </c>
      <c r="M91" t="s">
        <v>455</v>
      </c>
      <c r="N91" t="s">
        <v>0</v>
      </c>
      <c r="O91">
        <v>0</v>
      </c>
      <c r="P91">
        <v>0</v>
      </c>
      <c r="Q91">
        <v>0</v>
      </c>
      <c r="R91">
        <v>1</v>
      </c>
      <c r="S91">
        <v>3</v>
      </c>
      <c r="T91">
        <v>87</v>
      </c>
      <c r="U91" t="s">
        <v>456</v>
      </c>
      <c r="V91" t="s">
        <v>14</v>
      </c>
      <c r="W91" t="s">
        <v>1007</v>
      </c>
      <c r="X91" t="s">
        <v>458</v>
      </c>
      <c r="Z91" t="s">
        <v>997</v>
      </c>
      <c r="AE91" s="94">
        <v>3</v>
      </c>
      <c r="AF91" s="92" t="s">
        <v>460</v>
      </c>
      <c r="AG91" s="110" t="s">
        <v>1008</v>
      </c>
      <c r="AH91" s="91" t="s">
        <v>1009</v>
      </c>
      <c r="AI91" s="92" t="s">
        <v>485</v>
      </c>
      <c r="AJ91" s="92" t="s">
        <v>938</v>
      </c>
      <c r="AK91" s="92" t="s">
        <v>1010</v>
      </c>
      <c r="AL91" s="91" t="s">
        <v>474</v>
      </c>
      <c r="AM91" s="91" t="b">
        <v>0</v>
      </c>
    </row>
    <row r="92" spans="1:39" x14ac:dyDescent="0.2">
      <c r="A92" t="s">
        <v>149</v>
      </c>
      <c r="B92" t="s">
        <v>1011</v>
      </c>
      <c r="C92" t="s">
        <v>449</v>
      </c>
      <c r="D92" s="85" t="s">
        <v>1012</v>
      </c>
      <c r="E92">
        <v>332548027</v>
      </c>
      <c r="F92" t="s">
        <v>0</v>
      </c>
      <c r="H92" t="s">
        <v>451</v>
      </c>
      <c r="J92" t="s">
        <v>452</v>
      </c>
      <c r="K92" t="s">
        <v>453</v>
      </c>
      <c r="L92" t="s">
        <v>959</v>
      </c>
      <c r="M92" t="s">
        <v>455</v>
      </c>
      <c r="N92" t="s">
        <v>0</v>
      </c>
      <c r="O92">
        <v>0</v>
      </c>
      <c r="P92">
        <v>0</v>
      </c>
      <c r="Q92">
        <v>0</v>
      </c>
      <c r="R92">
        <v>1</v>
      </c>
      <c r="S92">
        <v>3</v>
      </c>
      <c r="T92">
        <v>40</v>
      </c>
      <c r="U92" t="s">
        <v>513</v>
      </c>
      <c r="V92" t="s">
        <v>11</v>
      </c>
      <c r="W92" t="s">
        <v>1013</v>
      </c>
      <c r="X92" t="s">
        <v>458</v>
      </c>
      <c r="Z92" t="s">
        <v>997</v>
      </c>
      <c r="AE92" s="94">
        <v>3</v>
      </c>
      <c r="AF92" s="92" t="s">
        <v>460</v>
      </c>
      <c r="AG92" s="110"/>
      <c r="AH92" s="91" t="s">
        <v>1014</v>
      </c>
      <c r="AI92" s="92" t="s">
        <v>485</v>
      </c>
      <c r="AJ92" s="92" t="s">
        <v>932</v>
      </c>
      <c r="AK92" s="92" t="s">
        <v>1015</v>
      </c>
      <c r="AL92" s="91" t="s">
        <v>474</v>
      </c>
      <c r="AM92" s="91" t="b">
        <v>0</v>
      </c>
    </row>
    <row r="93" spans="1:39" ht="48" x14ac:dyDescent="0.2">
      <c r="A93" t="s">
        <v>151</v>
      </c>
      <c r="B93" t="s">
        <v>1016</v>
      </c>
      <c r="C93" t="s">
        <v>449</v>
      </c>
      <c r="D93" s="86" t="s">
        <v>1017</v>
      </c>
      <c r="E93">
        <v>878886446</v>
      </c>
      <c r="F93" t="s">
        <v>458</v>
      </c>
      <c r="G93" s="11" t="s">
        <v>1018</v>
      </c>
      <c r="H93" t="s">
        <v>451</v>
      </c>
      <c r="J93" t="s">
        <v>452</v>
      </c>
      <c r="K93" t="s">
        <v>453</v>
      </c>
      <c r="L93" t="s">
        <v>959</v>
      </c>
      <c r="M93" t="s">
        <v>455</v>
      </c>
      <c r="N93" t="s">
        <v>458</v>
      </c>
      <c r="O93">
        <v>2</v>
      </c>
      <c r="P93">
        <v>1</v>
      </c>
      <c r="Q93">
        <v>3</v>
      </c>
      <c r="R93">
        <v>4</v>
      </c>
      <c r="S93">
        <v>3</v>
      </c>
      <c r="T93">
        <v>74</v>
      </c>
      <c r="U93" t="s">
        <v>513</v>
      </c>
      <c r="V93" t="s">
        <v>11</v>
      </c>
      <c r="W93" t="s">
        <v>1019</v>
      </c>
      <c r="X93" t="s">
        <v>458</v>
      </c>
      <c r="Z93" t="s">
        <v>997</v>
      </c>
      <c r="AE93" s="94">
        <v>3</v>
      </c>
      <c r="AF93" s="92" t="s">
        <v>460</v>
      </c>
      <c r="AG93" s="110" t="s">
        <v>1020</v>
      </c>
      <c r="AH93" s="101" t="s">
        <v>1021</v>
      </c>
      <c r="AI93" s="102" t="s">
        <v>485</v>
      </c>
      <c r="AJ93" s="102" t="s">
        <v>1022</v>
      </c>
      <c r="AK93" s="102" t="s">
        <v>1023</v>
      </c>
      <c r="AL93" s="101" t="s">
        <v>488</v>
      </c>
      <c r="AM93" s="101" t="b">
        <v>0</v>
      </c>
    </row>
    <row r="94" spans="1:39" x14ac:dyDescent="0.2">
      <c r="A94" t="s">
        <v>154</v>
      </c>
      <c r="B94" t="s">
        <v>1024</v>
      </c>
      <c r="C94" t="s">
        <v>449</v>
      </c>
      <c r="D94" s="85" t="s">
        <v>962</v>
      </c>
      <c r="E94">
        <v>972326052</v>
      </c>
      <c r="F94" t="s">
        <v>458</v>
      </c>
      <c r="G94" t="s">
        <v>155</v>
      </c>
      <c r="H94" t="s">
        <v>451</v>
      </c>
      <c r="J94" t="s">
        <v>452</v>
      </c>
      <c r="K94" t="s">
        <v>453</v>
      </c>
      <c r="L94" t="s">
        <v>959</v>
      </c>
      <c r="M94" t="s">
        <v>455</v>
      </c>
      <c r="N94" t="s">
        <v>458</v>
      </c>
      <c r="O94">
        <v>0</v>
      </c>
      <c r="P94">
        <v>1</v>
      </c>
      <c r="Q94">
        <v>1</v>
      </c>
      <c r="R94">
        <v>2</v>
      </c>
      <c r="S94">
        <v>3</v>
      </c>
      <c r="T94">
        <v>72</v>
      </c>
      <c r="U94" t="s">
        <v>513</v>
      </c>
      <c r="V94" t="s">
        <v>14</v>
      </c>
      <c r="W94" t="s">
        <v>1025</v>
      </c>
      <c r="X94" t="s">
        <v>458</v>
      </c>
      <c r="Z94" t="s">
        <v>997</v>
      </c>
      <c r="AE94" s="94">
        <v>3</v>
      </c>
      <c r="AF94" s="92" t="s">
        <v>460</v>
      </c>
      <c r="AG94" s="110"/>
      <c r="AH94" s="91" t="s">
        <v>1026</v>
      </c>
      <c r="AI94" s="92" t="s">
        <v>485</v>
      </c>
      <c r="AJ94" s="92" t="s">
        <v>973</v>
      </c>
      <c r="AK94" s="92" t="s">
        <v>1027</v>
      </c>
      <c r="AL94" s="91" t="s">
        <v>474</v>
      </c>
      <c r="AM94" s="91" t="b">
        <v>0</v>
      </c>
    </row>
    <row r="95" spans="1:39" x14ac:dyDescent="0.2">
      <c r="A95" t="s">
        <v>157</v>
      </c>
      <c r="B95" t="s">
        <v>1028</v>
      </c>
      <c r="C95" t="s">
        <v>449</v>
      </c>
      <c r="D95" s="85" t="s">
        <v>1029</v>
      </c>
      <c r="E95">
        <v>973718347</v>
      </c>
      <c r="F95" t="s">
        <v>0</v>
      </c>
      <c r="H95" t="s">
        <v>451</v>
      </c>
      <c r="J95" t="s">
        <v>452</v>
      </c>
      <c r="K95" t="s">
        <v>453</v>
      </c>
      <c r="L95" t="s">
        <v>959</v>
      </c>
      <c r="M95" t="s">
        <v>455</v>
      </c>
      <c r="N95" t="s">
        <v>0</v>
      </c>
      <c r="O95">
        <v>0</v>
      </c>
      <c r="P95">
        <v>0</v>
      </c>
      <c r="Q95">
        <v>0</v>
      </c>
      <c r="R95">
        <v>1</v>
      </c>
      <c r="S95">
        <v>4</v>
      </c>
      <c r="T95">
        <v>57</v>
      </c>
      <c r="U95" t="s">
        <v>513</v>
      </c>
      <c r="V95" t="s">
        <v>11</v>
      </c>
      <c r="W95" t="s">
        <v>1030</v>
      </c>
      <c r="X95" t="s">
        <v>458</v>
      </c>
      <c r="Z95" t="s">
        <v>1031</v>
      </c>
      <c r="AE95" s="94">
        <v>3</v>
      </c>
      <c r="AF95" s="92" t="s">
        <v>460</v>
      </c>
      <c r="AG95" s="110" t="s">
        <v>1032</v>
      </c>
      <c r="AH95" s="91" t="s">
        <v>1033</v>
      </c>
      <c r="AI95" s="92" t="s">
        <v>485</v>
      </c>
      <c r="AJ95" s="92" t="s">
        <v>983</v>
      </c>
      <c r="AK95" s="92" t="s">
        <v>1034</v>
      </c>
      <c r="AL95" s="91" t="s">
        <v>474</v>
      </c>
      <c r="AM95" s="91" t="b">
        <v>0</v>
      </c>
    </row>
    <row r="96" spans="1:39" ht="48" x14ac:dyDescent="0.2">
      <c r="A96" t="s">
        <v>159</v>
      </c>
      <c r="B96" t="s">
        <v>1035</v>
      </c>
      <c r="C96" t="s">
        <v>449</v>
      </c>
      <c r="D96" s="86" t="s">
        <v>1036</v>
      </c>
      <c r="E96">
        <v>975193219</v>
      </c>
      <c r="F96" t="s">
        <v>458</v>
      </c>
      <c r="G96" s="11" t="s">
        <v>160</v>
      </c>
      <c r="H96" t="s">
        <v>451</v>
      </c>
      <c r="J96" t="s">
        <v>452</v>
      </c>
      <c r="K96" t="s">
        <v>453</v>
      </c>
      <c r="L96" t="s">
        <v>959</v>
      </c>
      <c r="M96" t="s">
        <v>455</v>
      </c>
      <c r="N96" t="s">
        <v>458</v>
      </c>
      <c r="O96">
        <v>2</v>
      </c>
      <c r="P96">
        <v>1</v>
      </c>
      <c r="Q96">
        <v>3</v>
      </c>
      <c r="R96">
        <v>4</v>
      </c>
      <c r="S96">
        <v>3</v>
      </c>
      <c r="T96">
        <v>75</v>
      </c>
      <c r="U96" t="s">
        <v>513</v>
      </c>
      <c r="V96" t="s">
        <v>11</v>
      </c>
      <c r="W96" t="s">
        <v>1037</v>
      </c>
      <c r="X96" t="s">
        <v>458</v>
      </c>
      <c r="Z96" t="s">
        <v>1031</v>
      </c>
      <c r="AE96" s="94">
        <v>3</v>
      </c>
      <c r="AF96" s="92" t="s">
        <v>460</v>
      </c>
      <c r="AG96" s="110"/>
      <c r="AH96" s="91" t="s">
        <v>1038</v>
      </c>
      <c r="AI96" s="92" t="s">
        <v>485</v>
      </c>
      <c r="AJ96" s="92" t="s">
        <v>978</v>
      </c>
      <c r="AK96" s="92" t="s">
        <v>1039</v>
      </c>
      <c r="AL96" s="91" t="s">
        <v>474</v>
      </c>
      <c r="AM96" s="91" t="b">
        <v>0</v>
      </c>
    </row>
    <row r="97" spans="1:39" x14ac:dyDescent="0.2">
      <c r="A97" t="s">
        <v>162</v>
      </c>
      <c r="B97" t="s">
        <v>403</v>
      </c>
      <c r="C97" t="s">
        <v>449</v>
      </c>
      <c r="D97" s="85" t="s">
        <v>1040</v>
      </c>
      <c r="E97">
        <v>397459642</v>
      </c>
      <c r="F97" t="s">
        <v>0</v>
      </c>
      <c r="H97" t="s">
        <v>451</v>
      </c>
      <c r="J97" t="s">
        <v>452</v>
      </c>
      <c r="K97" t="s">
        <v>453</v>
      </c>
      <c r="L97" t="s">
        <v>959</v>
      </c>
      <c r="M97" t="s">
        <v>455</v>
      </c>
      <c r="N97" t="s">
        <v>0</v>
      </c>
      <c r="O97">
        <v>0</v>
      </c>
      <c r="P97">
        <v>0</v>
      </c>
      <c r="Q97">
        <v>0</v>
      </c>
      <c r="R97">
        <v>1</v>
      </c>
      <c r="S97">
        <v>3</v>
      </c>
      <c r="T97">
        <v>41</v>
      </c>
      <c r="U97" t="s">
        <v>513</v>
      </c>
      <c r="V97" t="s">
        <v>11</v>
      </c>
      <c r="W97" t="s">
        <v>1041</v>
      </c>
      <c r="X97" t="s">
        <v>458</v>
      </c>
      <c r="Z97" t="s">
        <v>990</v>
      </c>
      <c r="AE97" s="94">
        <v>3</v>
      </c>
      <c r="AF97" s="92" t="s">
        <v>460</v>
      </c>
      <c r="AG97" s="110" t="s">
        <v>1042</v>
      </c>
      <c r="AH97" s="91" t="s">
        <v>1043</v>
      </c>
      <c r="AI97" s="92" t="s">
        <v>485</v>
      </c>
      <c r="AJ97" s="92" t="s">
        <v>995</v>
      </c>
      <c r="AK97" s="92" t="s">
        <v>1044</v>
      </c>
      <c r="AL97" s="91" t="s">
        <v>474</v>
      </c>
      <c r="AM97" s="91" t="b">
        <v>0</v>
      </c>
    </row>
    <row r="98" spans="1:39" x14ac:dyDescent="0.2">
      <c r="A98" t="s">
        <v>164</v>
      </c>
      <c r="B98" t="s">
        <v>1045</v>
      </c>
      <c r="C98" t="s">
        <v>449</v>
      </c>
      <c r="D98" s="85" t="s">
        <v>1046</v>
      </c>
      <c r="E98">
        <v>335618057</v>
      </c>
      <c r="F98" t="s">
        <v>0</v>
      </c>
      <c r="H98" t="s">
        <v>451</v>
      </c>
      <c r="J98" t="s">
        <v>452</v>
      </c>
      <c r="K98" t="s">
        <v>453</v>
      </c>
      <c r="L98" t="s">
        <v>959</v>
      </c>
      <c r="M98" t="s">
        <v>455</v>
      </c>
      <c r="N98" t="s">
        <v>0</v>
      </c>
      <c r="O98">
        <v>0</v>
      </c>
      <c r="P98">
        <v>0</v>
      </c>
      <c r="Q98">
        <v>0</v>
      </c>
      <c r="R98">
        <v>1</v>
      </c>
      <c r="S98">
        <v>3</v>
      </c>
      <c r="T98">
        <v>41</v>
      </c>
      <c r="U98" t="s">
        <v>513</v>
      </c>
      <c r="V98" t="s">
        <v>11</v>
      </c>
      <c r="W98" t="s">
        <v>1047</v>
      </c>
      <c r="X98" t="s">
        <v>458</v>
      </c>
      <c r="Z98" t="s">
        <v>990</v>
      </c>
      <c r="AE98" s="94">
        <v>3</v>
      </c>
      <c r="AF98" s="92" t="s">
        <v>460</v>
      </c>
      <c r="AG98" s="110"/>
      <c r="AH98" s="91" t="s">
        <v>1048</v>
      </c>
      <c r="AI98" s="92" t="s">
        <v>485</v>
      </c>
      <c r="AJ98" s="92" t="s">
        <v>1002</v>
      </c>
      <c r="AK98" s="92" t="s">
        <v>1049</v>
      </c>
      <c r="AL98" s="91" t="s">
        <v>474</v>
      </c>
      <c r="AM98" s="91" t="b">
        <v>0</v>
      </c>
    </row>
    <row r="99" spans="1:39" ht="32" x14ac:dyDescent="0.2">
      <c r="A99" t="s">
        <v>165</v>
      </c>
      <c r="B99" t="s">
        <v>1050</v>
      </c>
      <c r="C99" t="s">
        <v>449</v>
      </c>
      <c r="D99" s="86" t="s">
        <v>969</v>
      </c>
      <c r="E99">
        <v>386987100</v>
      </c>
      <c r="F99" t="s">
        <v>458</v>
      </c>
      <c r="G99" s="11" t="s">
        <v>166</v>
      </c>
      <c r="H99" t="s">
        <v>451</v>
      </c>
      <c r="J99" t="s">
        <v>452</v>
      </c>
      <c r="K99" t="s">
        <v>453</v>
      </c>
      <c r="L99" t="s">
        <v>959</v>
      </c>
      <c r="M99" t="s">
        <v>455</v>
      </c>
      <c r="N99" t="s">
        <v>458</v>
      </c>
      <c r="O99">
        <v>1</v>
      </c>
      <c r="P99">
        <v>1</v>
      </c>
      <c r="Q99">
        <v>2</v>
      </c>
      <c r="R99">
        <v>3</v>
      </c>
      <c r="S99">
        <v>3</v>
      </c>
      <c r="T99">
        <v>76</v>
      </c>
      <c r="U99" t="s">
        <v>513</v>
      </c>
      <c r="V99" t="s">
        <v>14</v>
      </c>
      <c r="W99" t="s">
        <v>1051</v>
      </c>
      <c r="X99" t="s">
        <v>458</v>
      </c>
      <c r="Z99" t="s">
        <v>990</v>
      </c>
      <c r="AE99" s="94">
        <v>3</v>
      </c>
      <c r="AF99" s="92" t="s">
        <v>460</v>
      </c>
      <c r="AG99" s="110" t="s">
        <v>1052</v>
      </c>
      <c r="AH99" s="91" t="s">
        <v>1053</v>
      </c>
      <c r="AI99" s="92" t="s">
        <v>485</v>
      </c>
      <c r="AJ99" s="92" t="s">
        <v>1054</v>
      </c>
      <c r="AK99" s="92" t="s">
        <v>1055</v>
      </c>
      <c r="AL99" s="91" t="s">
        <v>474</v>
      </c>
      <c r="AM99" s="91" t="b">
        <v>0</v>
      </c>
    </row>
    <row r="100" spans="1:39" x14ac:dyDescent="0.2">
      <c r="A100" t="s">
        <v>168</v>
      </c>
      <c r="B100" t="s">
        <v>1056</v>
      </c>
      <c r="C100" t="s">
        <v>449</v>
      </c>
      <c r="D100" s="85" t="s">
        <v>1057</v>
      </c>
      <c r="E100">
        <v>778836595</v>
      </c>
      <c r="F100" t="s">
        <v>0</v>
      </c>
      <c r="H100" t="s">
        <v>451</v>
      </c>
      <c r="J100" t="s">
        <v>452</v>
      </c>
      <c r="K100" t="s">
        <v>453</v>
      </c>
      <c r="L100" t="s">
        <v>959</v>
      </c>
      <c r="M100" t="s">
        <v>455</v>
      </c>
      <c r="N100" t="s">
        <v>0</v>
      </c>
      <c r="O100">
        <v>0</v>
      </c>
      <c r="P100">
        <v>0</v>
      </c>
      <c r="Q100">
        <v>0</v>
      </c>
      <c r="R100">
        <v>1</v>
      </c>
      <c r="S100">
        <v>3</v>
      </c>
      <c r="T100">
        <v>42</v>
      </c>
      <c r="U100" t="s">
        <v>513</v>
      </c>
      <c r="V100" t="s">
        <v>11</v>
      </c>
      <c r="W100" t="s">
        <v>1058</v>
      </c>
      <c r="X100" t="s">
        <v>458</v>
      </c>
      <c r="Z100" t="s">
        <v>990</v>
      </c>
      <c r="AE100" s="94">
        <v>3</v>
      </c>
      <c r="AF100" s="92" t="s">
        <v>460</v>
      </c>
      <c r="AG100" s="110"/>
      <c r="AH100" s="91" t="s">
        <v>1059</v>
      </c>
      <c r="AI100" s="92" t="s">
        <v>485</v>
      </c>
      <c r="AJ100" s="92" t="s">
        <v>1012</v>
      </c>
      <c r="AK100" s="92" t="s">
        <v>1060</v>
      </c>
      <c r="AL100" s="91" t="s">
        <v>474</v>
      </c>
      <c r="AM100" s="91" t="b">
        <v>0</v>
      </c>
    </row>
    <row r="101" spans="1:39" x14ac:dyDescent="0.2">
      <c r="A101" t="s">
        <v>170</v>
      </c>
      <c r="B101" t="s">
        <v>1061</v>
      </c>
      <c r="C101" t="s">
        <v>449</v>
      </c>
      <c r="D101" s="85" t="s">
        <v>922</v>
      </c>
      <c r="E101">
        <v>961393725</v>
      </c>
      <c r="F101" t="s">
        <v>458</v>
      </c>
      <c r="G101" t="s">
        <v>171</v>
      </c>
      <c r="H101" t="s">
        <v>451</v>
      </c>
      <c r="J101" t="s">
        <v>452</v>
      </c>
      <c r="K101" t="s">
        <v>453</v>
      </c>
      <c r="L101" t="s">
        <v>959</v>
      </c>
      <c r="M101" t="s">
        <v>455</v>
      </c>
      <c r="N101" t="s">
        <v>458</v>
      </c>
      <c r="O101">
        <v>0</v>
      </c>
      <c r="P101">
        <v>1</v>
      </c>
      <c r="Q101">
        <v>1</v>
      </c>
      <c r="R101">
        <v>2</v>
      </c>
      <c r="S101">
        <v>3</v>
      </c>
      <c r="T101">
        <v>43</v>
      </c>
      <c r="U101" t="s">
        <v>456</v>
      </c>
      <c r="V101" t="s">
        <v>14</v>
      </c>
      <c r="W101" t="s">
        <v>1062</v>
      </c>
      <c r="X101" t="s">
        <v>458</v>
      </c>
      <c r="Z101" t="s">
        <v>990</v>
      </c>
      <c r="AE101" s="94">
        <v>3</v>
      </c>
      <c r="AF101" s="92" t="s">
        <v>460</v>
      </c>
      <c r="AG101" s="110" t="s">
        <v>1063</v>
      </c>
      <c r="AH101" s="91" t="s">
        <v>1064</v>
      </c>
      <c r="AI101" s="92" t="s">
        <v>485</v>
      </c>
      <c r="AJ101" s="92" t="s">
        <v>1046</v>
      </c>
      <c r="AK101" s="92" t="s">
        <v>1065</v>
      </c>
      <c r="AL101" s="91" t="s">
        <v>474</v>
      </c>
      <c r="AM101" s="91" t="b">
        <v>0</v>
      </c>
    </row>
    <row r="102" spans="1:39" x14ac:dyDescent="0.2">
      <c r="A102" t="s">
        <v>173</v>
      </c>
      <c r="B102" t="s">
        <v>1066</v>
      </c>
      <c r="C102" t="s">
        <v>449</v>
      </c>
      <c r="D102" s="85" t="s">
        <v>1067</v>
      </c>
      <c r="E102">
        <v>346726479</v>
      </c>
      <c r="F102" t="s">
        <v>0</v>
      </c>
      <c r="H102" t="s">
        <v>451</v>
      </c>
      <c r="J102" t="s">
        <v>452</v>
      </c>
      <c r="K102" t="s">
        <v>453</v>
      </c>
      <c r="L102" t="s">
        <v>959</v>
      </c>
      <c r="M102" t="s">
        <v>455</v>
      </c>
      <c r="N102" t="s">
        <v>0</v>
      </c>
      <c r="O102">
        <v>0</v>
      </c>
      <c r="P102">
        <v>0</v>
      </c>
      <c r="Q102">
        <v>0</v>
      </c>
      <c r="R102">
        <v>1</v>
      </c>
      <c r="S102">
        <v>3</v>
      </c>
      <c r="T102">
        <v>42</v>
      </c>
      <c r="U102" t="s">
        <v>513</v>
      </c>
      <c r="V102" t="s">
        <v>11</v>
      </c>
      <c r="W102" t="s">
        <v>1068</v>
      </c>
      <c r="X102" t="s">
        <v>458</v>
      </c>
      <c r="Z102" t="s">
        <v>990</v>
      </c>
      <c r="AE102" s="94">
        <v>3</v>
      </c>
      <c r="AF102" s="92" t="s">
        <v>460</v>
      </c>
      <c r="AG102" s="110"/>
      <c r="AH102" s="91" t="s">
        <v>1069</v>
      </c>
      <c r="AI102" s="92" t="s">
        <v>485</v>
      </c>
      <c r="AJ102" s="92" t="s">
        <v>1040</v>
      </c>
      <c r="AK102" s="92" t="s">
        <v>404</v>
      </c>
      <c r="AL102" s="91" t="s">
        <v>474</v>
      </c>
      <c r="AM102" s="91" t="b">
        <v>0</v>
      </c>
    </row>
    <row r="103" spans="1:39" x14ac:dyDescent="0.2">
      <c r="A103" t="s">
        <v>174</v>
      </c>
      <c r="B103" t="s">
        <v>1070</v>
      </c>
      <c r="C103" t="s">
        <v>449</v>
      </c>
      <c r="D103" s="85" t="s">
        <v>949</v>
      </c>
      <c r="E103">
        <v>977794203</v>
      </c>
      <c r="F103" t="s">
        <v>458</v>
      </c>
      <c r="G103" t="s">
        <v>175</v>
      </c>
      <c r="H103" t="s">
        <v>451</v>
      </c>
      <c r="J103" t="s">
        <v>452</v>
      </c>
      <c r="K103" t="s">
        <v>453</v>
      </c>
      <c r="L103" t="s">
        <v>959</v>
      </c>
      <c r="M103" t="s">
        <v>455</v>
      </c>
      <c r="N103" t="s">
        <v>458</v>
      </c>
      <c r="O103">
        <v>0</v>
      </c>
      <c r="P103">
        <v>1</v>
      </c>
      <c r="Q103">
        <v>1</v>
      </c>
      <c r="R103">
        <v>2</v>
      </c>
      <c r="S103">
        <v>3</v>
      </c>
      <c r="T103">
        <v>71</v>
      </c>
      <c r="U103" t="s">
        <v>513</v>
      </c>
      <c r="V103" t="s">
        <v>14</v>
      </c>
      <c r="W103" t="s">
        <v>1071</v>
      </c>
      <c r="X103" t="s">
        <v>458</v>
      </c>
      <c r="Z103" t="s">
        <v>1031</v>
      </c>
      <c r="AE103" s="94">
        <v>3</v>
      </c>
      <c r="AF103" s="92" t="s">
        <v>460</v>
      </c>
      <c r="AG103" s="110" t="s">
        <v>1072</v>
      </c>
      <c r="AH103" s="91" t="s">
        <v>1073</v>
      </c>
      <c r="AI103" s="92" t="s">
        <v>485</v>
      </c>
      <c r="AJ103" s="92" t="s">
        <v>1057</v>
      </c>
      <c r="AK103" s="92" t="s">
        <v>1074</v>
      </c>
      <c r="AL103" s="91" t="s">
        <v>474</v>
      </c>
      <c r="AM103" s="91" t="b">
        <v>0</v>
      </c>
    </row>
    <row r="104" spans="1:39" x14ac:dyDescent="0.2">
      <c r="A104" t="s">
        <v>177</v>
      </c>
      <c r="B104" t="s">
        <v>1075</v>
      </c>
      <c r="C104" t="s">
        <v>449</v>
      </c>
      <c r="D104" s="85" t="s">
        <v>1076</v>
      </c>
      <c r="E104">
        <v>886895676</v>
      </c>
      <c r="F104" t="s">
        <v>0</v>
      </c>
      <c r="H104" t="s">
        <v>451</v>
      </c>
      <c r="J104" t="s">
        <v>452</v>
      </c>
      <c r="K104" t="s">
        <v>453</v>
      </c>
      <c r="L104" t="s">
        <v>1077</v>
      </c>
      <c r="M104" t="s">
        <v>455</v>
      </c>
      <c r="N104" t="s">
        <v>0</v>
      </c>
      <c r="O104">
        <v>0</v>
      </c>
      <c r="P104">
        <v>0</v>
      </c>
      <c r="Q104">
        <v>0</v>
      </c>
      <c r="R104">
        <v>1</v>
      </c>
      <c r="S104">
        <v>4</v>
      </c>
      <c r="T104">
        <v>46</v>
      </c>
      <c r="U104" t="s">
        <v>513</v>
      </c>
      <c r="V104" t="s">
        <v>11</v>
      </c>
      <c r="W104" t="s">
        <v>1078</v>
      </c>
      <c r="X104" t="s">
        <v>458</v>
      </c>
      <c r="Z104" t="s">
        <v>1031</v>
      </c>
      <c r="AE104" s="94">
        <v>3</v>
      </c>
      <c r="AF104" s="92" t="s">
        <v>460</v>
      </c>
      <c r="AG104" s="110"/>
      <c r="AH104" s="91" t="s">
        <v>1079</v>
      </c>
      <c r="AI104" s="92" t="s">
        <v>485</v>
      </c>
      <c r="AJ104" s="92" t="s">
        <v>1067</v>
      </c>
      <c r="AK104" s="92" t="s">
        <v>1080</v>
      </c>
      <c r="AL104" s="91" t="s">
        <v>474</v>
      </c>
      <c r="AM104" s="91" t="b">
        <v>0</v>
      </c>
    </row>
    <row r="105" spans="1:39" x14ac:dyDescent="0.2">
      <c r="A105" t="s">
        <v>179</v>
      </c>
      <c r="B105" t="s">
        <v>1081</v>
      </c>
      <c r="C105" t="s">
        <v>449</v>
      </c>
      <c r="D105" s="85" t="s">
        <v>1082</v>
      </c>
      <c r="E105">
        <v>899337446</v>
      </c>
      <c r="F105" t="s">
        <v>0</v>
      </c>
      <c r="H105" t="s">
        <v>451</v>
      </c>
      <c r="J105" t="s">
        <v>452</v>
      </c>
      <c r="K105" t="s">
        <v>453</v>
      </c>
      <c r="L105" t="s">
        <v>1077</v>
      </c>
      <c r="M105" t="s">
        <v>455</v>
      </c>
      <c r="N105" t="s">
        <v>0</v>
      </c>
      <c r="O105">
        <v>0</v>
      </c>
      <c r="P105">
        <v>0</v>
      </c>
      <c r="Q105">
        <v>0</v>
      </c>
      <c r="R105">
        <v>1</v>
      </c>
      <c r="S105">
        <v>4</v>
      </c>
      <c r="T105">
        <v>46</v>
      </c>
      <c r="U105" t="s">
        <v>513</v>
      </c>
      <c r="V105" t="s">
        <v>11</v>
      </c>
      <c r="W105" t="s">
        <v>1083</v>
      </c>
      <c r="X105" t="s">
        <v>458</v>
      </c>
      <c r="Z105" t="s">
        <v>1031</v>
      </c>
      <c r="AE105" s="94">
        <v>3</v>
      </c>
      <c r="AF105" s="92" t="s">
        <v>460</v>
      </c>
      <c r="AG105" s="110" t="s">
        <v>1084</v>
      </c>
      <c r="AH105" s="91" t="s">
        <v>1085</v>
      </c>
      <c r="AI105" s="92" t="s">
        <v>485</v>
      </c>
      <c r="AJ105" s="92" t="s">
        <v>1017</v>
      </c>
      <c r="AK105" s="92" t="s">
        <v>1086</v>
      </c>
      <c r="AL105" s="91" t="s">
        <v>1087</v>
      </c>
      <c r="AM105" s="91" t="b">
        <v>0</v>
      </c>
    </row>
    <row r="106" spans="1:39" x14ac:dyDescent="0.2">
      <c r="A106" t="s">
        <v>180</v>
      </c>
      <c r="B106" t="s">
        <v>1088</v>
      </c>
      <c r="C106" t="s">
        <v>449</v>
      </c>
      <c r="D106" s="85" t="s">
        <v>1089</v>
      </c>
      <c r="E106">
        <v>896116155</v>
      </c>
      <c r="F106" t="s">
        <v>0</v>
      </c>
      <c r="H106" t="s">
        <v>451</v>
      </c>
      <c r="J106" t="s">
        <v>452</v>
      </c>
      <c r="K106" t="s">
        <v>453</v>
      </c>
      <c r="L106" t="s">
        <v>1077</v>
      </c>
      <c r="M106" t="s">
        <v>455</v>
      </c>
      <c r="N106" t="s">
        <v>0</v>
      </c>
      <c r="O106">
        <v>0</v>
      </c>
      <c r="P106">
        <v>0</v>
      </c>
      <c r="Q106">
        <v>0</v>
      </c>
      <c r="R106">
        <v>1</v>
      </c>
      <c r="S106">
        <v>4</v>
      </c>
      <c r="T106">
        <v>47</v>
      </c>
      <c r="U106" t="s">
        <v>513</v>
      </c>
      <c r="V106" t="s">
        <v>11</v>
      </c>
      <c r="W106" t="s">
        <v>1090</v>
      </c>
      <c r="X106" t="s">
        <v>458</v>
      </c>
      <c r="Z106" t="s">
        <v>1031</v>
      </c>
      <c r="AE106" s="94">
        <v>3</v>
      </c>
      <c r="AF106" s="92" t="s">
        <v>460</v>
      </c>
      <c r="AG106" s="110"/>
      <c r="AH106" s="91" t="s">
        <v>1091</v>
      </c>
      <c r="AI106" s="92" t="s">
        <v>463</v>
      </c>
      <c r="AJ106" s="92" t="s">
        <v>1092</v>
      </c>
      <c r="AK106" s="92" t="s">
        <v>1087</v>
      </c>
      <c r="AL106" s="91" t="s">
        <v>1087</v>
      </c>
      <c r="AM106" s="91" t="b">
        <v>0</v>
      </c>
    </row>
    <row r="107" spans="1:39" x14ac:dyDescent="0.2">
      <c r="A107" t="s">
        <v>182</v>
      </c>
      <c r="B107" t="s">
        <v>1093</v>
      </c>
      <c r="C107" t="s">
        <v>449</v>
      </c>
      <c r="D107" s="85" t="s">
        <v>1094</v>
      </c>
      <c r="E107">
        <v>981412159</v>
      </c>
      <c r="F107" t="s">
        <v>0</v>
      </c>
      <c r="H107" t="s">
        <v>451</v>
      </c>
      <c r="J107" t="s">
        <v>452</v>
      </c>
      <c r="K107" t="s">
        <v>453</v>
      </c>
      <c r="L107" t="s">
        <v>1077</v>
      </c>
      <c r="M107" t="s">
        <v>455</v>
      </c>
      <c r="N107" t="s">
        <v>0</v>
      </c>
      <c r="O107">
        <v>0</v>
      </c>
      <c r="P107">
        <v>0</v>
      </c>
      <c r="Q107">
        <v>0</v>
      </c>
      <c r="R107">
        <v>1</v>
      </c>
      <c r="S107">
        <v>4</v>
      </c>
      <c r="T107">
        <v>47</v>
      </c>
      <c r="U107" t="s">
        <v>513</v>
      </c>
      <c r="V107" t="s">
        <v>11</v>
      </c>
      <c r="W107" t="s">
        <v>1095</v>
      </c>
      <c r="X107" t="s">
        <v>458</v>
      </c>
      <c r="Z107" t="s">
        <v>1096</v>
      </c>
      <c r="AE107" s="94">
        <v>3</v>
      </c>
      <c r="AF107" s="92" t="s">
        <v>460</v>
      </c>
      <c r="AG107" s="110"/>
      <c r="AH107" s="91" t="s">
        <v>1097</v>
      </c>
      <c r="AI107" s="92" t="s">
        <v>463</v>
      </c>
      <c r="AJ107" s="92" t="s">
        <v>1098</v>
      </c>
      <c r="AK107" s="92" t="s">
        <v>1087</v>
      </c>
      <c r="AL107" s="91" t="s">
        <v>1087</v>
      </c>
      <c r="AM107" s="91" t="b">
        <v>0</v>
      </c>
    </row>
    <row r="108" spans="1:39" x14ac:dyDescent="0.2">
      <c r="A108" t="s">
        <v>183</v>
      </c>
      <c r="B108" t="s">
        <v>1099</v>
      </c>
      <c r="C108" t="s">
        <v>449</v>
      </c>
      <c r="D108" s="85" t="s">
        <v>1100</v>
      </c>
      <c r="E108">
        <v>337399029</v>
      </c>
      <c r="F108" t="s">
        <v>0</v>
      </c>
      <c r="H108" t="s">
        <v>451</v>
      </c>
      <c r="J108" t="s">
        <v>452</v>
      </c>
      <c r="K108" t="s">
        <v>453</v>
      </c>
      <c r="L108" t="s">
        <v>1077</v>
      </c>
      <c r="M108" t="s">
        <v>455</v>
      </c>
      <c r="N108" t="s">
        <v>0</v>
      </c>
      <c r="O108">
        <v>0</v>
      </c>
      <c r="P108">
        <v>0</v>
      </c>
      <c r="Q108">
        <v>0</v>
      </c>
      <c r="R108">
        <v>1</v>
      </c>
      <c r="S108">
        <v>4</v>
      </c>
      <c r="T108">
        <v>48</v>
      </c>
      <c r="U108" t="s">
        <v>513</v>
      </c>
      <c r="V108" t="s">
        <v>11</v>
      </c>
      <c r="W108" t="s">
        <v>1101</v>
      </c>
      <c r="X108" t="s">
        <v>458</v>
      </c>
      <c r="Z108" t="s">
        <v>1096</v>
      </c>
      <c r="AE108" s="94">
        <v>3</v>
      </c>
      <c r="AF108" s="92" t="s">
        <v>460</v>
      </c>
      <c r="AG108" s="110"/>
      <c r="AH108" s="91" t="s">
        <v>1102</v>
      </c>
      <c r="AI108" s="92" t="s">
        <v>463</v>
      </c>
      <c r="AJ108" s="92" t="s">
        <v>1103</v>
      </c>
      <c r="AK108" s="92" t="s">
        <v>1087</v>
      </c>
      <c r="AL108" s="91" t="s">
        <v>1087</v>
      </c>
      <c r="AM108" s="91" t="b">
        <v>0</v>
      </c>
    </row>
    <row r="109" spans="1:39" x14ac:dyDescent="0.2">
      <c r="A109" t="s">
        <v>185</v>
      </c>
      <c r="B109" t="s">
        <v>1104</v>
      </c>
      <c r="C109" t="s">
        <v>449</v>
      </c>
      <c r="D109" s="85" t="s">
        <v>1105</v>
      </c>
      <c r="E109">
        <v>905054228</v>
      </c>
      <c r="F109" t="s">
        <v>0</v>
      </c>
      <c r="H109" t="s">
        <v>451</v>
      </c>
      <c r="J109" t="s">
        <v>452</v>
      </c>
      <c r="K109" t="s">
        <v>453</v>
      </c>
      <c r="L109" t="s">
        <v>1077</v>
      </c>
      <c r="M109" t="s">
        <v>455</v>
      </c>
      <c r="N109" t="s">
        <v>0</v>
      </c>
      <c r="O109">
        <v>0</v>
      </c>
      <c r="P109">
        <v>0</v>
      </c>
      <c r="Q109">
        <v>0</v>
      </c>
      <c r="R109">
        <v>1</v>
      </c>
      <c r="S109">
        <v>4</v>
      </c>
      <c r="T109">
        <v>48</v>
      </c>
      <c r="U109" t="s">
        <v>513</v>
      </c>
      <c r="V109" t="s">
        <v>11</v>
      </c>
      <c r="W109" t="s">
        <v>1106</v>
      </c>
      <c r="X109" t="s">
        <v>458</v>
      </c>
      <c r="Z109" t="s">
        <v>1096</v>
      </c>
      <c r="AE109" s="94">
        <v>3</v>
      </c>
      <c r="AF109" s="92" t="s">
        <v>460</v>
      </c>
      <c r="AG109" s="110" t="s">
        <v>1107</v>
      </c>
      <c r="AH109" s="91" t="s">
        <v>1108</v>
      </c>
      <c r="AI109" s="92" t="s">
        <v>463</v>
      </c>
      <c r="AJ109" s="92" t="s">
        <v>1109</v>
      </c>
      <c r="AK109" s="92" t="s">
        <v>1110</v>
      </c>
      <c r="AL109" s="91" t="s">
        <v>1110</v>
      </c>
      <c r="AM109" s="91" t="b">
        <v>0</v>
      </c>
    </row>
    <row r="110" spans="1:39" x14ac:dyDescent="0.2">
      <c r="A110" t="s">
        <v>186</v>
      </c>
      <c r="B110" t="s">
        <v>1111</v>
      </c>
      <c r="C110" t="s">
        <v>449</v>
      </c>
      <c r="D110" s="85" t="s">
        <v>1112</v>
      </c>
      <c r="E110">
        <v>778605436</v>
      </c>
      <c r="F110" t="s">
        <v>0</v>
      </c>
      <c r="H110" t="s">
        <v>451</v>
      </c>
      <c r="J110" t="s">
        <v>452</v>
      </c>
      <c r="K110" t="s">
        <v>453</v>
      </c>
      <c r="L110" t="s">
        <v>1077</v>
      </c>
      <c r="M110" t="s">
        <v>455</v>
      </c>
      <c r="N110" t="s">
        <v>0</v>
      </c>
      <c r="O110">
        <v>0</v>
      </c>
      <c r="P110">
        <v>0</v>
      </c>
      <c r="Q110">
        <v>0</v>
      </c>
      <c r="R110">
        <v>1</v>
      </c>
      <c r="S110">
        <v>4</v>
      </c>
      <c r="T110">
        <v>89</v>
      </c>
      <c r="U110" t="s">
        <v>456</v>
      </c>
      <c r="V110" t="s">
        <v>14</v>
      </c>
      <c r="W110" t="s">
        <v>1113</v>
      </c>
      <c r="X110" t="s">
        <v>458</v>
      </c>
      <c r="Z110" t="s">
        <v>1096</v>
      </c>
      <c r="AE110" s="94">
        <v>3</v>
      </c>
      <c r="AF110" s="92" t="s">
        <v>460</v>
      </c>
      <c r="AG110" s="110"/>
      <c r="AH110" s="91" t="s">
        <v>1114</v>
      </c>
      <c r="AI110" s="92" t="s">
        <v>485</v>
      </c>
      <c r="AJ110" s="92" t="s">
        <v>1036</v>
      </c>
      <c r="AK110" s="92" t="s">
        <v>1115</v>
      </c>
      <c r="AL110" s="91" t="s">
        <v>1110</v>
      </c>
      <c r="AM110" s="91" t="b">
        <v>0</v>
      </c>
    </row>
    <row r="111" spans="1:39" x14ac:dyDescent="0.2">
      <c r="A111" t="s">
        <v>187</v>
      </c>
      <c r="B111" t="s">
        <v>405</v>
      </c>
      <c r="C111" t="s">
        <v>449</v>
      </c>
      <c r="D111" s="85" t="s">
        <v>1116</v>
      </c>
      <c r="E111">
        <v>559852579</v>
      </c>
      <c r="F111" t="s">
        <v>0</v>
      </c>
      <c r="H111" t="s">
        <v>451</v>
      </c>
      <c r="J111" t="s">
        <v>452</v>
      </c>
      <c r="K111" t="s">
        <v>491</v>
      </c>
      <c r="L111" t="s">
        <v>1117</v>
      </c>
      <c r="M111" t="s">
        <v>455</v>
      </c>
      <c r="N111" t="s">
        <v>0</v>
      </c>
      <c r="O111">
        <v>0</v>
      </c>
      <c r="P111">
        <v>0</v>
      </c>
      <c r="Q111">
        <v>0</v>
      </c>
      <c r="R111">
        <v>1</v>
      </c>
      <c r="S111">
        <v>4</v>
      </c>
      <c r="T111">
        <v>86</v>
      </c>
      <c r="U111" t="s">
        <v>456</v>
      </c>
      <c r="V111" t="s">
        <v>14</v>
      </c>
      <c r="W111" t="s">
        <v>1118</v>
      </c>
      <c r="X111" t="s">
        <v>458</v>
      </c>
      <c r="Z111" t="s">
        <v>1096</v>
      </c>
      <c r="AE111" s="94">
        <v>3</v>
      </c>
      <c r="AF111" s="92" t="s">
        <v>460</v>
      </c>
      <c r="AG111" s="110"/>
      <c r="AH111" s="91" t="s">
        <v>1119</v>
      </c>
      <c r="AI111" s="92" t="s">
        <v>463</v>
      </c>
      <c r="AJ111" s="92" t="s">
        <v>1120</v>
      </c>
      <c r="AK111" s="92" t="s">
        <v>1110</v>
      </c>
      <c r="AL111" s="91" t="s">
        <v>1110</v>
      </c>
      <c r="AM111" s="91" t="b">
        <v>0</v>
      </c>
    </row>
    <row r="112" spans="1:39" x14ac:dyDescent="0.2">
      <c r="A112" t="s">
        <v>188</v>
      </c>
      <c r="B112" t="s">
        <v>1121</v>
      </c>
      <c r="C112" t="s">
        <v>449</v>
      </c>
      <c r="D112" s="85" t="s">
        <v>1122</v>
      </c>
      <c r="E112">
        <v>764290520</v>
      </c>
      <c r="F112" t="s">
        <v>0</v>
      </c>
      <c r="H112" t="s">
        <v>451</v>
      </c>
      <c r="J112" t="s">
        <v>452</v>
      </c>
      <c r="K112" t="s">
        <v>453</v>
      </c>
      <c r="L112" t="s">
        <v>1123</v>
      </c>
      <c r="M112" t="s">
        <v>455</v>
      </c>
      <c r="N112" t="s">
        <v>0</v>
      </c>
      <c r="O112">
        <v>0</v>
      </c>
      <c r="P112">
        <v>0</v>
      </c>
      <c r="Q112">
        <v>0</v>
      </c>
      <c r="R112">
        <v>1</v>
      </c>
      <c r="S112">
        <v>4</v>
      </c>
      <c r="T112">
        <v>50</v>
      </c>
      <c r="U112" t="s">
        <v>513</v>
      </c>
      <c r="V112" t="s">
        <v>11</v>
      </c>
      <c r="W112" t="s">
        <v>1124</v>
      </c>
      <c r="X112" t="s">
        <v>458</v>
      </c>
      <c r="Z112" t="s">
        <v>1096</v>
      </c>
      <c r="AE112" s="94">
        <v>3</v>
      </c>
      <c r="AF112" s="92" t="s">
        <v>460</v>
      </c>
      <c r="AG112" s="110"/>
      <c r="AH112" s="91" t="s">
        <v>1125</v>
      </c>
      <c r="AI112" s="92" t="s">
        <v>463</v>
      </c>
      <c r="AJ112" s="92" t="s">
        <v>1126</v>
      </c>
      <c r="AK112" s="92" t="s">
        <v>1110</v>
      </c>
      <c r="AL112" s="91" t="s">
        <v>1110</v>
      </c>
      <c r="AM112" s="91" t="b">
        <v>0</v>
      </c>
    </row>
    <row r="113" spans="1:39" x14ac:dyDescent="0.2">
      <c r="A113" t="s">
        <v>190</v>
      </c>
      <c r="B113" t="s">
        <v>1127</v>
      </c>
      <c r="C113" t="s">
        <v>449</v>
      </c>
      <c r="D113" s="85" t="s">
        <v>1128</v>
      </c>
      <c r="E113">
        <v>906659850</v>
      </c>
      <c r="F113" t="s">
        <v>0</v>
      </c>
      <c r="H113" t="s">
        <v>451</v>
      </c>
      <c r="J113" t="s">
        <v>452</v>
      </c>
      <c r="K113" t="s">
        <v>453</v>
      </c>
      <c r="L113" t="s">
        <v>1123</v>
      </c>
      <c r="M113" t="s">
        <v>455</v>
      </c>
      <c r="N113" t="s">
        <v>0</v>
      </c>
      <c r="O113">
        <v>0</v>
      </c>
      <c r="P113">
        <v>0</v>
      </c>
      <c r="Q113">
        <v>0</v>
      </c>
      <c r="R113">
        <v>1</v>
      </c>
      <c r="S113">
        <v>4</v>
      </c>
      <c r="T113">
        <v>50</v>
      </c>
      <c r="U113" t="s">
        <v>513</v>
      </c>
      <c r="V113" t="s">
        <v>11</v>
      </c>
      <c r="W113" t="s">
        <v>1129</v>
      </c>
      <c r="X113" t="s">
        <v>458</v>
      </c>
      <c r="Z113" t="s">
        <v>1096</v>
      </c>
      <c r="AE113" s="95">
        <v>4</v>
      </c>
      <c r="AF113" s="92" t="s">
        <v>460</v>
      </c>
      <c r="AG113" s="110" t="s">
        <v>1130</v>
      </c>
      <c r="AH113" s="91" t="s">
        <v>1131</v>
      </c>
      <c r="AI113" s="92" t="s">
        <v>485</v>
      </c>
      <c r="AJ113" s="92" t="s">
        <v>1132</v>
      </c>
      <c r="AK113" s="92" t="s">
        <v>1133</v>
      </c>
      <c r="AL113" s="91" t="s">
        <v>1134</v>
      </c>
      <c r="AM113" s="91" t="b">
        <v>0</v>
      </c>
    </row>
    <row r="114" spans="1:39" x14ac:dyDescent="0.2">
      <c r="A114" t="s">
        <v>191</v>
      </c>
      <c r="B114" t="s">
        <v>1135</v>
      </c>
      <c r="C114" t="s">
        <v>449</v>
      </c>
      <c r="D114" s="85" t="s">
        <v>1136</v>
      </c>
      <c r="E114">
        <v>937308357</v>
      </c>
      <c r="F114" t="s">
        <v>0</v>
      </c>
      <c r="H114" t="s">
        <v>1137</v>
      </c>
      <c r="J114" t="s">
        <v>452</v>
      </c>
      <c r="K114" t="s">
        <v>453</v>
      </c>
      <c r="L114" t="s">
        <v>1123</v>
      </c>
      <c r="M114" t="s">
        <v>455</v>
      </c>
      <c r="N114" t="s">
        <v>0</v>
      </c>
      <c r="O114">
        <v>0</v>
      </c>
      <c r="P114">
        <v>0</v>
      </c>
      <c r="Q114">
        <v>0</v>
      </c>
      <c r="R114">
        <v>1</v>
      </c>
      <c r="T114">
        <v>51</v>
      </c>
      <c r="U114" t="s">
        <v>513</v>
      </c>
      <c r="V114" t="s">
        <v>11</v>
      </c>
      <c r="W114" t="s">
        <v>1138</v>
      </c>
      <c r="X114" t="s">
        <v>458</v>
      </c>
      <c r="Z114" t="s">
        <v>1096</v>
      </c>
      <c r="AE114" s="95">
        <v>4</v>
      </c>
      <c r="AF114" s="92" t="s">
        <v>460</v>
      </c>
      <c r="AG114" s="110"/>
      <c r="AH114" s="91" t="s">
        <v>1139</v>
      </c>
      <c r="AI114" s="92" t="s">
        <v>485</v>
      </c>
      <c r="AJ114" s="92" t="s">
        <v>1140</v>
      </c>
      <c r="AK114" s="92" t="s">
        <v>1134</v>
      </c>
      <c r="AL114" s="91" t="s">
        <v>1134</v>
      </c>
      <c r="AM114" s="91" t="b">
        <v>0</v>
      </c>
    </row>
    <row r="115" spans="1:39" x14ac:dyDescent="0.2">
      <c r="A115" t="s">
        <v>194</v>
      </c>
      <c r="B115" t="s">
        <v>1141</v>
      </c>
      <c r="C115" t="s">
        <v>449</v>
      </c>
      <c r="D115" s="85" t="s">
        <v>1142</v>
      </c>
      <c r="E115">
        <v>868415847</v>
      </c>
      <c r="F115" t="s">
        <v>0</v>
      </c>
      <c r="H115" t="s">
        <v>1137</v>
      </c>
      <c r="J115" t="s">
        <v>452</v>
      </c>
      <c r="K115" t="s">
        <v>453</v>
      </c>
      <c r="L115" t="s">
        <v>1123</v>
      </c>
      <c r="M115" t="s">
        <v>455</v>
      </c>
      <c r="N115" t="s">
        <v>0</v>
      </c>
      <c r="O115">
        <v>0</v>
      </c>
      <c r="P115">
        <v>0</v>
      </c>
      <c r="Q115">
        <v>0</v>
      </c>
      <c r="R115">
        <v>1</v>
      </c>
      <c r="T115">
        <v>51</v>
      </c>
      <c r="U115" t="s">
        <v>513</v>
      </c>
      <c r="V115" t="s">
        <v>11</v>
      </c>
      <c r="W115" t="s">
        <v>1143</v>
      </c>
      <c r="X115" t="s">
        <v>458</v>
      </c>
      <c r="Z115" t="s">
        <v>1096</v>
      </c>
      <c r="AE115" s="95">
        <v>4</v>
      </c>
      <c r="AF115" s="92" t="s">
        <v>460</v>
      </c>
      <c r="AG115" s="110" t="s">
        <v>1144</v>
      </c>
      <c r="AH115" s="91" t="s">
        <v>1145</v>
      </c>
      <c r="AI115" s="92" t="s">
        <v>463</v>
      </c>
      <c r="AJ115" s="92" t="s">
        <v>1146</v>
      </c>
      <c r="AK115" s="92" t="s">
        <v>1147</v>
      </c>
      <c r="AL115" s="91" t="s">
        <v>474</v>
      </c>
      <c r="AM115" s="91" t="b">
        <v>0</v>
      </c>
    </row>
    <row r="116" spans="1:39" x14ac:dyDescent="0.2">
      <c r="A116" t="s">
        <v>195</v>
      </c>
      <c r="B116" t="s">
        <v>1148</v>
      </c>
      <c r="C116" t="s">
        <v>449</v>
      </c>
      <c r="D116" s="85" t="s">
        <v>1149</v>
      </c>
      <c r="E116">
        <v>931173302</v>
      </c>
      <c r="F116" t="s">
        <v>0</v>
      </c>
      <c r="H116" t="s">
        <v>451</v>
      </c>
      <c r="J116" t="s">
        <v>452</v>
      </c>
      <c r="K116" t="s">
        <v>453</v>
      </c>
      <c r="L116" t="s">
        <v>1123</v>
      </c>
      <c r="M116" t="s">
        <v>455</v>
      </c>
      <c r="N116" t="s">
        <v>0</v>
      </c>
      <c r="O116">
        <v>0</v>
      </c>
      <c r="P116">
        <v>0</v>
      </c>
      <c r="Q116">
        <v>0</v>
      </c>
      <c r="R116">
        <v>1</v>
      </c>
      <c r="S116">
        <v>7</v>
      </c>
      <c r="T116">
        <v>60</v>
      </c>
      <c r="U116" t="s">
        <v>456</v>
      </c>
      <c r="V116" t="s">
        <v>14</v>
      </c>
      <c r="W116" t="s">
        <v>1150</v>
      </c>
      <c r="X116" t="s">
        <v>458</v>
      </c>
      <c r="Z116" t="s">
        <v>1151</v>
      </c>
      <c r="AE116" s="95">
        <v>4</v>
      </c>
      <c r="AF116" s="92" t="s">
        <v>460</v>
      </c>
      <c r="AG116" s="110"/>
      <c r="AH116" s="91" t="s">
        <v>1152</v>
      </c>
      <c r="AI116" s="92" t="s">
        <v>463</v>
      </c>
      <c r="AJ116" s="92" t="s">
        <v>1153</v>
      </c>
      <c r="AK116" s="92" t="s">
        <v>1154</v>
      </c>
      <c r="AL116" s="91" t="s">
        <v>474</v>
      </c>
      <c r="AM116" s="91" t="b">
        <v>0</v>
      </c>
    </row>
    <row r="117" spans="1:39" x14ac:dyDescent="0.2">
      <c r="A117" t="s">
        <v>197</v>
      </c>
      <c r="B117" t="s">
        <v>1155</v>
      </c>
      <c r="C117" t="s">
        <v>449</v>
      </c>
      <c r="D117" s="85" t="s">
        <v>1156</v>
      </c>
      <c r="E117">
        <v>356154210</v>
      </c>
      <c r="F117" t="s">
        <v>0</v>
      </c>
      <c r="H117" t="s">
        <v>451</v>
      </c>
      <c r="J117" t="s">
        <v>452</v>
      </c>
      <c r="K117" t="s">
        <v>453</v>
      </c>
      <c r="L117" t="s">
        <v>1123</v>
      </c>
      <c r="M117" t="s">
        <v>455</v>
      </c>
      <c r="N117" t="s">
        <v>0</v>
      </c>
      <c r="O117">
        <v>0</v>
      </c>
      <c r="P117">
        <v>0</v>
      </c>
      <c r="Q117">
        <v>0</v>
      </c>
      <c r="R117">
        <v>1</v>
      </c>
      <c r="S117">
        <v>4</v>
      </c>
      <c r="T117">
        <v>52</v>
      </c>
      <c r="U117" t="s">
        <v>513</v>
      </c>
      <c r="V117" t="s">
        <v>11</v>
      </c>
      <c r="W117" t="s">
        <v>1157</v>
      </c>
      <c r="X117" t="s">
        <v>458</v>
      </c>
      <c r="Z117" t="s">
        <v>1151</v>
      </c>
      <c r="AE117" s="95">
        <v>4</v>
      </c>
      <c r="AF117" s="92" t="s">
        <v>460</v>
      </c>
      <c r="AG117" s="84" t="s">
        <v>1158</v>
      </c>
      <c r="AH117" s="91" t="s">
        <v>1159</v>
      </c>
      <c r="AI117" s="92" t="s">
        <v>485</v>
      </c>
      <c r="AJ117" s="92" t="s">
        <v>1160</v>
      </c>
      <c r="AK117" s="92" t="s">
        <v>1161</v>
      </c>
      <c r="AL117" s="91" t="s">
        <v>1162</v>
      </c>
      <c r="AM117" s="91" t="b">
        <v>0</v>
      </c>
    </row>
    <row r="118" spans="1:39" x14ac:dyDescent="0.2">
      <c r="A118" t="s">
        <v>199</v>
      </c>
      <c r="B118" t="s">
        <v>1163</v>
      </c>
      <c r="C118" t="s">
        <v>449</v>
      </c>
      <c r="D118" s="85" t="s">
        <v>1164</v>
      </c>
      <c r="E118">
        <v>966441600</v>
      </c>
      <c r="F118" t="s">
        <v>0</v>
      </c>
      <c r="H118" t="s">
        <v>451</v>
      </c>
      <c r="J118" t="s">
        <v>452</v>
      </c>
      <c r="K118" t="s">
        <v>453</v>
      </c>
      <c r="L118" t="s">
        <v>1123</v>
      </c>
      <c r="M118" t="s">
        <v>455</v>
      </c>
      <c r="N118" t="s">
        <v>0</v>
      </c>
      <c r="O118">
        <v>0</v>
      </c>
      <c r="P118">
        <v>0</v>
      </c>
      <c r="Q118">
        <v>0</v>
      </c>
      <c r="R118">
        <v>1</v>
      </c>
      <c r="S118">
        <v>4</v>
      </c>
      <c r="T118">
        <v>52</v>
      </c>
      <c r="U118" t="s">
        <v>513</v>
      </c>
      <c r="V118" t="s">
        <v>11</v>
      </c>
      <c r="W118" t="s">
        <v>1165</v>
      </c>
      <c r="X118" t="s">
        <v>458</v>
      </c>
      <c r="Z118" t="s">
        <v>1151</v>
      </c>
      <c r="AE118" s="95">
        <v>4</v>
      </c>
      <c r="AF118" s="92" t="s">
        <v>460</v>
      </c>
      <c r="AG118" s="110" t="s">
        <v>1166</v>
      </c>
      <c r="AH118" s="91" t="s">
        <v>1167</v>
      </c>
      <c r="AI118" s="92" t="s">
        <v>463</v>
      </c>
      <c r="AJ118" s="92" t="s">
        <v>1168</v>
      </c>
      <c r="AK118" s="92" t="s">
        <v>1169</v>
      </c>
      <c r="AL118" s="91" t="s">
        <v>1169</v>
      </c>
      <c r="AM118" s="91" t="b">
        <v>0</v>
      </c>
    </row>
    <row r="119" spans="1:39" x14ac:dyDescent="0.2">
      <c r="A119" t="s">
        <v>200</v>
      </c>
      <c r="B119" t="s">
        <v>1170</v>
      </c>
      <c r="C119" t="s">
        <v>449</v>
      </c>
      <c r="D119" s="85" t="s">
        <v>1171</v>
      </c>
      <c r="E119">
        <v>392707949</v>
      </c>
      <c r="F119" t="s">
        <v>0</v>
      </c>
      <c r="H119" t="s">
        <v>451</v>
      </c>
      <c r="J119" t="s">
        <v>452</v>
      </c>
      <c r="K119" t="s">
        <v>453</v>
      </c>
      <c r="L119" t="s">
        <v>1123</v>
      </c>
      <c r="M119" t="s">
        <v>455</v>
      </c>
      <c r="N119" t="s">
        <v>0</v>
      </c>
      <c r="O119">
        <v>0</v>
      </c>
      <c r="P119">
        <v>0</v>
      </c>
      <c r="Q119">
        <v>0</v>
      </c>
      <c r="R119">
        <v>1</v>
      </c>
      <c r="S119">
        <v>4</v>
      </c>
      <c r="T119">
        <v>53</v>
      </c>
      <c r="U119" t="s">
        <v>513</v>
      </c>
      <c r="V119" t="s">
        <v>11</v>
      </c>
      <c r="W119" t="s">
        <v>1172</v>
      </c>
      <c r="X119" t="s">
        <v>458</v>
      </c>
      <c r="Z119" t="s">
        <v>1151</v>
      </c>
      <c r="AE119" s="95">
        <v>4</v>
      </c>
      <c r="AF119" s="92" t="s">
        <v>460</v>
      </c>
      <c r="AG119" s="110"/>
      <c r="AH119" s="91" t="s">
        <v>1173</v>
      </c>
      <c r="AI119" s="92" t="s">
        <v>485</v>
      </c>
      <c r="AJ119" s="92" t="s">
        <v>1174</v>
      </c>
      <c r="AK119" s="92" t="s">
        <v>1175</v>
      </c>
      <c r="AL119" s="91" t="s">
        <v>1169</v>
      </c>
      <c r="AM119" s="91" t="b">
        <v>0</v>
      </c>
    </row>
    <row r="120" spans="1:39" x14ac:dyDescent="0.2">
      <c r="A120" t="s">
        <v>202</v>
      </c>
      <c r="B120" t="s">
        <v>1176</v>
      </c>
      <c r="C120" t="s">
        <v>449</v>
      </c>
      <c r="D120" s="85" t="s">
        <v>1177</v>
      </c>
      <c r="E120">
        <v>938080935</v>
      </c>
      <c r="F120" t="s">
        <v>0</v>
      </c>
      <c r="H120" t="s">
        <v>451</v>
      </c>
      <c r="J120" t="s">
        <v>452</v>
      </c>
      <c r="K120" t="s">
        <v>453</v>
      </c>
      <c r="L120" t="s">
        <v>1123</v>
      </c>
      <c r="M120" t="s">
        <v>455</v>
      </c>
      <c r="N120" t="s">
        <v>0</v>
      </c>
      <c r="O120">
        <v>0</v>
      </c>
      <c r="P120">
        <v>0</v>
      </c>
      <c r="Q120">
        <v>0</v>
      </c>
      <c r="R120">
        <v>1</v>
      </c>
      <c r="S120">
        <v>4</v>
      </c>
      <c r="T120">
        <v>53</v>
      </c>
      <c r="U120" t="s">
        <v>513</v>
      </c>
      <c r="V120" t="s">
        <v>11</v>
      </c>
      <c r="W120" t="s">
        <v>1178</v>
      </c>
      <c r="X120" t="s">
        <v>458</v>
      </c>
      <c r="Z120" t="s">
        <v>1151</v>
      </c>
      <c r="AE120" s="95">
        <v>4</v>
      </c>
      <c r="AF120" s="92" t="s">
        <v>460</v>
      </c>
      <c r="AG120" s="84" t="s">
        <v>753</v>
      </c>
      <c r="AH120" s="91" t="s">
        <v>1179</v>
      </c>
      <c r="AI120" s="92" t="s">
        <v>463</v>
      </c>
      <c r="AJ120" s="92" t="s">
        <v>1116</v>
      </c>
      <c r="AK120" s="92" t="s">
        <v>1180</v>
      </c>
      <c r="AL120" s="91" t="s">
        <v>757</v>
      </c>
      <c r="AM120" s="91" t="b">
        <v>0</v>
      </c>
    </row>
    <row r="121" spans="1:39" x14ac:dyDescent="0.2">
      <c r="A121" t="s">
        <v>203</v>
      </c>
      <c r="B121" t="s">
        <v>1181</v>
      </c>
      <c r="C121" t="s">
        <v>449</v>
      </c>
      <c r="D121" s="85" t="s">
        <v>1182</v>
      </c>
      <c r="E121">
        <v>385094422</v>
      </c>
      <c r="F121" t="s">
        <v>0</v>
      </c>
      <c r="H121" t="s">
        <v>451</v>
      </c>
      <c r="J121" t="s">
        <v>452</v>
      </c>
      <c r="K121" t="s">
        <v>453</v>
      </c>
      <c r="L121" t="s">
        <v>1123</v>
      </c>
      <c r="M121" t="s">
        <v>455</v>
      </c>
      <c r="N121" t="s">
        <v>0</v>
      </c>
      <c r="O121">
        <v>0</v>
      </c>
      <c r="P121">
        <v>0</v>
      </c>
      <c r="Q121">
        <v>0</v>
      </c>
      <c r="R121">
        <v>1</v>
      </c>
      <c r="S121">
        <v>4</v>
      </c>
      <c r="T121">
        <v>56</v>
      </c>
      <c r="U121" t="s">
        <v>513</v>
      </c>
      <c r="V121" t="s">
        <v>11</v>
      </c>
      <c r="W121" t="s">
        <v>1183</v>
      </c>
      <c r="X121" t="s">
        <v>458</v>
      </c>
      <c r="Z121" t="s">
        <v>1151</v>
      </c>
      <c r="AE121" s="95">
        <v>4</v>
      </c>
      <c r="AF121" s="92" t="s">
        <v>1184</v>
      </c>
      <c r="AG121" s="84" t="s">
        <v>1185</v>
      </c>
      <c r="AH121" s="91" t="s">
        <v>1186</v>
      </c>
      <c r="AI121" s="92" t="s">
        <v>463</v>
      </c>
      <c r="AJ121" s="92" t="s">
        <v>1187</v>
      </c>
      <c r="AK121" s="92" t="s">
        <v>1188</v>
      </c>
      <c r="AL121" s="91" t="s">
        <v>1189</v>
      </c>
      <c r="AM121" s="91" t="b">
        <v>0</v>
      </c>
    </row>
    <row r="122" spans="1:39" x14ac:dyDescent="0.2">
      <c r="A122" t="s">
        <v>205</v>
      </c>
      <c r="B122" t="s">
        <v>1190</v>
      </c>
      <c r="C122" t="s">
        <v>449</v>
      </c>
      <c r="D122" s="85" t="s">
        <v>1191</v>
      </c>
      <c r="E122">
        <v>908725648</v>
      </c>
      <c r="F122" t="s">
        <v>0</v>
      </c>
      <c r="H122" t="s">
        <v>451</v>
      </c>
      <c r="J122" t="s">
        <v>452</v>
      </c>
      <c r="K122" t="s">
        <v>453</v>
      </c>
      <c r="L122" t="s">
        <v>959</v>
      </c>
      <c r="M122" t="s">
        <v>455</v>
      </c>
      <c r="N122" t="s">
        <v>0</v>
      </c>
      <c r="O122">
        <v>0</v>
      </c>
      <c r="P122">
        <v>0</v>
      </c>
      <c r="Q122">
        <v>0</v>
      </c>
      <c r="R122">
        <v>1</v>
      </c>
      <c r="S122">
        <v>4</v>
      </c>
      <c r="T122">
        <v>55</v>
      </c>
      <c r="U122" t="s">
        <v>513</v>
      </c>
      <c r="V122" t="s">
        <v>11</v>
      </c>
      <c r="W122" t="s">
        <v>1192</v>
      </c>
      <c r="X122" t="s">
        <v>458</v>
      </c>
      <c r="Z122" t="s">
        <v>1151</v>
      </c>
      <c r="AE122" s="95">
        <v>4</v>
      </c>
      <c r="AF122" s="92" t="s">
        <v>460</v>
      </c>
      <c r="AG122" s="110" t="s">
        <v>1193</v>
      </c>
      <c r="AH122" s="91" t="s">
        <v>1194</v>
      </c>
      <c r="AI122" s="92" t="s">
        <v>485</v>
      </c>
      <c r="AJ122" s="92" t="s">
        <v>1082</v>
      </c>
      <c r="AK122" s="92" t="s">
        <v>1195</v>
      </c>
      <c r="AL122" s="91" t="s">
        <v>474</v>
      </c>
      <c r="AM122" s="91" t="b">
        <v>0</v>
      </c>
    </row>
    <row r="123" spans="1:39" x14ac:dyDescent="0.2">
      <c r="A123" t="s">
        <v>207</v>
      </c>
      <c r="B123" t="s">
        <v>1196</v>
      </c>
      <c r="C123" t="s">
        <v>449</v>
      </c>
      <c r="D123" s="85" t="s">
        <v>1174</v>
      </c>
      <c r="E123">
        <v>367776115</v>
      </c>
      <c r="F123" t="s">
        <v>458</v>
      </c>
      <c r="G123" t="s">
        <v>208</v>
      </c>
      <c r="H123" t="s">
        <v>451</v>
      </c>
      <c r="J123" t="s">
        <v>452</v>
      </c>
      <c r="K123" t="s">
        <v>453</v>
      </c>
      <c r="L123" t="s">
        <v>959</v>
      </c>
      <c r="M123" t="s">
        <v>455</v>
      </c>
      <c r="N123" t="s">
        <v>458</v>
      </c>
      <c r="O123">
        <v>0</v>
      </c>
      <c r="P123">
        <v>1</v>
      </c>
      <c r="Q123">
        <v>1</v>
      </c>
      <c r="R123">
        <v>2</v>
      </c>
      <c r="S123">
        <v>4</v>
      </c>
      <c r="T123">
        <v>70</v>
      </c>
      <c r="U123" t="s">
        <v>513</v>
      </c>
      <c r="V123" t="s">
        <v>14</v>
      </c>
      <c r="W123" t="s">
        <v>1197</v>
      </c>
      <c r="X123" t="s">
        <v>458</v>
      </c>
      <c r="Z123" t="s">
        <v>1151</v>
      </c>
      <c r="AE123" s="95">
        <v>4</v>
      </c>
      <c r="AF123" s="92" t="s">
        <v>460</v>
      </c>
      <c r="AG123" s="110"/>
      <c r="AH123" s="91" t="s">
        <v>1198</v>
      </c>
      <c r="AI123" s="92" t="s">
        <v>485</v>
      </c>
      <c r="AJ123" s="92" t="s">
        <v>1076</v>
      </c>
      <c r="AK123" s="92" t="s">
        <v>1199</v>
      </c>
      <c r="AL123" s="91" t="s">
        <v>474</v>
      </c>
      <c r="AM123" s="91" t="b">
        <v>0</v>
      </c>
    </row>
    <row r="124" spans="1:39" x14ac:dyDescent="0.2">
      <c r="A124" t="s">
        <v>210</v>
      </c>
      <c r="B124" t="s">
        <v>1200</v>
      </c>
      <c r="C124" t="s">
        <v>449</v>
      </c>
      <c r="D124" s="85" t="s">
        <v>1146</v>
      </c>
      <c r="E124">
        <v>704954529</v>
      </c>
      <c r="F124" t="s">
        <v>0</v>
      </c>
      <c r="H124" t="s">
        <v>451</v>
      </c>
      <c r="J124" t="s">
        <v>452</v>
      </c>
      <c r="K124" t="s">
        <v>453</v>
      </c>
      <c r="L124" t="s">
        <v>959</v>
      </c>
      <c r="M124" t="s">
        <v>455</v>
      </c>
      <c r="N124" t="s">
        <v>0</v>
      </c>
      <c r="O124">
        <v>0</v>
      </c>
      <c r="P124">
        <v>0</v>
      </c>
      <c r="Q124">
        <v>0</v>
      </c>
      <c r="R124">
        <v>1</v>
      </c>
      <c r="S124">
        <v>4</v>
      </c>
      <c r="T124">
        <v>62</v>
      </c>
      <c r="U124" t="s">
        <v>456</v>
      </c>
      <c r="V124" t="s">
        <v>14</v>
      </c>
      <c r="W124" t="s">
        <v>1201</v>
      </c>
      <c r="X124" t="s">
        <v>458</v>
      </c>
      <c r="Z124" t="s">
        <v>1202</v>
      </c>
      <c r="AE124" s="95">
        <v>4</v>
      </c>
      <c r="AF124" s="92" t="s">
        <v>460</v>
      </c>
      <c r="AG124" s="110" t="s">
        <v>1203</v>
      </c>
      <c r="AH124" s="91" t="s">
        <v>1204</v>
      </c>
      <c r="AI124" s="92" t="s">
        <v>485</v>
      </c>
      <c r="AJ124" s="92" t="s">
        <v>1094</v>
      </c>
      <c r="AK124" s="92" t="s">
        <v>1205</v>
      </c>
      <c r="AL124" s="91" t="s">
        <v>474</v>
      </c>
      <c r="AM124" s="91" t="b">
        <v>0</v>
      </c>
    </row>
    <row r="125" spans="1:39" x14ac:dyDescent="0.2">
      <c r="A125" t="s">
        <v>212</v>
      </c>
      <c r="B125" t="s">
        <v>1206</v>
      </c>
      <c r="C125" t="s">
        <v>449</v>
      </c>
      <c r="D125" s="85" t="s">
        <v>1054</v>
      </c>
      <c r="E125">
        <v>915004496</v>
      </c>
      <c r="F125" t="s">
        <v>0</v>
      </c>
      <c r="H125" t="s">
        <v>451</v>
      </c>
      <c r="J125" t="s">
        <v>452</v>
      </c>
      <c r="K125" t="s">
        <v>453</v>
      </c>
      <c r="L125" t="s">
        <v>959</v>
      </c>
      <c r="M125" t="s">
        <v>455</v>
      </c>
      <c r="N125" t="s">
        <v>0</v>
      </c>
      <c r="O125">
        <v>0</v>
      </c>
      <c r="P125">
        <v>0</v>
      </c>
      <c r="Q125">
        <v>0</v>
      </c>
      <c r="R125">
        <v>1</v>
      </c>
      <c r="S125">
        <v>3</v>
      </c>
      <c r="T125">
        <v>40</v>
      </c>
      <c r="U125" t="s">
        <v>513</v>
      </c>
      <c r="V125" t="s">
        <v>11</v>
      </c>
      <c r="W125" t="s">
        <v>1207</v>
      </c>
      <c r="X125" t="s">
        <v>458</v>
      </c>
      <c r="Z125" t="s">
        <v>1202</v>
      </c>
      <c r="AE125" s="95">
        <v>4</v>
      </c>
      <c r="AF125" s="92" t="s">
        <v>460</v>
      </c>
      <c r="AG125" s="110"/>
      <c r="AH125" s="91" t="s">
        <v>1208</v>
      </c>
      <c r="AI125" s="92" t="s">
        <v>485</v>
      </c>
      <c r="AJ125" s="92" t="s">
        <v>1089</v>
      </c>
      <c r="AK125" s="92" t="s">
        <v>1209</v>
      </c>
      <c r="AL125" s="91" t="s">
        <v>474</v>
      </c>
      <c r="AM125" s="91" t="b">
        <v>0</v>
      </c>
    </row>
    <row r="126" spans="1:39" x14ac:dyDescent="0.2">
      <c r="A126" t="s">
        <v>213</v>
      </c>
      <c r="B126" t="s">
        <v>1210</v>
      </c>
      <c r="C126" t="s">
        <v>449</v>
      </c>
      <c r="D126" s="85" t="s">
        <v>1211</v>
      </c>
      <c r="E126">
        <v>988438042</v>
      </c>
      <c r="F126" t="s">
        <v>0</v>
      </c>
      <c r="H126" t="s">
        <v>451</v>
      </c>
      <c r="J126" t="s">
        <v>452</v>
      </c>
      <c r="K126" t="s">
        <v>453</v>
      </c>
      <c r="L126" t="s">
        <v>959</v>
      </c>
      <c r="M126" t="s">
        <v>455</v>
      </c>
      <c r="N126" t="s">
        <v>0</v>
      </c>
      <c r="O126">
        <v>0</v>
      </c>
      <c r="P126">
        <v>0</v>
      </c>
      <c r="Q126">
        <v>0</v>
      </c>
      <c r="R126">
        <v>1</v>
      </c>
      <c r="S126">
        <v>4</v>
      </c>
      <c r="T126">
        <v>57</v>
      </c>
      <c r="U126" t="s">
        <v>513</v>
      </c>
      <c r="V126" t="s">
        <v>11</v>
      </c>
      <c r="W126" t="s">
        <v>1212</v>
      </c>
      <c r="X126" t="s">
        <v>458</v>
      </c>
      <c r="Z126" t="s">
        <v>1202</v>
      </c>
      <c r="AE126" s="95">
        <v>4</v>
      </c>
      <c r="AF126" s="92" t="s">
        <v>460</v>
      </c>
      <c r="AG126" s="110" t="s">
        <v>1213</v>
      </c>
      <c r="AH126" s="91" t="s">
        <v>1214</v>
      </c>
      <c r="AI126" s="92" t="s">
        <v>485</v>
      </c>
      <c r="AJ126" s="92" t="s">
        <v>1105</v>
      </c>
      <c r="AK126" s="92" t="s">
        <v>1215</v>
      </c>
      <c r="AL126" s="91" t="s">
        <v>474</v>
      </c>
      <c r="AM126" s="91" t="b">
        <v>0</v>
      </c>
    </row>
    <row r="127" spans="1:39" x14ac:dyDescent="0.2">
      <c r="A127" t="s">
        <v>214</v>
      </c>
      <c r="B127" t="s">
        <v>1216</v>
      </c>
      <c r="C127" t="s">
        <v>449</v>
      </c>
      <c r="D127" s="85" t="s">
        <v>1217</v>
      </c>
      <c r="E127">
        <v>938112129</v>
      </c>
      <c r="F127" t="s">
        <v>0</v>
      </c>
      <c r="H127" t="s">
        <v>451</v>
      </c>
      <c r="J127" t="s">
        <v>452</v>
      </c>
      <c r="K127" t="s">
        <v>453</v>
      </c>
      <c r="L127" t="s">
        <v>959</v>
      </c>
      <c r="M127" t="s">
        <v>455</v>
      </c>
      <c r="N127" t="s">
        <v>0</v>
      </c>
      <c r="O127">
        <v>0</v>
      </c>
      <c r="P127">
        <v>0</v>
      </c>
      <c r="Q127">
        <v>0</v>
      </c>
      <c r="R127">
        <v>1</v>
      </c>
      <c r="S127">
        <v>4</v>
      </c>
      <c r="T127">
        <v>58</v>
      </c>
      <c r="U127" t="s">
        <v>513</v>
      </c>
      <c r="V127" t="s">
        <v>11</v>
      </c>
      <c r="W127" t="s">
        <v>1218</v>
      </c>
      <c r="X127" t="s">
        <v>458</v>
      </c>
      <c r="Z127" t="s">
        <v>1202</v>
      </c>
      <c r="AE127" s="95">
        <v>4</v>
      </c>
      <c r="AF127" s="92" t="s">
        <v>460</v>
      </c>
      <c r="AG127" s="110"/>
      <c r="AH127" s="91" t="s">
        <v>1219</v>
      </c>
      <c r="AI127" s="92" t="s">
        <v>485</v>
      </c>
      <c r="AJ127" s="92" t="s">
        <v>1100</v>
      </c>
      <c r="AK127" s="92" t="s">
        <v>1220</v>
      </c>
      <c r="AL127" s="91" t="s">
        <v>474</v>
      </c>
      <c r="AM127" s="91" t="b">
        <v>0</v>
      </c>
    </row>
    <row r="128" spans="1:39" x14ac:dyDescent="0.2">
      <c r="A128" t="s">
        <v>215</v>
      </c>
      <c r="B128" t="s">
        <v>1221</v>
      </c>
      <c r="C128" t="s">
        <v>449</v>
      </c>
      <c r="D128" s="85" t="s">
        <v>1222</v>
      </c>
      <c r="E128">
        <v>397810603</v>
      </c>
      <c r="F128" t="s">
        <v>0</v>
      </c>
      <c r="H128" t="s">
        <v>451</v>
      </c>
      <c r="J128" t="s">
        <v>452</v>
      </c>
      <c r="K128" t="s">
        <v>453</v>
      </c>
      <c r="L128" t="s">
        <v>959</v>
      </c>
      <c r="M128" t="s">
        <v>455</v>
      </c>
      <c r="N128" t="s">
        <v>0</v>
      </c>
      <c r="O128">
        <v>0</v>
      </c>
      <c r="P128">
        <v>0</v>
      </c>
      <c r="Q128">
        <v>0</v>
      </c>
      <c r="R128">
        <v>1</v>
      </c>
      <c r="S128">
        <v>4</v>
      </c>
      <c r="T128">
        <v>59</v>
      </c>
      <c r="U128" t="s">
        <v>513</v>
      </c>
      <c r="V128" t="s">
        <v>11</v>
      </c>
      <c r="W128" t="s">
        <v>1223</v>
      </c>
      <c r="X128" t="s">
        <v>458</v>
      </c>
      <c r="Z128" t="s">
        <v>1202</v>
      </c>
      <c r="AE128" s="95">
        <v>4</v>
      </c>
      <c r="AF128" s="92" t="s">
        <v>460</v>
      </c>
      <c r="AG128" s="110" t="s">
        <v>1224</v>
      </c>
      <c r="AH128" s="91" t="s">
        <v>1225</v>
      </c>
      <c r="AI128" s="92" t="s">
        <v>485</v>
      </c>
      <c r="AJ128" s="92" t="s">
        <v>1122</v>
      </c>
      <c r="AK128" s="92" t="s">
        <v>1226</v>
      </c>
      <c r="AL128" s="91" t="s">
        <v>474</v>
      </c>
      <c r="AM128" s="91" t="b">
        <v>0</v>
      </c>
    </row>
    <row r="129" spans="1:39" x14ac:dyDescent="0.2">
      <c r="A129" t="s">
        <v>217</v>
      </c>
      <c r="B129" t="s">
        <v>1227</v>
      </c>
      <c r="C129" t="s">
        <v>449</v>
      </c>
      <c r="D129" s="85" t="s">
        <v>1022</v>
      </c>
      <c r="E129">
        <v>847827897</v>
      </c>
      <c r="F129" t="s">
        <v>0</v>
      </c>
      <c r="H129" t="s">
        <v>451</v>
      </c>
      <c r="J129" t="s">
        <v>452</v>
      </c>
      <c r="K129" t="s">
        <v>453</v>
      </c>
      <c r="L129" t="s">
        <v>959</v>
      </c>
      <c r="M129" t="s">
        <v>455</v>
      </c>
      <c r="N129" t="s">
        <v>0</v>
      </c>
      <c r="O129">
        <v>0</v>
      </c>
      <c r="P129">
        <v>0</v>
      </c>
      <c r="Q129">
        <v>0</v>
      </c>
      <c r="R129">
        <v>1</v>
      </c>
      <c r="S129">
        <v>3</v>
      </c>
      <c r="T129">
        <v>37</v>
      </c>
      <c r="U129" t="s">
        <v>513</v>
      </c>
      <c r="V129" t="s">
        <v>11</v>
      </c>
      <c r="W129" t="s">
        <v>1228</v>
      </c>
      <c r="X129" t="s">
        <v>458</v>
      </c>
      <c r="Z129" t="s">
        <v>1202</v>
      </c>
      <c r="AE129" s="95">
        <v>4</v>
      </c>
      <c r="AF129" s="92" t="s">
        <v>460</v>
      </c>
      <c r="AG129" s="110"/>
      <c r="AH129" s="91" t="s">
        <v>1229</v>
      </c>
      <c r="AI129" s="92" t="s">
        <v>485</v>
      </c>
      <c r="AJ129" s="92" t="s">
        <v>1128</v>
      </c>
      <c r="AK129" s="92" t="s">
        <v>1230</v>
      </c>
      <c r="AL129" s="91" t="s">
        <v>474</v>
      </c>
      <c r="AM129" s="91" t="b">
        <v>0</v>
      </c>
    </row>
    <row r="130" spans="1:39" x14ac:dyDescent="0.2">
      <c r="A130" t="s">
        <v>218</v>
      </c>
      <c r="B130" t="s">
        <v>1231</v>
      </c>
      <c r="C130" t="s">
        <v>449</v>
      </c>
      <c r="D130" s="2" t="s">
        <v>929</v>
      </c>
      <c r="E130">
        <v>583032919</v>
      </c>
      <c r="F130" t="s">
        <v>0</v>
      </c>
      <c r="H130" t="s">
        <v>451</v>
      </c>
      <c r="I130" t="s">
        <v>557</v>
      </c>
      <c r="J130" t="s">
        <v>452</v>
      </c>
      <c r="K130" t="s">
        <v>453</v>
      </c>
      <c r="L130" t="s">
        <v>959</v>
      </c>
      <c r="M130" t="s">
        <v>455</v>
      </c>
      <c r="N130" t="s">
        <v>0</v>
      </c>
      <c r="O130">
        <v>0</v>
      </c>
      <c r="P130">
        <v>0</v>
      </c>
      <c r="Q130">
        <v>0</v>
      </c>
      <c r="R130">
        <v>1</v>
      </c>
      <c r="S130">
        <v>3</v>
      </c>
      <c r="T130">
        <v>61</v>
      </c>
      <c r="U130" t="s">
        <v>456</v>
      </c>
      <c r="V130" t="s">
        <v>14</v>
      </c>
      <c r="W130" t="s">
        <v>1232</v>
      </c>
      <c r="X130" t="s">
        <v>458</v>
      </c>
      <c r="Z130" t="s">
        <v>1202</v>
      </c>
      <c r="AE130" s="95">
        <v>4</v>
      </c>
      <c r="AF130" s="92" t="s">
        <v>460</v>
      </c>
      <c r="AG130" s="110" t="s">
        <v>1233</v>
      </c>
      <c r="AH130" s="91" t="s">
        <v>1234</v>
      </c>
      <c r="AI130" s="92" t="s">
        <v>485</v>
      </c>
      <c r="AJ130" s="92" t="s">
        <v>1164</v>
      </c>
      <c r="AK130" s="92" t="s">
        <v>1235</v>
      </c>
      <c r="AL130" s="91" t="s">
        <v>474</v>
      </c>
      <c r="AM130" s="91" t="b">
        <v>0</v>
      </c>
    </row>
    <row r="131" spans="1:39" x14ac:dyDescent="0.2">
      <c r="A131" t="s">
        <v>219</v>
      </c>
      <c r="B131" t="s">
        <v>1236</v>
      </c>
      <c r="C131" t="s">
        <v>449</v>
      </c>
      <c r="D131" s="1" t="s">
        <v>1237</v>
      </c>
      <c r="E131">
        <v>376275238</v>
      </c>
      <c r="F131" t="s">
        <v>0</v>
      </c>
      <c r="H131" t="s">
        <v>451</v>
      </c>
      <c r="J131" t="s">
        <v>452</v>
      </c>
      <c r="K131" t="s">
        <v>453</v>
      </c>
      <c r="L131" t="s">
        <v>959</v>
      </c>
      <c r="M131" t="s">
        <v>455</v>
      </c>
      <c r="N131" t="s">
        <v>0</v>
      </c>
      <c r="O131">
        <v>0</v>
      </c>
      <c r="P131">
        <v>0</v>
      </c>
      <c r="Q131">
        <v>0</v>
      </c>
      <c r="R131">
        <v>1</v>
      </c>
      <c r="S131">
        <v>4</v>
      </c>
      <c r="T131">
        <v>59</v>
      </c>
      <c r="U131" t="s">
        <v>513</v>
      </c>
      <c r="V131" t="s">
        <v>11</v>
      </c>
      <c r="W131" t="s">
        <v>1238</v>
      </c>
      <c r="X131" t="s">
        <v>458</v>
      </c>
      <c r="Z131" t="s">
        <v>1202</v>
      </c>
      <c r="AE131" s="95">
        <v>4</v>
      </c>
      <c r="AF131" s="92" t="s">
        <v>460</v>
      </c>
      <c r="AG131" s="110"/>
      <c r="AH131" s="91" t="s">
        <v>1239</v>
      </c>
      <c r="AI131" s="92" t="s">
        <v>485</v>
      </c>
      <c r="AJ131" s="92" t="s">
        <v>1156</v>
      </c>
      <c r="AK131" s="92" t="s">
        <v>1240</v>
      </c>
      <c r="AL131" s="91" t="s">
        <v>474</v>
      </c>
      <c r="AM131" s="91" t="b">
        <v>0</v>
      </c>
    </row>
    <row r="132" spans="1:39" x14ac:dyDescent="0.2">
      <c r="A132" t="s">
        <v>220</v>
      </c>
      <c r="B132" t="s">
        <v>1241</v>
      </c>
      <c r="C132" t="s">
        <v>629</v>
      </c>
      <c r="D132" s="85" t="s">
        <v>1187</v>
      </c>
      <c r="E132">
        <v>348592628</v>
      </c>
      <c r="F132" t="s">
        <v>0</v>
      </c>
      <c r="H132" t="s">
        <v>451</v>
      </c>
      <c r="J132" t="s">
        <v>631</v>
      </c>
      <c r="K132" t="s">
        <v>631</v>
      </c>
      <c r="L132" t="s">
        <v>631</v>
      </c>
      <c r="M132" t="s">
        <v>631</v>
      </c>
      <c r="N132" t="s">
        <v>0</v>
      </c>
      <c r="O132">
        <v>0</v>
      </c>
      <c r="P132">
        <v>0</v>
      </c>
      <c r="Q132">
        <v>0</v>
      </c>
      <c r="R132">
        <v>1</v>
      </c>
      <c r="T132">
        <v>69</v>
      </c>
      <c r="U132" t="s">
        <v>456</v>
      </c>
      <c r="V132" t="s">
        <v>14</v>
      </c>
      <c r="W132" t="s">
        <v>1242</v>
      </c>
      <c r="X132" t="s">
        <v>458</v>
      </c>
      <c r="Z132" t="s">
        <v>1202</v>
      </c>
      <c r="AE132" s="95">
        <v>4</v>
      </c>
      <c r="AF132" s="92" t="s">
        <v>460</v>
      </c>
      <c r="AG132" s="110" t="s">
        <v>1243</v>
      </c>
      <c r="AH132" s="91" t="s">
        <v>1244</v>
      </c>
      <c r="AI132" s="92" t="s">
        <v>485</v>
      </c>
      <c r="AJ132" s="92" t="s">
        <v>1171</v>
      </c>
      <c r="AK132" s="92" t="s">
        <v>1245</v>
      </c>
      <c r="AL132" s="91" t="s">
        <v>474</v>
      </c>
      <c r="AM132" s="91" t="b">
        <v>0</v>
      </c>
    </row>
    <row r="133" spans="1:39" x14ac:dyDescent="0.2">
      <c r="A133" t="s">
        <v>221</v>
      </c>
      <c r="B133" t="s">
        <v>1246</v>
      </c>
      <c r="C133" t="s">
        <v>449</v>
      </c>
      <c r="D133" s="1" t="s">
        <v>1132</v>
      </c>
      <c r="E133">
        <v>348997157</v>
      </c>
      <c r="F133" t="s">
        <v>458</v>
      </c>
      <c r="G133" t="s">
        <v>222</v>
      </c>
      <c r="H133" t="s">
        <v>451</v>
      </c>
      <c r="J133" t="s">
        <v>452</v>
      </c>
      <c r="K133" t="s">
        <v>453</v>
      </c>
      <c r="L133" t="s">
        <v>1117</v>
      </c>
      <c r="M133" t="s">
        <v>455</v>
      </c>
      <c r="N133" t="s">
        <v>458</v>
      </c>
      <c r="O133">
        <v>0</v>
      </c>
      <c r="P133">
        <v>1</v>
      </c>
      <c r="Q133">
        <v>1</v>
      </c>
      <c r="R133">
        <v>2</v>
      </c>
      <c r="S133">
        <v>4</v>
      </c>
      <c r="T133">
        <v>49</v>
      </c>
      <c r="U133" t="s">
        <v>513</v>
      </c>
      <c r="V133" t="s">
        <v>14</v>
      </c>
      <c r="W133" t="s">
        <v>1247</v>
      </c>
      <c r="X133" t="s">
        <v>458</v>
      </c>
      <c r="Z133" t="s">
        <v>1248</v>
      </c>
      <c r="AE133" s="95">
        <v>4</v>
      </c>
      <c r="AF133" s="92" t="s">
        <v>460</v>
      </c>
      <c r="AG133" s="110"/>
      <c r="AH133" s="91" t="s">
        <v>1026</v>
      </c>
      <c r="AI133" s="92" t="s">
        <v>485</v>
      </c>
      <c r="AJ133" s="92" t="s">
        <v>1177</v>
      </c>
      <c r="AK133" s="92" t="s">
        <v>1249</v>
      </c>
      <c r="AL133" s="91" t="s">
        <v>474</v>
      </c>
      <c r="AM133" s="91" t="b">
        <v>0</v>
      </c>
    </row>
    <row r="134" spans="1:39" x14ac:dyDescent="0.2">
      <c r="A134" t="s">
        <v>1250</v>
      </c>
      <c r="B134" t="s">
        <v>1251</v>
      </c>
      <c r="C134" t="s">
        <v>629</v>
      </c>
      <c r="D134" s="1" t="s">
        <v>1252</v>
      </c>
      <c r="E134">
        <v>968678149</v>
      </c>
      <c r="F134" t="s">
        <v>0</v>
      </c>
      <c r="H134" t="s">
        <v>451</v>
      </c>
      <c r="J134" t="s">
        <v>631</v>
      </c>
      <c r="K134" t="s">
        <v>631</v>
      </c>
      <c r="L134" t="s">
        <v>631</v>
      </c>
      <c r="M134" t="s">
        <v>631</v>
      </c>
      <c r="N134" t="s">
        <v>0</v>
      </c>
      <c r="O134">
        <v>0</v>
      </c>
      <c r="P134">
        <v>0</v>
      </c>
      <c r="Q134">
        <v>0</v>
      </c>
      <c r="R134">
        <v>1</v>
      </c>
      <c r="U134" t="s">
        <v>513</v>
      </c>
      <c r="V134" t="s">
        <v>14</v>
      </c>
      <c r="W134" t="e">
        <v>#N/A</v>
      </c>
      <c r="X134" t="s">
        <v>0</v>
      </c>
      <c r="Z134" t="s">
        <v>1248</v>
      </c>
      <c r="AE134" s="95">
        <v>4</v>
      </c>
      <c r="AF134" s="92" t="s">
        <v>460</v>
      </c>
      <c r="AG134" s="84" t="s">
        <v>1253</v>
      </c>
      <c r="AH134" s="101" t="s">
        <v>1254</v>
      </c>
      <c r="AI134" s="102" t="s">
        <v>485</v>
      </c>
      <c r="AJ134" s="102" t="s">
        <v>1255</v>
      </c>
      <c r="AK134" s="102" t="s">
        <v>1256</v>
      </c>
      <c r="AL134" s="101" t="s">
        <v>488</v>
      </c>
      <c r="AM134" s="101" t="b">
        <v>0</v>
      </c>
    </row>
    <row r="135" spans="1:39" x14ac:dyDescent="0.2">
      <c r="A135" t="s">
        <v>1257</v>
      </c>
      <c r="B135" t="s">
        <v>1258</v>
      </c>
      <c r="C135" t="s">
        <v>449</v>
      </c>
      <c r="D135" s="85" t="s">
        <v>1255</v>
      </c>
      <c r="E135">
        <v>902898110</v>
      </c>
      <c r="F135" t="s">
        <v>0</v>
      </c>
      <c r="H135" t="s">
        <v>451</v>
      </c>
      <c r="J135" t="s">
        <v>452</v>
      </c>
      <c r="K135" t="s">
        <v>453</v>
      </c>
      <c r="L135" t="s">
        <v>1117</v>
      </c>
      <c r="M135" t="s">
        <v>455</v>
      </c>
      <c r="N135" t="s">
        <v>0</v>
      </c>
      <c r="O135">
        <v>0</v>
      </c>
      <c r="P135">
        <v>0</v>
      </c>
      <c r="Q135">
        <v>0</v>
      </c>
      <c r="R135">
        <v>1</v>
      </c>
      <c r="S135">
        <v>4</v>
      </c>
      <c r="T135">
        <v>54</v>
      </c>
      <c r="U135" t="s">
        <v>513</v>
      </c>
      <c r="V135" t="s">
        <v>11</v>
      </c>
      <c r="W135" t="s">
        <v>1259</v>
      </c>
      <c r="X135" t="s">
        <v>458</v>
      </c>
      <c r="Z135" t="s">
        <v>1202</v>
      </c>
      <c r="AE135" s="95">
        <v>4</v>
      </c>
      <c r="AF135" s="92" t="s">
        <v>460</v>
      </c>
      <c r="AG135" s="84" t="s">
        <v>1260</v>
      </c>
      <c r="AH135" s="91" t="s">
        <v>1261</v>
      </c>
      <c r="AI135" s="92" t="s">
        <v>485</v>
      </c>
      <c r="AJ135" s="92" t="s">
        <v>1191</v>
      </c>
      <c r="AK135" s="92" t="s">
        <v>1262</v>
      </c>
      <c r="AL135" s="91" t="s">
        <v>1263</v>
      </c>
      <c r="AM135" s="91" t="b">
        <v>0</v>
      </c>
    </row>
    <row r="136" spans="1:39" x14ac:dyDescent="0.2">
      <c r="A136" t="s">
        <v>224</v>
      </c>
      <c r="B136" t="s">
        <v>1264</v>
      </c>
      <c r="C136" t="s">
        <v>449</v>
      </c>
      <c r="D136" s="85" t="s">
        <v>1265</v>
      </c>
      <c r="E136">
        <v>705731919</v>
      </c>
      <c r="F136" t="s">
        <v>0</v>
      </c>
      <c r="H136" t="s">
        <v>451</v>
      </c>
      <c r="J136" t="s">
        <v>452</v>
      </c>
      <c r="K136" t="s">
        <v>453</v>
      </c>
      <c r="L136" t="s">
        <v>1117</v>
      </c>
      <c r="M136" t="s">
        <v>455</v>
      </c>
      <c r="N136" t="s">
        <v>0</v>
      </c>
      <c r="O136">
        <v>0</v>
      </c>
      <c r="P136">
        <v>0</v>
      </c>
      <c r="Q136">
        <v>0</v>
      </c>
      <c r="R136">
        <v>1</v>
      </c>
      <c r="S136">
        <v>4</v>
      </c>
      <c r="T136">
        <v>56</v>
      </c>
      <c r="U136" t="s">
        <v>513</v>
      </c>
      <c r="V136" t="s">
        <v>11</v>
      </c>
      <c r="W136" t="s">
        <v>1266</v>
      </c>
      <c r="X136" t="s">
        <v>458</v>
      </c>
      <c r="Z136" t="s">
        <v>1248</v>
      </c>
      <c r="AE136" s="95">
        <v>4</v>
      </c>
      <c r="AF136" s="92" t="s">
        <v>460</v>
      </c>
      <c r="AG136" s="110" t="s">
        <v>1267</v>
      </c>
      <c r="AH136" s="91" t="s">
        <v>1268</v>
      </c>
      <c r="AI136" s="92" t="s">
        <v>485</v>
      </c>
      <c r="AJ136" s="92" t="s">
        <v>1182</v>
      </c>
      <c r="AK136" s="92" t="s">
        <v>1269</v>
      </c>
      <c r="AL136" s="91" t="s">
        <v>474</v>
      </c>
      <c r="AM136" s="91" t="b">
        <v>0</v>
      </c>
    </row>
    <row r="137" spans="1:39" x14ac:dyDescent="0.2">
      <c r="A137" t="s">
        <v>225</v>
      </c>
      <c r="B137" t="s">
        <v>1270</v>
      </c>
      <c r="C137" t="s">
        <v>449</v>
      </c>
      <c r="D137" s="85" t="s">
        <v>1160</v>
      </c>
      <c r="E137">
        <v>906793262</v>
      </c>
      <c r="F137" t="s">
        <v>0</v>
      </c>
      <c r="H137" t="s">
        <v>451</v>
      </c>
      <c r="J137" t="s">
        <v>452</v>
      </c>
      <c r="K137" t="s">
        <v>491</v>
      </c>
      <c r="L137" t="s">
        <v>911</v>
      </c>
      <c r="M137" t="s">
        <v>455</v>
      </c>
      <c r="N137" t="s">
        <v>0</v>
      </c>
      <c r="O137">
        <v>0</v>
      </c>
      <c r="P137">
        <v>0</v>
      </c>
      <c r="Q137">
        <v>0</v>
      </c>
      <c r="R137">
        <v>1</v>
      </c>
      <c r="S137">
        <v>4</v>
      </c>
      <c r="T137">
        <v>68</v>
      </c>
      <c r="U137" t="s">
        <v>513</v>
      </c>
      <c r="V137" t="s">
        <v>14</v>
      </c>
      <c r="W137" t="s">
        <v>1271</v>
      </c>
      <c r="X137" t="s">
        <v>458</v>
      </c>
      <c r="Z137" t="s">
        <v>1248</v>
      </c>
      <c r="AE137" s="95">
        <v>4</v>
      </c>
      <c r="AF137" s="92" t="s">
        <v>460</v>
      </c>
      <c r="AG137" s="110"/>
      <c r="AH137" s="91" t="s">
        <v>1272</v>
      </c>
      <c r="AI137" s="92" t="s">
        <v>485</v>
      </c>
      <c r="AJ137" s="92" t="s">
        <v>1265</v>
      </c>
      <c r="AK137" s="92" t="s">
        <v>1273</v>
      </c>
      <c r="AL137" s="91" t="s">
        <v>474</v>
      </c>
      <c r="AM137" s="91" t="b">
        <v>0</v>
      </c>
    </row>
    <row r="138" spans="1:39" x14ac:dyDescent="0.2">
      <c r="A138" t="s">
        <v>1274</v>
      </c>
      <c r="B138" t="s">
        <v>1275</v>
      </c>
      <c r="C138" t="s">
        <v>629</v>
      </c>
      <c r="D138" s="85" t="s">
        <v>1276</v>
      </c>
      <c r="E138">
        <v>981290835</v>
      </c>
      <c r="F138" t="s">
        <v>458</v>
      </c>
      <c r="G138" t="s">
        <v>1277</v>
      </c>
      <c r="H138" t="s">
        <v>451</v>
      </c>
      <c r="J138" t="s">
        <v>631</v>
      </c>
      <c r="K138" t="s">
        <v>631</v>
      </c>
      <c r="L138" t="s">
        <v>631</v>
      </c>
      <c r="M138" t="s">
        <v>631</v>
      </c>
      <c r="N138" t="s">
        <v>458</v>
      </c>
      <c r="O138">
        <v>1</v>
      </c>
      <c r="P138">
        <v>0</v>
      </c>
      <c r="Q138">
        <v>1</v>
      </c>
      <c r="R138">
        <v>2</v>
      </c>
      <c r="U138" t="s">
        <v>456</v>
      </c>
      <c r="V138" t="s">
        <v>14</v>
      </c>
      <c r="W138" t="e">
        <v>#N/A</v>
      </c>
      <c r="X138" t="s">
        <v>0</v>
      </c>
      <c r="Z138" t="s">
        <v>1248</v>
      </c>
      <c r="AE138" s="95">
        <v>4</v>
      </c>
      <c r="AF138" s="92" t="s">
        <v>460</v>
      </c>
      <c r="AG138" s="110" t="s">
        <v>1278</v>
      </c>
      <c r="AH138" s="91" t="s">
        <v>1279</v>
      </c>
      <c r="AI138" s="92" t="s">
        <v>485</v>
      </c>
      <c r="AJ138" s="92" t="s">
        <v>1211</v>
      </c>
      <c r="AK138" s="92" t="s">
        <v>1280</v>
      </c>
      <c r="AL138" s="91" t="s">
        <v>474</v>
      </c>
      <c r="AM138" s="91" t="b">
        <v>0</v>
      </c>
    </row>
    <row r="139" spans="1:39" x14ac:dyDescent="0.2">
      <c r="A139" t="s">
        <v>227</v>
      </c>
      <c r="B139" t="s">
        <v>1281</v>
      </c>
      <c r="C139" t="s">
        <v>449</v>
      </c>
      <c r="D139" s="1" t="s">
        <v>1282</v>
      </c>
      <c r="E139">
        <v>356703207</v>
      </c>
      <c r="F139" t="s">
        <v>0</v>
      </c>
      <c r="H139" t="s">
        <v>451</v>
      </c>
      <c r="J139" t="s">
        <v>1283</v>
      </c>
      <c r="K139" t="s">
        <v>1284</v>
      </c>
      <c r="L139" t="s">
        <v>1285</v>
      </c>
      <c r="M139" t="s">
        <v>455</v>
      </c>
      <c r="N139" t="s">
        <v>0</v>
      </c>
      <c r="O139">
        <v>0</v>
      </c>
      <c r="P139">
        <v>0</v>
      </c>
      <c r="Q139">
        <v>0</v>
      </c>
      <c r="R139">
        <v>1</v>
      </c>
      <c r="S139">
        <v>5</v>
      </c>
      <c r="T139">
        <v>101</v>
      </c>
      <c r="U139" t="s">
        <v>456</v>
      </c>
      <c r="V139" t="s">
        <v>14</v>
      </c>
      <c r="W139" t="s">
        <v>1286</v>
      </c>
      <c r="X139" t="s">
        <v>458</v>
      </c>
      <c r="Z139" t="s">
        <v>1287</v>
      </c>
      <c r="AE139" s="95">
        <v>4</v>
      </c>
      <c r="AF139" s="92" t="s">
        <v>460</v>
      </c>
      <c r="AG139" s="110"/>
      <c r="AH139" s="91" t="s">
        <v>1288</v>
      </c>
      <c r="AI139" s="92" t="s">
        <v>485</v>
      </c>
      <c r="AJ139" s="92" t="s">
        <v>1029</v>
      </c>
      <c r="AK139" s="92" t="s">
        <v>1289</v>
      </c>
      <c r="AL139" s="91" t="s">
        <v>474</v>
      </c>
      <c r="AM139" s="91" t="b">
        <v>0</v>
      </c>
    </row>
    <row r="140" spans="1:39" x14ac:dyDescent="0.2">
      <c r="A140" t="s">
        <v>228</v>
      </c>
      <c r="B140" t="s">
        <v>1290</v>
      </c>
      <c r="C140" t="s">
        <v>449</v>
      </c>
      <c r="D140" s="85" t="s">
        <v>1291</v>
      </c>
      <c r="E140">
        <v>933557924</v>
      </c>
      <c r="F140" t="s">
        <v>0</v>
      </c>
      <c r="H140" t="s">
        <v>451</v>
      </c>
      <c r="J140" t="s">
        <v>1283</v>
      </c>
      <c r="K140" t="s">
        <v>1284</v>
      </c>
      <c r="L140" t="s">
        <v>1292</v>
      </c>
      <c r="M140" t="s">
        <v>455</v>
      </c>
      <c r="N140" t="s">
        <v>0</v>
      </c>
      <c r="O140">
        <v>0</v>
      </c>
      <c r="P140">
        <v>0</v>
      </c>
      <c r="Q140">
        <v>0</v>
      </c>
      <c r="R140">
        <v>1</v>
      </c>
      <c r="S140">
        <v>5</v>
      </c>
      <c r="T140">
        <v>98</v>
      </c>
      <c r="U140" t="s">
        <v>456</v>
      </c>
      <c r="V140" t="s">
        <v>14</v>
      </c>
      <c r="W140" t="s">
        <v>1293</v>
      </c>
      <c r="X140" t="s">
        <v>458</v>
      </c>
      <c r="Z140" t="s">
        <v>1294</v>
      </c>
      <c r="AE140" s="95">
        <v>4</v>
      </c>
      <c r="AF140" s="92" t="s">
        <v>460</v>
      </c>
      <c r="AG140" s="110" t="s">
        <v>1295</v>
      </c>
      <c r="AH140" s="91" t="s">
        <v>1296</v>
      </c>
      <c r="AI140" s="92" t="s">
        <v>485</v>
      </c>
      <c r="AJ140" s="92" t="s">
        <v>1217</v>
      </c>
      <c r="AK140" s="92" t="s">
        <v>1297</v>
      </c>
      <c r="AL140" s="91" t="s">
        <v>474</v>
      </c>
      <c r="AM140" s="91" t="b">
        <v>0</v>
      </c>
    </row>
    <row r="141" spans="1:39" x14ac:dyDescent="0.2">
      <c r="A141" t="s">
        <v>230</v>
      </c>
      <c r="B141" t="s">
        <v>1298</v>
      </c>
      <c r="C141" t="s">
        <v>449</v>
      </c>
      <c r="D141" s="85" t="s">
        <v>1299</v>
      </c>
      <c r="E141">
        <v>377887851</v>
      </c>
      <c r="F141" t="s">
        <v>0</v>
      </c>
      <c r="H141" t="s">
        <v>451</v>
      </c>
      <c r="I141" t="s">
        <v>1300</v>
      </c>
      <c r="J141" t="s">
        <v>1283</v>
      </c>
      <c r="K141" t="s">
        <v>1284</v>
      </c>
      <c r="L141" t="s">
        <v>1292</v>
      </c>
      <c r="M141" t="s">
        <v>455</v>
      </c>
      <c r="N141" t="s">
        <v>0</v>
      </c>
      <c r="O141">
        <v>0</v>
      </c>
      <c r="P141">
        <v>0</v>
      </c>
      <c r="Q141">
        <v>0</v>
      </c>
      <c r="R141">
        <v>1</v>
      </c>
      <c r="S141">
        <v>5</v>
      </c>
      <c r="T141">
        <v>109</v>
      </c>
      <c r="U141" t="s">
        <v>513</v>
      </c>
      <c r="V141" t="s">
        <v>11</v>
      </c>
      <c r="W141" t="s">
        <v>1301</v>
      </c>
      <c r="X141" t="s">
        <v>458</v>
      </c>
      <c r="Z141" t="s">
        <v>1294</v>
      </c>
      <c r="AE141" s="95">
        <v>4</v>
      </c>
      <c r="AF141" s="92" t="s">
        <v>460</v>
      </c>
      <c r="AG141" s="110"/>
      <c r="AH141" s="91" t="s">
        <v>1302</v>
      </c>
      <c r="AI141" s="92" t="s">
        <v>485</v>
      </c>
      <c r="AJ141" s="92" t="s">
        <v>958</v>
      </c>
      <c r="AK141" s="92" t="s">
        <v>1303</v>
      </c>
      <c r="AL141" s="91" t="s">
        <v>474</v>
      </c>
      <c r="AM141" s="91" t="b">
        <v>0</v>
      </c>
    </row>
    <row r="142" spans="1:39" x14ac:dyDescent="0.2">
      <c r="A142" t="s">
        <v>231</v>
      </c>
      <c r="B142" t="s">
        <v>1304</v>
      </c>
      <c r="C142" t="s">
        <v>449</v>
      </c>
      <c r="D142" s="85" t="s">
        <v>1305</v>
      </c>
      <c r="E142">
        <v>917827457</v>
      </c>
      <c r="F142" t="s">
        <v>0</v>
      </c>
      <c r="H142" t="s">
        <v>451</v>
      </c>
      <c r="J142" t="s">
        <v>1283</v>
      </c>
      <c r="K142" t="s">
        <v>1284</v>
      </c>
      <c r="L142" t="s">
        <v>1292</v>
      </c>
      <c r="M142" t="s">
        <v>455</v>
      </c>
      <c r="N142" t="s">
        <v>0</v>
      </c>
      <c r="O142">
        <v>0</v>
      </c>
      <c r="P142">
        <v>0</v>
      </c>
      <c r="Q142">
        <v>0</v>
      </c>
      <c r="R142">
        <v>1</v>
      </c>
      <c r="S142">
        <v>5</v>
      </c>
      <c r="T142">
        <v>98</v>
      </c>
      <c r="U142" t="s">
        <v>456</v>
      </c>
      <c r="V142" t="s">
        <v>14</v>
      </c>
      <c r="W142" t="s">
        <v>1306</v>
      </c>
      <c r="X142" t="s">
        <v>458</v>
      </c>
      <c r="Z142" t="s">
        <v>1294</v>
      </c>
      <c r="AE142" s="95">
        <v>4</v>
      </c>
      <c r="AF142" s="92" t="s">
        <v>460</v>
      </c>
      <c r="AG142" s="110" t="s">
        <v>1307</v>
      </c>
      <c r="AH142" s="91" t="s">
        <v>1308</v>
      </c>
      <c r="AI142" s="92" t="s">
        <v>485</v>
      </c>
      <c r="AJ142" s="92" t="s">
        <v>1222</v>
      </c>
      <c r="AK142" s="92" t="s">
        <v>1309</v>
      </c>
      <c r="AL142" s="91" t="s">
        <v>474</v>
      </c>
      <c r="AM142" s="91" t="b">
        <v>0</v>
      </c>
    </row>
    <row r="143" spans="1:39" x14ac:dyDescent="0.2">
      <c r="A143" t="s">
        <v>232</v>
      </c>
      <c r="B143" t="s">
        <v>1310</v>
      </c>
      <c r="C143" t="s">
        <v>449</v>
      </c>
      <c r="D143" s="85" t="s">
        <v>1311</v>
      </c>
      <c r="E143">
        <v>917810796</v>
      </c>
      <c r="F143" t="s">
        <v>0</v>
      </c>
      <c r="H143" t="s">
        <v>451</v>
      </c>
      <c r="J143" t="s">
        <v>1283</v>
      </c>
      <c r="K143" t="s">
        <v>1284</v>
      </c>
      <c r="L143" t="s">
        <v>1292</v>
      </c>
      <c r="M143" t="s">
        <v>455</v>
      </c>
      <c r="N143" t="s">
        <v>0</v>
      </c>
      <c r="O143">
        <v>0</v>
      </c>
      <c r="P143">
        <v>0</v>
      </c>
      <c r="Q143">
        <v>0</v>
      </c>
      <c r="R143">
        <v>1</v>
      </c>
      <c r="S143">
        <v>5</v>
      </c>
      <c r="T143">
        <v>97</v>
      </c>
      <c r="U143" t="s">
        <v>456</v>
      </c>
      <c r="V143" t="s">
        <v>14</v>
      </c>
      <c r="W143" t="s">
        <v>1312</v>
      </c>
      <c r="X143" t="s">
        <v>458</v>
      </c>
      <c r="Z143" t="s">
        <v>1294</v>
      </c>
      <c r="AE143" s="95">
        <v>4</v>
      </c>
      <c r="AF143" s="92" t="s">
        <v>460</v>
      </c>
      <c r="AG143" s="110"/>
      <c r="AH143" s="101" t="s">
        <v>1313</v>
      </c>
      <c r="AI143" s="102" t="s">
        <v>485</v>
      </c>
      <c r="AJ143" s="102" t="s">
        <v>1237</v>
      </c>
      <c r="AK143" s="102" t="s">
        <v>1314</v>
      </c>
      <c r="AL143" s="101" t="s">
        <v>488</v>
      </c>
      <c r="AM143" s="101" t="b">
        <v>0</v>
      </c>
    </row>
    <row r="144" spans="1:39" x14ac:dyDescent="0.2">
      <c r="A144" t="s">
        <v>234</v>
      </c>
      <c r="B144" t="s">
        <v>1315</v>
      </c>
      <c r="C144" t="s">
        <v>449</v>
      </c>
      <c r="D144" s="85" t="s">
        <v>1316</v>
      </c>
      <c r="E144">
        <v>971917272</v>
      </c>
      <c r="F144" t="s">
        <v>0</v>
      </c>
      <c r="H144" t="s">
        <v>451</v>
      </c>
      <c r="J144" t="s">
        <v>1283</v>
      </c>
      <c r="K144" t="s">
        <v>1284</v>
      </c>
      <c r="L144" t="s">
        <v>1292</v>
      </c>
      <c r="M144" t="s">
        <v>455</v>
      </c>
      <c r="N144" t="s">
        <v>0</v>
      </c>
      <c r="O144">
        <v>0</v>
      </c>
      <c r="P144">
        <v>0</v>
      </c>
      <c r="Q144">
        <v>0</v>
      </c>
      <c r="R144">
        <v>1</v>
      </c>
      <c r="S144">
        <v>5</v>
      </c>
      <c r="T144">
        <v>97</v>
      </c>
      <c r="U144" t="s">
        <v>456</v>
      </c>
      <c r="V144" t="s">
        <v>14</v>
      </c>
      <c r="W144" t="s">
        <v>1317</v>
      </c>
      <c r="X144" t="s">
        <v>458</v>
      </c>
      <c r="Z144" t="s">
        <v>1294</v>
      </c>
      <c r="AE144" s="95">
        <v>4</v>
      </c>
      <c r="AF144" s="92" t="s">
        <v>460</v>
      </c>
      <c r="AG144" s="84" t="s">
        <v>1318</v>
      </c>
      <c r="AH144" s="91" t="s">
        <v>1319</v>
      </c>
      <c r="AI144" s="92" t="s">
        <v>463</v>
      </c>
      <c r="AJ144" s="92" t="s">
        <v>1320</v>
      </c>
      <c r="AK144" s="92" t="s">
        <v>1321</v>
      </c>
      <c r="AL144" s="91" t="s">
        <v>1322</v>
      </c>
      <c r="AM144" s="91" t="b">
        <v>0</v>
      </c>
    </row>
    <row r="145" spans="1:39" x14ac:dyDescent="0.2">
      <c r="A145" t="s">
        <v>235</v>
      </c>
      <c r="B145" t="s">
        <v>1323</v>
      </c>
      <c r="C145" t="s">
        <v>449</v>
      </c>
      <c r="D145" s="85" t="s">
        <v>1324</v>
      </c>
      <c r="E145">
        <v>947047885</v>
      </c>
      <c r="F145" t="s">
        <v>0</v>
      </c>
      <c r="H145" t="s">
        <v>451</v>
      </c>
      <c r="I145" t="s">
        <v>1325</v>
      </c>
      <c r="J145" t="s">
        <v>1283</v>
      </c>
      <c r="K145" t="s">
        <v>1284</v>
      </c>
      <c r="L145" t="s">
        <v>1292</v>
      </c>
      <c r="M145" t="s">
        <v>455</v>
      </c>
      <c r="N145" t="s">
        <v>0</v>
      </c>
      <c r="O145">
        <v>0</v>
      </c>
      <c r="P145">
        <v>0</v>
      </c>
      <c r="Q145">
        <v>0</v>
      </c>
      <c r="R145">
        <v>1</v>
      </c>
      <c r="S145">
        <v>5</v>
      </c>
      <c r="T145">
        <v>96</v>
      </c>
      <c r="U145" t="s">
        <v>456</v>
      </c>
      <c r="V145" t="s">
        <v>14</v>
      </c>
      <c r="W145" t="s">
        <v>1326</v>
      </c>
      <c r="X145" t="s">
        <v>458</v>
      </c>
      <c r="Z145" t="s">
        <v>1294</v>
      </c>
      <c r="AE145" s="95">
        <v>4</v>
      </c>
      <c r="AF145" s="92" t="s">
        <v>460</v>
      </c>
      <c r="AG145" s="84" t="s">
        <v>680</v>
      </c>
      <c r="AH145" s="91" t="s">
        <v>1327</v>
      </c>
      <c r="AI145" s="92" t="s">
        <v>463</v>
      </c>
      <c r="AJ145" s="92" t="s">
        <v>1112</v>
      </c>
      <c r="AK145" s="92" t="s">
        <v>1328</v>
      </c>
      <c r="AL145" s="91" t="s">
        <v>683</v>
      </c>
      <c r="AM145" s="91" t="b">
        <v>0</v>
      </c>
    </row>
    <row r="146" spans="1:39" x14ac:dyDescent="0.2">
      <c r="A146" t="s">
        <v>237</v>
      </c>
      <c r="B146" t="s">
        <v>1329</v>
      </c>
      <c r="C146" t="s">
        <v>449</v>
      </c>
      <c r="D146" s="1" t="s">
        <v>1330</v>
      </c>
      <c r="E146">
        <v>933726329</v>
      </c>
      <c r="F146" t="s">
        <v>0</v>
      </c>
      <c r="H146" t="s">
        <v>451</v>
      </c>
      <c r="J146" t="s">
        <v>1283</v>
      </c>
      <c r="K146" t="s">
        <v>1331</v>
      </c>
      <c r="L146" t="s">
        <v>1332</v>
      </c>
      <c r="M146" t="s">
        <v>455</v>
      </c>
      <c r="N146" t="s">
        <v>0</v>
      </c>
      <c r="O146">
        <v>0</v>
      </c>
      <c r="P146">
        <v>0</v>
      </c>
      <c r="Q146">
        <v>0</v>
      </c>
      <c r="R146">
        <v>1</v>
      </c>
      <c r="S146">
        <v>5</v>
      </c>
      <c r="T146">
        <v>106</v>
      </c>
      <c r="U146" t="s">
        <v>513</v>
      </c>
      <c r="V146" t="s">
        <v>11</v>
      </c>
      <c r="W146" t="s">
        <v>1333</v>
      </c>
      <c r="X146" t="s">
        <v>458</v>
      </c>
      <c r="Z146" t="s">
        <v>1294</v>
      </c>
      <c r="AE146" s="95">
        <v>4</v>
      </c>
      <c r="AF146" s="92" t="s">
        <v>460</v>
      </c>
      <c r="AG146" s="110" t="s">
        <v>1334</v>
      </c>
      <c r="AH146" s="91" t="s">
        <v>1335</v>
      </c>
      <c r="AI146" s="92" t="s">
        <v>485</v>
      </c>
      <c r="AJ146" s="92" t="s">
        <v>1336</v>
      </c>
      <c r="AK146" s="92" t="s">
        <v>1337</v>
      </c>
      <c r="AL146" s="91" t="s">
        <v>474</v>
      </c>
      <c r="AM146" s="91" t="b">
        <v>0</v>
      </c>
    </row>
    <row r="147" spans="1:39" x14ac:dyDescent="0.2">
      <c r="A147" t="s">
        <v>238</v>
      </c>
      <c r="B147" t="s">
        <v>1338</v>
      </c>
      <c r="C147" t="s">
        <v>449</v>
      </c>
      <c r="D147" s="85" t="s">
        <v>1339</v>
      </c>
      <c r="E147">
        <v>868120502</v>
      </c>
      <c r="F147" t="s">
        <v>0</v>
      </c>
      <c r="H147" t="s">
        <v>451</v>
      </c>
      <c r="J147" t="s">
        <v>1283</v>
      </c>
      <c r="K147" t="s">
        <v>1331</v>
      </c>
      <c r="L147" t="s">
        <v>1332</v>
      </c>
      <c r="M147" t="s">
        <v>455</v>
      </c>
      <c r="N147" t="s">
        <v>0</v>
      </c>
      <c r="O147">
        <v>0</v>
      </c>
      <c r="P147">
        <v>0</v>
      </c>
      <c r="Q147">
        <v>0</v>
      </c>
      <c r="R147">
        <v>1</v>
      </c>
      <c r="S147">
        <v>5</v>
      </c>
      <c r="T147">
        <v>99</v>
      </c>
      <c r="U147" t="s">
        <v>456</v>
      </c>
      <c r="V147" t="s">
        <v>14</v>
      </c>
      <c r="W147" t="s">
        <v>1340</v>
      </c>
      <c r="X147" t="s">
        <v>458</v>
      </c>
      <c r="Z147" t="s">
        <v>1294</v>
      </c>
      <c r="AE147" s="95">
        <v>4</v>
      </c>
      <c r="AF147" s="92" t="s">
        <v>460</v>
      </c>
      <c r="AG147" s="110"/>
      <c r="AH147" s="91" t="s">
        <v>1341</v>
      </c>
      <c r="AI147" s="92" t="s">
        <v>485</v>
      </c>
      <c r="AJ147" s="92" t="s">
        <v>1342</v>
      </c>
      <c r="AK147" s="92" t="s">
        <v>1343</v>
      </c>
      <c r="AL147" s="91" t="s">
        <v>474</v>
      </c>
      <c r="AM147" s="91" t="b">
        <v>0</v>
      </c>
    </row>
    <row r="148" spans="1:39" x14ac:dyDescent="0.2">
      <c r="A148" t="s">
        <v>240</v>
      </c>
      <c r="B148" t="s">
        <v>1344</v>
      </c>
      <c r="C148" t="s">
        <v>449</v>
      </c>
      <c r="D148" s="85" t="s">
        <v>1345</v>
      </c>
      <c r="E148">
        <v>986555347</v>
      </c>
      <c r="F148" t="s">
        <v>0</v>
      </c>
      <c r="H148" t="s">
        <v>451</v>
      </c>
      <c r="J148" t="s">
        <v>1283</v>
      </c>
      <c r="K148" t="s">
        <v>1331</v>
      </c>
      <c r="L148" t="s">
        <v>1332</v>
      </c>
      <c r="M148" t="s">
        <v>455</v>
      </c>
      <c r="N148" t="s">
        <v>0</v>
      </c>
      <c r="O148">
        <v>0</v>
      </c>
      <c r="P148">
        <v>0</v>
      </c>
      <c r="Q148">
        <v>0</v>
      </c>
      <c r="R148">
        <v>1</v>
      </c>
      <c r="S148">
        <v>5</v>
      </c>
      <c r="T148">
        <v>99</v>
      </c>
      <c r="U148" t="s">
        <v>456</v>
      </c>
      <c r="V148" t="s">
        <v>14</v>
      </c>
      <c r="W148" t="s">
        <v>1346</v>
      </c>
      <c r="X148" t="s">
        <v>458</v>
      </c>
      <c r="Z148" t="s">
        <v>1294</v>
      </c>
      <c r="AE148" s="96">
        <v>5</v>
      </c>
      <c r="AF148" s="92" t="s">
        <v>460</v>
      </c>
      <c r="AG148" s="110" t="s">
        <v>1347</v>
      </c>
      <c r="AH148" s="91" t="s">
        <v>1348</v>
      </c>
      <c r="AI148" s="92" t="s">
        <v>463</v>
      </c>
      <c r="AJ148" s="92" t="s">
        <v>1349</v>
      </c>
      <c r="AK148" s="92" t="s">
        <v>1350</v>
      </c>
      <c r="AL148" s="91" t="s">
        <v>474</v>
      </c>
      <c r="AM148" s="91" t="b">
        <v>0</v>
      </c>
    </row>
    <row r="149" spans="1:39" x14ac:dyDescent="0.2">
      <c r="A149" t="s">
        <v>241</v>
      </c>
      <c r="B149" t="s">
        <v>1351</v>
      </c>
      <c r="C149" t="s">
        <v>449</v>
      </c>
      <c r="D149" s="85" t="s">
        <v>1352</v>
      </c>
      <c r="E149">
        <v>902788713</v>
      </c>
      <c r="F149" t="s">
        <v>0</v>
      </c>
      <c r="H149" t="s">
        <v>451</v>
      </c>
      <c r="J149" t="s">
        <v>1283</v>
      </c>
      <c r="K149" t="s">
        <v>1284</v>
      </c>
      <c r="L149" t="s">
        <v>1332</v>
      </c>
      <c r="M149" t="s">
        <v>455</v>
      </c>
      <c r="N149" t="s">
        <v>0</v>
      </c>
      <c r="O149">
        <v>0</v>
      </c>
      <c r="P149">
        <v>0</v>
      </c>
      <c r="Q149">
        <v>0</v>
      </c>
      <c r="R149">
        <v>1</v>
      </c>
      <c r="S149">
        <v>5</v>
      </c>
      <c r="T149">
        <v>109</v>
      </c>
      <c r="U149" t="s">
        <v>513</v>
      </c>
      <c r="V149" t="s">
        <v>11</v>
      </c>
      <c r="W149" t="s">
        <v>1353</v>
      </c>
      <c r="X149" t="s">
        <v>458</v>
      </c>
      <c r="Z149" t="s">
        <v>1354</v>
      </c>
      <c r="AE149" s="96">
        <v>5</v>
      </c>
      <c r="AF149" s="92" t="s">
        <v>460</v>
      </c>
      <c r="AG149" s="110"/>
      <c r="AH149" s="91" t="s">
        <v>1355</v>
      </c>
      <c r="AI149" s="92" t="s">
        <v>463</v>
      </c>
      <c r="AJ149" s="92" t="s">
        <v>1356</v>
      </c>
      <c r="AK149" s="92" t="s">
        <v>1357</v>
      </c>
      <c r="AL149" s="91" t="s">
        <v>474</v>
      </c>
      <c r="AM149" s="91" t="b">
        <v>0</v>
      </c>
    </row>
    <row r="150" spans="1:39" x14ac:dyDescent="0.2">
      <c r="A150" t="s">
        <v>242</v>
      </c>
      <c r="B150" t="s">
        <v>409</v>
      </c>
      <c r="C150" t="s">
        <v>449</v>
      </c>
      <c r="D150" s="85" t="s">
        <v>1358</v>
      </c>
      <c r="E150">
        <v>355327017</v>
      </c>
      <c r="F150" t="s">
        <v>0</v>
      </c>
      <c r="H150" t="s">
        <v>451</v>
      </c>
      <c r="J150" t="s">
        <v>1283</v>
      </c>
      <c r="K150" t="s">
        <v>1331</v>
      </c>
      <c r="L150" t="s">
        <v>1359</v>
      </c>
      <c r="M150" t="s">
        <v>455</v>
      </c>
      <c r="N150" t="s">
        <v>0</v>
      </c>
      <c r="O150">
        <v>0</v>
      </c>
      <c r="P150">
        <v>0</v>
      </c>
      <c r="Q150">
        <v>0</v>
      </c>
      <c r="R150">
        <v>1</v>
      </c>
      <c r="S150">
        <v>5</v>
      </c>
      <c r="T150">
        <v>107</v>
      </c>
      <c r="U150" t="s">
        <v>513</v>
      </c>
      <c r="V150" t="s">
        <v>11</v>
      </c>
      <c r="W150" t="s">
        <v>1360</v>
      </c>
      <c r="X150" t="s">
        <v>458</v>
      </c>
      <c r="Z150" t="s">
        <v>1354</v>
      </c>
      <c r="AE150" s="96">
        <v>5</v>
      </c>
      <c r="AF150" s="92" t="s">
        <v>460</v>
      </c>
      <c r="AG150" s="110" t="s">
        <v>1361</v>
      </c>
      <c r="AH150" s="91" t="s">
        <v>1362</v>
      </c>
      <c r="AI150" s="92" t="s">
        <v>463</v>
      </c>
      <c r="AJ150" s="92" t="s">
        <v>1363</v>
      </c>
      <c r="AK150" s="92" t="s">
        <v>1364</v>
      </c>
      <c r="AL150" s="91" t="s">
        <v>474</v>
      </c>
      <c r="AM150" s="91" t="b">
        <v>0</v>
      </c>
    </row>
    <row r="151" spans="1:39" x14ac:dyDescent="0.2">
      <c r="A151" t="s">
        <v>243</v>
      </c>
      <c r="B151" t="s">
        <v>1365</v>
      </c>
      <c r="C151" t="s">
        <v>449</v>
      </c>
      <c r="D151" s="85" t="s">
        <v>1366</v>
      </c>
      <c r="E151">
        <v>933655795</v>
      </c>
      <c r="F151" t="s">
        <v>0</v>
      </c>
      <c r="H151" t="s">
        <v>451</v>
      </c>
      <c r="J151" t="s">
        <v>1283</v>
      </c>
      <c r="K151" t="s">
        <v>1284</v>
      </c>
      <c r="L151" t="s">
        <v>1367</v>
      </c>
      <c r="M151" t="s">
        <v>455</v>
      </c>
      <c r="N151" t="s">
        <v>0</v>
      </c>
      <c r="O151">
        <v>0</v>
      </c>
      <c r="P151">
        <v>0</v>
      </c>
      <c r="Q151">
        <v>0</v>
      </c>
      <c r="R151">
        <v>1</v>
      </c>
      <c r="S151">
        <v>5</v>
      </c>
      <c r="T151">
        <v>104</v>
      </c>
      <c r="U151" t="s">
        <v>456</v>
      </c>
      <c r="V151" t="s">
        <v>14</v>
      </c>
      <c r="W151" t="s">
        <v>1368</v>
      </c>
      <c r="X151" t="s">
        <v>0</v>
      </c>
      <c r="Y151" t="s">
        <v>1369</v>
      </c>
      <c r="Z151" t="s">
        <v>1354</v>
      </c>
      <c r="AE151" s="96">
        <v>5</v>
      </c>
      <c r="AF151" s="92" t="s">
        <v>460</v>
      </c>
      <c r="AG151" s="110"/>
      <c r="AH151" s="91" t="s">
        <v>1370</v>
      </c>
      <c r="AI151" s="92" t="s">
        <v>463</v>
      </c>
      <c r="AJ151" s="92" t="s">
        <v>1371</v>
      </c>
      <c r="AK151" s="92" t="s">
        <v>1372</v>
      </c>
      <c r="AL151" s="91" t="s">
        <v>474</v>
      </c>
      <c r="AM151" s="91" t="b">
        <v>0</v>
      </c>
    </row>
    <row r="152" spans="1:39" x14ac:dyDescent="0.2">
      <c r="A152" t="s">
        <v>244</v>
      </c>
      <c r="B152" t="s">
        <v>1373</v>
      </c>
      <c r="C152" t="s">
        <v>449</v>
      </c>
      <c r="D152" s="85" t="s">
        <v>1374</v>
      </c>
      <c r="E152">
        <v>902411648</v>
      </c>
      <c r="F152" t="s">
        <v>0</v>
      </c>
      <c r="H152" t="s">
        <v>451</v>
      </c>
      <c r="J152" t="s">
        <v>1283</v>
      </c>
      <c r="K152" t="s">
        <v>1375</v>
      </c>
      <c r="L152" t="s">
        <v>1376</v>
      </c>
      <c r="M152" t="s">
        <v>455</v>
      </c>
      <c r="N152" t="s">
        <v>0</v>
      </c>
      <c r="O152">
        <v>0</v>
      </c>
      <c r="P152">
        <v>0</v>
      </c>
      <c r="Q152">
        <v>0</v>
      </c>
      <c r="R152">
        <v>1</v>
      </c>
      <c r="S152">
        <v>8</v>
      </c>
      <c r="T152">
        <v>110</v>
      </c>
      <c r="U152" t="s">
        <v>513</v>
      </c>
      <c r="V152" t="s">
        <v>11</v>
      </c>
      <c r="W152" t="s">
        <v>1377</v>
      </c>
      <c r="X152" t="s">
        <v>458</v>
      </c>
      <c r="Z152" t="s">
        <v>1354</v>
      </c>
      <c r="AE152" s="96">
        <v>5</v>
      </c>
      <c r="AF152" s="92" t="s">
        <v>460</v>
      </c>
      <c r="AG152" s="110" t="s">
        <v>1378</v>
      </c>
      <c r="AH152" s="91" t="s">
        <v>1379</v>
      </c>
      <c r="AI152" s="92" t="s">
        <v>463</v>
      </c>
      <c r="AJ152" s="92" t="s">
        <v>1324</v>
      </c>
      <c r="AK152" s="92" t="s">
        <v>1380</v>
      </c>
      <c r="AL152" s="91" t="s">
        <v>474</v>
      </c>
      <c r="AM152" s="91" t="b">
        <v>0</v>
      </c>
    </row>
    <row r="153" spans="1:39" x14ac:dyDescent="0.2">
      <c r="A153" t="s">
        <v>245</v>
      </c>
      <c r="B153" t="s">
        <v>1381</v>
      </c>
      <c r="C153" t="s">
        <v>449</v>
      </c>
      <c r="D153" s="85" t="s">
        <v>1382</v>
      </c>
      <c r="E153">
        <v>903177922</v>
      </c>
      <c r="F153" t="s">
        <v>0</v>
      </c>
      <c r="H153" t="s">
        <v>1137</v>
      </c>
      <c r="J153" t="s">
        <v>1283</v>
      </c>
      <c r="K153" t="s">
        <v>1383</v>
      </c>
      <c r="L153" t="s">
        <v>1376</v>
      </c>
      <c r="M153" t="s">
        <v>455</v>
      </c>
      <c r="N153" t="s">
        <v>0</v>
      </c>
      <c r="O153">
        <v>0</v>
      </c>
      <c r="P153">
        <v>0</v>
      </c>
      <c r="Q153">
        <v>0</v>
      </c>
      <c r="R153">
        <v>1</v>
      </c>
      <c r="T153">
        <v>108</v>
      </c>
      <c r="U153" t="s">
        <v>513</v>
      </c>
      <c r="V153" t="s">
        <v>11</v>
      </c>
      <c r="W153" t="s">
        <v>1384</v>
      </c>
      <c r="X153" t="s">
        <v>0</v>
      </c>
      <c r="Y153" t="s">
        <v>1369</v>
      </c>
      <c r="Z153" t="s">
        <v>1354</v>
      </c>
      <c r="AE153" s="96">
        <v>5</v>
      </c>
      <c r="AF153" s="92" t="s">
        <v>460</v>
      </c>
      <c r="AG153" s="110"/>
      <c r="AH153" s="91" t="s">
        <v>1385</v>
      </c>
      <c r="AI153" s="92" t="s">
        <v>463</v>
      </c>
      <c r="AJ153" s="92" t="s">
        <v>1386</v>
      </c>
      <c r="AK153" s="92" t="s">
        <v>1387</v>
      </c>
      <c r="AL153" s="91" t="s">
        <v>474</v>
      </c>
      <c r="AM153" s="91" t="b">
        <v>0</v>
      </c>
    </row>
    <row r="154" spans="1:39" x14ac:dyDescent="0.2">
      <c r="A154" t="s">
        <v>246</v>
      </c>
      <c r="B154" t="s">
        <v>1388</v>
      </c>
      <c r="C154" t="s">
        <v>449</v>
      </c>
      <c r="D154" s="85" t="s">
        <v>1386</v>
      </c>
      <c r="E154">
        <v>335767961</v>
      </c>
      <c r="F154" t="s">
        <v>0</v>
      </c>
      <c r="H154" t="s">
        <v>451</v>
      </c>
      <c r="J154" t="s">
        <v>1283</v>
      </c>
      <c r="K154" t="s">
        <v>1375</v>
      </c>
      <c r="L154" t="s">
        <v>1389</v>
      </c>
      <c r="M154" t="s">
        <v>455</v>
      </c>
      <c r="N154" t="s">
        <v>0</v>
      </c>
      <c r="O154">
        <v>0</v>
      </c>
      <c r="P154">
        <v>0</v>
      </c>
      <c r="Q154">
        <v>0</v>
      </c>
      <c r="R154">
        <v>1</v>
      </c>
      <c r="S154">
        <v>5</v>
      </c>
      <c r="T154">
        <v>96</v>
      </c>
      <c r="U154" t="s">
        <v>456</v>
      </c>
      <c r="V154" t="s">
        <v>14</v>
      </c>
      <c r="W154" t="s">
        <v>1390</v>
      </c>
      <c r="X154" t="s">
        <v>458</v>
      </c>
      <c r="Z154" t="s">
        <v>1354</v>
      </c>
      <c r="AE154" s="96">
        <v>5</v>
      </c>
      <c r="AF154" s="92" t="s">
        <v>460</v>
      </c>
      <c r="AG154" s="110" t="s">
        <v>1391</v>
      </c>
      <c r="AH154" s="91" t="s">
        <v>1392</v>
      </c>
      <c r="AI154" s="92" t="s">
        <v>463</v>
      </c>
      <c r="AJ154" s="92" t="s">
        <v>1316</v>
      </c>
      <c r="AK154" s="92" t="s">
        <v>1393</v>
      </c>
      <c r="AL154" s="91" t="s">
        <v>474</v>
      </c>
      <c r="AM154" s="91" t="b">
        <v>0</v>
      </c>
    </row>
    <row r="155" spans="1:39" x14ac:dyDescent="0.2">
      <c r="A155" t="s">
        <v>247</v>
      </c>
      <c r="B155" t="s">
        <v>1394</v>
      </c>
      <c r="C155" t="s">
        <v>449</v>
      </c>
      <c r="D155" s="85" t="s">
        <v>1395</v>
      </c>
      <c r="E155">
        <v>906982803</v>
      </c>
      <c r="F155" t="s">
        <v>458</v>
      </c>
      <c r="G155" t="s">
        <v>248</v>
      </c>
      <c r="H155" t="s">
        <v>451</v>
      </c>
      <c r="J155" t="s">
        <v>1283</v>
      </c>
      <c r="K155" t="s">
        <v>1284</v>
      </c>
      <c r="L155" t="s">
        <v>1396</v>
      </c>
      <c r="M155" t="s">
        <v>455</v>
      </c>
      <c r="N155" t="s">
        <v>458</v>
      </c>
      <c r="O155">
        <v>0</v>
      </c>
      <c r="P155">
        <v>1</v>
      </c>
      <c r="Q155">
        <v>1</v>
      </c>
      <c r="R155">
        <v>2</v>
      </c>
      <c r="S155">
        <v>5</v>
      </c>
      <c r="T155">
        <v>105</v>
      </c>
      <c r="U155" t="s">
        <v>456</v>
      </c>
      <c r="V155" t="s">
        <v>14</v>
      </c>
      <c r="W155" t="s">
        <v>1397</v>
      </c>
      <c r="X155" t="s">
        <v>458</v>
      </c>
      <c r="Z155" t="s">
        <v>1354</v>
      </c>
      <c r="AE155" s="96">
        <v>5</v>
      </c>
      <c r="AF155" s="92" t="s">
        <v>460</v>
      </c>
      <c r="AG155" s="110"/>
      <c r="AH155" s="91" t="s">
        <v>1398</v>
      </c>
      <c r="AI155" s="92" t="s">
        <v>463</v>
      </c>
      <c r="AJ155" s="92" t="s">
        <v>1311</v>
      </c>
      <c r="AK155" s="92" t="s">
        <v>1399</v>
      </c>
      <c r="AL155" s="91" t="s">
        <v>474</v>
      </c>
      <c r="AM155" s="91" t="b">
        <v>0</v>
      </c>
    </row>
    <row r="156" spans="1:39" x14ac:dyDescent="0.2">
      <c r="A156" t="s">
        <v>249</v>
      </c>
      <c r="B156" t="s">
        <v>1400</v>
      </c>
      <c r="C156" t="s">
        <v>449</v>
      </c>
      <c r="D156" s="85" t="s">
        <v>1401</v>
      </c>
      <c r="E156">
        <v>393991003</v>
      </c>
      <c r="F156" t="s">
        <v>0</v>
      </c>
      <c r="H156" t="s">
        <v>451</v>
      </c>
      <c r="J156" t="s">
        <v>1283</v>
      </c>
      <c r="K156" t="s">
        <v>1284</v>
      </c>
      <c r="L156" t="s">
        <v>1402</v>
      </c>
      <c r="M156" t="s">
        <v>455</v>
      </c>
      <c r="N156" t="s">
        <v>0</v>
      </c>
      <c r="O156">
        <v>0</v>
      </c>
      <c r="P156">
        <v>0</v>
      </c>
      <c r="Q156">
        <v>0</v>
      </c>
      <c r="R156">
        <v>1</v>
      </c>
      <c r="S156">
        <v>5</v>
      </c>
      <c r="T156">
        <v>103</v>
      </c>
      <c r="U156" t="s">
        <v>456</v>
      </c>
      <c r="V156" t="s">
        <v>14</v>
      </c>
      <c r="W156" t="s">
        <v>1403</v>
      </c>
      <c r="X156" t="s">
        <v>0</v>
      </c>
      <c r="Y156" t="s">
        <v>1369</v>
      </c>
      <c r="Z156" t="s">
        <v>1354</v>
      </c>
      <c r="AE156" s="96">
        <v>5</v>
      </c>
      <c r="AF156" s="92" t="s">
        <v>460</v>
      </c>
      <c r="AG156" s="110" t="s">
        <v>1404</v>
      </c>
      <c r="AH156" s="91" t="s">
        <v>1405</v>
      </c>
      <c r="AI156" s="92" t="s">
        <v>463</v>
      </c>
      <c r="AJ156" s="92" t="s">
        <v>1305</v>
      </c>
      <c r="AK156" s="92" t="s">
        <v>1406</v>
      </c>
      <c r="AL156" s="91" t="s">
        <v>474</v>
      </c>
      <c r="AM156" s="91" t="b">
        <v>0</v>
      </c>
    </row>
    <row r="157" spans="1:39" x14ac:dyDescent="0.2">
      <c r="A157" t="s">
        <v>393</v>
      </c>
      <c r="B157" t="s">
        <v>1407</v>
      </c>
      <c r="C157" t="s">
        <v>449</v>
      </c>
      <c r="D157" s="85" t="s">
        <v>1408</v>
      </c>
      <c r="E157">
        <v>824988225</v>
      </c>
      <c r="F157" t="s">
        <v>0</v>
      </c>
      <c r="H157" t="s">
        <v>451</v>
      </c>
      <c r="J157" t="s">
        <v>1283</v>
      </c>
      <c r="K157" t="s">
        <v>1284</v>
      </c>
      <c r="L157" t="s">
        <v>1402</v>
      </c>
      <c r="M157" t="s">
        <v>455</v>
      </c>
      <c r="N157" t="s">
        <v>0</v>
      </c>
      <c r="O157">
        <v>0</v>
      </c>
      <c r="P157">
        <v>0</v>
      </c>
      <c r="Q157">
        <v>0</v>
      </c>
      <c r="R157">
        <v>1</v>
      </c>
      <c r="S157">
        <v>5</v>
      </c>
      <c r="T157">
        <v>146</v>
      </c>
      <c r="U157" t="s">
        <v>456</v>
      </c>
      <c r="V157" t="s">
        <v>14</v>
      </c>
      <c r="W157" t="e">
        <v>#N/A</v>
      </c>
      <c r="X157" t="s">
        <v>0</v>
      </c>
      <c r="Z157" t="s">
        <v>1409</v>
      </c>
      <c r="AE157" s="96">
        <v>5</v>
      </c>
      <c r="AF157" s="92" t="s">
        <v>460</v>
      </c>
      <c r="AG157" s="110"/>
      <c r="AH157" s="91" t="s">
        <v>1410</v>
      </c>
      <c r="AI157" s="92" t="s">
        <v>463</v>
      </c>
      <c r="AJ157" s="92" t="s">
        <v>1291</v>
      </c>
      <c r="AK157" s="92" t="s">
        <v>1411</v>
      </c>
      <c r="AL157" s="91" t="s">
        <v>474</v>
      </c>
      <c r="AM157" s="91" t="b">
        <v>0</v>
      </c>
    </row>
    <row r="158" spans="1:39" x14ac:dyDescent="0.2">
      <c r="A158" t="s">
        <v>250</v>
      </c>
      <c r="B158" t="s">
        <v>1412</v>
      </c>
      <c r="C158" t="s">
        <v>449</v>
      </c>
      <c r="D158" s="1" t="s">
        <v>1413</v>
      </c>
      <c r="E158">
        <v>934831283</v>
      </c>
      <c r="F158" t="s">
        <v>0</v>
      </c>
      <c r="H158" t="s">
        <v>451</v>
      </c>
      <c r="J158" t="s">
        <v>1414</v>
      </c>
      <c r="K158" t="s">
        <v>1415</v>
      </c>
      <c r="L158" t="s">
        <v>900</v>
      </c>
      <c r="M158" t="s">
        <v>455</v>
      </c>
      <c r="N158" t="s">
        <v>0</v>
      </c>
      <c r="O158">
        <v>0</v>
      </c>
      <c r="P158">
        <v>0</v>
      </c>
      <c r="Q158">
        <v>0</v>
      </c>
      <c r="R158">
        <v>1</v>
      </c>
      <c r="S158">
        <v>8</v>
      </c>
      <c r="T158">
        <v>125</v>
      </c>
      <c r="U158" t="s">
        <v>456</v>
      </c>
      <c r="V158" t="s">
        <v>14</v>
      </c>
      <c r="W158" t="s">
        <v>1416</v>
      </c>
      <c r="X158" t="s">
        <v>458</v>
      </c>
      <c r="Z158" t="s">
        <v>1417</v>
      </c>
      <c r="AE158" s="96">
        <v>5</v>
      </c>
      <c r="AF158" s="92" t="s">
        <v>1184</v>
      </c>
      <c r="AG158" s="110" t="s">
        <v>1418</v>
      </c>
      <c r="AH158" s="91" t="s">
        <v>1419</v>
      </c>
      <c r="AI158" s="92" t="s">
        <v>463</v>
      </c>
      <c r="AJ158" s="92" t="s">
        <v>1339</v>
      </c>
      <c r="AK158" s="92" t="s">
        <v>1420</v>
      </c>
      <c r="AL158" s="91" t="s">
        <v>1369</v>
      </c>
      <c r="AM158" s="91" t="b">
        <v>0</v>
      </c>
    </row>
    <row r="159" spans="1:39" x14ac:dyDescent="0.2">
      <c r="A159" t="s">
        <v>394</v>
      </c>
      <c r="B159" t="s">
        <v>1421</v>
      </c>
      <c r="C159" t="s">
        <v>449</v>
      </c>
      <c r="D159" s="85" t="s">
        <v>1422</v>
      </c>
      <c r="E159">
        <v>903376980</v>
      </c>
      <c r="F159" t="s">
        <v>0</v>
      </c>
      <c r="H159" t="s">
        <v>451</v>
      </c>
      <c r="I159" t="s">
        <v>1423</v>
      </c>
      <c r="J159" t="s">
        <v>1283</v>
      </c>
      <c r="K159" t="s">
        <v>1284</v>
      </c>
      <c r="L159" t="s">
        <v>1424</v>
      </c>
      <c r="M159" t="s">
        <v>455</v>
      </c>
      <c r="N159" t="s">
        <v>0</v>
      </c>
      <c r="O159">
        <v>0</v>
      </c>
      <c r="P159">
        <v>0</v>
      </c>
      <c r="Q159">
        <v>0</v>
      </c>
      <c r="R159">
        <v>1</v>
      </c>
      <c r="S159">
        <v>5</v>
      </c>
      <c r="T159">
        <v>146</v>
      </c>
      <c r="U159" t="s">
        <v>456</v>
      </c>
      <c r="V159" t="s">
        <v>14</v>
      </c>
      <c r="W159" t="e">
        <v>#N/A</v>
      </c>
      <c r="X159" t="s">
        <v>0</v>
      </c>
      <c r="Y159" t="s">
        <v>1369</v>
      </c>
      <c r="Z159" t="s">
        <v>1409</v>
      </c>
      <c r="AE159" s="96">
        <v>5</v>
      </c>
      <c r="AF159" s="92" t="s">
        <v>1184</v>
      </c>
      <c r="AG159" s="110"/>
      <c r="AH159" s="91" t="s">
        <v>1425</v>
      </c>
      <c r="AI159" s="92" t="s">
        <v>463</v>
      </c>
      <c r="AJ159" s="92" t="s">
        <v>1345</v>
      </c>
      <c r="AK159" s="92" t="s">
        <v>1426</v>
      </c>
      <c r="AL159" s="91" t="s">
        <v>1369</v>
      </c>
      <c r="AM159" s="91" t="b">
        <v>0</v>
      </c>
    </row>
    <row r="160" spans="1:39" x14ac:dyDescent="0.2">
      <c r="A160" t="s">
        <v>251</v>
      </c>
      <c r="B160" t="s">
        <v>1427</v>
      </c>
      <c r="C160" t="s">
        <v>449</v>
      </c>
      <c r="D160" s="85" t="s">
        <v>1428</v>
      </c>
      <c r="E160">
        <v>917923778</v>
      </c>
      <c r="F160" t="s">
        <v>0</v>
      </c>
      <c r="H160" t="s">
        <v>451</v>
      </c>
      <c r="J160" t="s">
        <v>1283</v>
      </c>
      <c r="K160" t="s">
        <v>1429</v>
      </c>
      <c r="L160" t="s">
        <v>1430</v>
      </c>
      <c r="M160" t="s">
        <v>455</v>
      </c>
      <c r="N160" t="s">
        <v>0</v>
      </c>
      <c r="O160">
        <v>0</v>
      </c>
      <c r="P160">
        <v>0</v>
      </c>
      <c r="Q160">
        <v>0</v>
      </c>
      <c r="R160">
        <v>1</v>
      </c>
      <c r="S160">
        <v>5</v>
      </c>
      <c r="T160">
        <v>107</v>
      </c>
      <c r="U160" t="s">
        <v>513</v>
      </c>
      <c r="V160" t="s">
        <v>11</v>
      </c>
      <c r="W160" t="s">
        <v>1431</v>
      </c>
      <c r="X160" t="s">
        <v>458</v>
      </c>
      <c r="Z160" t="s">
        <v>1354</v>
      </c>
      <c r="AE160" s="96">
        <v>5</v>
      </c>
      <c r="AF160" s="92" t="s">
        <v>1184</v>
      </c>
      <c r="AG160" s="110" t="s">
        <v>1432</v>
      </c>
      <c r="AH160" s="91" t="s">
        <v>1433</v>
      </c>
      <c r="AI160" s="92" t="s">
        <v>463</v>
      </c>
      <c r="AJ160" s="92" t="s">
        <v>1434</v>
      </c>
      <c r="AK160" s="92" t="s">
        <v>1435</v>
      </c>
      <c r="AL160" s="91" t="s">
        <v>1369</v>
      </c>
      <c r="AM160" s="91" t="b">
        <v>0</v>
      </c>
    </row>
    <row r="161" spans="1:39" x14ac:dyDescent="0.2">
      <c r="A161" t="s">
        <v>252</v>
      </c>
      <c r="B161" t="s">
        <v>1436</v>
      </c>
      <c r="C161" t="s">
        <v>449</v>
      </c>
      <c r="D161" s="85" t="s">
        <v>1371</v>
      </c>
      <c r="E161">
        <v>345814997</v>
      </c>
      <c r="F161" t="s">
        <v>0</v>
      </c>
      <c r="H161" t="s">
        <v>451</v>
      </c>
      <c r="J161" t="s">
        <v>1283</v>
      </c>
      <c r="K161" t="s">
        <v>1429</v>
      </c>
      <c r="L161" t="s">
        <v>1430</v>
      </c>
      <c r="M161" t="s">
        <v>455</v>
      </c>
      <c r="N161" t="s">
        <v>0</v>
      </c>
      <c r="O161">
        <v>0</v>
      </c>
      <c r="P161">
        <v>0</v>
      </c>
      <c r="Q161">
        <v>0</v>
      </c>
      <c r="R161">
        <v>1</v>
      </c>
      <c r="S161">
        <v>5</v>
      </c>
      <c r="T161">
        <v>95</v>
      </c>
      <c r="U161" t="s">
        <v>456</v>
      </c>
      <c r="V161" t="s">
        <v>14</v>
      </c>
      <c r="W161" t="s">
        <v>1437</v>
      </c>
      <c r="X161" t="s">
        <v>458</v>
      </c>
      <c r="Z161" t="s">
        <v>1294</v>
      </c>
      <c r="AE161" s="96">
        <v>5</v>
      </c>
      <c r="AF161" s="92" t="s">
        <v>1184</v>
      </c>
      <c r="AG161" s="110"/>
      <c r="AH161" s="91" t="s">
        <v>1438</v>
      </c>
      <c r="AI161" s="92" t="s">
        <v>463</v>
      </c>
      <c r="AJ161" s="92" t="s">
        <v>1439</v>
      </c>
      <c r="AK161" s="92" t="s">
        <v>1440</v>
      </c>
      <c r="AL161" s="91" t="s">
        <v>1369</v>
      </c>
      <c r="AM161" s="91" t="b">
        <v>0</v>
      </c>
    </row>
    <row r="162" spans="1:39" x14ac:dyDescent="0.2">
      <c r="A162" t="s">
        <v>254</v>
      </c>
      <c r="B162" t="s">
        <v>1430</v>
      </c>
      <c r="C162" t="s">
        <v>449</v>
      </c>
      <c r="D162" s="2" t="s">
        <v>1439</v>
      </c>
      <c r="E162">
        <v>765217394</v>
      </c>
      <c r="F162" t="s">
        <v>0</v>
      </c>
      <c r="H162" t="s">
        <v>1137</v>
      </c>
      <c r="J162" t="s">
        <v>1283</v>
      </c>
      <c r="K162" t="s">
        <v>1429</v>
      </c>
      <c r="L162" t="s">
        <v>1441</v>
      </c>
      <c r="M162" t="s">
        <v>455</v>
      </c>
      <c r="N162" t="s">
        <v>0</v>
      </c>
      <c r="O162">
        <v>0</v>
      </c>
      <c r="P162">
        <v>0</v>
      </c>
      <c r="Q162">
        <v>0</v>
      </c>
      <c r="R162">
        <v>1</v>
      </c>
      <c r="T162">
        <v>100</v>
      </c>
      <c r="U162" t="s">
        <v>456</v>
      </c>
      <c r="V162" t="s">
        <v>14</v>
      </c>
      <c r="W162" t="s">
        <v>1442</v>
      </c>
      <c r="X162" t="s">
        <v>0</v>
      </c>
      <c r="Y162" t="s">
        <v>1369</v>
      </c>
      <c r="Z162" t="s">
        <v>1443</v>
      </c>
      <c r="AE162" s="96">
        <v>5</v>
      </c>
      <c r="AF162" s="92" t="s">
        <v>460</v>
      </c>
      <c r="AG162" s="84" t="s">
        <v>1185</v>
      </c>
      <c r="AH162" s="91" t="s">
        <v>1444</v>
      </c>
      <c r="AI162" s="92" t="s">
        <v>463</v>
      </c>
      <c r="AJ162" s="92" t="s">
        <v>1282</v>
      </c>
      <c r="AK162" s="92" t="s">
        <v>1445</v>
      </c>
      <c r="AL162" s="91" t="s">
        <v>1189</v>
      </c>
      <c r="AM162" s="91" t="b">
        <v>0</v>
      </c>
    </row>
    <row r="163" spans="1:39" x14ac:dyDescent="0.2">
      <c r="A163" t="s">
        <v>255</v>
      </c>
      <c r="B163" t="s">
        <v>1446</v>
      </c>
      <c r="C163" t="s">
        <v>449</v>
      </c>
      <c r="D163" s="85" t="s">
        <v>1447</v>
      </c>
      <c r="E163">
        <v>835255477</v>
      </c>
      <c r="F163" t="s">
        <v>0</v>
      </c>
      <c r="H163" t="s">
        <v>451</v>
      </c>
      <c r="J163" t="s">
        <v>1283</v>
      </c>
      <c r="K163" t="s">
        <v>1284</v>
      </c>
      <c r="L163" t="s">
        <v>1448</v>
      </c>
      <c r="M163" t="s">
        <v>455</v>
      </c>
      <c r="N163" t="s">
        <v>0</v>
      </c>
      <c r="O163">
        <v>0</v>
      </c>
      <c r="P163">
        <v>0</v>
      </c>
      <c r="Q163">
        <v>0</v>
      </c>
      <c r="R163">
        <v>1</v>
      </c>
      <c r="S163">
        <v>5</v>
      </c>
      <c r="T163">
        <v>103</v>
      </c>
      <c r="U163" t="s">
        <v>456</v>
      </c>
      <c r="V163" t="s">
        <v>14</v>
      </c>
      <c r="W163" t="s">
        <v>1449</v>
      </c>
      <c r="X163" t="s">
        <v>0</v>
      </c>
      <c r="Y163" t="s">
        <v>1369</v>
      </c>
      <c r="Z163" t="s">
        <v>1443</v>
      </c>
      <c r="AE163" s="96">
        <v>5</v>
      </c>
      <c r="AF163" s="92" t="s">
        <v>1184</v>
      </c>
      <c r="AG163" s="110" t="s">
        <v>1450</v>
      </c>
      <c r="AH163" s="91" t="s">
        <v>1451</v>
      </c>
      <c r="AI163" s="92" t="s">
        <v>463</v>
      </c>
      <c r="AJ163" s="92" t="s">
        <v>1452</v>
      </c>
      <c r="AK163" s="92" t="s">
        <v>1453</v>
      </c>
      <c r="AL163" s="91" t="s">
        <v>1369</v>
      </c>
      <c r="AM163" s="91" t="b">
        <v>0</v>
      </c>
    </row>
    <row r="164" spans="1:39" x14ac:dyDescent="0.2">
      <c r="A164" t="s">
        <v>256</v>
      </c>
      <c r="B164" t="s">
        <v>1454</v>
      </c>
      <c r="C164" t="s">
        <v>449</v>
      </c>
      <c r="D164" s="85" t="s">
        <v>1349</v>
      </c>
      <c r="E164">
        <v>902912836</v>
      </c>
      <c r="F164" t="s">
        <v>0</v>
      </c>
      <c r="H164" t="s">
        <v>451</v>
      </c>
      <c r="J164" t="s">
        <v>1283</v>
      </c>
      <c r="K164" t="s">
        <v>1284</v>
      </c>
      <c r="L164" t="s">
        <v>1448</v>
      </c>
      <c r="M164" t="s">
        <v>455</v>
      </c>
      <c r="N164" t="s">
        <v>0</v>
      </c>
      <c r="O164">
        <v>0</v>
      </c>
      <c r="P164">
        <v>0</v>
      </c>
      <c r="Q164">
        <v>0</v>
      </c>
      <c r="R164">
        <v>1</v>
      </c>
      <c r="S164">
        <v>5</v>
      </c>
      <c r="T164">
        <v>94</v>
      </c>
      <c r="U164" t="s">
        <v>456</v>
      </c>
      <c r="V164" t="s">
        <v>14</v>
      </c>
      <c r="W164" t="s">
        <v>1455</v>
      </c>
      <c r="X164" t="s">
        <v>458</v>
      </c>
      <c r="Z164" t="s">
        <v>1443</v>
      </c>
      <c r="AE164" s="96">
        <v>5</v>
      </c>
      <c r="AF164" s="92" t="s">
        <v>1184</v>
      </c>
      <c r="AG164" s="110"/>
      <c r="AH164" s="91" t="s">
        <v>1456</v>
      </c>
      <c r="AI164" s="92" t="s">
        <v>463</v>
      </c>
      <c r="AJ164" s="92" t="s">
        <v>1457</v>
      </c>
      <c r="AK164" s="92" t="s">
        <v>1458</v>
      </c>
      <c r="AL164" s="91" t="s">
        <v>1369</v>
      </c>
      <c r="AM164" s="91" t="b">
        <v>0</v>
      </c>
    </row>
    <row r="165" spans="1:39" x14ac:dyDescent="0.2">
      <c r="A165" t="s">
        <v>258</v>
      </c>
      <c r="B165" t="s">
        <v>1459</v>
      </c>
      <c r="C165" t="s">
        <v>449</v>
      </c>
      <c r="D165" s="85" t="s">
        <v>1457</v>
      </c>
      <c r="E165">
        <v>828740008</v>
      </c>
      <c r="F165" t="s">
        <v>0</v>
      </c>
      <c r="H165" t="s">
        <v>451</v>
      </c>
      <c r="J165" t="s">
        <v>1283</v>
      </c>
      <c r="K165" t="s">
        <v>1284</v>
      </c>
      <c r="L165" t="s">
        <v>1460</v>
      </c>
      <c r="M165" t="s">
        <v>455</v>
      </c>
      <c r="N165" t="s">
        <v>0</v>
      </c>
      <c r="O165">
        <v>0</v>
      </c>
      <c r="P165">
        <v>0</v>
      </c>
      <c r="Q165">
        <v>0</v>
      </c>
      <c r="R165">
        <v>1</v>
      </c>
      <c r="S165">
        <v>5</v>
      </c>
      <c r="T165">
        <v>102</v>
      </c>
      <c r="U165" t="s">
        <v>456</v>
      </c>
      <c r="V165" t="s">
        <v>14</v>
      </c>
      <c r="W165" t="s">
        <v>1461</v>
      </c>
      <c r="X165" t="s">
        <v>458</v>
      </c>
      <c r="Z165" t="s">
        <v>1443</v>
      </c>
      <c r="AE165" s="96">
        <v>5</v>
      </c>
      <c r="AF165" s="92" t="s">
        <v>1184</v>
      </c>
      <c r="AG165" s="110" t="s">
        <v>1462</v>
      </c>
      <c r="AH165" s="91" t="s">
        <v>1463</v>
      </c>
      <c r="AI165" s="92" t="s">
        <v>463</v>
      </c>
      <c r="AJ165" s="92" t="s">
        <v>1401</v>
      </c>
      <c r="AK165" s="92" t="s">
        <v>1464</v>
      </c>
      <c r="AL165" s="91" t="s">
        <v>1369</v>
      </c>
      <c r="AM165" s="91" t="b">
        <v>0</v>
      </c>
    </row>
    <row r="166" spans="1:39" x14ac:dyDescent="0.2">
      <c r="A166" t="s">
        <v>259</v>
      </c>
      <c r="B166" t="s">
        <v>1465</v>
      </c>
      <c r="C166" t="s">
        <v>449</v>
      </c>
      <c r="D166" s="85" t="s">
        <v>1363</v>
      </c>
      <c r="E166">
        <v>971993024</v>
      </c>
      <c r="F166" t="s">
        <v>0</v>
      </c>
      <c r="H166" t="s">
        <v>451</v>
      </c>
      <c r="J166" t="s">
        <v>1283</v>
      </c>
      <c r="K166" t="s">
        <v>1284</v>
      </c>
      <c r="L166" t="s">
        <v>1460</v>
      </c>
      <c r="M166" t="s">
        <v>455</v>
      </c>
      <c r="N166" t="s">
        <v>0</v>
      </c>
      <c r="O166">
        <v>0</v>
      </c>
      <c r="P166">
        <v>0</v>
      </c>
      <c r="Q166">
        <v>0</v>
      </c>
      <c r="R166">
        <v>1</v>
      </c>
      <c r="S166">
        <v>5</v>
      </c>
      <c r="T166">
        <v>95</v>
      </c>
      <c r="U166" t="s">
        <v>456</v>
      </c>
      <c r="V166" t="s">
        <v>14</v>
      </c>
      <c r="W166" t="s">
        <v>1466</v>
      </c>
      <c r="X166" t="s">
        <v>458</v>
      </c>
      <c r="Z166" t="s">
        <v>1443</v>
      </c>
      <c r="AE166" s="96">
        <v>5</v>
      </c>
      <c r="AF166" s="92" t="s">
        <v>1184</v>
      </c>
      <c r="AG166" s="110"/>
      <c r="AH166" s="91" t="s">
        <v>1467</v>
      </c>
      <c r="AI166" s="92" t="s">
        <v>463</v>
      </c>
      <c r="AJ166" s="92" t="s">
        <v>1447</v>
      </c>
      <c r="AK166" s="92" t="s">
        <v>1468</v>
      </c>
      <c r="AL166" s="91" t="s">
        <v>1369</v>
      </c>
      <c r="AM166" s="91" t="b">
        <v>0</v>
      </c>
    </row>
    <row r="167" spans="1:39" x14ac:dyDescent="0.2">
      <c r="A167" t="s">
        <v>260</v>
      </c>
      <c r="B167" t="s">
        <v>1469</v>
      </c>
      <c r="C167" t="s">
        <v>449</v>
      </c>
      <c r="D167" s="85" t="s">
        <v>1356</v>
      </c>
      <c r="E167">
        <v>941219254</v>
      </c>
      <c r="F167" t="s">
        <v>0</v>
      </c>
      <c r="H167" t="s">
        <v>451</v>
      </c>
      <c r="J167" t="s">
        <v>1283</v>
      </c>
      <c r="K167" t="s">
        <v>1284</v>
      </c>
      <c r="L167" t="s">
        <v>1460</v>
      </c>
      <c r="M167" t="s">
        <v>455</v>
      </c>
      <c r="N167" t="s">
        <v>0</v>
      </c>
      <c r="O167">
        <v>0</v>
      </c>
      <c r="P167">
        <v>0</v>
      </c>
      <c r="Q167">
        <v>0</v>
      </c>
      <c r="R167">
        <v>1</v>
      </c>
      <c r="S167">
        <v>5</v>
      </c>
      <c r="T167">
        <v>94</v>
      </c>
      <c r="U167" t="s">
        <v>456</v>
      </c>
      <c r="V167" t="s">
        <v>14</v>
      </c>
      <c r="W167" t="s">
        <v>1470</v>
      </c>
      <c r="X167" t="s">
        <v>458</v>
      </c>
      <c r="Z167" t="s">
        <v>1443</v>
      </c>
      <c r="AE167" s="96">
        <v>5</v>
      </c>
      <c r="AF167" s="92" t="s">
        <v>1184</v>
      </c>
      <c r="AG167" s="84" t="s">
        <v>1471</v>
      </c>
      <c r="AH167" s="91" t="s">
        <v>1472</v>
      </c>
      <c r="AI167" s="92" t="s">
        <v>463</v>
      </c>
      <c r="AJ167" s="92" t="s">
        <v>1366</v>
      </c>
      <c r="AK167" s="92" t="s">
        <v>1473</v>
      </c>
      <c r="AL167" s="91" t="s">
        <v>1474</v>
      </c>
      <c r="AM167" s="91" t="b">
        <v>0</v>
      </c>
    </row>
    <row r="168" spans="1:39" x14ac:dyDescent="0.2">
      <c r="A168" t="s">
        <v>261</v>
      </c>
      <c r="B168" t="s">
        <v>1475</v>
      </c>
      <c r="C168" t="s">
        <v>449</v>
      </c>
      <c r="D168" s="1" t="s">
        <v>1476</v>
      </c>
      <c r="E168">
        <v>909321830</v>
      </c>
      <c r="F168" t="s">
        <v>0</v>
      </c>
      <c r="H168" t="s">
        <v>451</v>
      </c>
      <c r="J168" t="s">
        <v>1283</v>
      </c>
      <c r="K168" t="s">
        <v>1383</v>
      </c>
      <c r="L168" t="s">
        <v>1477</v>
      </c>
      <c r="M168" t="s">
        <v>455</v>
      </c>
      <c r="N168" t="s">
        <v>0</v>
      </c>
      <c r="O168">
        <v>0</v>
      </c>
      <c r="P168">
        <v>0</v>
      </c>
      <c r="Q168">
        <v>0</v>
      </c>
      <c r="R168">
        <v>1</v>
      </c>
      <c r="S168">
        <v>5</v>
      </c>
      <c r="T168">
        <v>106</v>
      </c>
      <c r="U168" t="s">
        <v>513</v>
      </c>
      <c r="V168" t="s">
        <v>11</v>
      </c>
      <c r="W168" t="s">
        <v>1478</v>
      </c>
      <c r="X168" t="s">
        <v>458</v>
      </c>
      <c r="Z168" t="s">
        <v>1443</v>
      </c>
      <c r="AE168" s="96">
        <v>5</v>
      </c>
      <c r="AF168" s="92" t="s">
        <v>460</v>
      </c>
      <c r="AG168" s="110" t="s">
        <v>1479</v>
      </c>
      <c r="AH168" s="91" t="s">
        <v>1480</v>
      </c>
      <c r="AI168" s="92" t="s">
        <v>463</v>
      </c>
      <c r="AJ168" s="92" t="s">
        <v>1395</v>
      </c>
      <c r="AK168" s="92" t="s">
        <v>1481</v>
      </c>
      <c r="AL168" s="91" t="s">
        <v>1482</v>
      </c>
      <c r="AM168" s="91" t="b">
        <v>0</v>
      </c>
    </row>
    <row r="169" spans="1:39" x14ac:dyDescent="0.2">
      <c r="A169" t="s">
        <v>262</v>
      </c>
      <c r="B169" t="s">
        <v>1483</v>
      </c>
      <c r="C169" t="s">
        <v>449</v>
      </c>
      <c r="D169" s="85" t="s">
        <v>1452</v>
      </c>
      <c r="E169">
        <v>394301209</v>
      </c>
      <c r="F169" t="s">
        <v>0</v>
      </c>
      <c r="H169" t="s">
        <v>451</v>
      </c>
      <c r="J169" t="s">
        <v>1283</v>
      </c>
      <c r="K169" t="s">
        <v>1284</v>
      </c>
      <c r="L169" t="s">
        <v>1484</v>
      </c>
      <c r="M169" t="s">
        <v>455</v>
      </c>
      <c r="N169" t="s">
        <v>0</v>
      </c>
      <c r="O169">
        <v>0</v>
      </c>
      <c r="P169">
        <v>0</v>
      </c>
      <c r="Q169">
        <v>0</v>
      </c>
      <c r="R169">
        <v>1</v>
      </c>
      <c r="S169">
        <v>5</v>
      </c>
      <c r="T169">
        <v>102</v>
      </c>
      <c r="U169" t="s">
        <v>456</v>
      </c>
      <c r="V169" t="s">
        <v>14</v>
      </c>
      <c r="W169" t="s">
        <v>1485</v>
      </c>
      <c r="X169" t="s">
        <v>458</v>
      </c>
      <c r="Z169" t="s">
        <v>1443</v>
      </c>
      <c r="AE169" s="96">
        <v>5</v>
      </c>
      <c r="AF169" s="92" t="s">
        <v>460</v>
      </c>
      <c r="AG169" s="110"/>
      <c r="AH169" s="91" t="s">
        <v>1486</v>
      </c>
      <c r="AI169" s="92" t="s">
        <v>485</v>
      </c>
      <c r="AJ169" s="92" t="s">
        <v>1487</v>
      </c>
      <c r="AK169" s="92" t="s">
        <v>1482</v>
      </c>
      <c r="AL169" s="91" t="s">
        <v>1482</v>
      </c>
      <c r="AM169" s="91" t="b">
        <v>0</v>
      </c>
    </row>
    <row r="170" spans="1:39" x14ac:dyDescent="0.2">
      <c r="A170" t="s">
        <v>263</v>
      </c>
      <c r="B170" t="s">
        <v>1488</v>
      </c>
      <c r="C170" t="s">
        <v>449</v>
      </c>
      <c r="D170" s="85" t="s">
        <v>1489</v>
      </c>
      <c r="E170">
        <v>944234096</v>
      </c>
      <c r="F170" t="s">
        <v>0</v>
      </c>
      <c r="H170" t="s">
        <v>1137</v>
      </c>
      <c r="J170" t="s">
        <v>1283</v>
      </c>
      <c r="K170" t="s">
        <v>1383</v>
      </c>
      <c r="L170" t="s">
        <v>1490</v>
      </c>
      <c r="M170" t="s">
        <v>455</v>
      </c>
      <c r="N170" t="s">
        <v>0</v>
      </c>
      <c r="O170">
        <v>0</v>
      </c>
      <c r="P170">
        <v>0</v>
      </c>
      <c r="Q170">
        <v>0</v>
      </c>
      <c r="R170">
        <v>1</v>
      </c>
      <c r="T170">
        <v>108</v>
      </c>
      <c r="U170" t="s">
        <v>513</v>
      </c>
      <c r="V170" t="s">
        <v>11</v>
      </c>
      <c r="W170" t="s">
        <v>1491</v>
      </c>
      <c r="X170" t="s">
        <v>0</v>
      </c>
      <c r="Y170" t="s">
        <v>1369</v>
      </c>
      <c r="Z170" t="s">
        <v>1443</v>
      </c>
      <c r="AE170" s="96">
        <v>5</v>
      </c>
      <c r="AF170" s="92" t="s">
        <v>460</v>
      </c>
      <c r="AG170" s="110" t="s">
        <v>1492</v>
      </c>
      <c r="AH170" s="91" t="s">
        <v>1493</v>
      </c>
      <c r="AI170" s="92" t="s">
        <v>463</v>
      </c>
      <c r="AJ170" s="92" t="s">
        <v>1408</v>
      </c>
      <c r="AK170" s="92" t="s">
        <v>1494</v>
      </c>
      <c r="AL170" s="91" t="s">
        <v>474</v>
      </c>
      <c r="AM170" s="91" t="b">
        <v>0</v>
      </c>
    </row>
    <row r="171" spans="1:39" x14ac:dyDescent="0.2">
      <c r="A171" t="s">
        <v>264</v>
      </c>
      <c r="B171" t="s">
        <v>1495</v>
      </c>
      <c r="C171" t="s">
        <v>449</v>
      </c>
      <c r="D171" s="85" t="s">
        <v>1496</v>
      </c>
      <c r="E171">
        <v>33613234722</v>
      </c>
      <c r="F171" t="s">
        <v>0</v>
      </c>
      <c r="H171" t="s">
        <v>451</v>
      </c>
      <c r="I171" t="s">
        <v>1497</v>
      </c>
      <c r="J171" t="s">
        <v>1498</v>
      </c>
      <c r="K171" t="s">
        <v>1499</v>
      </c>
      <c r="L171" t="s">
        <v>1500</v>
      </c>
      <c r="M171" t="s">
        <v>455</v>
      </c>
      <c r="N171" t="s">
        <v>0</v>
      </c>
      <c r="O171">
        <v>0</v>
      </c>
      <c r="P171">
        <v>0</v>
      </c>
      <c r="Q171">
        <v>0</v>
      </c>
      <c r="R171">
        <v>1</v>
      </c>
      <c r="S171">
        <v>8</v>
      </c>
      <c r="T171">
        <v>138</v>
      </c>
      <c r="U171" t="s">
        <v>513</v>
      </c>
      <c r="V171" t="s">
        <v>14</v>
      </c>
      <c r="W171" t="s">
        <v>1501</v>
      </c>
      <c r="X171" t="s">
        <v>458</v>
      </c>
      <c r="Y171" t="s">
        <v>899</v>
      </c>
      <c r="Z171" t="s">
        <v>1502</v>
      </c>
      <c r="AE171" s="96">
        <v>5</v>
      </c>
      <c r="AF171" s="92" t="s">
        <v>1184</v>
      </c>
      <c r="AG171" s="110"/>
      <c r="AH171" s="91" t="s">
        <v>1503</v>
      </c>
      <c r="AI171" s="92" t="s">
        <v>463</v>
      </c>
      <c r="AJ171" s="92" t="s">
        <v>1422</v>
      </c>
      <c r="AK171" s="92" t="s">
        <v>1504</v>
      </c>
      <c r="AL171" s="91" t="s">
        <v>1369</v>
      </c>
      <c r="AM171" s="91" t="b">
        <v>0</v>
      </c>
    </row>
    <row r="172" spans="1:39" x14ac:dyDescent="0.2">
      <c r="A172" t="s">
        <v>265</v>
      </c>
      <c r="B172" t="s">
        <v>1505</v>
      </c>
      <c r="C172" t="s">
        <v>449</v>
      </c>
      <c r="D172" s="85" t="s">
        <v>1506</v>
      </c>
      <c r="E172">
        <v>908488723</v>
      </c>
      <c r="F172" t="s">
        <v>0</v>
      </c>
      <c r="H172" t="s">
        <v>451</v>
      </c>
      <c r="J172" t="s">
        <v>1498</v>
      </c>
      <c r="K172" t="s">
        <v>1507</v>
      </c>
      <c r="L172" t="s">
        <v>1508</v>
      </c>
      <c r="M172" t="s">
        <v>455</v>
      </c>
      <c r="N172" t="s">
        <v>0</v>
      </c>
      <c r="O172">
        <v>0</v>
      </c>
      <c r="P172">
        <v>0</v>
      </c>
      <c r="Q172">
        <v>0</v>
      </c>
      <c r="R172">
        <v>1</v>
      </c>
      <c r="S172">
        <v>6</v>
      </c>
      <c r="T172">
        <v>131</v>
      </c>
      <c r="U172" t="s">
        <v>456</v>
      </c>
      <c r="V172" t="s">
        <v>14</v>
      </c>
      <c r="W172" t="s">
        <v>1509</v>
      </c>
      <c r="X172" t="s">
        <v>458</v>
      </c>
      <c r="Z172" t="s">
        <v>1502</v>
      </c>
      <c r="AE172" s="96">
        <v>5</v>
      </c>
      <c r="AF172" s="92" t="s">
        <v>460</v>
      </c>
      <c r="AG172" s="110" t="s">
        <v>1510</v>
      </c>
      <c r="AH172" s="91" t="s">
        <v>1511</v>
      </c>
      <c r="AI172" s="92" t="s">
        <v>485</v>
      </c>
      <c r="AJ172" s="92" t="s">
        <v>1330</v>
      </c>
      <c r="AK172" s="92" t="s">
        <v>1512</v>
      </c>
      <c r="AL172" s="91" t="s">
        <v>474</v>
      </c>
      <c r="AM172" s="91" t="b">
        <v>0</v>
      </c>
    </row>
    <row r="173" spans="1:39" x14ac:dyDescent="0.2">
      <c r="A173" t="s">
        <v>266</v>
      </c>
      <c r="B173" t="s">
        <v>1513</v>
      </c>
      <c r="C173" t="s">
        <v>449</v>
      </c>
      <c r="D173" s="85" t="s">
        <v>1514</v>
      </c>
      <c r="E173">
        <v>935717578</v>
      </c>
      <c r="F173" t="s">
        <v>0</v>
      </c>
      <c r="H173" t="s">
        <v>451</v>
      </c>
      <c r="J173" t="s">
        <v>1498</v>
      </c>
      <c r="K173" t="s">
        <v>1515</v>
      </c>
      <c r="L173" t="s">
        <v>1508</v>
      </c>
      <c r="M173" t="s">
        <v>455</v>
      </c>
      <c r="N173" t="s">
        <v>0</v>
      </c>
      <c r="O173">
        <v>0</v>
      </c>
      <c r="P173">
        <v>0</v>
      </c>
      <c r="Q173">
        <v>0</v>
      </c>
      <c r="R173">
        <v>1</v>
      </c>
      <c r="S173">
        <v>6</v>
      </c>
      <c r="T173">
        <v>138</v>
      </c>
      <c r="U173" t="s">
        <v>513</v>
      </c>
      <c r="V173" t="s">
        <v>14</v>
      </c>
      <c r="W173" t="s">
        <v>1516</v>
      </c>
      <c r="X173" t="s">
        <v>458</v>
      </c>
      <c r="Z173" t="s">
        <v>1502</v>
      </c>
      <c r="AE173" s="96">
        <v>5</v>
      </c>
      <c r="AF173" s="92" t="s">
        <v>460</v>
      </c>
      <c r="AG173" s="110"/>
      <c r="AH173" s="91" t="s">
        <v>1486</v>
      </c>
      <c r="AI173" s="92" t="s">
        <v>485</v>
      </c>
      <c r="AJ173" s="92" t="s">
        <v>1476</v>
      </c>
      <c r="AK173" s="92" t="s">
        <v>1517</v>
      </c>
      <c r="AL173" s="91" t="s">
        <v>474</v>
      </c>
      <c r="AM173" s="91" t="b">
        <v>0</v>
      </c>
    </row>
    <row r="174" spans="1:39" x14ac:dyDescent="0.2">
      <c r="A174" t="s">
        <v>267</v>
      </c>
      <c r="B174" t="s">
        <v>1518</v>
      </c>
      <c r="C174" t="s">
        <v>449</v>
      </c>
      <c r="D174" s="85" t="s">
        <v>1519</v>
      </c>
      <c r="E174">
        <v>984678726</v>
      </c>
      <c r="F174" t="s">
        <v>0</v>
      </c>
      <c r="H174" t="s">
        <v>451</v>
      </c>
      <c r="J174" t="s">
        <v>1498</v>
      </c>
      <c r="K174" t="s">
        <v>1515</v>
      </c>
      <c r="L174" t="s">
        <v>1508</v>
      </c>
      <c r="M174" t="s">
        <v>455</v>
      </c>
      <c r="N174" t="s">
        <v>0</v>
      </c>
      <c r="O174">
        <v>0</v>
      </c>
      <c r="P174">
        <v>0</v>
      </c>
      <c r="Q174">
        <v>0</v>
      </c>
      <c r="R174">
        <v>1</v>
      </c>
      <c r="S174">
        <v>6</v>
      </c>
      <c r="T174">
        <v>142</v>
      </c>
      <c r="U174" t="s">
        <v>513</v>
      </c>
      <c r="V174" t="s">
        <v>14</v>
      </c>
      <c r="W174" t="s">
        <v>1520</v>
      </c>
      <c r="X174" t="s">
        <v>458</v>
      </c>
      <c r="Z174" t="s">
        <v>1502</v>
      </c>
      <c r="AE174" s="96">
        <v>5</v>
      </c>
      <c r="AF174" s="92" t="s">
        <v>460</v>
      </c>
      <c r="AG174" s="110" t="s">
        <v>1521</v>
      </c>
      <c r="AH174" s="91" t="s">
        <v>1522</v>
      </c>
      <c r="AI174" s="92" t="s">
        <v>485</v>
      </c>
      <c r="AJ174" s="92" t="s">
        <v>1358</v>
      </c>
      <c r="AK174" s="92" t="s">
        <v>410</v>
      </c>
      <c r="AL174" s="91" t="s">
        <v>474</v>
      </c>
      <c r="AM174" s="91" t="b">
        <v>0</v>
      </c>
    </row>
    <row r="175" spans="1:39" x14ac:dyDescent="0.2">
      <c r="A175" t="s">
        <v>268</v>
      </c>
      <c r="B175" t="s">
        <v>1523</v>
      </c>
      <c r="C175" t="s">
        <v>449</v>
      </c>
      <c r="D175" s="1" t="s">
        <v>1524</v>
      </c>
      <c r="E175">
        <v>826900204</v>
      </c>
      <c r="F175" t="s">
        <v>0</v>
      </c>
      <c r="H175" t="s">
        <v>451</v>
      </c>
      <c r="I175" t="s">
        <v>1525</v>
      </c>
      <c r="J175" t="s">
        <v>1498</v>
      </c>
      <c r="K175" t="s">
        <v>1526</v>
      </c>
      <c r="L175" t="s">
        <v>1527</v>
      </c>
      <c r="M175" t="s">
        <v>455</v>
      </c>
      <c r="N175" t="s">
        <v>0</v>
      </c>
      <c r="O175">
        <v>0</v>
      </c>
      <c r="P175">
        <v>0</v>
      </c>
      <c r="Q175">
        <v>0</v>
      </c>
      <c r="R175">
        <v>1</v>
      </c>
      <c r="S175">
        <v>8</v>
      </c>
      <c r="T175">
        <v>131</v>
      </c>
      <c r="U175" t="s">
        <v>456</v>
      </c>
      <c r="V175" t="s">
        <v>14</v>
      </c>
      <c r="W175" t="s">
        <v>1528</v>
      </c>
      <c r="X175" t="s">
        <v>458</v>
      </c>
      <c r="Y175" t="s">
        <v>1529</v>
      </c>
      <c r="Z175" t="s">
        <v>1502</v>
      </c>
      <c r="AE175" s="96">
        <v>5</v>
      </c>
      <c r="AF175" s="92" t="s">
        <v>460</v>
      </c>
      <c r="AG175" s="110"/>
      <c r="AH175" s="91" t="s">
        <v>1530</v>
      </c>
      <c r="AI175" s="92" t="s">
        <v>485</v>
      </c>
      <c r="AJ175" s="92" t="s">
        <v>1428</v>
      </c>
      <c r="AK175" s="92" t="s">
        <v>1531</v>
      </c>
      <c r="AL175" s="91" t="s">
        <v>474</v>
      </c>
      <c r="AM175" s="91" t="b">
        <v>0</v>
      </c>
    </row>
    <row r="176" spans="1:39" x14ac:dyDescent="0.2">
      <c r="A176" t="s">
        <v>269</v>
      </c>
      <c r="B176" t="s">
        <v>1532</v>
      </c>
      <c r="C176" t="s">
        <v>449</v>
      </c>
      <c r="D176" s="85" t="s">
        <v>1533</v>
      </c>
      <c r="E176">
        <v>707205096</v>
      </c>
      <c r="F176" t="s">
        <v>0</v>
      </c>
      <c r="H176" t="s">
        <v>451</v>
      </c>
      <c r="J176" t="s">
        <v>1498</v>
      </c>
      <c r="K176" t="s">
        <v>1507</v>
      </c>
      <c r="L176" t="s">
        <v>1527</v>
      </c>
      <c r="M176" t="s">
        <v>455</v>
      </c>
      <c r="N176" t="s">
        <v>0</v>
      </c>
      <c r="O176">
        <v>0</v>
      </c>
      <c r="P176">
        <v>0</v>
      </c>
      <c r="Q176">
        <v>0</v>
      </c>
      <c r="R176">
        <v>1</v>
      </c>
      <c r="S176">
        <v>6</v>
      </c>
      <c r="T176">
        <v>130</v>
      </c>
      <c r="U176" t="s">
        <v>456</v>
      </c>
      <c r="V176" t="s">
        <v>14</v>
      </c>
      <c r="W176" t="s">
        <v>1534</v>
      </c>
      <c r="X176" t="s">
        <v>458</v>
      </c>
      <c r="Z176" t="s">
        <v>1502</v>
      </c>
      <c r="AE176" s="96">
        <v>5</v>
      </c>
      <c r="AF176" s="92" t="s">
        <v>1184</v>
      </c>
      <c r="AG176" s="110" t="s">
        <v>1535</v>
      </c>
      <c r="AH176" s="91" t="s">
        <v>1536</v>
      </c>
      <c r="AI176" s="92" t="s">
        <v>485</v>
      </c>
      <c r="AJ176" s="92" t="s">
        <v>1489</v>
      </c>
      <c r="AK176" s="92" t="s">
        <v>1537</v>
      </c>
      <c r="AL176" s="91" t="s">
        <v>1369</v>
      </c>
      <c r="AM176" s="91" t="b">
        <v>0</v>
      </c>
    </row>
    <row r="177" spans="1:39" x14ac:dyDescent="0.2">
      <c r="A177" t="s">
        <v>270</v>
      </c>
      <c r="B177" t="s">
        <v>1538</v>
      </c>
      <c r="C177" t="s">
        <v>449</v>
      </c>
      <c r="D177" s="85" t="s">
        <v>1539</v>
      </c>
      <c r="E177">
        <v>968080085</v>
      </c>
      <c r="F177" t="s">
        <v>0</v>
      </c>
      <c r="H177" t="s">
        <v>451</v>
      </c>
      <c r="J177" t="s">
        <v>1498</v>
      </c>
      <c r="K177" t="s">
        <v>1507</v>
      </c>
      <c r="L177" t="s">
        <v>1527</v>
      </c>
      <c r="M177" t="s">
        <v>455</v>
      </c>
      <c r="N177" t="s">
        <v>0</v>
      </c>
      <c r="O177">
        <v>0</v>
      </c>
      <c r="P177">
        <v>0</v>
      </c>
      <c r="Q177">
        <v>0</v>
      </c>
      <c r="R177">
        <v>1</v>
      </c>
      <c r="S177">
        <v>6</v>
      </c>
      <c r="T177">
        <v>139</v>
      </c>
      <c r="U177" t="s">
        <v>513</v>
      </c>
      <c r="V177" t="s">
        <v>14</v>
      </c>
      <c r="W177" t="s">
        <v>1540</v>
      </c>
      <c r="X177" t="s">
        <v>458</v>
      </c>
      <c r="Z177" t="s">
        <v>1502</v>
      </c>
      <c r="AE177" s="96">
        <v>5</v>
      </c>
      <c r="AF177" s="92" t="s">
        <v>1184</v>
      </c>
      <c r="AG177" s="110"/>
      <c r="AH177" s="91" t="s">
        <v>1541</v>
      </c>
      <c r="AI177" s="92" t="s">
        <v>485</v>
      </c>
      <c r="AJ177" s="92" t="s">
        <v>1382</v>
      </c>
      <c r="AK177" s="92" t="s">
        <v>1542</v>
      </c>
      <c r="AL177" s="91" t="s">
        <v>1369</v>
      </c>
      <c r="AM177" s="91" t="b">
        <v>0</v>
      </c>
    </row>
    <row r="178" spans="1:39" x14ac:dyDescent="0.2">
      <c r="A178" t="s">
        <v>271</v>
      </c>
      <c r="B178" t="s">
        <v>1543</v>
      </c>
      <c r="C178" t="s">
        <v>449</v>
      </c>
      <c r="D178" s="85" t="s">
        <v>1544</v>
      </c>
      <c r="E178">
        <v>372015192</v>
      </c>
      <c r="F178" t="s">
        <v>0</v>
      </c>
      <c r="H178" t="s">
        <v>451</v>
      </c>
      <c r="J178" t="s">
        <v>1498</v>
      </c>
      <c r="K178" t="s">
        <v>1515</v>
      </c>
      <c r="L178" t="s">
        <v>1545</v>
      </c>
      <c r="M178" t="s">
        <v>455</v>
      </c>
      <c r="N178" t="s">
        <v>0</v>
      </c>
      <c r="O178">
        <v>0</v>
      </c>
      <c r="P178">
        <v>0</v>
      </c>
      <c r="Q178">
        <v>0</v>
      </c>
      <c r="R178">
        <v>1</v>
      </c>
      <c r="S178">
        <v>6</v>
      </c>
      <c r="T178">
        <v>140</v>
      </c>
      <c r="U178" t="s">
        <v>513</v>
      </c>
      <c r="V178" t="s">
        <v>14</v>
      </c>
      <c r="W178" t="s">
        <v>1546</v>
      </c>
      <c r="X178" t="s">
        <v>458</v>
      </c>
      <c r="Z178" t="s">
        <v>1502</v>
      </c>
      <c r="AE178" s="96">
        <v>5</v>
      </c>
      <c r="AF178" s="92" t="s">
        <v>460</v>
      </c>
      <c r="AG178" s="110" t="s">
        <v>1547</v>
      </c>
      <c r="AH178" s="91" t="s">
        <v>1548</v>
      </c>
      <c r="AI178" s="92" t="s">
        <v>485</v>
      </c>
      <c r="AJ178" s="92" t="s">
        <v>1352</v>
      </c>
      <c r="AK178" s="92" t="s">
        <v>1549</v>
      </c>
      <c r="AL178" s="91" t="s">
        <v>474</v>
      </c>
      <c r="AM178" s="91" t="b">
        <v>0</v>
      </c>
    </row>
    <row r="179" spans="1:39" x14ac:dyDescent="0.2">
      <c r="A179" t="s">
        <v>272</v>
      </c>
      <c r="B179" t="s">
        <v>1550</v>
      </c>
      <c r="C179" t="s">
        <v>449</v>
      </c>
      <c r="D179" s="85" t="s">
        <v>1551</v>
      </c>
      <c r="E179">
        <v>352176769</v>
      </c>
      <c r="F179" t="s">
        <v>0</v>
      </c>
      <c r="H179" t="s">
        <v>451</v>
      </c>
      <c r="J179" t="s">
        <v>1498</v>
      </c>
      <c r="K179" t="s">
        <v>1515</v>
      </c>
      <c r="L179" t="s">
        <v>1545</v>
      </c>
      <c r="M179" t="s">
        <v>455</v>
      </c>
      <c r="N179" t="s">
        <v>0</v>
      </c>
      <c r="O179">
        <v>0</v>
      </c>
      <c r="P179">
        <v>0</v>
      </c>
      <c r="Q179">
        <v>0</v>
      </c>
      <c r="R179">
        <v>1</v>
      </c>
      <c r="S179">
        <v>6</v>
      </c>
      <c r="T179">
        <v>137</v>
      </c>
      <c r="U179" t="s">
        <v>513</v>
      </c>
      <c r="V179" t="s">
        <v>14</v>
      </c>
      <c r="W179" t="s">
        <v>1552</v>
      </c>
      <c r="X179" t="s">
        <v>458</v>
      </c>
      <c r="Z179" t="s">
        <v>1502</v>
      </c>
      <c r="AE179" s="96">
        <v>5</v>
      </c>
      <c r="AF179" s="92" t="s">
        <v>460</v>
      </c>
      <c r="AG179" s="110"/>
      <c r="AH179" s="91" t="s">
        <v>1553</v>
      </c>
      <c r="AI179" s="92" t="s">
        <v>485</v>
      </c>
      <c r="AJ179" s="92" t="s">
        <v>1299</v>
      </c>
      <c r="AK179" s="92" t="s">
        <v>1554</v>
      </c>
      <c r="AL179" s="91" t="s">
        <v>474</v>
      </c>
      <c r="AM179" s="91" t="b">
        <v>0</v>
      </c>
    </row>
    <row r="180" spans="1:39" x14ac:dyDescent="0.2">
      <c r="A180" t="s">
        <v>273</v>
      </c>
      <c r="B180" t="s">
        <v>1555</v>
      </c>
      <c r="C180" t="s">
        <v>449</v>
      </c>
      <c r="D180" s="85" t="s">
        <v>1556</v>
      </c>
      <c r="E180">
        <v>903322044</v>
      </c>
      <c r="F180" t="s">
        <v>0</v>
      </c>
      <c r="H180" t="s">
        <v>451</v>
      </c>
      <c r="J180" t="s">
        <v>1498</v>
      </c>
      <c r="K180" t="s">
        <v>1515</v>
      </c>
      <c r="L180" t="s">
        <v>1545</v>
      </c>
      <c r="M180" t="s">
        <v>455</v>
      </c>
      <c r="N180" t="s">
        <v>0</v>
      </c>
      <c r="O180">
        <v>0</v>
      </c>
      <c r="P180">
        <v>0</v>
      </c>
      <c r="Q180">
        <v>0</v>
      </c>
      <c r="R180">
        <v>1</v>
      </c>
      <c r="S180">
        <v>6</v>
      </c>
      <c r="T180">
        <v>141</v>
      </c>
      <c r="U180" t="s">
        <v>513</v>
      </c>
      <c r="V180" t="s">
        <v>14</v>
      </c>
      <c r="W180" t="s">
        <v>1557</v>
      </c>
      <c r="X180" t="s">
        <v>458</v>
      </c>
      <c r="Z180" t="s">
        <v>1502</v>
      </c>
      <c r="AE180" s="97">
        <v>6</v>
      </c>
      <c r="AF180" s="92" t="s">
        <v>460</v>
      </c>
      <c r="AG180" s="110" t="s">
        <v>1558</v>
      </c>
      <c r="AH180" s="91" t="s">
        <v>1559</v>
      </c>
      <c r="AI180" s="92" t="s">
        <v>485</v>
      </c>
      <c r="AJ180" s="92" t="s">
        <v>1560</v>
      </c>
      <c r="AK180" s="92" t="s">
        <v>1561</v>
      </c>
      <c r="AL180" s="91" t="s">
        <v>1562</v>
      </c>
      <c r="AM180" s="91" t="b">
        <v>0</v>
      </c>
    </row>
    <row r="181" spans="1:39" x14ac:dyDescent="0.2">
      <c r="A181" t="s">
        <v>274</v>
      </c>
      <c r="B181" t="s">
        <v>1563</v>
      </c>
      <c r="C181" t="s">
        <v>449</v>
      </c>
      <c r="D181" s="85" t="s">
        <v>1564</v>
      </c>
      <c r="E181">
        <v>918597387</v>
      </c>
      <c r="F181" t="s">
        <v>0</v>
      </c>
      <c r="H181" t="s">
        <v>451</v>
      </c>
      <c r="J181" t="s">
        <v>1498</v>
      </c>
      <c r="K181" t="s">
        <v>1515</v>
      </c>
      <c r="L181" t="s">
        <v>1545</v>
      </c>
      <c r="M181" t="s">
        <v>455</v>
      </c>
      <c r="N181" t="s">
        <v>0</v>
      </c>
      <c r="O181">
        <v>0</v>
      </c>
      <c r="P181">
        <v>0</v>
      </c>
      <c r="Q181">
        <v>0</v>
      </c>
      <c r="R181">
        <v>1</v>
      </c>
      <c r="S181">
        <v>6</v>
      </c>
      <c r="T181">
        <v>130</v>
      </c>
      <c r="U181" t="s">
        <v>456</v>
      </c>
      <c r="V181" t="s">
        <v>14</v>
      </c>
      <c r="W181" t="s">
        <v>1565</v>
      </c>
      <c r="X181" t="s">
        <v>458</v>
      </c>
      <c r="Z181" t="s">
        <v>1417</v>
      </c>
      <c r="AE181" s="97">
        <v>6</v>
      </c>
      <c r="AF181" s="92" t="s">
        <v>460</v>
      </c>
      <c r="AG181" s="110"/>
      <c r="AH181" s="91" t="s">
        <v>1566</v>
      </c>
      <c r="AI181" s="92" t="s">
        <v>485</v>
      </c>
      <c r="AJ181" s="92" t="s">
        <v>1567</v>
      </c>
      <c r="AK181" s="92" t="s">
        <v>1568</v>
      </c>
      <c r="AL181" s="91" t="s">
        <v>474</v>
      </c>
      <c r="AM181" s="91" t="b">
        <v>0</v>
      </c>
    </row>
    <row r="182" spans="1:39" x14ac:dyDescent="0.2">
      <c r="A182" t="s">
        <v>275</v>
      </c>
      <c r="B182" t="s">
        <v>1569</v>
      </c>
      <c r="C182" t="s">
        <v>449</v>
      </c>
      <c r="D182" s="85" t="s">
        <v>1570</v>
      </c>
      <c r="E182">
        <v>985752395</v>
      </c>
      <c r="F182" t="s">
        <v>0</v>
      </c>
      <c r="H182" t="s">
        <v>451</v>
      </c>
      <c r="J182" t="s">
        <v>1498</v>
      </c>
      <c r="K182" t="s">
        <v>1515</v>
      </c>
      <c r="L182" t="s">
        <v>1545</v>
      </c>
      <c r="M182" t="s">
        <v>455</v>
      </c>
      <c r="N182" t="s">
        <v>0</v>
      </c>
      <c r="O182">
        <v>0</v>
      </c>
      <c r="P182">
        <v>0</v>
      </c>
      <c r="Q182">
        <v>0</v>
      </c>
      <c r="R182">
        <v>1</v>
      </c>
      <c r="S182">
        <v>6</v>
      </c>
      <c r="T182">
        <v>140</v>
      </c>
      <c r="U182" t="s">
        <v>513</v>
      </c>
      <c r="V182" t="s">
        <v>14</v>
      </c>
      <c r="W182" t="s">
        <v>1571</v>
      </c>
      <c r="X182" t="s">
        <v>458</v>
      </c>
      <c r="Z182" t="s">
        <v>1417</v>
      </c>
      <c r="AE182" s="97">
        <v>6</v>
      </c>
      <c r="AF182" s="92" t="s">
        <v>460</v>
      </c>
      <c r="AG182" s="110" t="s">
        <v>1572</v>
      </c>
      <c r="AH182" s="91" t="s">
        <v>1573</v>
      </c>
      <c r="AI182" s="92" t="s">
        <v>463</v>
      </c>
      <c r="AJ182" s="92" t="s">
        <v>1574</v>
      </c>
      <c r="AK182" s="92" t="s">
        <v>1575</v>
      </c>
      <c r="AL182" s="91" t="s">
        <v>474</v>
      </c>
      <c r="AM182" s="91" t="b">
        <v>0</v>
      </c>
    </row>
    <row r="183" spans="1:39" x14ac:dyDescent="0.2">
      <c r="A183" t="s">
        <v>276</v>
      </c>
      <c r="B183" t="s">
        <v>1576</v>
      </c>
      <c r="C183" t="s">
        <v>449</v>
      </c>
      <c r="D183" s="85" t="s">
        <v>1577</v>
      </c>
      <c r="E183">
        <v>934181732</v>
      </c>
      <c r="F183" t="s">
        <v>0</v>
      </c>
      <c r="H183" t="s">
        <v>451</v>
      </c>
      <c r="J183" t="s">
        <v>1498</v>
      </c>
      <c r="K183" t="s">
        <v>1515</v>
      </c>
      <c r="L183" t="s">
        <v>1545</v>
      </c>
      <c r="M183" t="s">
        <v>455</v>
      </c>
      <c r="N183" t="s">
        <v>0</v>
      </c>
      <c r="O183">
        <v>0</v>
      </c>
      <c r="P183">
        <v>0</v>
      </c>
      <c r="Q183">
        <v>0</v>
      </c>
      <c r="R183">
        <v>1</v>
      </c>
      <c r="S183">
        <v>6</v>
      </c>
      <c r="T183">
        <v>141</v>
      </c>
      <c r="U183" t="s">
        <v>513</v>
      </c>
      <c r="V183" t="s">
        <v>14</v>
      </c>
      <c r="W183" t="s">
        <v>1578</v>
      </c>
      <c r="X183" t="s">
        <v>458</v>
      </c>
      <c r="Z183" t="s">
        <v>1417</v>
      </c>
      <c r="AE183" s="97">
        <v>6</v>
      </c>
      <c r="AF183" s="92" t="s">
        <v>460</v>
      </c>
      <c r="AG183" s="110"/>
      <c r="AH183" s="91" t="s">
        <v>1579</v>
      </c>
      <c r="AI183" s="92" t="s">
        <v>463</v>
      </c>
      <c r="AJ183" s="92" t="s">
        <v>1580</v>
      </c>
      <c r="AK183" s="92" t="s">
        <v>1581</v>
      </c>
      <c r="AL183" s="91" t="s">
        <v>474</v>
      </c>
      <c r="AM183" s="91" t="b">
        <v>0</v>
      </c>
    </row>
    <row r="184" spans="1:39" x14ac:dyDescent="0.2">
      <c r="A184" t="s">
        <v>277</v>
      </c>
      <c r="B184" t="s">
        <v>1582</v>
      </c>
      <c r="C184" t="s">
        <v>449</v>
      </c>
      <c r="D184" s="85" t="s">
        <v>1583</v>
      </c>
      <c r="E184">
        <v>964072710</v>
      </c>
      <c r="F184" t="s">
        <v>0</v>
      </c>
      <c r="H184" t="s">
        <v>451</v>
      </c>
      <c r="J184" t="s">
        <v>1498</v>
      </c>
      <c r="K184" t="s">
        <v>1515</v>
      </c>
      <c r="L184" t="s">
        <v>1545</v>
      </c>
      <c r="M184" t="s">
        <v>455</v>
      </c>
      <c r="N184" t="s">
        <v>0</v>
      </c>
      <c r="O184">
        <v>0</v>
      </c>
      <c r="P184">
        <v>0</v>
      </c>
      <c r="Q184">
        <v>0</v>
      </c>
      <c r="R184">
        <v>1</v>
      </c>
      <c r="S184">
        <v>6</v>
      </c>
      <c r="T184">
        <v>142</v>
      </c>
      <c r="U184" t="s">
        <v>513</v>
      </c>
      <c r="V184" t="s">
        <v>14</v>
      </c>
      <c r="W184" t="s">
        <v>1584</v>
      </c>
      <c r="X184" t="s">
        <v>458</v>
      </c>
      <c r="Z184" t="s">
        <v>1417</v>
      </c>
      <c r="AE184" s="97">
        <v>6</v>
      </c>
      <c r="AF184" s="92" t="s">
        <v>460</v>
      </c>
      <c r="AG184" s="110" t="s">
        <v>1585</v>
      </c>
      <c r="AH184" s="91" t="s">
        <v>1586</v>
      </c>
      <c r="AI184" s="92" t="s">
        <v>463</v>
      </c>
      <c r="AJ184" s="92" t="s">
        <v>1587</v>
      </c>
      <c r="AK184" s="92" t="s">
        <v>1588</v>
      </c>
      <c r="AL184" s="91" t="s">
        <v>1589</v>
      </c>
      <c r="AM184" s="91" t="b">
        <v>0</v>
      </c>
    </row>
    <row r="185" spans="1:39" x14ac:dyDescent="0.2">
      <c r="A185" t="s">
        <v>278</v>
      </c>
      <c r="B185" t="s">
        <v>1590</v>
      </c>
      <c r="C185" t="s">
        <v>449</v>
      </c>
      <c r="D185" s="85" t="s">
        <v>1591</v>
      </c>
      <c r="E185">
        <v>362685720</v>
      </c>
      <c r="F185" t="s">
        <v>0</v>
      </c>
      <c r="H185" t="s">
        <v>451</v>
      </c>
      <c r="J185" t="s">
        <v>1498</v>
      </c>
      <c r="K185" t="s">
        <v>1515</v>
      </c>
      <c r="L185" t="s">
        <v>1545</v>
      </c>
      <c r="M185" t="s">
        <v>455</v>
      </c>
      <c r="N185" t="s">
        <v>0</v>
      </c>
      <c r="O185">
        <v>0</v>
      </c>
      <c r="P185">
        <v>0</v>
      </c>
      <c r="Q185">
        <v>0</v>
      </c>
      <c r="R185">
        <v>1</v>
      </c>
      <c r="S185">
        <v>6</v>
      </c>
      <c r="T185">
        <v>139</v>
      </c>
      <c r="U185" t="s">
        <v>513</v>
      </c>
      <c r="V185" t="s">
        <v>14</v>
      </c>
      <c r="W185" t="s">
        <v>1592</v>
      </c>
      <c r="X185" t="s">
        <v>458</v>
      </c>
      <c r="Z185" t="s">
        <v>1417</v>
      </c>
      <c r="AE185" s="97">
        <v>6</v>
      </c>
      <c r="AF185" s="92" t="s">
        <v>460</v>
      </c>
      <c r="AG185" s="110"/>
      <c r="AH185" s="91" t="s">
        <v>1593</v>
      </c>
      <c r="AI185" s="92" t="s">
        <v>463</v>
      </c>
      <c r="AJ185" s="92" t="s">
        <v>1594</v>
      </c>
      <c r="AK185" s="92" t="s">
        <v>1595</v>
      </c>
      <c r="AL185" s="91" t="s">
        <v>474</v>
      </c>
      <c r="AM185" s="91" t="b">
        <v>0</v>
      </c>
    </row>
    <row r="186" spans="1:39" x14ac:dyDescent="0.2">
      <c r="A186" t="s">
        <v>279</v>
      </c>
      <c r="B186" t="s">
        <v>1596</v>
      </c>
      <c r="C186" t="s">
        <v>449</v>
      </c>
      <c r="D186" s="1" t="s">
        <v>1597</v>
      </c>
      <c r="E186">
        <v>909857832</v>
      </c>
      <c r="F186" t="s">
        <v>0</v>
      </c>
      <c r="H186" t="s">
        <v>451</v>
      </c>
      <c r="J186" t="s">
        <v>1498</v>
      </c>
      <c r="K186" t="s">
        <v>1515</v>
      </c>
      <c r="L186" t="s">
        <v>1598</v>
      </c>
      <c r="M186" t="s">
        <v>455</v>
      </c>
      <c r="N186" t="s">
        <v>0</v>
      </c>
      <c r="O186">
        <v>0</v>
      </c>
      <c r="P186">
        <v>0</v>
      </c>
      <c r="Q186">
        <v>0</v>
      </c>
      <c r="R186">
        <v>1</v>
      </c>
      <c r="S186">
        <v>6</v>
      </c>
      <c r="T186">
        <v>137</v>
      </c>
      <c r="U186" t="s">
        <v>513</v>
      </c>
      <c r="V186" t="s">
        <v>14</v>
      </c>
      <c r="W186" t="s">
        <v>1599</v>
      </c>
      <c r="X186" t="s">
        <v>458</v>
      </c>
      <c r="Z186" t="s">
        <v>1417</v>
      </c>
      <c r="AE186" s="97">
        <v>6</v>
      </c>
      <c r="AF186" s="92" t="s">
        <v>460</v>
      </c>
      <c r="AG186" s="84" t="s">
        <v>1600</v>
      </c>
      <c r="AH186" s="91" t="s">
        <v>1601</v>
      </c>
      <c r="AI186" s="92" t="s">
        <v>463</v>
      </c>
      <c r="AJ186" s="92" t="s">
        <v>1602</v>
      </c>
      <c r="AK186" s="92" t="s">
        <v>412</v>
      </c>
      <c r="AL186" s="91" t="s">
        <v>1603</v>
      </c>
      <c r="AM186" s="91" t="b">
        <v>0</v>
      </c>
    </row>
    <row r="187" spans="1:39" x14ac:dyDescent="0.2">
      <c r="A187" t="s">
        <v>280</v>
      </c>
      <c r="B187" t="s">
        <v>1604</v>
      </c>
      <c r="C187" t="s">
        <v>449</v>
      </c>
      <c r="D187" s="85" t="s">
        <v>1605</v>
      </c>
      <c r="E187">
        <v>328971812</v>
      </c>
      <c r="F187" t="s">
        <v>0</v>
      </c>
      <c r="H187" t="s">
        <v>451</v>
      </c>
      <c r="J187" t="s">
        <v>1498</v>
      </c>
      <c r="K187" t="s">
        <v>1515</v>
      </c>
      <c r="L187" t="s">
        <v>1598</v>
      </c>
      <c r="M187" t="s">
        <v>455</v>
      </c>
      <c r="N187" t="s">
        <v>0</v>
      </c>
      <c r="O187">
        <v>0</v>
      </c>
      <c r="P187">
        <v>0</v>
      </c>
      <c r="Q187">
        <v>0</v>
      </c>
      <c r="R187">
        <v>1</v>
      </c>
      <c r="S187">
        <v>6</v>
      </c>
      <c r="T187">
        <v>136</v>
      </c>
      <c r="U187" t="s">
        <v>513</v>
      </c>
      <c r="V187" t="s">
        <v>14</v>
      </c>
      <c r="W187" t="s">
        <v>1606</v>
      </c>
      <c r="X187" t="s">
        <v>458</v>
      </c>
      <c r="Z187" t="s">
        <v>1417</v>
      </c>
      <c r="AE187" s="97">
        <v>6</v>
      </c>
      <c r="AF187" s="92" t="s">
        <v>460</v>
      </c>
      <c r="AG187" s="110" t="s">
        <v>1607</v>
      </c>
      <c r="AH187" s="91" t="s">
        <v>1608</v>
      </c>
      <c r="AI187" s="92" t="s">
        <v>463</v>
      </c>
      <c r="AJ187" s="92" t="s">
        <v>1609</v>
      </c>
      <c r="AK187" s="92" t="s">
        <v>1610</v>
      </c>
      <c r="AL187" s="91" t="s">
        <v>674</v>
      </c>
      <c r="AM187" s="91" t="b">
        <v>0</v>
      </c>
    </row>
    <row r="188" spans="1:39" x14ac:dyDescent="0.2">
      <c r="A188" t="s">
        <v>281</v>
      </c>
      <c r="B188" t="s">
        <v>1611</v>
      </c>
      <c r="C188" t="s">
        <v>449</v>
      </c>
      <c r="D188" s="85" t="s">
        <v>1612</v>
      </c>
      <c r="E188">
        <v>979622203</v>
      </c>
      <c r="F188" t="s">
        <v>0</v>
      </c>
      <c r="H188" t="s">
        <v>1137</v>
      </c>
      <c r="J188" t="s">
        <v>1498</v>
      </c>
      <c r="K188" t="s">
        <v>1515</v>
      </c>
      <c r="L188" t="s">
        <v>1598</v>
      </c>
      <c r="M188" t="s">
        <v>455</v>
      </c>
      <c r="N188" t="s">
        <v>0</v>
      </c>
      <c r="O188">
        <v>0</v>
      </c>
      <c r="P188">
        <v>0</v>
      </c>
      <c r="Q188">
        <v>0</v>
      </c>
      <c r="R188">
        <v>1</v>
      </c>
      <c r="T188">
        <v>136</v>
      </c>
      <c r="U188" t="s">
        <v>513</v>
      </c>
      <c r="V188" t="s">
        <v>14</v>
      </c>
      <c r="W188" t="s">
        <v>1613</v>
      </c>
      <c r="X188" t="s">
        <v>0</v>
      </c>
      <c r="Y188" t="s">
        <v>1369</v>
      </c>
      <c r="Z188" t="s">
        <v>1417</v>
      </c>
      <c r="AE188" s="97">
        <v>6</v>
      </c>
      <c r="AF188" s="92" t="s">
        <v>460</v>
      </c>
      <c r="AG188" s="110"/>
      <c r="AH188" s="91" t="s">
        <v>1614</v>
      </c>
      <c r="AI188" s="92" t="s">
        <v>463</v>
      </c>
      <c r="AJ188" s="92" t="s">
        <v>1615</v>
      </c>
      <c r="AK188" s="92" t="s">
        <v>1616</v>
      </c>
      <c r="AL188" s="91" t="s">
        <v>474</v>
      </c>
      <c r="AM188" s="91" t="b">
        <v>0</v>
      </c>
    </row>
    <row r="189" spans="1:39" ht="32" x14ac:dyDescent="0.2">
      <c r="A189" t="s">
        <v>282</v>
      </c>
      <c r="B189" t="s">
        <v>1617</v>
      </c>
      <c r="C189" t="s">
        <v>449</v>
      </c>
      <c r="D189" s="85" t="s">
        <v>1618</v>
      </c>
      <c r="E189">
        <v>792909998</v>
      </c>
      <c r="F189" t="s">
        <v>0</v>
      </c>
      <c r="H189" t="s">
        <v>451</v>
      </c>
      <c r="I189" s="11" t="s">
        <v>1619</v>
      </c>
      <c r="J189" t="s">
        <v>1498</v>
      </c>
      <c r="K189" t="s">
        <v>1526</v>
      </c>
      <c r="L189" t="s">
        <v>1620</v>
      </c>
      <c r="M189" t="s">
        <v>455</v>
      </c>
      <c r="N189" t="s">
        <v>0</v>
      </c>
      <c r="O189">
        <v>0</v>
      </c>
      <c r="P189">
        <v>0</v>
      </c>
      <c r="Q189">
        <v>0</v>
      </c>
      <c r="R189">
        <v>1</v>
      </c>
      <c r="S189">
        <v>6</v>
      </c>
      <c r="T189">
        <v>135</v>
      </c>
      <c r="U189" t="s">
        <v>513</v>
      </c>
      <c r="V189" t="s">
        <v>14</v>
      </c>
      <c r="W189" t="s">
        <v>1621</v>
      </c>
      <c r="X189" t="s">
        <v>458</v>
      </c>
      <c r="Z189" t="s">
        <v>1417</v>
      </c>
      <c r="AE189" s="97">
        <v>6</v>
      </c>
      <c r="AF189" s="92" t="s">
        <v>460</v>
      </c>
      <c r="AG189" s="110" t="s">
        <v>1622</v>
      </c>
      <c r="AH189" s="91" t="s">
        <v>1623</v>
      </c>
      <c r="AI189" s="92" t="s">
        <v>463</v>
      </c>
      <c r="AJ189" s="92" t="s">
        <v>1533</v>
      </c>
      <c r="AK189" s="92" t="s">
        <v>1624</v>
      </c>
      <c r="AL189" s="91" t="s">
        <v>474</v>
      </c>
      <c r="AM189" s="91" t="b">
        <v>0</v>
      </c>
    </row>
    <row r="190" spans="1:39" ht="32" x14ac:dyDescent="0.2">
      <c r="A190" t="s">
        <v>283</v>
      </c>
      <c r="B190" t="s">
        <v>1625</v>
      </c>
      <c r="C190" t="s">
        <v>449</v>
      </c>
      <c r="D190" s="86" t="s">
        <v>1626</v>
      </c>
      <c r="E190">
        <v>948912119</v>
      </c>
      <c r="F190" t="s">
        <v>458</v>
      </c>
      <c r="G190" s="11" t="s">
        <v>284</v>
      </c>
      <c r="H190" t="s">
        <v>451</v>
      </c>
      <c r="J190" t="s">
        <v>1498</v>
      </c>
      <c r="K190" t="s">
        <v>1627</v>
      </c>
      <c r="L190" t="s">
        <v>1628</v>
      </c>
      <c r="M190" t="s">
        <v>455</v>
      </c>
      <c r="N190" t="s">
        <v>458</v>
      </c>
      <c r="O190">
        <v>1</v>
      </c>
      <c r="P190">
        <v>1</v>
      </c>
      <c r="Q190">
        <v>2</v>
      </c>
      <c r="R190">
        <v>3</v>
      </c>
      <c r="S190">
        <v>6</v>
      </c>
      <c r="T190">
        <v>143</v>
      </c>
      <c r="U190" t="s">
        <v>513</v>
      </c>
      <c r="V190" t="s">
        <v>14</v>
      </c>
      <c r="W190" t="s">
        <v>1629</v>
      </c>
      <c r="X190" t="s">
        <v>458</v>
      </c>
      <c r="Z190" t="s">
        <v>1630</v>
      </c>
      <c r="AE190" s="97">
        <v>6</v>
      </c>
      <c r="AF190" s="92" t="s">
        <v>460</v>
      </c>
      <c r="AG190" s="110"/>
      <c r="AH190" s="91" t="s">
        <v>1631</v>
      </c>
      <c r="AI190" s="92" t="s">
        <v>463</v>
      </c>
      <c r="AJ190" s="92" t="s">
        <v>1564</v>
      </c>
      <c r="AK190" s="92" t="s">
        <v>1632</v>
      </c>
      <c r="AL190" s="91" t="s">
        <v>474</v>
      </c>
      <c r="AM190" s="91" t="b">
        <v>0</v>
      </c>
    </row>
    <row r="191" spans="1:39" x14ac:dyDescent="0.2">
      <c r="A191" t="s">
        <v>285</v>
      </c>
      <c r="B191" t="s">
        <v>1633</v>
      </c>
      <c r="C191" t="s">
        <v>449</v>
      </c>
      <c r="D191" s="85" t="s">
        <v>1615</v>
      </c>
      <c r="E191">
        <v>852489626</v>
      </c>
      <c r="F191" t="s">
        <v>0</v>
      </c>
      <c r="H191" t="s">
        <v>451</v>
      </c>
      <c r="J191" t="s">
        <v>1498</v>
      </c>
      <c r="K191" t="s">
        <v>1507</v>
      </c>
      <c r="L191" t="s">
        <v>1634</v>
      </c>
      <c r="M191" t="s">
        <v>455</v>
      </c>
      <c r="N191" t="s">
        <v>0</v>
      </c>
      <c r="O191">
        <v>0</v>
      </c>
      <c r="P191">
        <v>0</v>
      </c>
      <c r="Q191">
        <v>0</v>
      </c>
      <c r="R191">
        <v>1</v>
      </c>
      <c r="S191">
        <v>6</v>
      </c>
      <c r="T191">
        <v>129</v>
      </c>
      <c r="U191" t="s">
        <v>456</v>
      </c>
      <c r="V191" t="s">
        <v>14</v>
      </c>
      <c r="W191" t="s">
        <v>1635</v>
      </c>
      <c r="X191" t="s">
        <v>458</v>
      </c>
      <c r="Z191" t="s">
        <v>1636</v>
      </c>
      <c r="AE191" s="97">
        <v>6</v>
      </c>
      <c r="AF191" s="92" t="s">
        <v>460</v>
      </c>
      <c r="AG191" s="110" t="s">
        <v>1637</v>
      </c>
      <c r="AH191" s="91" t="s">
        <v>1638</v>
      </c>
      <c r="AI191" s="92" t="s">
        <v>463</v>
      </c>
      <c r="AJ191" s="92" t="s">
        <v>1506</v>
      </c>
      <c r="AK191" s="92" t="s">
        <v>1639</v>
      </c>
      <c r="AL191" s="91" t="s">
        <v>474</v>
      </c>
      <c r="AM191" s="91" t="b">
        <v>0</v>
      </c>
    </row>
    <row r="192" spans="1:39" x14ac:dyDescent="0.2">
      <c r="A192" t="s">
        <v>286</v>
      </c>
      <c r="B192" t="s">
        <v>1640</v>
      </c>
      <c r="C192" t="s">
        <v>449</v>
      </c>
      <c r="D192" s="85" t="s">
        <v>1641</v>
      </c>
      <c r="E192">
        <v>938004161</v>
      </c>
      <c r="F192" t="s">
        <v>0</v>
      </c>
      <c r="H192" t="s">
        <v>451</v>
      </c>
      <c r="I192" t="s">
        <v>1642</v>
      </c>
      <c r="J192" t="s">
        <v>1498</v>
      </c>
      <c r="K192" t="s">
        <v>1526</v>
      </c>
      <c r="L192" t="s">
        <v>1634</v>
      </c>
      <c r="M192" t="s">
        <v>455</v>
      </c>
      <c r="N192" t="s">
        <v>0</v>
      </c>
      <c r="O192">
        <v>0</v>
      </c>
      <c r="P192">
        <v>0</v>
      </c>
      <c r="Q192">
        <v>0</v>
      </c>
      <c r="R192">
        <v>1</v>
      </c>
      <c r="S192">
        <v>6</v>
      </c>
      <c r="T192">
        <v>144</v>
      </c>
      <c r="U192" t="s">
        <v>513</v>
      </c>
      <c r="V192" t="s">
        <v>14</v>
      </c>
      <c r="W192" t="s">
        <v>1643</v>
      </c>
      <c r="X192" t="s">
        <v>458</v>
      </c>
      <c r="Z192" t="s">
        <v>1636</v>
      </c>
      <c r="AE192" s="97">
        <v>6</v>
      </c>
      <c r="AF192" s="92" t="s">
        <v>460</v>
      </c>
      <c r="AG192" s="110"/>
      <c r="AH192" s="91" t="s">
        <v>1644</v>
      </c>
      <c r="AI192" s="92" t="s">
        <v>463</v>
      </c>
      <c r="AJ192" s="92" t="s">
        <v>1524</v>
      </c>
      <c r="AK192" s="92" t="s">
        <v>1645</v>
      </c>
      <c r="AL192" s="91" t="s">
        <v>474</v>
      </c>
      <c r="AM192" s="91" t="b">
        <v>0</v>
      </c>
    </row>
    <row r="193" spans="1:39" x14ac:dyDescent="0.2">
      <c r="A193" t="s">
        <v>287</v>
      </c>
      <c r="B193" t="s">
        <v>1646</v>
      </c>
      <c r="C193" t="s">
        <v>449</v>
      </c>
      <c r="D193" s="1" t="s">
        <v>1647</v>
      </c>
      <c r="E193">
        <v>973743542</v>
      </c>
      <c r="F193" t="s">
        <v>0</v>
      </c>
      <c r="H193" t="s">
        <v>451</v>
      </c>
      <c r="J193" t="s">
        <v>1498</v>
      </c>
      <c r="K193" t="s">
        <v>1515</v>
      </c>
      <c r="L193" t="s">
        <v>1648</v>
      </c>
      <c r="M193" t="s">
        <v>455</v>
      </c>
      <c r="N193" t="s">
        <v>0</v>
      </c>
      <c r="O193">
        <v>0</v>
      </c>
      <c r="P193">
        <v>0</v>
      </c>
      <c r="Q193">
        <v>0</v>
      </c>
      <c r="R193">
        <v>1</v>
      </c>
      <c r="S193">
        <v>6</v>
      </c>
      <c r="T193">
        <v>134</v>
      </c>
      <c r="U193" t="s">
        <v>513</v>
      </c>
      <c r="V193" t="s">
        <v>14</v>
      </c>
      <c r="W193" t="s">
        <v>1649</v>
      </c>
      <c r="X193" t="s">
        <v>458</v>
      </c>
      <c r="Z193" t="s">
        <v>1636</v>
      </c>
      <c r="AE193" s="97">
        <v>6</v>
      </c>
      <c r="AF193" s="92" t="s">
        <v>460</v>
      </c>
      <c r="AG193" s="110" t="s">
        <v>1650</v>
      </c>
      <c r="AH193" s="91" t="s">
        <v>1651</v>
      </c>
      <c r="AI193" s="92" t="s">
        <v>485</v>
      </c>
      <c r="AJ193" s="92" t="s">
        <v>1652</v>
      </c>
      <c r="AK193" s="92" t="s">
        <v>1653</v>
      </c>
      <c r="AL193" s="91" t="s">
        <v>474</v>
      </c>
      <c r="AM193" s="91" t="b">
        <v>0</v>
      </c>
    </row>
    <row r="194" spans="1:39" x14ac:dyDescent="0.2">
      <c r="A194" t="s">
        <v>288</v>
      </c>
      <c r="B194" t="s">
        <v>1654</v>
      </c>
      <c r="C194" t="s">
        <v>449</v>
      </c>
      <c r="D194" s="85" t="s">
        <v>1655</v>
      </c>
      <c r="E194">
        <v>914119624</v>
      </c>
      <c r="F194" t="s">
        <v>0</v>
      </c>
      <c r="H194" t="s">
        <v>451</v>
      </c>
      <c r="J194" t="s">
        <v>1498</v>
      </c>
      <c r="K194" t="s">
        <v>1515</v>
      </c>
      <c r="L194" t="s">
        <v>1648</v>
      </c>
      <c r="M194" t="s">
        <v>455</v>
      </c>
      <c r="N194" t="s">
        <v>0</v>
      </c>
      <c r="O194">
        <v>0</v>
      </c>
      <c r="P194">
        <v>0</v>
      </c>
      <c r="Q194">
        <v>0</v>
      </c>
      <c r="R194">
        <v>1</v>
      </c>
      <c r="S194">
        <v>6</v>
      </c>
      <c r="T194">
        <v>134</v>
      </c>
      <c r="U194" t="s">
        <v>513</v>
      </c>
      <c r="V194" t="s">
        <v>14</v>
      </c>
      <c r="W194" t="s">
        <v>1656</v>
      </c>
      <c r="X194" t="s">
        <v>458</v>
      </c>
      <c r="Z194" t="s">
        <v>1636</v>
      </c>
      <c r="AE194" s="97">
        <v>6</v>
      </c>
      <c r="AF194" s="92" t="s">
        <v>460</v>
      </c>
      <c r="AG194" s="110"/>
      <c r="AH194" s="91" t="s">
        <v>1657</v>
      </c>
      <c r="AI194" s="92" t="s">
        <v>485</v>
      </c>
      <c r="AJ194" s="92" t="s">
        <v>1658</v>
      </c>
      <c r="AK194" s="92" t="s">
        <v>1659</v>
      </c>
      <c r="AL194" s="91" t="s">
        <v>474</v>
      </c>
      <c r="AM194" s="91" t="b">
        <v>0</v>
      </c>
    </row>
    <row r="195" spans="1:39" x14ac:dyDescent="0.2">
      <c r="A195" t="s">
        <v>289</v>
      </c>
      <c r="B195" t="s">
        <v>1660</v>
      </c>
      <c r="C195" t="s">
        <v>449</v>
      </c>
      <c r="D195" s="85" t="s">
        <v>1661</v>
      </c>
      <c r="E195">
        <v>979891673</v>
      </c>
      <c r="F195" t="s">
        <v>0</v>
      </c>
      <c r="H195" t="s">
        <v>451</v>
      </c>
      <c r="J195" t="s">
        <v>1498</v>
      </c>
      <c r="K195" t="s">
        <v>1515</v>
      </c>
      <c r="L195" t="s">
        <v>1648</v>
      </c>
      <c r="M195" t="s">
        <v>455</v>
      </c>
      <c r="N195" t="s">
        <v>0</v>
      </c>
      <c r="O195">
        <v>0</v>
      </c>
      <c r="P195">
        <v>0</v>
      </c>
      <c r="Q195">
        <v>0</v>
      </c>
      <c r="R195">
        <v>1</v>
      </c>
      <c r="S195">
        <v>6</v>
      </c>
      <c r="T195">
        <v>133</v>
      </c>
      <c r="U195" t="s">
        <v>513</v>
      </c>
      <c r="V195" t="s">
        <v>14</v>
      </c>
      <c r="W195" t="s">
        <v>1662</v>
      </c>
      <c r="X195" t="s">
        <v>458</v>
      </c>
      <c r="Z195" t="s">
        <v>1636</v>
      </c>
      <c r="AE195" s="97">
        <v>6</v>
      </c>
      <c r="AF195" s="92" t="s">
        <v>460</v>
      </c>
      <c r="AG195" s="110" t="s">
        <v>1663</v>
      </c>
      <c r="AH195" s="91" t="s">
        <v>1664</v>
      </c>
      <c r="AI195" s="92" t="s">
        <v>485</v>
      </c>
      <c r="AJ195" s="92" t="s">
        <v>1665</v>
      </c>
      <c r="AK195" s="92" t="s">
        <v>1666</v>
      </c>
      <c r="AL195" s="91" t="s">
        <v>474</v>
      </c>
      <c r="AM195" s="91" t="b">
        <v>0</v>
      </c>
    </row>
    <row r="196" spans="1:39" x14ac:dyDescent="0.2">
      <c r="A196" t="s">
        <v>290</v>
      </c>
      <c r="B196" t="s">
        <v>1667</v>
      </c>
      <c r="C196" t="s">
        <v>449</v>
      </c>
      <c r="D196" s="85" t="s">
        <v>1609</v>
      </c>
      <c r="E196">
        <v>773215575</v>
      </c>
      <c r="F196" t="s">
        <v>0</v>
      </c>
      <c r="H196" t="s">
        <v>451</v>
      </c>
      <c r="I196" t="s">
        <v>1668</v>
      </c>
      <c r="J196" t="s">
        <v>1498</v>
      </c>
      <c r="K196" t="s">
        <v>1515</v>
      </c>
      <c r="L196" t="s">
        <v>1648</v>
      </c>
      <c r="M196" t="s">
        <v>455</v>
      </c>
      <c r="N196" t="s">
        <v>0</v>
      </c>
      <c r="O196">
        <v>0</v>
      </c>
      <c r="P196">
        <v>0</v>
      </c>
      <c r="Q196">
        <v>0</v>
      </c>
      <c r="R196">
        <v>1</v>
      </c>
      <c r="S196">
        <v>6</v>
      </c>
      <c r="T196">
        <v>129</v>
      </c>
      <c r="U196" t="s">
        <v>456</v>
      </c>
      <c r="V196" t="s">
        <v>14</v>
      </c>
      <c r="W196" t="s">
        <v>1669</v>
      </c>
      <c r="X196" t="s">
        <v>458</v>
      </c>
      <c r="Y196" t="s">
        <v>674</v>
      </c>
      <c r="Z196" t="s">
        <v>1636</v>
      </c>
      <c r="AE196" s="97">
        <v>6</v>
      </c>
      <c r="AF196" s="92" t="s">
        <v>460</v>
      </c>
      <c r="AG196" s="110"/>
      <c r="AH196" s="91" t="s">
        <v>1670</v>
      </c>
      <c r="AI196" s="92" t="s">
        <v>485</v>
      </c>
      <c r="AJ196" s="92" t="s">
        <v>1661</v>
      </c>
      <c r="AK196" s="92" t="s">
        <v>1671</v>
      </c>
      <c r="AL196" s="91" t="s">
        <v>474</v>
      </c>
      <c r="AM196" s="91" t="b">
        <v>0</v>
      </c>
    </row>
    <row r="197" spans="1:39" x14ac:dyDescent="0.2">
      <c r="A197" t="s">
        <v>291</v>
      </c>
      <c r="B197" t="s">
        <v>1672</v>
      </c>
      <c r="C197" t="s">
        <v>449</v>
      </c>
      <c r="D197" s="85" t="s">
        <v>1665</v>
      </c>
      <c r="E197">
        <v>853355397</v>
      </c>
      <c r="F197" t="s">
        <v>0</v>
      </c>
      <c r="H197" t="s">
        <v>451</v>
      </c>
      <c r="J197" t="s">
        <v>1498</v>
      </c>
      <c r="K197" t="s">
        <v>1515</v>
      </c>
      <c r="L197" t="s">
        <v>1648</v>
      </c>
      <c r="M197" t="s">
        <v>455</v>
      </c>
      <c r="N197" t="s">
        <v>0</v>
      </c>
      <c r="O197">
        <v>0</v>
      </c>
      <c r="P197">
        <v>0</v>
      </c>
      <c r="Q197">
        <v>0</v>
      </c>
      <c r="R197">
        <v>1</v>
      </c>
      <c r="S197">
        <v>6</v>
      </c>
      <c r="T197">
        <v>133</v>
      </c>
      <c r="U197" t="s">
        <v>513</v>
      </c>
      <c r="V197" t="s">
        <v>14</v>
      </c>
      <c r="W197" t="s">
        <v>1673</v>
      </c>
      <c r="X197" t="s">
        <v>458</v>
      </c>
      <c r="Z197" t="s">
        <v>1636</v>
      </c>
      <c r="AE197" s="97">
        <v>6</v>
      </c>
      <c r="AF197" s="92" t="s">
        <v>460</v>
      </c>
      <c r="AG197" s="110" t="s">
        <v>1674</v>
      </c>
      <c r="AH197" s="91" t="s">
        <v>1675</v>
      </c>
      <c r="AI197" s="92" t="s">
        <v>485</v>
      </c>
      <c r="AJ197" s="92" t="s">
        <v>1655</v>
      </c>
      <c r="AK197" s="92" t="s">
        <v>1676</v>
      </c>
      <c r="AL197" s="91" t="s">
        <v>474</v>
      </c>
      <c r="AM197" s="91" t="b">
        <v>0</v>
      </c>
    </row>
    <row r="198" spans="1:39" x14ac:dyDescent="0.2">
      <c r="A198" t="s">
        <v>292</v>
      </c>
      <c r="B198" t="s">
        <v>1677</v>
      </c>
      <c r="C198" t="s">
        <v>449</v>
      </c>
      <c r="D198" s="1" t="s">
        <v>1658</v>
      </c>
      <c r="E198">
        <v>367304351</v>
      </c>
      <c r="F198" t="s">
        <v>0</v>
      </c>
      <c r="H198" t="s">
        <v>451</v>
      </c>
      <c r="J198" t="s">
        <v>1498</v>
      </c>
      <c r="K198" t="s">
        <v>1515</v>
      </c>
      <c r="L198" t="s">
        <v>1678</v>
      </c>
      <c r="M198" t="s">
        <v>455</v>
      </c>
      <c r="N198" t="s">
        <v>0</v>
      </c>
      <c r="O198">
        <v>0</v>
      </c>
      <c r="P198">
        <v>0</v>
      </c>
      <c r="Q198">
        <v>0</v>
      </c>
      <c r="R198">
        <v>1</v>
      </c>
      <c r="S198">
        <v>6</v>
      </c>
      <c r="T198">
        <v>132</v>
      </c>
      <c r="U198" t="s">
        <v>513</v>
      </c>
      <c r="V198" t="s">
        <v>14</v>
      </c>
      <c r="W198" t="s">
        <v>1679</v>
      </c>
      <c r="X198" t="s">
        <v>458</v>
      </c>
      <c r="Z198" t="s">
        <v>1636</v>
      </c>
      <c r="AE198" s="97">
        <v>6</v>
      </c>
      <c r="AF198" s="92" t="s">
        <v>460</v>
      </c>
      <c r="AG198" s="110"/>
      <c r="AH198" s="91" t="s">
        <v>1680</v>
      </c>
      <c r="AI198" s="92" t="s">
        <v>485</v>
      </c>
      <c r="AJ198" s="92" t="s">
        <v>1647</v>
      </c>
      <c r="AK198" s="92" t="s">
        <v>1681</v>
      </c>
      <c r="AL198" s="91" t="s">
        <v>474</v>
      </c>
      <c r="AM198" s="91" t="b">
        <v>0</v>
      </c>
    </row>
    <row r="199" spans="1:39" x14ac:dyDescent="0.2">
      <c r="A199" t="s">
        <v>293</v>
      </c>
      <c r="B199" t="s">
        <v>1682</v>
      </c>
      <c r="C199" t="s">
        <v>449</v>
      </c>
      <c r="D199" s="85" t="s">
        <v>1652</v>
      </c>
      <c r="E199">
        <v>867455918</v>
      </c>
      <c r="F199" t="s">
        <v>0</v>
      </c>
      <c r="H199" t="s">
        <v>451</v>
      </c>
      <c r="J199" t="s">
        <v>1498</v>
      </c>
      <c r="K199" t="s">
        <v>1515</v>
      </c>
      <c r="L199" t="s">
        <v>1678</v>
      </c>
      <c r="M199" t="s">
        <v>455</v>
      </c>
      <c r="N199" t="s">
        <v>0</v>
      </c>
      <c r="O199">
        <v>0</v>
      </c>
      <c r="P199">
        <v>0</v>
      </c>
      <c r="Q199">
        <v>0</v>
      </c>
      <c r="R199">
        <v>1</v>
      </c>
      <c r="S199">
        <v>6</v>
      </c>
      <c r="T199">
        <v>132</v>
      </c>
      <c r="U199" t="s">
        <v>513</v>
      </c>
      <c r="V199" t="s">
        <v>14</v>
      </c>
      <c r="W199" t="s">
        <v>1683</v>
      </c>
      <c r="X199" t="s">
        <v>458</v>
      </c>
      <c r="Z199" t="s">
        <v>1636</v>
      </c>
      <c r="AE199" s="97">
        <v>6</v>
      </c>
      <c r="AF199" s="92" t="s">
        <v>460</v>
      </c>
      <c r="AG199" s="84" t="s">
        <v>1684</v>
      </c>
      <c r="AH199" s="91" t="s">
        <v>1685</v>
      </c>
      <c r="AI199" s="92" t="s">
        <v>485</v>
      </c>
      <c r="AJ199" s="92" t="s">
        <v>1618</v>
      </c>
      <c r="AK199" s="92" t="s">
        <v>1686</v>
      </c>
      <c r="AL199" s="91" t="s">
        <v>1687</v>
      </c>
      <c r="AM199" s="91" t="b">
        <v>0</v>
      </c>
    </row>
    <row r="200" spans="1:39" x14ac:dyDescent="0.2">
      <c r="A200" t="s">
        <v>294</v>
      </c>
      <c r="B200" t="s">
        <v>1688</v>
      </c>
      <c r="C200" t="s">
        <v>449</v>
      </c>
      <c r="D200" s="85" t="s">
        <v>1587</v>
      </c>
      <c r="E200">
        <v>933595559</v>
      </c>
      <c r="F200" t="s">
        <v>0</v>
      </c>
      <c r="H200" t="s">
        <v>451</v>
      </c>
      <c r="I200" t="s">
        <v>1689</v>
      </c>
      <c r="J200" t="s">
        <v>1498</v>
      </c>
      <c r="K200" t="s">
        <v>1507</v>
      </c>
      <c r="L200" t="s">
        <v>1690</v>
      </c>
      <c r="M200" t="s">
        <v>455</v>
      </c>
      <c r="N200" t="s">
        <v>0</v>
      </c>
      <c r="O200">
        <v>0</v>
      </c>
      <c r="P200">
        <v>0</v>
      </c>
      <c r="Q200">
        <v>0</v>
      </c>
      <c r="R200">
        <v>1</v>
      </c>
      <c r="S200">
        <v>6</v>
      </c>
      <c r="T200">
        <v>127</v>
      </c>
      <c r="U200" t="s">
        <v>456</v>
      </c>
      <c r="V200" t="s">
        <v>14</v>
      </c>
      <c r="W200" t="s">
        <v>1691</v>
      </c>
      <c r="X200" t="s">
        <v>458</v>
      </c>
      <c r="Y200" t="s">
        <v>1589</v>
      </c>
      <c r="Z200" t="s">
        <v>1630</v>
      </c>
      <c r="AE200" s="97">
        <v>6</v>
      </c>
      <c r="AF200" s="92" t="s">
        <v>460</v>
      </c>
      <c r="AG200" s="84" t="s">
        <v>1692</v>
      </c>
      <c r="AH200" s="91" t="s">
        <v>1693</v>
      </c>
      <c r="AI200" s="92" t="s">
        <v>485</v>
      </c>
      <c r="AJ200" s="92" t="s">
        <v>1605</v>
      </c>
      <c r="AK200" s="92" t="s">
        <v>1694</v>
      </c>
      <c r="AL200" s="91" t="s">
        <v>1695</v>
      </c>
      <c r="AM200" s="91" t="b">
        <v>0</v>
      </c>
    </row>
    <row r="201" spans="1:39" x14ac:dyDescent="0.2">
      <c r="A201" t="s">
        <v>295</v>
      </c>
      <c r="B201" t="s">
        <v>1696</v>
      </c>
      <c r="C201" t="s">
        <v>449</v>
      </c>
      <c r="D201" s="85" t="s">
        <v>1602</v>
      </c>
      <c r="E201">
        <v>886311686</v>
      </c>
      <c r="F201" t="s">
        <v>0</v>
      </c>
      <c r="H201" t="s">
        <v>451</v>
      </c>
      <c r="J201" t="s">
        <v>1498</v>
      </c>
      <c r="K201" t="s">
        <v>1697</v>
      </c>
      <c r="L201" t="s">
        <v>1634</v>
      </c>
      <c r="M201" t="s">
        <v>455</v>
      </c>
      <c r="N201" t="s">
        <v>0</v>
      </c>
      <c r="O201">
        <v>0</v>
      </c>
      <c r="P201">
        <v>0</v>
      </c>
      <c r="Q201">
        <v>0</v>
      </c>
      <c r="R201">
        <v>1</v>
      </c>
      <c r="S201">
        <v>6</v>
      </c>
      <c r="T201">
        <v>128</v>
      </c>
      <c r="U201" t="s">
        <v>456</v>
      </c>
      <c r="V201" t="s">
        <v>14</v>
      </c>
      <c r="W201" t="s">
        <v>1698</v>
      </c>
      <c r="X201" t="s">
        <v>458</v>
      </c>
      <c r="Z201" t="s">
        <v>1630</v>
      </c>
      <c r="AE201" s="97">
        <v>6</v>
      </c>
      <c r="AF201" s="92" t="s">
        <v>460</v>
      </c>
      <c r="AG201" s="110" t="s">
        <v>1699</v>
      </c>
      <c r="AH201" s="91" t="s">
        <v>1700</v>
      </c>
      <c r="AI201" s="92" t="s">
        <v>485</v>
      </c>
      <c r="AJ201" s="92" t="s">
        <v>1597</v>
      </c>
      <c r="AK201" s="92" t="s">
        <v>1701</v>
      </c>
      <c r="AL201" s="91" t="s">
        <v>474</v>
      </c>
      <c r="AM201" s="91" t="b">
        <v>0</v>
      </c>
    </row>
    <row r="202" spans="1:39" x14ac:dyDescent="0.2">
      <c r="A202" t="s">
        <v>296</v>
      </c>
      <c r="B202" t="s">
        <v>1702</v>
      </c>
      <c r="C202" t="s">
        <v>449</v>
      </c>
      <c r="D202" s="85" t="s">
        <v>1703</v>
      </c>
      <c r="E202">
        <v>896948417</v>
      </c>
      <c r="F202" t="s">
        <v>0</v>
      </c>
      <c r="H202" t="s">
        <v>451</v>
      </c>
      <c r="I202" t="s">
        <v>1704</v>
      </c>
      <c r="J202" t="s">
        <v>452</v>
      </c>
      <c r="K202" t="s">
        <v>1705</v>
      </c>
      <c r="L202" t="s">
        <v>1706</v>
      </c>
      <c r="M202" t="s">
        <v>455</v>
      </c>
      <c r="N202" t="s">
        <v>0</v>
      </c>
      <c r="O202">
        <v>0</v>
      </c>
      <c r="P202">
        <v>0</v>
      </c>
      <c r="Q202">
        <v>0</v>
      </c>
      <c r="R202">
        <v>1</v>
      </c>
      <c r="S202">
        <v>8</v>
      </c>
      <c r="T202">
        <v>128</v>
      </c>
      <c r="U202" t="s">
        <v>456</v>
      </c>
      <c r="V202" t="s">
        <v>14</v>
      </c>
      <c r="W202" t="s">
        <v>1707</v>
      </c>
      <c r="X202" t="s">
        <v>458</v>
      </c>
      <c r="Z202" t="s">
        <v>1202</v>
      </c>
      <c r="AE202" s="97">
        <v>6</v>
      </c>
      <c r="AF202" s="92" t="s">
        <v>460</v>
      </c>
      <c r="AG202" s="110"/>
      <c r="AH202" s="91" t="s">
        <v>1708</v>
      </c>
      <c r="AI202" s="92" t="s">
        <v>485</v>
      </c>
      <c r="AJ202" s="92" t="s">
        <v>1551</v>
      </c>
      <c r="AK202" s="92" t="s">
        <v>1709</v>
      </c>
      <c r="AL202" s="91" t="s">
        <v>474</v>
      </c>
      <c r="AM202" s="91" t="b">
        <v>0</v>
      </c>
    </row>
    <row r="203" spans="1:39" x14ac:dyDescent="0.2">
      <c r="A203" t="s">
        <v>1710</v>
      </c>
      <c r="B203" t="s">
        <v>1711</v>
      </c>
      <c r="C203" t="s">
        <v>629</v>
      </c>
      <c r="D203" s="1" t="s">
        <v>1712</v>
      </c>
      <c r="E203">
        <v>328807722</v>
      </c>
      <c r="F203" t="s">
        <v>0</v>
      </c>
      <c r="H203" t="s">
        <v>451</v>
      </c>
      <c r="J203" t="s">
        <v>631</v>
      </c>
      <c r="K203" t="s">
        <v>631</v>
      </c>
      <c r="L203" t="s">
        <v>631</v>
      </c>
      <c r="M203" t="s">
        <v>631</v>
      </c>
      <c r="N203" t="s">
        <v>0</v>
      </c>
      <c r="O203">
        <v>0</v>
      </c>
      <c r="P203">
        <v>0</v>
      </c>
      <c r="Q203">
        <v>0</v>
      </c>
      <c r="R203">
        <v>1</v>
      </c>
      <c r="U203" t="s">
        <v>513</v>
      </c>
      <c r="V203" t="s">
        <v>14</v>
      </c>
      <c r="W203" t="e">
        <v>#N/A</v>
      </c>
      <c r="X203" t="s">
        <v>0</v>
      </c>
      <c r="Z203" t="s">
        <v>1248</v>
      </c>
      <c r="AE203" s="97">
        <v>6</v>
      </c>
      <c r="AF203" s="92" t="s">
        <v>460</v>
      </c>
      <c r="AG203" s="84" t="s">
        <v>1713</v>
      </c>
      <c r="AH203" s="91" t="s">
        <v>1714</v>
      </c>
      <c r="AI203" s="92" t="s">
        <v>485</v>
      </c>
      <c r="AJ203" s="92" t="s">
        <v>1514</v>
      </c>
      <c r="AK203" s="92" t="s">
        <v>1715</v>
      </c>
      <c r="AL203" s="91" t="s">
        <v>1716</v>
      </c>
      <c r="AM203" s="91" t="b">
        <v>0</v>
      </c>
    </row>
    <row r="204" spans="1:39" x14ac:dyDescent="0.2">
      <c r="A204" t="s">
        <v>297</v>
      </c>
      <c r="B204" t="s">
        <v>1717</v>
      </c>
      <c r="C204" t="s">
        <v>449</v>
      </c>
      <c r="D204" s="85" t="s">
        <v>1320</v>
      </c>
      <c r="E204">
        <v>793830996</v>
      </c>
      <c r="F204" t="s">
        <v>0</v>
      </c>
      <c r="H204" t="s">
        <v>451</v>
      </c>
      <c r="J204" t="s">
        <v>452</v>
      </c>
      <c r="K204" t="s">
        <v>453</v>
      </c>
      <c r="L204" t="s">
        <v>959</v>
      </c>
      <c r="M204" t="s">
        <v>455</v>
      </c>
      <c r="N204" t="s">
        <v>0</v>
      </c>
      <c r="O204">
        <v>0</v>
      </c>
      <c r="P204">
        <v>0</v>
      </c>
      <c r="Q204">
        <v>0</v>
      </c>
      <c r="R204">
        <v>1</v>
      </c>
      <c r="S204">
        <v>4</v>
      </c>
      <c r="T204">
        <v>69</v>
      </c>
      <c r="U204" t="s">
        <v>456</v>
      </c>
      <c r="V204" t="s">
        <v>14</v>
      </c>
      <c r="W204" t="s">
        <v>1718</v>
      </c>
      <c r="X204" t="s">
        <v>458</v>
      </c>
      <c r="Z204" t="s">
        <v>1248</v>
      </c>
      <c r="AE204" s="97">
        <v>6</v>
      </c>
      <c r="AF204" s="92" t="s">
        <v>460</v>
      </c>
      <c r="AG204" s="110" t="s">
        <v>1719</v>
      </c>
      <c r="AH204" s="91" t="s">
        <v>1720</v>
      </c>
      <c r="AI204" s="92" t="s">
        <v>485</v>
      </c>
      <c r="AJ204" s="92" t="s">
        <v>1539</v>
      </c>
      <c r="AK204" s="92" t="s">
        <v>1721</v>
      </c>
      <c r="AL204" s="91" t="s">
        <v>474</v>
      </c>
      <c r="AM204" s="91" t="b">
        <v>0</v>
      </c>
    </row>
    <row r="205" spans="1:39" x14ac:dyDescent="0.2">
      <c r="A205" t="s">
        <v>299</v>
      </c>
      <c r="B205" t="s">
        <v>413</v>
      </c>
      <c r="C205" t="s">
        <v>449</v>
      </c>
      <c r="D205" s="85" t="s">
        <v>1722</v>
      </c>
      <c r="E205">
        <v>799010869</v>
      </c>
      <c r="F205" t="s">
        <v>0</v>
      </c>
      <c r="H205" t="s">
        <v>451</v>
      </c>
      <c r="J205" t="s">
        <v>452</v>
      </c>
      <c r="K205" t="s">
        <v>453</v>
      </c>
      <c r="L205" t="s">
        <v>959</v>
      </c>
      <c r="M205" t="s">
        <v>455</v>
      </c>
      <c r="N205" t="s">
        <v>0</v>
      </c>
      <c r="O205">
        <v>0</v>
      </c>
      <c r="P205">
        <v>0</v>
      </c>
      <c r="Q205">
        <v>0</v>
      </c>
      <c r="R205">
        <v>1</v>
      </c>
      <c r="S205">
        <v>7</v>
      </c>
      <c r="T205">
        <v>79</v>
      </c>
      <c r="U205" t="s">
        <v>513</v>
      </c>
      <c r="V205" t="s">
        <v>11</v>
      </c>
      <c r="W205" t="s">
        <v>1723</v>
      </c>
      <c r="X205" t="s">
        <v>458</v>
      </c>
      <c r="Z205" t="s">
        <v>1248</v>
      </c>
      <c r="AE205" s="97">
        <v>6</v>
      </c>
      <c r="AF205" s="92" t="s">
        <v>460</v>
      </c>
      <c r="AG205" s="110"/>
      <c r="AH205" s="91" t="s">
        <v>1724</v>
      </c>
      <c r="AI205" s="92" t="s">
        <v>485</v>
      </c>
      <c r="AJ205" s="92" t="s">
        <v>1591</v>
      </c>
      <c r="AK205" s="92" t="s">
        <v>1725</v>
      </c>
      <c r="AL205" s="91" t="s">
        <v>474</v>
      </c>
      <c r="AM205" s="91" t="b">
        <v>0</v>
      </c>
    </row>
    <row r="206" spans="1:39" x14ac:dyDescent="0.2">
      <c r="A206" t="s">
        <v>301</v>
      </c>
      <c r="B206" t="s">
        <v>1726</v>
      </c>
      <c r="C206" t="s">
        <v>449</v>
      </c>
      <c r="D206" s="85" t="s">
        <v>1153</v>
      </c>
      <c r="E206">
        <v>971732462</v>
      </c>
      <c r="F206" t="s">
        <v>0</v>
      </c>
      <c r="H206" t="s">
        <v>451</v>
      </c>
      <c r="J206" t="s">
        <v>452</v>
      </c>
      <c r="K206" t="s">
        <v>453</v>
      </c>
      <c r="L206" t="s">
        <v>959</v>
      </c>
      <c r="M206" t="s">
        <v>455</v>
      </c>
      <c r="N206" t="s">
        <v>0</v>
      </c>
      <c r="O206">
        <v>0</v>
      </c>
      <c r="P206">
        <v>0</v>
      </c>
      <c r="Q206">
        <v>0</v>
      </c>
      <c r="R206">
        <v>1</v>
      </c>
      <c r="S206">
        <v>4</v>
      </c>
      <c r="T206">
        <v>62</v>
      </c>
      <c r="U206" t="s">
        <v>456</v>
      </c>
      <c r="V206" t="s">
        <v>14</v>
      </c>
      <c r="W206" t="s">
        <v>1727</v>
      </c>
      <c r="X206" t="s">
        <v>458</v>
      </c>
      <c r="Z206" t="s">
        <v>1248</v>
      </c>
      <c r="AE206" s="97">
        <v>6</v>
      </c>
      <c r="AF206" s="92" t="s">
        <v>460</v>
      </c>
      <c r="AG206" s="110" t="s">
        <v>1728</v>
      </c>
      <c r="AH206" s="91" t="s">
        <v>1729</v>
      </c>
      <c r="AI206" s="92" t="s">
        <v>485</v>
      </c>
      <c r="AJ206" s="92" t="s">
        <v>1544</v>
      </c>
      <c r="AK206" s="92" t="s">
        <v>1730</v>
      </c>
      <c r="AL206" s="91" t="s">
        <v>474</v>
      </c>
      <c r="AM206" s="91" t="b">
        <v>0</v>
      </c>
    </row>
    <row r="207" spans="1:39" x14ac:dyDescent="0.2">
      <c r="A207" t="s">
        <v>302</v>
      </c>
      <c r="B207" t="s">
        <v>1731</v>
      </c>
      <c r="C207" t="s">
        <v>449</v>
      </c>
      <c r="D207" s="85" t="s">
        <v>1732</v>
      </c>
      <c r="E207">
        <v>976551265</v>
      </c>
      <c r="F207" t="s">
        <v>0</v>
      </c>
      <c r="H207" t="s">
        <v>451</v>
      </c>
      <c r="J207" t="s">
        <v>452</v>
      </c>
      <c r="K207" t="s">
        <v>453</v>
      </c>
      <c r="L207" t="s">
        <v>959</v>
      </c>
      <c r="M207" t="s">
        <v>455</v>
      </c>
      <c r="N207" t="s">
        <v>0</v>
      </c>
      <c r="O207">
        <v>0</v>
      </c>
      <c r="P207">
        <v>0</v>
      </c>
      <c r="Q207">
        <v>0</v>
      </c>
      <c r="R207">
        <v>1</v>
      </c>
      <c r="S207">
        <v>7</v>
      </c>
      <c r="T207">
        <v>79</v>
      </c>
      <c r="U207" t="s">
        <v>513</v>
      </c>
      <c r="V207" t="s">
        <v>11</v>
      </c>
      <c r="W207" t="s">
        <v>1733</v>
      </c>
      <c r="X207" t="s">
        <v>458</v>
      </c>
      <c r="Z207" t="s">
        <v>1248</v>
      </c>
      <c r="AE207" s="97">
        <v>6</v>
      </c>
      <c r="AF207" s="92" t="s">
        <v>460</v>
      </c>
      <c r="AG207" s="110"/>
      <c r="AH207" s="91" t="s">
        <v>1734</v>
      </c>
      <c r="AI207" s="92" t="s">
        <v>485</v>
      </c>
      <c r="AJ207" s="92" t="s">
        <v>1570</v>
      </c>
      <c r="AK207" s="92" t="s">
        <v>1735</v>
      </c>
      <c r="AL207" s="91" t="s">
        <v>474</v>
      </c>
      <c r="AM207" s="91" t="b">
        <v>0</v>
      </c>
    </row>
    <row r="208" spans="1:39" x14ac:dyDescent="0.2">
      <c r="A208" t="s">
        <v>303</v>
      </c>
      <c r="B208" t="s">
        <v>1736</v>
      </c>
      <c r="C208" t="s">
        <v>449</v>
      </c>
      <c r="D208" s="85" t="s">
        <v>1737</v>
      </c>
      <c r="E208">
        <v>397430707</v>
      </c>
      <c r="F208" t="s">
        <v>0</v>
      </c>
      <c r="H208" t="s">
        <v>451</v>
      </c>
      <c r="J208" t="s">
        <v>452</v>
      </c>
      <c r="K208" t="s">
        <v>453</v>
      </c>
      <c r="L208" t="s">
        <v>959</v>
      </c>
      <c r="M208" t="s">
        <v>455</v>
      </c>
      <c r="N208" t="s">
        <v>0</v>
      </c>
      <c r="O208">
        <v>0</v>
      </c>
      <c r="P208">
        <v>0</v>
      </c>
      <c r="Q208">
        <v>0</v>
      </c>
      <c r="R208">
        <v>1</v>
      </c>
      <c r="S208">
        <v>7</v>
      </c>
      <c r="T208">
        <v>44</v>
      </c>
      <c r="U208" t="s">
        <v>456</v>
      </c>
      <c r="V208" t="s">
        <v>14</v>
      </c>
      <c r="W208" t="s">
        <v>1738</v>
      </c>
      <c r="X208" t="s">
        <v>458</v>
      </c>
      <c r="Z208" t="s">
        <v>1739</v>
      </c>
      <c r="AE208" s="97">
        <v>6</v>
      </c>
      <c r="AF208" s="92" t="s">
        <v>460</v>
      </c>
      <c r="AG208" s="110" t="s">
        <v>1740</v>
      </c>
      <c r="AH208" s="91" t="s">
        <v>1741</v>
      </c>
      <c r="AI208" s="92" t="s">
        <v>485</v>
      </c>
      <c r="AJ208" s="92" t="s">
        <v>1556</v>
      </c>
      <c r="AK208" s="92" t="s">
        <v>1742</v>
      </c>
      <c r="AL208" s="91" t="s">
        <v>474</v>
      </c>
      <c r="AM208" s="91" t="b">
        <v>0</v>
      </c>
    </row>
    <row r="209" spans="1:39" x14ac:dyDescent="0.2">
      <c r="A209" t="s">
        <v>304</v>
      </c>
      <c r="B209" t="s">
        <v>1743</v>
      </c>
      <c r="C209" t="s">
        <v>449</v>
      </c>
      <c r="D209" s="1" t="s">
        <v>1744</v>
      </c>
      <c r="E209">
        <v>931231740</v>
      </c>
      <c r="F209" t="s">
        <v>0</v>
      </c>
      <c r="H209" t="s">
        <v>451</v>
      </c>
      <c r="J209" t="s">
        <v>1745</v>
      </c>
      <c r="K209" t="s">
        <v>1746</v>
      </c>
      <c r="L209" t="s">
        <v>1747</v>
      </c>
      <c r="M209" t="s">
        <v>455</v>
      </c>
      <c r="N209" t="s">
        <v>0</v>
      </c>
      <c r="O209">
        <v>0</v>
      </c>
      <c r="P209">
        <v>0</v>
      </c>
      <c r="Q209">
        <v>0</v>
      </c>
      <c r="R209">
        <v>1</v>
      </c>
      <c r="S209">
        <v>7</v>
      </c>
      <c r="T209">
        <v>83</v>
      </c>
      <c r="U209" t="s">
        <v>456</v>
      </c>
      <c r="V209" t="s">
        <v>14</v>
      </c>
      <c r="W209" t="s">
        <v>1748</v>
      </c>
      <c r="X209" t="s">
        <v>0</v>
      </c>
      <c r="Y209" t="s">
        <v>1369</v>
      </c>
      <c r="Z209" t="s">
        <v>1749</v>
      </c>
      <c r="AE209" s="97">
        <v>6</v>
      </c>
      <c r="AF209" s="92" t="s">
        <v>460</v>
      </c>
      <c r="AG209" s="110"/>
      <c r="AH209" s="91" t="s">
        <v>1750</v>
      </c>
      <c r="AI209" s="92" t="s">
        <v>485</v>
      </c>
      <c r="AJ209" s="92" t="s">
        <v>1577</v>
      </c>
      <c r="AK209" s="92" t="s">
        <v>1751</v>
      </c>
      <c r="AL209" s="91" t="s">
        <v>474</v>
      </c>
      <c r="AM209" s="91" t="b">
        <v>0</v>
      </c>
    </row>
    <row r="210" spans="1:39" x14ac:dyDescent="0.2">
      <c r="A210" t="s">
        <v>306</v>
      </c>
      <c r="B210" t="s">
        <v>1752</v>
      </c>
      <c r="C210" t="s">
        <v>449</v>
      </c>
      <c r="D210" s="1" t="s">
        <v>1753</v>
      </c>
      <c r="E210">
        <v>986245303</v>
      </c>
      <c r="F210" t="s">
        <v>0</v>
      </c>
      <c r="H210" t="s">
        <v>451</v>
      </c>
      <c r="J210" t="s">
        <v>1745</v>
      </c>
      <c r="K210" t="s">
        <v>1746</v>
      </c>
      <c r="L210" t="s">
        <v>1747</v>
      </c>
      <c r="M210" t="s">
        <v>455</v>
      </c>
      <c r="N210" t="s">
        <v>0</v>
      </c>
      <c r="O210">
        <v>0</v>
      </c>
      <c r="P210">
        <v>0</v>
      </c>
      <c r="Q210">
        <v>0</v>
      </c>
      <c r="R210">
        <v>1</v>
      </c>
      <c r="S210">
        <v>7</v>
      </c>
      <c r="T210">
        <v>80</v>
      </c>
      <c r="U210" t="s">
        <v>513</v>
      </c>
      <c r="V210" t="s">
        <v>11</v>
      </c>
      <c r="W210" t="s">
        <v>1754</v>
      </c>
      <c r="X210" t="s">
        <v>0</v>
      </c>
      <c r="Y210" t="s">
        <v>1369</v>
      </c>
      <c r="Z210" t="s">
        <v>1749</v>
      </c>
      <c r="AE210" s="97">
        <v>6</v>
      </c>
      <c r="AF210" s="92" t="s">
        <v>460</v>
      </c>
      <c r="AG210" s="110" t="s">
        <v>1755</v>
      </c>
      <c r="AH210" s="91" t="s">
        <v>1756</v>
      </c>
      <c r="AI210" s="92" t="s">
        <v>485</v>
      </c>
      <c r="AJ210" s="92" t="s">
        <v>1519</v>
      </c>
      <c r="AK210" s="92" t="s">
        <v>1757</v>
      </c>
      <c r="AL210" s="91" t="s">
        <v>474</v>
      </c>
      <c r="AM210" s="91" t="b">
        <v>0</v>
      </c>
    </row>
    <row r="211" spans="1:39" x14ac:dyDescent="0.2">
      <c r="A211" t="s">
        <v>308</v>
      </c>
      <c r="B211" t="s">
        <v>1758</v>
      </c>
      <c r="C211" t="s">
        <v>449</v>
      </c>
      <c r="D211" s="85" t="s">
        <v>1759</v>
      </c>
      <c r="E211">
        <v>965654937</v>
      </c>
      <c r="F211" t="s">
        <v>0</v>
      </c>
      <c r="H211" t="s">
        <v>451</v>
      </c>
      <c r="J211" t="s">
        <v>1745</v>
      </c>
      <c r="K211" t="s">
        <v>1746</v>
      </c>
      <c r="L211" t="s">
        <v>1747</v>
      </c>
      <c r="M211" t="s">
        <v>455</v>
      </c>
      <c r="N211" t="s">
        <v>0</v>
      </c>
      <c r="O211">
        <v>0</v>
      </c>
      <c r="P211">
        <v>0</v>
      </c>
      <c r="Q211">
        <v>0</v>
      </c>
      <c r="R211">
        <v>1</v>
      </c>
      <c r="S211">
        <v>7</v>
      </c>
      <c r="T211">
        <v>80</v>
      </c>
      <c r="U211" t="s">
        <v>513</v>
      </c>
      <c r="V211" t="s">
        <v>11</v>
      </c>
      <c r="W211" t="s">
        <v>1760</v>
      </c>
      <c r="X211" t="s">
        <v>0</v>
      </c>
      <c r="Y211" t="s">
        <v>1369</v>
      </c>
      <c r="Z211" t="s">
        <v>1749</v>
      </c>
      <c r="AE211" s="97">
        <v>6</v>
      </c>
      <c r="AF211" s="92" t="s">
        <v>460</v>
      </c>
      <c r="AG211" s="110"/>
      <c r="AH211" s="91" t="s">
        <v>1761</v>
      </c>
      <c r="AI211" s="92" t="s">
        <v>485</v>
      </c>
      <c r="AJ211" s="92" t="s">
        <v>1583</v>
      </c>
      <c r="AK211" s="92" t="s">
        <v>1762</v>
      </c>
      <c r="AL211" s="91" t="s">
        <v>474</v>
      </c>
      <c r="AM211" s="91" t="b">
        <v>0</v>
      </c>
    </row>
    <row r="212" spans="1:39" x14ac:dyDescent="0.2">
      <c r="A212" t="s">
        <v>309</v>
      </c>
      <c r="B212" t="s">
        <v>1763</v>
      </c>
      <c r="C212" t="s">
        <v>449</v>
      </c>
      <c r="D212" s="85" t="s">
        <v>1764</v>
      </c>
      <c r="E212">
        <v>776932589</v>
      </c>
      <c r="F212" t="s">
        <v>0</v>
      </c>
      <c r="H212" t="s">
        <v>451</v>
      </c>
      <c r="J212" t="s">
        <v>1745</v>
      </c>
      <c r="K212" t="s">
        <v>1746</v>
      </c>
      <c r="L212" t="s">
        <v>1747</v>
      </c>
      <c r="M212" t="s">
        <v>455</v>
      </c>
      <c r="N212" t="s">
        <v>0</v>
      </c>
      <c r="O212">
        <v>0</v>
      </c>
      <c r="P212">
        <v>0</v>
      </c>
      <c r="Q212">
        <v>0</v>
      </c>
      <c r="R212">
        <v>1</v>
      </c>
      <c r="S212">
        <v>7</v>
      </c>
      <c r="T212">
        <v>81</v>
      </c>
      <c r="U212" t="s">
        <v>513</v>
      </c>
      <c r="V212" t="s">
        <v>11</v>
      </c>
      <c r="W212" t="s">
        <v>1765</v>
      </c>
      <c r="X212" t="s">
        <v>0</v>
      </c>
      <c r="Y212" t="s">
        <v>1369</v>
      </c>
      <c r="Z212" t="s">
        <v>1749</v>
      </c>
      <c r="AE212" s="97">
        <v>6</v>
      </c>
      <c r="AF212" s="92" t="s">
        <v>460</v>
      </c>
      <c r="AG212" s="110" t="s">
        <v>1766</v>
      </c>
      <c r="AH212" s="91" t="s">
        <v>1767</v>
      </c>
      <c r="AI212" s="92" t="s">
        <v>463</v>
      </c>
      <c r="AJ212" s="92" t="s">
        <v>1768</v>
      </c>
      <c r="AK212" s="92" t="s">
        <v>1769</v>
      </c>
      <c r="AL212" s="91" t="s">
        <v>1769</v>
      </c>
      <c r="AM212" s="91" t="b">
        <v>0</v>
      </c>
    </row>
    <row r="213" spans="1:39" x14ac:dyDescent="0.2">
      <c r="A213" t="s">
        <v>311</v>
      </c>
      <c r="B213" t="s">
        <v>1770</v>
      </c>
      <c r="C213" t="s">
        <v>449</v>
      </c>
      <c r="D213" s="85" t="s">
        <v>1771</v>
      </c>
      <c r="E213">
        <v>909120296</v>
      </c>
      <c r="F213" t="s">
        <v>0</v>
      </c>
      <c r="H213" t="s">
        <v>451</v>
      </c>
      <c r="I213" t="s">
        <v>1772</v>
      </c>
      <c r="J213" t="s">
        <v>1745</v>
      </c>
      <c r="K213" t="s">
        <v>1773</v>
      </c>
      <c r="L213" t="s">
        <v>1774</v>
      </c>
      <c r="M213" t="s">
        <v>455</v>
      </c>
      <c r="N213" t="s">
        <v>0</v>
      </c>
      <c r="O213">
        <v>0</v>
      </c>
      <c r="P213">
        <v>0</v>
      </c>
      <c r="Q213">
        <v>0</v>
      </c>
      <c r="R213">
        <v>1</v>
      </c>
      <c r="S213">
        <v>7</v>
      </c>
      <c r="T213">
        <v>81</v>
      </c>
      <c r="U213" t="s">
        <v>513</v>
      </c>
      <c r="V213" t="s">
        <v>11</v>
      </c>
      <c r="W213" t="s">
        <v>1775</v>
      </c>
      <c r="X213" t="s">
        <v>0</v>
      </c>
      <c r="Y213" t="s">
        <v>1369</v>
      </c>
      <c r="Z213" t="s">
        <v>1749</v>
      </c>
      <c r="AE213" s="97">
        <v>6</v>
      </c>
      <c r="AF213" s="92" t="s">
        <v>460</v>
      </c>
      <c r="AG213" s="110"/>
      <c r="AH213" s="91" t="s">
        <v>1776</v>
      </c>
      <c r="AI213" s="92" t="s">
        <v>463</v>
      </c>
      <c r="AJ213" s="92" t="s">
        <v>1777</v>
      </c>
      <c r="AK213" s="92" t="s">
        <v>1769</v>
      </c>
      <c r="AL213" s="91" t="s">
        <v>1769</v>
      </c>
      <c r="AM213" s="91" t="b">
        <v>0</v>
      </c>
    </row>
    <row r="214" spans="1:39" x14ac:dyDescent="0.2">
      <c r="A214" t="s">
        <v>312</v>
      </c>
      <c r="B214" t="s">
        <v>1778</v>
      </c>
      <c r="C214" t="s">
        <v>449</v>
      </c>
      <c r="D214" s="85" t="s">
        <v>1779</v>
      </c>
      <c r="E214">
        <v>964455190</v>
      </c>
      <c r="F214" t="s">
        <v>0</v>
      </c>
      <c r="H214" t="s">
        <v>451</v>
      </c>
      <c r="I214" t="s">
        <v>1780</v>
      </c>
      <c r="J214" t="s">
        <v>1745</v>
      </c>
      <c r="K214" t="s">
        <v>1781</v>
      </c>
      <c r="L214" t="s">
        <v>1782</v>
      </c>
      <c r="M214" t="s">
        <v>455</v>
      </c>
      <c r="N214" t="s">
        <v>0</v>
      </c>
      <c r="O214">
        <v>0</v>
      </c>
      <c r="P214">
        <v>0</v>
      </c>
      <c r="Q214">
        <v>0</v>
      </c>
      <c r="R214">
        <v>1</v>
      </c>
      <c r="S214">
        <v>7</v>
      </c>
      <c r="T214">
        <v>82</v>
      </c>
      <c r="U214" t="s">
        <v>456</v>
      </c>
      <c r="V214" t="s">
        <v>14</v>
      </c>
      <c r="W214" t="s">
        <v>1783</v>
      </c>
      <c r="X214" t="s">
        <v>0</v>
      </c>
      <c r="Y214" t="s">
        <v>1369</v>
      </c>
      <c r="Z214" t="s">
        <v>1749</v>
      </c>
      <c r="AE214" s="97">
        <v>6</v>
      </c>
      <c r="AF214" s="92" t="s">
        <v>460</v>
      </c>
      <c r="AG214" s="110"/>
      <c r="AH214" s="91" t="s">
        <v>1784</v>
      </c>
      <c r="AI214" s="92" t="s">
        <v>485</v>
      </c>
      <c r="AJ214" s="92" t="s">
        <v>1626</v>
      </c>
      <c r="AK214" s="92" t="s">
        <v>1785</v>
      </c>
      <c r="AL214" s="91" t="s">
        <v>1769</v>
      </c>
      <c r="AM214" s="91" t="b">
        <v>0</v>
      </c>
    </row>
    <row r="215" spans="1:39" x14ac:dyDescent="0.2">
      <c r="A215" t="s">
        <v>314</v>
      </c>
      <c r="B215" t="s">
        <v>1786</v>
      </c>
      <c r="C215" t="s">
        <v>449</v>
      </c>
      <c r="D215" s="85" t="s">
        <v>787</v>
      </c>
      <c r="E215">
        <v>983941396</v>
      </c>
      <c r="F215" t="s">
        <v>0</v>
      </c>
      <c r="H215" t="s">
        <v>451</v>
      </c>
      <c r="J215" t="s">
        <v>452</v>
      </c>
      <c r="K215" t="s">
        <v>453</v>
      </c>
      <c r="L215" t="s">
        <v>751</v>
      </c>
      <c r="M215" t="s">
        <v>455</v>
      </c>
      <c r="N215" t="s">
        <v>0</v>
      </c>
      <c r="O215">
        <v>0</v>
      </c>
      <c r="P215">
        <v>0</v>
      </c>
      <c r="Q215">
        <v>0</v>
      </c>
      <c r="R215">
        <v>1</v>
      </c>
      <c r="S215">
        <v>2</v>
      </c>
      <c r="T215">
        <v>19</v>
      </c>
      <c r="U215" t="s">
        <v>513</v>
      </c>
      <c r="V215" t="s">
        <v>11</v>
      </c>
      <c r="W215" t="s">
        <v>1787</v>
      </c>
      <c r="X215" t="s">
        <v>458</v>
      </c>
      <c r="Z215" t="s">
        <v>1739</v>
      </c>
      <c r="AE215" s="97">
        <v>6</v>
      </c>
      <c r="AF215" s="92" t="s">
        <v>460</v>
      </c>
      <c r="AG215" s="84" t="s">
        <v>1788</v>
      </c>
      <c r="AH215" s="91" t="s">
        <v>1789</v>
      </c>
      <c r="AI215" s="92" t="s">
        <v>485</v>
      </c>
      <c r="AJ215" s="92" t="s">
        <v>1641</v>
      </c>
      <c r="AK215" s="92" t="s">
        <v>1790</v>
      </c>
      <c r="AL215" s="91" t="s">
        <v>474</v>
      </c>
      <c r="AM215" s="91" t="b">
        <v>0</v>
      </c>
    </row>
    <row r="216" spans="1:39" x14ac:dyDescent="0.2">
      <c r="A216" t="s">
        <v>316</v>
      </c>
      <c r="B216" t="s">
        <v>1791</v>
      </c>
      <c r="C216" t="s">
        <v>449</v>
      </c>
      <c r="D216" s="85" t="s">
        <v>793</v>
      </c>
      <c r="E216">
        <v>769781003</v>
      </c>
      <c r="F216" t="s">
        <v>0</v>
      </c>
      <c r="H216" t="s">
        <v>451</v>
      </c>
      <c r="I216" t="s">
        <v>1792</v>
      </c>
      <c r="J216" t="s">
        <v>452</v>
      </c>
      <c r="K216" t="s">
        <v>453</v>
      </c>
      <c r="L216" t="s">
        <v>751</v>
      </c>
      <c r="M216" t="s">
        <v>455</v>
      </c>
      <c r="N216" t="s">
        <v>0</v>
      </c>
      <c r="O216">
        <v>0</v>
      </c>
      <c r="P216">
        <v>0</v>
      </c>
      <c r="Q216">
        <v>0</v>
      </c>
      <c r="R216">
        <v>1</v>
      </c>
      <c r="S216">
        <v>2</v>
      </c>
      <c r="T216">
        <v>19</v>
      </c>
      <c r="U216" t="s">
        <v>513</v>
      </c>
      <c r="V216" t="s">
        <v>11</v>
      </c>
      <c r="W216" t="s">
        <v>1793</v>
      </c>
      <c r="X216" t="s">
        <v>458</v>
      </c>
      <c r="Y216" t="s">
        <v>795</v>
      </c>
      <c r="Z216" t="s">
        <v>1739</v>
      </c>
      <c r="AE216" s="97">
        <v>6</v>
      </c>
      <c r="AF216" s="92" t="s">
        <v>460</v>
      </c>
      <c r="AG216" s="110" t="s">
        <v>1794</v>
      </c>
      <c r="AH216" s="91" t="s">
        <v>1795</v>
      </c>
      <c r="AI216" s="92" t="s">
        <v>485</v>
      </c>
      <c r="AJ216" s="92" t="s">
        <v>1796</v>
      </c>
      <c r="AK216" s="92" t="s">
        <v>1797</v>
      </c>
      <c r="AL216" s="91" t="s">
        <v>1798</v>
      </c>
      <c r="AM216" s="91" t="b">
        <v>0</v>
      </c>
    </row>
    <row r="217" spans="1:39" x14ac:dyDescent="0.2">
      <c r="A217" t="s">
        <v>317</v>
      </c>
      <c r="B217" t="s">
        <v>1799</v>
      </c>
      <c r="C217" t="s">
        <v>449</v>
      </c>
      <c r="D217" s="85" t="s">
        <v>775</v>
      </c>
      <c r="E217">
        <v>799549878</v>
      </c>
      <c r="F217" t="s">
        <v>0</v>
      </c>
      <c r="H217" t="s">
        <v>451</v>
      </c>
      <c r="J217" t="s">
        <v>452</v>
      </c>
      <c r="K217" t="s">
        <v>453</v>
      </c>
      <c r="L217" t="s">
        <v>751</v>
      </c>
      <c r="M217" t="s">
        <v>455</v>
      </c>
      <c r="N217" t="s">
        <v>0</v>
      </c>
      <c r="O217">
        <v>0</v>
      </c>
      <c r="P217">
        <v>0</v>
      </c>
      <c r="Q217">
        <v>0</v>
      </c>
      <c r="R217">
        <v>1</v>
      </c>
      <c r="S217">
        <v>2</v>
      </c>
      <c r="T217">
        <v>18</v>
      </c>
      <c r="U217" t="s">
        <v>513</v>
      </c>
      <c r="V217" t="s">
        <v>11</v>
      </c>
      <c r="W217" t="s">
        <v>1800</v>
      </c>
      <c r="X217" t="s">
        <v>458</v>
      </c>
      <c r="Z217" t="s">
        <v>1739</v>
      </c>
      <c r="AE217" s="97">
        <v>6</v>
      </c>
      <c r="AF217" s="92" t="s">
        <v>460</v>
      </c>
      <c r="AG217" s="110"/>
      <c r="AH217" s="91" t="s">
        <v>1801</v>
      </c>
      <c r="AI217" s="92" t="s">
        <v>463</v>
      </c>
      <c r="AJ217" s="92" t="s">
        <v>1802</v>
      </c>
      <c r="AK217" s="92" t="s">
        <v>1798</v>
      </c>
      <c r="AL217" s="91" t="s">
        <v>1798</v>
      </c>
      <c r="AM217" s="91" t="b">
        <v>0</v>
      </c>
    </row>
    <row r="218" spans="1:39" x14ac:dyDescent="0.2">
      <c r="A218" t="s">
        <v>319</v>
      </c>
      <c r="B218" t="s">
        <v>1803</v>
      </c>
      <c r="C218" t="s">
        <v>449</v>
      </c>
      <c r="D218" s="85" t="s">
        <v>780</v>
      </c>
      <c r="E218">
        <v>398324011</v>
      </c>
      <c r="F218" t="s">
        <v>0</v>
      </c>
      <c r="H218" t="s">
        <v>451</v>
      </c>
      <c r="J218" t="s">
        <v>452</v>
      </c>
      <c r="K218" t="s">
        <v>453</v>
      </c>
      <c r="L218" t="s">
        <v>751</v>
      </c>
      <c r="M218" t="s">
        <v>455</v>
      </c>
      <c r="N218" t="s">
        <v>0</v>
      </c>
      <c r="O218">
        <v>0</v>
      </c>
      <c r="P218">
        <v>0</v>
      </c>
      <c r="Q218">
        <v>0</v>
      </c>
      <c r="R218">
        <v>1</v>
      </c>
      <c r="S218">
        <v>2</v>
      </c>
      <c r="T218">
        <v>18</v>
      </c>
      <c r="U218" t="s">
        <v>513</v>
      </c>
      <c r="V218" t="s">
        <v>11</v>
      </c>
      <c r="W218" t="s">
        <v>1804</v>
      </c>
      <c r="X218" t="s">
        <v>458</v>
      </c>
      <c r="Z218" t="s">
        <v>1739</v>
      </c>
      <c r="AE218" s="98">
        <v>7</v>
      </c>
      <c r="AF218" s="92" t="s">
        <v>460</v>
      </c>
      <c r="AG218" s="110" t="s">
        <v>1805</v>
      </c>
      <c r="AH218" s="91" t="s">
        <v>1806</v>
      </c>
      <c r="AI218" s="92" t="s">
        <v>463</v>
      </c>
      <c r="AJ218" s="92" t="s">
        <v>1737</v>
      </c>
      <c r="AK218" s="92" t="s">
        <v>1807</v>
      </c>
      <c r="AL218" s="91" t="s">
        <v>474</v>
      </c>
      <c r="AM218" s="91" t="b">
        <v>0</v>
      </c>
    </row>
    <row r="219" spans="1:39" x14ac:dyDescent="0.2">
      <c r="A219" t="s">
        <v>320</v>
      </c>
      <c r="B219" t="s">
        <v>1808</v>
      </c>
      <c r="C219" t="s">
        <v>449</v>
      </c>
      <c r="D219" s="85" t="s">
        <v>768</v>
      </c>
      <c r="E219">
        <v>919990145</v>
      </c>
      <c r="F219" t="s">
        <v>0</v>
      </c>
      <c r="H219" t="s">
        <v>451</v>
      </c>
      <c r="J219" t="s">
        <v>452</v>
      </c>
      <c r="K219" t="s">
        <v>453</v>
      </c>
      <c r="L219" t="s">
        <v>751</v>
      </c>
      <c r="M219" t="s">
        <v>455</v>
      </c>
      <c r="N219" t="s">
        <v>0</v>
      </c>
      <c r="O219">
        <v>0</v>
      </c>
      <c r="P219">
        <v>0</v>
      </c>
      <c r="Q219">
        <v>0</v>
      </c>
      <c r="R219">
        <v>1</v>
      </c>
      <c r="S219">
        <v>2</v>
      </c>
      <c r="T219">
        <v>17</v>
      </c>
      <c r="U219" t="s">
        <v>513</v>
      </c>
      <c r="V219" t="s">
        <v>11</v>
      </c>
      <c r="W219" t="s">
        <v>1809</v>
      </c>
      <c r="X219" t="s">
        <v>458</v>
      </c>
      <c r="Z219" t="s">
        <v>1739</v>
      </c>
      <c r="AE219" s="98">
        <v>7</v>
      </c>
      <c r="AF219" s="92" t="s">
        <v>460</v>
      </c>
      <c r="AG219" s="110"/>
      <c r="AH219" s="91" t="s">
        <v>1810</v>
      </c>
      <c r="AI219" s="92" t="s">
        <v>463</v>
      </c>
      <c r="AJ219" s="92" t="s">
        <v>965</v>
      </c>
      <c r="AK219" s="92" t="s">
        <v>1811</v>
      </c>
      <c r="AL219" s="91" t="s">
        <v>474</v>
      </c>
      <c r="AM219" s="91" t="b">
        <v>0</v>
      </c>
    </row>
    <row r="220" spans="1:39" x14ac:dyDescent="0.2">
      <c r="A220" t="s">
        <v>321</v>
      </c>
      <c r="B220" t="s">
        <v>1812</v>
      </c>
      <c r="C220" t="s">
        <v>449</v>
      </c>
      <c r="D220" s="85" t="s">
        <v>1813</v>
      </c>
      <c r="E220">
        <v>901857690</v>
      </c>
      <c r="F220" t="s">
        <v>0</v>
      </c>
      <c r="H220" t="s">
        <v>451</v>
      </c>
      <c r="J220" t="s">
        <v>452</v>
      </c>
      <c r="K220" t="s">
        <v>491</v>
      </c>
      <c r="L220" t="s">
        <v>1117</v>
      </c>
      <c r="M220" t="s">
        <v>455</v>
      </c>
      <c r="N220" t="s">
        <v>0</v>
      </c>
      <c r="O220">
        <v>0</v>
      </c>
      <c r="P220">
        <v>0</v>
      </c>
      <c r="Q220">
        <v>0</v>
      </c>
      <c r="R220">
        <v>1</v>
      </c>
      <c r="S220">
        <v>7</v>
      </c>
      <c r="T220">
        <v>88</v>
      </c>
      <c r="U220" t="s">
        <v>456</v>
      </c>
      <c r="V220" t="s">
        <v>14</v>
      </c>
      <c r="W220" t="s">
        <v>1814</v>
      </c>
      <c r="X220" t="s">
        <v>458</v>
      </c>
      <c r="Z220" t="s">
        <v>1739</v>
      </c>
      <c r="AE220" s="98">
        <v>7</v>
      </c>
      <c r="AF220" s="92" t="s">
        <v>460</v>
      </c>
      <c r="AG220" s="84" t="s">
        <v>1815</v>
      </c>
      <c r="AH220" s="91" t="s">
        <v>1816</v>
      </c>
      <c r="AI220" s="92" t="s">
        <v>463</v>
      </c>
      <c r="AJ220" s="92" t="s">
        <v>910</v>
      </c>
      <c r="AK220" s="92" t="s">
        <v>1817</v>
      </c>
      <c r="AL220" s="91" t="s">
        <v>1818</v>
      </c>
      <c r="AM220" s="91" t="b">
        <v>0</v>
      </c>
    </row>
    <row r="221" spans="1:39" x14ac:dyDescent="0.2">
      <c r="A221" t="s">
        <v>322</v>
      </c>
      <c r="B221" t="s">
        <v>1819</v>
      </c>
      <c r="C221" t="s">
        <v>449</v>
      </c>
      <c r="D221" s="85" t="s">
        <v>1820</v>
      </c>
      <c r="E221">
        <v>961910015</v>
      </c>
      <c r="F221" t="s">
        <v>0</v>
      </c>
      <c r="H221" t="s">
        <v>451</v>
      </c>
      <c r="J221" t="s">
        <v>1745</v>
      </c>
      <c r="K221" t="s">
        <v>1821</v>
      </c>
      <c r="L221" t="s">
        <v>1822</v>
      </c>
      <c r="M221" t="s">
        <v>455</v>
      </c>
      <c r="N221" t="s">
        <v>0</v>
      </c>
      <c r="O221">
        <v>0</v>
      </c>
      <c r="P221">
        <v>0</v>
      </c>
      <c r="Q221">
        <v>0</v>
      </c>
      <c r="R221">
        <v>1</v>
      </c>
      <c r="S221">
        <v>7</v>
      </c>
      <c r="T221">
        <v>84</v>
      </c>
      <c r="U221" t="s">
        <v>456</v>
      </c>
      <c r="V221" t="s">
        <v>14</v>
      </c>
      <c r="W221" t="s">
        <v>1823</v>
      </c>
      <c r="X221" t="s">
        <v>0</v>
      </c>
      <c r="Y221" t="s">
        <v>1369</v>
      </c>
      <c r="Z221" t="s">
        <v>1749</v>
      </c>
      <c r="AE221" s="98">
        <v>7</v>
      </c>
      <c r="AF221" s="92" t="s">
        <v>460</v>
      </c>
      <c r="AG221" s="110" t="s">
        <v>1824</v>
      </c>
      <c r="AH221" s="91" t="s">
        <v>1825</v>
      </c>
      <c r="AI221" s="92" t="s">
        <v>463</v>
      </c>
      <c r="AJ221" s="92" t="s">
        <v>1826</v>
      </c>
      <c r="AK221" s="92" t="s">
        <v>1827</v>
      </c>
      <c r="AL221" s="91" t="s">
        <v>1828</v>
      </c>
      <c r="AM221" s="91" t="b">
        <v>0</v>
      </c>
    </row>
    <row r="222" spans="1:39" x14ac:dyDescent="0.2">
      <c r="A222" t="s">
        <v>324</v>
      </c>
      <c r="B222" t="s">
        <v>1829</v>
      </c>
      <c r="C222" t="s">
        <v>449</v>
      </c>
      <c r="D222" s="1" t="s">
        <v>1830</v>
      </c>
      <c r="E222">
        <v>778819618</v>
      </c>
      <c r="F222" t="s">
        <v>0</v>
      </c>
      <c r="H222" t="s">
        <v>451</v>
      </c>
      <c r="J222" t="s">
        <v>1745</v>
      </c>
      <c r="K222" t="s">
        <v>1773</v>
      </c>
      <c r="L222" t="s">
        <v>1831</v>
      </c>
      <c r="M222" t="s">
        <v>455</v>
      </c>
      <c r="N222" t="s">
        <v>0</v>
      </c>
      <c r="O222">
        <v>0</v>
      </c>
      <c r="P222">
        <v>0</v>
      </c>
      <c r="Q222">
        <v>0</v>
      </c>
      <c r="R222">
        <v>1</v>
      </c>
      <c r="S222">
        <v>7</v>
      </c>
      <c r="T222">
        <v>82</v>
      </c>
      <c r="U222" t="s">
        <v>456</v>
      </c>
      <c r="V222" t="s">
        <v>14</v>
      </c>
      <c r="W222" t="s">
        <v>1832</v>
      </c>
      <c r="X222" t="s">
        <v>458</v>
      </c>
      <c r="Z222" t="s">
        <v>1749</v>
      </c>
      <c r="AE222" s="98">
        <v>7</v>
      </c>
      <c r="AF222" s="92" t="s">
        <v>460</v>
      </c>
      <c r="AG222" s="110"/>
      <c r="AH222" s="91" t="s">
        <v>1833</v>
      </c>
      <c r="AI222" s="92" t="s">
        <v>463</v>
      </c>
      <c r="AJ222" s="92" t="s">
        <v>1149</v>
      </c>
      <c r="AK222" s="92" t="s">
        <v>1834</v>
      </c>
      <c r="AL222" s="91" t="s">
        <v>474</v>
      </c>
      <c r="AM222" s="91" t="b">
        <v>0</v>
      </c>
    </row>
    <row r="223" spans="1:39" x14ac:dyDescent="0.2">
      <c r="A223" t="s">
        <v>325</v>
      </c>
      <c r="B223" t="s">
        <v>1835</v>
      </c>
      <c r="C223" t="s">
        <v>449</v>
      </c>
      <c r="D223" s="85" t="s">
        <v>1836</v>
      </c>
      <c r="E223">
        <v>984060780</v>
      </c>
      <c r="F223" t="s">
        <v>0</v>
      </c>
      <c r="H223" t="s">
        <v>451</v>
      </c>
      <c r="I223" t="s">
        <v>1837</v>
      </c>
      <c r="J223" t="s">
        <v>1745</v>
      </c>
      <c r="K223" t="s">
        <v>1773</v>
      </c>
      <c r="L223" t="s">
        <v>1831</v>
      </c>
      <c r="M223" t="s">
        <v>455</v>
      </c>
      <c r="N223" t="s">
        <v>0</v>
      </c>
      <c r="O223">
        <v>0</v>
      </c>
      <c r="P223">
        <v>0</v>
      </c>
      <c r="Q223">
        <v>0</v>
      </c>
      <c r="R223">
        <v>1</v>
      </c>
      <c r="S223">
        <v>7</v>
      </c>
      <c r="T223">
        <v>83</v>
      </c>
      <c r="U223" t="s">
        <v>456</v>
      </c>
      <c r="V223" t="s">
        <v>14</v>
      </c>
      <c r="W223" t="s">
        <v>1838</v>
      </c>
      <c r="X223" t="s">
        <v>0</v>
      </c>
      <c r="Y223" t="s">
        <v>1369</v>
      </c>
      <c r="Z223" t="s">
        <v>1749</v>
      </c>
      <c r="AE223" s="98">
        <v>7</v>
      </c>
      <c r="AF223" s="92" t="s">
        <v>460</v>
      </c>
      <c r="AG223" s="84" t="s">
        <v>1158</v>
      </c>
      <c r="AH223" s="91" t="s">
        <v>1839</v>
      </c>
      <c r="AI223" s="92" t="s">
        <v>463</v>
      </c>
      <c r="AJ223" s="92" t="s">
        <v>1840</v>
      </c>
      <c r="AK223" s="92" t="s">
        <v>1841</v>
      </c>
      <c r="AL223" s="91" t="s">
        <v>1162</v>
      </c>
      <c r="AM223" s="91" t="b">
        <v>0</v>
      </c>
    </row>
    <row r="224" spans="1:39" x14ac:dyDescent="0.2">
      <c r="A224" t="s">
        <v>326</v>
      </c>
      <c r="B224" t="s">
        <v>1842</v>
      </c>
      <c r="C224" t="s">
        <v>449</v>
      </c>
      <c r="D224" s="85" t="s">
        <v>1843</v>
      </c>
      <c r="E224">
        <v>901393648</v>
      </c>
      <c r="F224" t="s">
        <v>0</v>
      </c>
      <c r="H224" t="s">
        <v>451</v>
      </c>
      <c r="I224" t="s">
        <v>1844</v>
      </c>
      <c r="J224" t="s">
        <v>1745</v>
      </c>
      <c r="K224" t="s">
        <v>1773</v>
      </c>
      <c r="L224" t="s">
        <v>1845</v>
      </c>
      <c r="M224" t="s">
        <v>455</v>
      </c>
      <c r="N224" t="s">
        <v>0</v>
      </c>
      <c r="O224">
        <v>0</v>
      </c>
      <c r="P224">
        <v>0</v>
      </c>
      <c r="Q224">
        <v>0</v>
      </c>
      <c r="R224">
        <v>1</v>
      </c>
      <c r="S224">
        <v>7</v>
      </c>
      <c r="T224">
        <v>84</v>
      </c>
      <c r="U224" t="s">
        <v>456</v>
      </c>
      <c r="V224" t="s">
        <v>14</v>
      </c>
      <c r="W224" t="s">
        <v>1846</v>
      </c>
      <c r="X224" t="s">
        <v>0</v>
      </c>
      <c r="Y224" t="s">
        <v>1369</v>
      </c>
      <c r="Z224" t="s">
        <v>1749</v>
      </c>
      <c r="AE224" s="98">
        <v>7</v>
      </c>
      <c r="AF224" s="92" t="s">
        <v>1184</v>
      </c>
      <c r="AG224" s="110" t="s">
        <v>1847</v>
      </c>
      <c r="AH224" s="91" t="s">
        <v>1848</v>
      </c>
      <c r="AI224" s="92" t="s">
        <v>463</v>
      </c>
      <c r="AJ224" s="92" t="s">
        <v>1779</v>
      </c>
      <c r="AK224" s="92" t="s">
        <v>1849</v>
      </c>
      <c r="AL224" s="91" t="s">
        <v>1369</v>
      </c>
      <c r="AM224" s="91" t="b">
        <v>0</v>
      </c>
    </row>
    <row r="225" spans="1:39" x14ac:dyDescent="0.2">
      <c r="A225" t="s">
        <v>327</v>
      </c>
      <c r="B225" t="s">
        <v>1850</v>
      </c>
      <c r="C225" t="s">
        <v>449</v>
      </c>
      <c r="D225" s="85" t="s">
        <v>1851</v>
      </c>
      <c r="E225">
        <v>909988822</v>
      </c>
      <c r="F225" t="s">
        <v>0</v>
      </c>
      <c r="H225" t="s">
        <v>451</v>
      </c>
      <c r="J225" t="s">
        <v>452</v>
      </c>
      <c r="K225" t="s">
        <v>453</v>
      </c>
      <c r="L225" t="s">
        <v>492</v>
      </c>
      <c r="M225" t="s">
        <v>455</v>
      </c>
      <c r="N225" t="s">
        <v>0</v>
      </c>
      <c r="O225">
        <v>0</v>
      </c>
      <c r="P225">
        <v>0</v>
      </c>
      <c r="Q225">
        <v>0</v>
      </c>
      <c r="R225">
        <v>1</v>
      </c>
      <c r="S225">
        <v>7</v>
      </c>
      <c r="T225">
        <v>78</v>
      </c>
      <c r="U225" t="s">
        <v>513</v>
      </c>
      <c r="V225" t="s">
        <v>11</v>
      </c>
      <c r="W225" t="s">
        <v>1852</v>
      </c>
      <c r="X225" t="s">
        <v>458</v>
      </c>
      <c r="Z225" t="s">
        <v>1739</v>
      </c>
      <c r="AE225" s="98">
        <v>7</v>
      </c>
      <c r="AF225" s="92" t="s">
        <v>460</v>
      </c>
      <c r="AG225" s="110"/>
      <c r="AH225" s="91" t="s">
        <v>1853</v>
      </c>
      <c r="AI225" s="92" t="s">
        <v>463</v>
      </c>
      <c r="AJ225" s="92" t="s">
        <v>1830</v>
      </c>
      <c r="AK225" s="92" t="s">
        <v>1854</v>
      </c>
      <c r="AL225" s="91" t="s">
        <v>474</v>
      </c>
      <c r="AM225" s="91" t="b">
        <v>0</v>
      </c>
    </row>
    <row r="226" spans="1:39" x14ac:dyDescent="0.2">
      <c r="A226" t="s">
        <v>329</v>
      </c>
      <c r="B226" t="s">
        <v>1855</v>
      </c>
      <c r="C226" t="s">
        <v>449</v>
      </c>
      <c r="D226" s="85" t="s">
        <v>1856</v>
      </c>
      <c r="E226">
        <v>985788540</v>
      </c>
      <c r="F226" t="s">
        <v>0</v>
      </c>
      <c r="H226" t="s">
        <v>451</v>
      </c>
      <c r="J226" t="s">
        <v>452</v>
      </c>
      <c r="K226" t="s">
        <v>453</v>
      </c>
      <c r="L226" t="s">
        <v>492</v>
      </c>
      <c r="M226" t="s">
        <v>455</v>
      </c>
      <c r="N226" t="s">
        <v>0</v>
      </c>
      <c r="O226">
        <v>0</v>
      </c>
      <c r="P226">
        <v>0</v>
      </c>
      <c r="Q226">
        <v>0</v>
      </c>
      <c r="R226">
        <v>1</v>
      </c>
      <c r="S226">
        <v>7</v>
      </c>
      <c r="T226">
        <v>64</v>
      </c>
      <c r="U226" t="s">
        <v>513</v>
      </c>
      <c r="V226" t="s">
        <v>11</v>
      </c>
      <c r="W226" t="s">
        <v>1857</v>
      </c>
      <c r="X226" t="s">
        <v>458</v>
      </c>
      <c r="Z226" t="s">
        <v>1858</v>
      </c>
      <c r="AE226" s="98">
        <v>7</v>
      </c>
      <c r="AF226" s="92" t="s">
        <v>1184</v>
      </c>
      <c r="AG226" s="110" t="s">
        <v>1859</v>
      </c>
      <c r="AH226" s="91" t="s">
        <v>1860</v>
      </c>
      <c r="AI226" s="92" t="s">
        <v>463</v>
      </c>
      <c r="AJ226" s="92" t="s">
        <v>1744</v>
      </c>
      <c r="AK226" s="92" t="s">
        <v>1861</v>
      </c>
      <c r="AL226" s="91" t="s">
        <v>1369</v>
      </c>
      <c r="AM226" s="91" t="b">
        <v>0</v>
      </c>
    </row>
    <row r="227" spans="1:39" x14ac:dyDescent="0.2">
      <c r="A227" t="s">
        <v>331</v>
      </c>
      <c r="B227" t="s">
        <v>1862</v>
      </c>
      <c r="C227" t="s">
        <v>449</v>
      </c>
      <c r="D227" s="85" t="s">
        <v>1863</v>
      </c>
      <c r="E227">
        <v>328005399</v>
      </c>
      <c r="F227" t="s">
        <v>0</v>
      </c>
      <c r="H227" t="s">
        <v>451</v>
      </c>
      <c r="J227" t="s">
        <v>452</v>
      </c>
      <c r="K227" t="s">
        <v>453</v>
      </c>
      <c r="L227" t="s">
        <v>492</v>
      </c>
      <c r="M227" t="s">
        <v>455</v>
      </c>
      <c r="N227" t="s">
        <v>0</v>
      </c>
      <c r="O227">
        <v>0</v>
      </c>
      <c r="P227">
        <v>0</v>
      </c>
      <c r="Q227">
        <v>0</v>
      </c>
      <c r="R227">
        <v>1</v>
      </c>
      <c r="S227">
        <v>7</v>
      </c>
      <c r="T227">
        <v>64</v>
      </c>
      <c r="U227" t="s">
        <v>513</v>
      </c>
      <c r="V227" t="s">
        <v>11</v>
      </c>
      <c r="W227" t="s">
        <v>1864</v>
      </c>
      <c r="X227" t="s">
        <v>458</v>
      </c>
      <c r="Z227" t="s">
        <v>1858</v>
      </c>
      <c r="AE227" s="98">
        <v>7</v>
      </c>
      <c r="AF227" s="92" t="s">
        <v>1184</v>
      </c>
      <c r="AG227" s="110"/>
      <c r="AH227" s="91" t="s">
        <v>1865</v>
      </c>
      <c r="AI227" s="92" t="s">
        <v>463</v>
      </c>
      <c r="AJ227" s="92" t="s">
        <v>1836</v>
      </c>
      <c r="AK227" s="92" t="s">
        <v>1866</v>
      </c>
      <c r="AL227" s="91" t="s">
        <v>1369</v>
      </c>
      <c r="AM227" s="91" t="b">
        <v>0</v>
      </c>
    </row>
    <row r="228" spans="1:39" x14ac:dyDescent="0.2">
      <c r="A228" t="s">
        <v>332</v>
      </c>
      <c r="B228" t="s">
        <v>1867</v>
      </c>
      <c r="C228" t="s">
        <v>449</v>
      </c>
      <c r="D228" s="85" t="s">
        <v>1868</v>
      </c>
      <c r="E228">
        <v>338330044</v>
      </c>
      <c r="F228" t="s">
        <v>0</v>
      </c>
      <c r="H228" t="s">
        <v>451</v>
      </c>
      <c r="J228" t="s">
        <v>452</v>
      </c>
      <c r="K228" t="s">
        <v>453</v>
      </c>
      <c r="L228" t="s">
        <v>492</v>
      </c>
      <c r="M228" t="s">
        <v>455</v>
      </c>
      <c r="N228" t="s">
        <v>0</v>
      </c>
      <c r="O228">
        <v>0</v>
      </c>
      <c r="P228">
        <v>0</v>
      </c>
      <c r="Q228">
        <v>0</v>
      </c>
      <c r="R228">
        <v>1</v>
      </c>
      <c r="S228">
        <v>7</v>
      </c>
      <c r="T228">
        <v>63</v>
      </c>
      <c r="U228" t="s">
        <v>513</v>
      </c>
      <c r="V228" t="s">
        <v>11</v>
      </c>
      <c r="W228" t="s">
        <v>1869</v>
      </c>
      <c r="X228" t="s">
        <v>458</v>
      </c>
      <c r="Z228" t="s">
        <v>1858</v>
      </c>
      <c r="AE228" s="98">
        <v>7</v>
      </c>
      <c r="AF228" s="92" t="s">
        <v>1184</v>
      </c>
      <c r="AG228" s="110" t="s">
        <v>1870</v>
      </c>
      <c r="AH228" s="91" t="s">
        <v>1871</v>
      </c>
      <c r="AI228" s="92" t="s">
        <v>463</v>
      </c>
      <c r="AJ228" s="92" t="s">
        <v>1843</v>
      </c>
      <c r="AK228" s="92" t="s">
        <v>1872</v>
      </c>
      <c r="AL228" s="91" t="s">
        <v>1369</v>
      </c>
      <c r="AM228" s="91" t="b">
        <v>0</v>
      </c>
    </row>
    <row r="229" spans="1:39" x14ac:dyDescent="0.2">
      <c r="A229" t="s">
        <v>334</v>
      </c>
      <c r="B229" t="s">
        <v>1873</v>
      </c>
      <c r="C229" t="s">
        <v>449</v>
      </c>
      <c r="D229" s="85" t="s">
        <v>1826</v>
      </c>
      <c r="E229">
        <v>903747427</v>
      </c>
      <c r="F229" t="s">
        <v>0</v>
      </c>
      <c r="H229" t="s">
        <v>451</v>
      </c>
      <c r="I229" t="s">
        <v>1828</v>
      </c>
      <c r="J229" t="s">
        <v>452</v>
      </c>
      <c r="K229" t="s">
        <v>453</v>
      </c>
      <c r="L229" t="s">
        <v>492</v>
      </c>
      <c r="M229" t="s">
        <v>455</v>
      </c>
      <c r="N229" t="s">
        <v>0</v>
      </c>
      <c r="O229">
        <v>0</v>
      </c>
      <c r="P229">
        <v>0</v>
      </c>
      <c r="Q229">
        <v>0</v>
      </c>
      <c r="R229">
        <v>1</v>
      </c>
      <c r="S229">
        <v>7</v>
      </c>
      <c r="T229">
        <v>60</v>
      </c>
      <c r="U229" t="s">
        <v>456</v>
      </c>
      <c r="V229" t="s">
        <v>14</v>
      </c>
      <c r="W229" t="s">
        <v>1874</v>
      </c>
      <c r="X229" t="s">
        <v>458</v>
      </c>
      <c r="Y229" t="s">
        <v>1828</v>
      </c>
      <c r="Z229" t="s">
        <v>1858</v>
      </c>
      <c r="AE229" s="98">
        <v>7</v>
      </c>
      <c r="AF229" s="92" t="s">
        <v>1184</v>
      </c>
      <c r="AG229" s="110"/>
      <c r="AH229" s="91" t="s">
        <v>1875</v>
      </c>
      <c r="AI229" s="92" t="s">
        <v>463</v>
      </c>
      <c r="AJ229" s="92" t="s">
        <v>1820</v>
      </c>
      <c r="AK229" s="92" t="s">
        <v>1876</v>
      </c>
      <c r="AL229" s="91" t="s">
        <v>1369</v>
      </c>
      <c r="AM229" s="91" t="b">
        <v>0</v>
      </c>
    </row>
    <row r="230" spans="1:39" x14ac:dyDescent="0.2">
      <c r="A230" t="s">
        <v>335</v>
      </c>
      <c r="B230" t="s">
        <v>1877</v>
      </c>
      <c r="C230" t="s">
        <v>449</v>
      </c>
      <c r="D230" s="85" t="s">
        <v>1878</v>
      </c>
      <c r="E230">
        <v>335533732</v>
      </c>
      <c r="F230" t="s">
        <v>0</v>
      </c>
      <c r="H230" t="s">
        <v>451</v>
      </c>
      <c r="J230" t="s">
        <v>452</v>
      </c>
      <c r="K230" t="s">
        <v>453</v>
      </c>
      <c r="L230" t="s">
        <v>492</v>
      </c>
      <c r="M230" t="s">
        <v>455</v>
      </c>
      <c r="N230" t="s">
        <v>0</v>
      </c>
      <c r="O230">
        <v>0</v>
      </c>
      <c r="P230">
        <v>0</v>
      </c>
      <c r="Q230">
        <v>0</v>
      </c>
      <c r="R230">
        <v>1</v>
      </c>
      <c r="S230">
        <v>7</v>
      </c>
      <c r="T230">
        <v>63</v>
      </c>
      <c r="U230" t="s">
        <v>513</v>
      </c>
      <c r="V230" t="s">
        <v>11</v>
      </c>
      <c r="W230" t="s">
        <v>1879</v>
      </c>
      <c r="X230" t="s">
        <v>458</v>
      </c>
      <c r="Z230" t="s">
        <v>1858</v>
      </c>
      <c r="AE230" s="98">
        <v>7</v>
      </c>
      <c r="AF230" s="92" t="s">
        <v>460</v>
      </c>
      <c r="AG230" s="84" t="s">
        <v>546</v>
      </c>
      <c r="AH230" s="91" t="s">
        <v>1880</v>
      </c>
      <c r="AI230" s="92" t="s">
        <v>463</v>
      </c>
      <c r="AJ230" s="92" t="s">
        <v>1813</v>
      </c>
      <c r="AK230" s="92" t="s">
        <v>1881</v>
      </c>
      <c r="AL230" s="91" t="s">
        <v>549</v>
      </c>
      <c r="AM230" s="91" t="b">
        <v>0</v>
      </c>
    </row>
    <row r="231" spans="1:39" x14ac:dyDescent="0.2">
      <c r="A231" t="s">
        <v>336</v>
      </c>
      <c r="B231" t="s">
        <v>1882</v>
      </c>
      <c r="C231" t="s">
        <v>449</v>
      </c>
      <c r="D231" s="85" t="s">
        <v>1840</v>
      </c>
      <c r="E231">
        <v>943149780</v>
      </c>
      <c r="F231" t="s">
        <v>0</v>
      </c>
      <c r="H231" t="s">
        <v>451</v>
      </c>
      <c r="J231" t="s">
        <v>452</v>
      </c>
      <c r="K231" t="s">
        <v>491</v>
      </c>
      <c r="L231" t="s">
        <v>911</v>
      </c>
      <c r="M231" t="s">
        <v>455</v>
      </c>
      <c r="N231" t="s">
        <v>0</v>
      </c>
      <c r="O231">
        <v>0</v>
      </c>
      <c r="P231">
        <v>0</v>
      </c>
      <c r="Q231">
        <v>0</v>
      </c>
      <c r="R231">
        <v>1</v>
      </c>
      <c r="S231">
        <v>7</v>
      </c>
      <c r="T231">
        <v>68</v>
      </c>
      <c r="U231" t="s">
        <v>456</v>
      </c>
      <c r="V231" t="s">
        <v>14</v>
      </c>
      <c r="W231" t="s">
        <v>1883</v>
      </c>
      <c r="X231" t="s">
        <v>458</v>
      </c>
      <c r="Z231" t="s">
        <v>1858</v>
      </c>
      <c r="AE231" s="98">
        <v>7</v>
      </c>
      <c r="AF231" s="92" t="s">
        <v>460</v>
      </c>
      <c r="AG231" s="84" t="s">
        <v>1253</v>
      </c>
      <c r="AH231" s="91" t="s">
        <v>1884</v>
      </c>
      <c r="AI231" s="92" t="s">
        <v>485</v>
      </c>
      <c r="AJ231" s="92" t="s">
        <v>1885</v>
      </c>
      <c r="AK231" s="92" t="s">
        <v>1886</v>
      </c>
      <c r="AL231" s="91"/>
      <c r="AM231" s="91" t="b">
        <v>0</v>
      </c>
    </row>
    <row r="232" spans="1:39" x14ac:dyDescent="0.2">
      <c r="A232" t="s">
        <v>1887</v>
      </c>
      <c r="B232" t="s">
        <v>1888</v>
      </c>
      <c r="C232" t="s">
        <v>449</v>
      </c>
      <c r="D232" s="1" t="s">
        <v>1889</v>
      </c>
      <c r="E232">
        <v>974674081</v>
      </c>
      <c r="F232" t="s">
        <v>0</v>
      </c>
      <c r="H232" t="s">
        <v>451</v>
      </c>
      <c r="J232" t="s">
        <v>452</v>
      </c>
      <c r="K232" t="s">
        <v>904</v>
      </c>
      <c r="L232" t="s">
        <v>1890</v>
      </c>
      <c r="M232" t="s">
        <v>455</v>
      </c>
      <c r="N232" t="s">
        <v>0</v>
      </c>
      <c r="O232">
        <v>0</v>
      </c>
      <c r="P232">
        <v>0</v>
      </c>
      <c r="Q232">
        <v>0</v>
      </c>
      <c r="R232">
        <v>1</v>
      </c>
      <c r="S232">
        <v>8</v>
      </c>
      <c r="T232">
        <v>14</v>
      </c>
      <c r="U232" t="s">
        <v>513</v>
      </c>
      <c r="V232" t="s">
        <v>14</v>
      </c>
      <c r="W232" t="s">
        <v>1891</v>
      </c>
      <c r="X232" t="s">
        <v>458</v>
      </c>
      <c r="Z232" t="s">
        <v>1858</v>
      </c>
      <c r="AE232" s="98">
        <v>7</v>
      </c>
      <c r="AF232" s="92" t="s">
        <v>460</v>
      </c>
      <c r="AG232" s="110" t="s">
        <v>1892</v>
      </c>
      <c r="AH232" s="91" t="s">
        <v>1893</v>
      </c>
      <c r="AI232" s="92" t="s">
        <v>485</v>
      </c>
      <c r="AJ232" s="92" t="s">
        <v>1868</v>
      </c>
      <c r="AK232" s="92" t="s">
        <v>1894</v>
      </c>
      <c r="AL232" s="91" t="s">
        <v>474</v>
      </c>
      <c r="AM232" s="91" t="b">
        <v>0</v>
      </c>
    </row>
    <row r="233" spans="1:39" x14ac:dyDescent="0.2">
      <c r="A233" t="s">
        <v>337</v>
      </c>
      <c r="B233" t="s">
        <v>1895</v>
      </c>
      <c r="C233" t="s">
        <v>449</v>
      </c>
      <c r="D233" s="86" t="s">
        <v>1896</v>
      </c>
      <c r="E233">
        <v>909915834</v>
      </c>
      <c r="F233" t="s">
        <v>0</v>
      </c>
      <c r="H233" t="s">
        <v>451</v>
      </c>
      <c r="J233" t="s">
        <v>452</v>
      </c>
      <c r="K233" t="s">
        <v>453</v>
      </c>
      <c r="L233" t="s">
        <v>1897</v>
      </c>
      <c r="M233" t="s">
        <v>455</v>
      </c>
      <c r="N233" t="s">
        <v>0</v>
      </c>
      <c r="O233">
        <v>0</v>
      </c>
      <c r="P233">
        <v>0</v>
      </c>
      <c r="Q233">
        <v>0</v>
      </c>
      <c r="R233">
        <v>1</v>
      </c>
      <c r="S233">
        <v>8</v>
      </c>
      <c r="T233">
        <v>124</v>
      </c>
      <c r="U233" t="s">
        <v>456</v>
      </c>
      <c r="V233" t="s">
        <v>14</v>
      </c>
      <c r="W233" t="s">
        <v>1898</v>
      </c>
      <c r="X233" t="s">
        <v>458</v>
      </c>
      <c r="Z233" t="s">
        <v>1858</v>
      </c>
      <c r="AE233" s="98">
        <v>7</v>
      </c>
      <c r="AF233" s="92" t="s">
        <v>460</v>
      </c>
      <c r="AG233" s="110"/>
      <c r="AH233" s="91" t="s">
        <v>1899</v>
      </c>
      <c r="AI233" s="92" t="s">
        <v>485</v>
      </c>
      <c r="AJ233" s="92" t="s">
        <v>1878</v>
      </c>
      <c r="AK233" s="92" t="s">
        <v>1900</v>
      </c>
      <c r="AL233" s="91" t="s">
        <v>474</v>
      </c>
      <c r="AM233" s="91" t="b">
        <v>0</v>
      </c>
    </row>
    <row r="234" spans="1:39" x14ac:dyDescent="0.2">
      <c r="A234" t="s">
        <v>338</v>
      </c>
      <c r="B234" t="s">
        <v>1901</v>
      </c>
      <c r="C234" t="s">
        <v>449</v>
      </c>
      <c r="D234" s="85" t="s">
        <v>1902</v>
      </c>
      <c r="E234">
        <v>839022665</v>
      </c>
      <c r="F234" t="s">
        <v>0</v>
      </c>
      <c r="H234" t="s">
        <v>451</v>
      </c>
      <c r="J234" t="s">
        <v>1498</v>
      </c>
      <c r="K234" t="s">
        <v>1903</v>
      </c>
      <c r="L234" t="s">
        <v>1620</v>
      </c>
      <c r="M234" t="s">
        <v>455</v>
      </c>
      <c r="N234" t="s">
        <v>0</v>
      </c>
      <c r="O234">
        <v>0</v>
      </c>
      <c r="P234">
        <v>0</v>
      </c>
      <c r="Q234">
        <v>0</v>
      </c>
      <c r="R234">
        <v>1</v>
      </c>
      <c r="S234">
        <v>6</v>
      </c>
      <c r="T234">
        <v>125</v>
      </c>
      <c r="U234" t="s">
        <v>456</v>
      </c>
      <c r="V234" t="s">
        <v>14</v>
      </c>
      <c r="W234" t="s">
        <v>1904</v>
      </c>
      <c r="X234" t="s">
        <v>458</v>
      </c>
      <c r="Z234" t="s">
        <v>1630</v>
      </c>
      <c r="AE234" s="98">
        <v>7</v>
      </c>
      <c r="AF234" s="92" t="s">
        <v>460</v>
      </c>
      <c r="AG234" s="110" t="s">
        <v>1905</v>
      </c>
      <c r="AH234" s="91" t="s">
        <v>1906</v>
      </c>
      <c r="AI234" s="92" t="s">
        <v>485</v>
      </c>
      <c r="AJ234" s="92" t="s">
        <v>1856</v>
      </c>
      <c r="AK234" s="92" t="s">
        <v>1907</v>
      </c>
      <c r="AL234" s="91" t="s">
        <v>1369</v>
      </c>
      <c r="AM234" s="91" t="b">
        <v>0</v>
      </c>
    </row>
    <row r="235" spans="1:39" x14ac:dyDescent="0.2">
      <c r="A235" t="s">
        <v>339</v>
      </c>
      <c r="B235" t="s">
        <v>1908</v>
      </c>
      <c r="C235" t="s">
        <v>449</v>
      </c>
      <c r="D235" s="1" t="s">
        <v>1909</v>
      </c>
      <c r="E235">
        <v>945745944</v>
      </c>
      <c r="F235" t="s">
        <v>0</v>
      </c>
      <c r="H235" t="s">
        <v>451</v>
      </c>
      <c r="J235" t="s">
        <v>1498</v>
      </c>
      <c r="K235" t="s">
        <v>1910</v>
      </c>
      <c r="L235" t="s">
        <v>1911</v>
      </c>
      <c r="M235" t="s">
        <v>455</v>
      </c>
      <c r="N235" t="s">
        <v>0</v>
      </c>
      <c r="O235">
        <v>0</v>
      </c>
      <c r="P235">
        <v>0</v>
      </c>
      <c r="Q235">
        <v>0</v>
      </c>
      <c r="R235">
        <v>1</v>
      </c>
      <c r="S235">
        <v>8</v>
      </c>
      <c r="T235">
        <v>69</v>
      </c>
      <c r="U235" t="s">
        <v>456</v>
      </c>
      <c r="V235" t="s">
        <v>14</v>
      </c>
      <c r="W235" t="s">
        <v>1912</v>
      </c>
      <c r="X235" t="s">
        <v>458</v>
      </c>
      <c r="Z235" t="s">
        <v>1630</v>
      </c>
      <c r="AE235" s="98">
        <v>7</v>
      </c>
      <c r="AF235" s="92" t="s">
        <v>460</v>
      </c>
      <c r="AG235" s="110"/>
      <c r="AH235" s="91" t="s">
        <v>1913</v>
      </c>
      <c r="AI235" s="92" t="s">
        <v>485</v>
      </c>
      <c r="AJ235" s="92" t="s">
        <v>1863</v>
      </c>
      <c r="AK235" s="92" t="s">
        <v>1914</v>
      </c>
      <c r="AL235" s="91" t="s">
        <v>474</v>
      </c>
      <c r="AM235" s="91" t="b">
        <v>0</v>
      </c>
    </row>
    <row r="236" spans="1:39" x14ac:dyDescent="0.2">
      <c r="A236" t="s">
        <v>340</v>
      </c>
      <c r="B236" t="s">
        <v>1915</v>
      </c>
      <c r="C236" t="s">
        <v>449</v>
      </c>
      <c r="D236" s="85" t="s">
        <v>1916</v>
      </c>
      <c r="E236">
        <v>943527674</v>
      </c>
      <c r="F236" t="s">
        <v>0</v>
      </c>
      <c r="H236" t="s">
        <v>451</v>
      </c>
      <c r="J236" t="s">
        <v>1498</v>
      </c>
      <c r="K236" t="s">
        <v>1910</v>
      </c>
      <c r="L236" t="s">
        <v>1911</v>
      </c>
      <c r="M236" t="s">
        <v>455</v>
      </c>
      <c r="N236" t="s">
        <v>0</v>
      </c>
      <c r="O236">
        <v>0</v>
      </c>
      <c r="P236">
        <v>0</v>
      </c>
      <c r="Q236">
        <v>0</v>
      </c>
      <c r="R236">
        <v>1</v>
      </c>
      <c r="S236">
        <v>8</v>
      </c>
      <c r="T236">
        <v>113</v>
      </c>
      <c r="U236" t="s">
        <v>513</v>
      </c>
      <c r="V236" t="s">
        <v>14</v>
      </c>
      <c r="W236" t="s">
        <v>1917</v>
      </c>
      <c r="X236" t="s">
        <v>458</v>
      </c>
      <c r="Z236" t="s">
        <v>1630</v>
      </c>
      <c r="AE236" s="98">
        <v>7</v>
      </c>
      <c r="AF236" s="92" t="s">
        <v>460</v>
      </c>
      <c r="AG236" s="84" t="s">
        <v>1918</v>
      </c>
      <c r="AH236" s="91" t="s">
        <v>1919</v>
      </c>
      <c r="AI236" s="92" t="s">
        <v>485</v>
      </c>
      <c r="AJ236" s="92" t="s">
        <v>691</v>
      </c>
      <c r="AK236" s="92" t="s">
        <v>1920</v>
      </c>
      <c r="AL236" s="91" t="s">
        <v>1921</v>
      </c>
      <c r="AM236" s="91" t="b">
        <v>0</v>
      </c>
    </row>
    <row r="237" spans="1:39" x14ac:dyDescent="0.2">
      <c r="A237" t="s">
        <v>341</v>
      </c>
      <c r="B237" t="s">
        <v>1922</v>
      </c>
      <c r="C237" t="s">
        <v>449</v>
      </c>
      <c r="D237" s="86" t="s">
        <v>1923</v>
      </c>
      <c r="E237">
        <v>899286919</v>
      </c>
      <c r="F237" t="s">
        <v>0</v>
      </c>
      <c r="H237" t="s">
        <v>451</v>
      </c>
      <c r="J237" t="s">
        <v>452</v>
      </c>
      <c r="K237" t="s">
        <v>1924</v>
      </c>
      <c r="L237" t="s">
        <v>1925</v>
      </c>
      <c r="M237" t="s">
        <v>455</v>
      </c>
      <c r="N237" t="s">
        <v>0</v>
      </c>
      <c r="O237">
        <v>0</v>
      </c>
      <c r="P237">
        <v>0</v>
      </c>
      <c r="Q237">
        <v>0</v>
      </c>
      <c r="R237">
        <v>1</v>
      </c>
      <c r="S237">
        <v>8</v>
      </c>
      <c r="T237">
        <v>124</v>
      </c>
      <c r="U237" t="s">
        <v>456</v>
      </c>
      <c r="V237" t="s">
        <v>14</v>
      </c>
      <c r="W237" t="s">
        <v>1926</v>
      </c>
      <c r="X237" t="s">
        <v>458</v>
      </c>
      <c r="Z237" t="s">
        <v>990</v>
      </c>
      <c r="AE237" s="98">
        <v>7</v>
      </c>
      <c r="AF237" s="92" t="s">
        <v>460</v>
      </c>
      <c r="AG237" s="110" t="s">
        <v>1927</v>
      </c>
      <c r="AH237" s="91" t="s">
        <v>1928</v>
      </c>
      <c r="AI237" s="92" t="s">
        <v>485</v>
      </c>
      <c r="AJ237" s="92" t="s">
        <v>698</v>
      </c>
      <c r="AK237" s="92" t="s">
        <v>1929</v>
      </c>
      <c r="AL237" s="91" t="s">
        <v>474</v>
      </c>
      <c r="AM237" s="91" t="b">
        <v>0</v>
      </c>
    </row>
    <row r="238" spans="1:39" x14ac:dyDescent="0.2">
      <c r="A238" t="s">
        <v>1930</v>
      </c>
      <c r="B238" t="s">
        <v>1931</v>
      </c>
      <c r="C238" t="s">
        <v>629</v>
      </c>
      <c r="D238" s="86" t="s">
        <v>1932</v>
      </c>
      <c r="E238">
        <v>898313181</v>
      </c>
      <c r="F238" t="s">
        <v>0</v>
      </c>
      <c r="H238" t="s">
        <v>451</v>
      </c>
      <c r="J238" t="s">
        <v>631</v>
      </c>
      <c r="K238" t="s">
        <v>631</v>
      </c>
      <c r="L238" t="s">
        <v>631</v>
      </c>
      <c r="M238" t="s">
        <v>631</v>
      </c>
      <c r="N238" t="s">
        <v>0</v>
      </c>
      <c r="O238">
        <v>0</v>
      </c>
      <c r="P238">
        <v>0</v>
      </c>
      <c r="Q238">
        <v>0</v>
      </c>
      <c r="R238">
        <v>1</v>
      </c>
      <c r="S238">
        <v>8</v>
      </c>
      <c r="T238">
        <v>115</v>
      </c>
      <c r="U238" t="s">
        <v>513</v>
      </c>
      <c r="V238" t="s">
        <v>14</v>
      </c>
      <c r="W238" t="s">
        <v>1933</v>
      </c>
      <c r="X238" t="s">
        <v>458</v>
      </c>
      <c r="Z238" t="s">
        <v>1031</v>
      </c>
      <c r="AE238" s="98">
        <v>7</v>
      </c>
      <c r="AF238" s="92" t="s">
        <v>460</v>
      </c>
      <c r="AG238" s="110"/>
      <c r="AH238" s="91" t="s">
        <v>1934</v>
      </c>
      <c r="AI238" s="92" t="s">
        <v>485</v>
      </c>
      <c r="AJ238" s="92" t="s">
        <v>705</v>
      </c>
      <c r="AK238" s="92" t="s">
        <v>1935</v>
      </c>
      <c r="AL238" s="91" t="s">
        <v>474</v>
      </c>
      <c r="AM238" s="91" t="b">
        <v>0</v>
      </c>
    </row>
    <row r="239" spans="1:39" x14ac:dyDescent="0.2">
      <c r="A239" t="s">
        <v>342</v>
      </c>
      <c r="B239" t="s">
        <v>1936</v>
      </c>
      <c r="C239" t="s">
        <v>449</v>
      </c>
      <c r="D239" s="85" t="s">
        <v>1937</v>
      </c>
      <c r="E239">
        <v>968412361</v>
      </c>
      <c r="F239" t="s">
        <v>0</v>
      </c>
      <c r="H239" t="s">
        <v>451</v>
      </c>
      <c r="J239" t="s">
        <v>1498</v>
      </c>
      <c r="K239" t="s">
        <v>1938</v>
      </c>
      <c r="L239" t="s">
        <v>1939</v>
      </c>
      <c r="M239" t="s">
        <v>455</v>
      </c>
      <c r="N239" t="s">
        <v>0</v>
      </c>
      <c r="O239">
        <v>0</v>
      </c>
      <c r="P239">
        <v>0</v>
      </c>
      <c r="Q239">
        <v>0</v>
      </c>
      <c r="R239">
        <v>1</v>
      </c>
      <c r="S239">
        <v>8</v>
      </c>
      <c r="T239">
        <v>114</v>
      </c>
      <c r="U239" t="s">
        <v>513</v>
      </c>
      <c r="V239" t="s">
        <v>14</v>
      </c>
      <c r="W239" t="s">
        <v>1940</v>
      </c>
      <c r="X239" t="s">
        <v>458</v>
      </c>
      <c r="Z239" t="s">
        <v>1630</v>
      </c>
      <c r="AE239" s="98">
        <v>7</v>
      </c>
      <c r="AF239" s="92" t="s">
        <v>460</v>
      </c>
      <c r="AG239" s="110" t="s">
        <v>1941</v>
      </c>
      <c r="AH239" s="91" t="s">
        <v>1942</v>
      </c>
      <c r="AI239" s="92" t="s">
        <v>485</v>
      </c>
      <c r="AJ239" s="92" t="s">
        <v>711</v>
      </c>
      <c r="AK239" s="92" t="s">
        <v>1943</v>
      </c>
      <c r="AL239" s="91" t="s">
        <v>474</v>
      </c>
      <c r="AM239" s="91" t="b">
        <v>0</v>
      </c>
    </row>
    <row r="240" spans="1:39" x14ac:dyDescent="0.2">
      <c r="A240" t="s">
        <v>343</v>
      </c>
      <c r="B240" t="s">
        <v>1944</v>
      </c>
      <c r="C240" t="s">
        <v>449</v>
      </c>
      <c r="D240" s="85" t="s">
        <v>1945</v>
      </c>
      <c r="E240">
        <v>906406613</v>
      </c>
      <c r="F240" t="s">
        <v>0</v>
      </c>
      <c r="H240" t="s">
        <v>1137</v>
      </c>
      <c r="J240" t="s">
        <v>1498</v>
      </c>
      <c r="K240" t="s">
        <v>1938</v>
      </c>
      <c r="L240" t="s">
        <v>1939</v>
      </c>
      <c r="M240" t="s">
        <v>455</v>
      </c>
      <c r="N240" t="s">
        <v>0</v>
      </c>
      <c r="O240">
        <v>0</v>
      </c>
      <c r="P240">
        <v>0</v>
      </c>
      <c r="Q240">
        <v>0</v>
      </c>
      <c r="R240">
        <v>1</v>
      </c>
      <c r="T240">
        <v>92</v>
      </c>
      <c r="U240" t="s">
        <v>513</v>
      </c>
      <c r="V240" t="s">
        <v>11</v>
      </c>
      <c r="W240" t="s">
        <v>1946</v>
      </c>
      <c r="X240" t="s">
        <v>0</v>
      </c>
      <c r="Y240" t="s">
        <v>1369</v>
      </c>
      <c r="Z240" t="s">
        <v>1630</v>
      </c>
      <c r="AE240" s="98">
        <v>7</v>
      </c>
      <c r="AF240" s="92" t="s">
        <v>460</v>
      </c>
      <c r="AG240" s="110"/>
      <c r="AH240" s="91" t="s">
        <v>1947</v>
      </c>
      <c r="AI240" s="92" t="s">
        <v>485</v>
      </c>
      <c r="AJ240" s="92" t="s">
        <v>718</v>
      </c>
      <c r="AK240" s="92" t="s">
        <v>1948</v>
      </c>
      <c r="AL240" s="91" t="s">
        <v>474</v>
      </c>
      <c r="AM240" s="91" t="b">
        <v>0</v>
      </c>
    </row>
    <row r="241" spans="1:39" x14ac:dyDescent="0.2">
      <c r="A241" t="s">
        <v>345</v>
      </c>
      <c r="B241" t="s">
        <v>1949</v>
      </c>
      <c r="C241" t="s">
        <v>449</v>
      </c>
      <c r="D241" s="85" t="s">
        <v>1950</v>
      </c>
      <c r="E241">
        <v>339526385</v>
      </c>
      <c r="F241" t="s">
        <v>0</v>
      </c>
      <c r="H241" t="s">
        <v>451</v>
      </c>
      <c r="J241" t="s">
        <v>1498</v>
      </c>
      <c r="K241" t="s">
        <v>1951</v>
      </c>
      <c r="L241" t="s">
        <v>1952</v>
      </c>
      <c r="M241" t="s">
        <v>455</v>
      </c>
      <c r="N241" t="s">
        <v>0</v>
      </c>
      <c r="O241">
        <v>0</v>
      </c>
      <c r="P241">
        <v>0</v>
      </c>
      <c r="Q241">
        <v>0</v>
      </c>
      <c r="R241">
        <v>1</v>
      </c>
      <c r="S241">
        <v>8</v>
      </c>
      <c r="T241">
        <v>113</v>
      </c>
      <c r="U241" t="s">
        <v>513</v>
      </c>
      <c r="V241" t="s">
        <v>14</v>
      </c>
      <c r="W241" t="s">
        <v>1953</v>
      </c>
      <c r="X241" t="s">
        <v>458</v>
      </c>
      <c r="Z241" t="s">
        <v>1636</v>
      </c>
      <c r="AE241" s="98">
        <v>7</v>
      </c>
      <c r="AF241" s="92" t="s">
        <v>460</v>
      </c>
      <c r="AG241" s="84" t="s">
        <v>1954</v>
      </c>
      <c r="AH241" s="91" t="s">
        <v>1955</v>
      </c>
      <c r="AI241" s="92" t="s">
        <v>485</v>
      </c>
      <c r="AJ241" s="92" t="s">
        <v>1851</v>
      </c>
      <c r="AK241" s="92" t="s">
        <v>1956</v>
      </c>
      <c r="AL241" s="91" t="s">
        <v>1957</v>
      </c>
      <c r="AM241" s="91" t="b">
        <v>0</v>
      </c>
    </row>
    <row r="242" spans="1:39" x14ac:dyDescent="0.2">
      <c r="A242" t="s">
        <v>346</v>
      </c>
      <c r="B242" t="s">
        <v>1958</v>
      </c>
      <c r="C242" t="s">
        <v>449</v>
      </c>
      <c r="D242" s="1" t="s">
        <v>1567</v>
      </c>
      <c r="E242">
        <v>942229030</v>
      </c>
      <c r="F242" t="s">
        <v>0</v>
      </c>
      <c r="H242" t="s">
        <v>451</v>
      </c>
      <c r="J242" t="s">
        <v>1498</v>
      </c>
      <c r="K242" t="s">
        <v>1697</v>
      </c>
      <c r="L242" t="s">
        <v>1508</v>
      </c>
      <c r="M242" t="s">
        <v>455</v>
      </c>
      <c r="N242" t="s">
        <v>0</v>
      </c>
      <c r="O242">
        <v>0</v>
      </c>
      <c r="P242">
        <v>0</v>
      </c>
      <c r="Q242">
        <v>0</v>
      </c>
      <c r="R242">
        <v>1</v>
      </c>
      <c r="S242">
        <v>6</v>
      </c>
      <c r="T242">
        <v>112</v>
      </c>
      <c r="U242" t="s">
        <v>513</v>
      </c>
      <c r="V242" t="s">
        <v>14</v>
      </c>
      <c r="W242" t="s">
        <v>1959</v>
      </c>
      <c r="X242" t="s">
        <v>458</v>
      </c>
      <c r="Z242" t="s">
        <v>1409</v>
      </c>
      <c r="AE242" s="98">
        <v>7</v>
      </c>
      <c r="AF242" s="92" t="s">
        <v>460</v>
      </c>
      <c r="AG242" s="110" t="s">
        <v>1960</v>
      </c>
      <c r="AH242" s="91" t="s">
        <v>1961</v>
      </c>
      <c r="AI242" s="92" t="s">
        <v>485</v>
      </c>
      <c r="AJ242" s="92" t="s">
        <v>1732</v>
      </c>
      <c r="AK242" s="92" t="s">
        <v>1962</v>
      </c>
      <c r="AL242" s="91" t="s">
        <v>474</v>
      </c>
      <c r="AM242" s="91" t="b">
        <v>0</v>
      </c>
    </row>
    <row r="243" spans="1:39" x14ac:dyDescent="0.2">
      <c r="A243" t="s">
        <v>347</v>
      </c>
      <c r="B243" t="s">
        <v>1963</v>
      </c>
      <c r="C243" t="s">
        <v>449</v>
      </c>
      <c r="D243" s="85" t="s">
        <v>1580</v>
      </c>
      <c r="E243">
        <v>945686674</v>
      </c>
      <c r="F243" t="s">
        <v>0</v>
      </c>
      <c r="H243" t="s">
        <v>451</v>
      </c>
      <c r="J243" t="s">
        <v>1498</v>
      </c>
      <c r="K243" t="s">
        <v>1697</v>
      </c>
      <c r="L243" t="s">
        <v>1508</v>
      </c>
      <c r="M243" t="s">
        <v>455</v>
      </c>
      <c r="N243" t="s">
        <v>0</v>
      </c>
      <c r="O243">
        <v>0</v>
      </c>
      <c r="P243">
        <v>0</v>
      </c>
      <c r="Q243">
        <v>0</v>
      </c>
      <c r="R243">
        <v>1</v>
      </c>
      <c r="S243">
        <v>6</v>
      </c>
      <c r="T243">
        <v>126</v>
      </c>
      <c r="U243" t="s">
        <v>456</v>
      </c>
      <c r="V243" t="s">
        <v>14</v>
      </c>
      <c r="W243" t="s">
        <v>1964</v>
      </c>
      <c r="X243" t="s">
        <v>458</v>
      </c>
      <c r="Z243" t="s">
        <v>1965</v>
      </c>
      <c r="AE243" s="98">
        <v>7</v>
      </c>
      <c r="AF243" s="92" t="s">
        <v>460</v>
      </c>
      <c r="AG243" s="110"/>
      <c r="AH243" s="91" t="s">
        <v>1966</v>
      </c>
      <c r="AI243" s="92" t="s">
        <v>485</v>
      </c>
      <c r="AJ243" s="92" t="s">
        <v>1722</v>
      </c>
      <c r="AK243" s="92" t="s">
        <v>414</v>
      </c>
      <c r="AL243" s="91" t="s">
        <v>474</v>
      </c>
      <c r="AM243" s="91" t="b">
        <v>0</v>
      </c>
    </row>
    <row r="244" spans="1:39" x14ac:dyDescent="0.2">
      <c r="A244" t="s">
        <v>348</v>
      </c>
      <c r="B244" t="s">
        <v>1967</v>
      </c>
      <c r="C244" t="s">
        <v>449</v>
      </c>
      <c r="D244" s="85" t="s">
        <v>1594</v>
      </c>
      <c r="E244">
        <v>376622565</v>
      </c>
      <c r="F244" t="s">
        <v>0</v>
      </c>
      <c r="H244" t="s">
        <v>451</v>
      </c>
      <c r="J244" t="s">
        <v>1498</v>
      </c>
      <c r="K244" t="s">
        <v>1697</v>
      </c>
      <c r="L244" t="s">
        <v>1527</v>
      </c>
      <c r="M244" t="s">
        <v>455</v>
      </c>
      <c r="N244" t="s">
        <v>0</v>
      </c>
      <c r="O244">
        <v>0</v>
      </c>
      <c r="P244">
        <v>0</v>
      </c>
      <c r="Q244">
        <v>0</v>
      </c>
      <c r="R244">
        <v>1</v>
      </c>
      <c r="S244">
        <v>6</v>
      </c>
      <c r="T244">
        <v>127</v>
      </c>
      <c r="U244" t="s">
        <v>456</v>
      </c>
      <c r="V244" t="s">
        <v>14</v>
      </c>
      <c r="W244" t="s">
        <v>1968</v>
      </c>
      <c r="X244" t="s">
        <v>458</v>
      </c>
      <c r="Z244" t="s">
        <v>1965</v>
      </c>
      <c r="AE244" s="98">
        <v>7</v>
      </c>
      <c r="AF244" s="92" t="s">
        <v>1184</v>
      </c>
      <c r="AG244" s="110" t="s">
        <v>1969</v>
      </c>
      <c r="AH244" s="91" t="s">
        <v>1970</v>
      </c>
      <c r="AI244" s="92" t="s">
        <v>485</v>
      </c>
      <c r="AJ244" s="92" t="s">
        <v>1759</v>
      </c>
      <c r="AK244" s="92" t="s">
        <v>1971</v>
      </c>
      <c r="AL244" s="91" t="s">
        <v>1369</v>
      </c>
      <c r="AM244" s="91" t="b">
        <v>0</v>
      </c>
    </row>
    <row r="245" spans="1:39" x14ac:dyDescent="0.2">
      <c r="A245" t="s">
        <v>349</v>
      </c>
      <c r="B245" t="s">
        <v>1972</v>
      </c>
      <c r="C245" t="s">
        <v>449</v>
      </c>
      <c r="D245" s="85" t="s">
        <v>1574</v>
      </c>
      <c r="E245">
        <v>763889811</v>
      </c>
      <c r="F245" t="s">
        <v>0</v>
      </c>
      <c r="H245" t="s">
        <v>451</v>
      </c>
      <c r="J245" t="s">
        <v>1498</v>
      </c>
      <c r="K245" t="s">
        <v>1697</v>
      </c>
      <c r="L245" t="s">
        <v>1527</v>
      </c>
      <c r="M245" t="s">
        <v>455</v>
      </c>
      <c r="N245" t="s">
        <v>0</v>
      </c>
      <c r="O245">
        <v>0</v>
      </c>
      <c r="P245">
        <v>0</v>
      </c>
      <c r="Q245">
        <v>0</v>
      </c>
      <c r="R245">
        <v>1</v>
      </c>
      <c r="S245">
        <v>6</v>
      </c>
      <c r="T245">
        <v>126</v>
      </c>
      <c r="U245" t="s">
        <v>456</v>
      </c>
      <c r="V245" t="s">
        <v>14</v>
      </c>
      <c r="W245" t="s">
        <v>1973</v>
      </c>
      <c r="X245" t="s">
        <v>458</v>
      </c>
      <c r="Z245" t="s">
        <v>1965</v>
      </c>
      <c r="AE245" s="98">
        <v>7</v>
      </c>
      <c r="AF245" s="92" t="s">
        <v>1184</v>
      </c>
      <c r="AG245" s="110"/>
      <c r="AH245" s="91" t="s">
        <v>1974</v>
      </c>
      <c r="AI245" s="92" t="s">
        <v>485</v>
      </c>
      <c r="AJ245" s="92" t="s">
        <v>1753</v>
      </c>
      <c r="AK245" s="92" t="s">
        <v>1975</v>
      </c>
      <c r="AL245" s="91" t="s">
        <v>1369</v>
      </c>
      <c r="AM245" s="91" t="b">
        <v>0</v>
      </c>
    </row>
    <row r="246" spans="1:39" x14ac:dyDescent="0.2">
      <c r="A246" t="s">
        <v>350</v>
      </c>
      <c r="B246" t="s">
        <v>1976</v>
      </c>
      <c r="C246" t="s">
        <v>449</v>
      </c>
      <c r="D246" s="85" t="s">
        <v>1560</v>
      </c>
      <c r="E246">
        <v>33679194344</v>
      </c>
      <c r="F246" t="s">
        <v>0</v>
      </c>
      <c r="H246" t="s">
        <v>451</v>
      </c>
      <c r="J246" t="s">
        <v>1498</v>
      </c>
      <c r="K246" t="s">
        <v>1697</v>
      </c>
      <c r="L246" t="s">
        <v>1620</v>
      </c>
      <c r="M246" t="s">
        <v>455</v>
      </c>
      <c r="N246" t="s">
        <v>0</v>
      </c>
      <c r="O246">
        <v>0</v>
      </c>
      <c r="P246">
        <v>0</v>
      </c>
      <c r="Q246">
        <v>0</v>
      </c>
      <c r="R246">
        <v>1</v>
      </c>
      <c r="S246">
        <v>6</v>
      </c>
      <c r="T246">
        <v>112</v>
      </c>
      <c r="U246" t="s">
        <v>513</v>
      </c>
      <c r="V246" t="s">
        <v>14</v>
      </c>
      <c r="W246" t="s">
        <v>1977</v>
      </c>
      <c r="X246" t="s">
        <v>458</v>
      </c>
      <c r="Z246" t="s">
        <v>1965</v>
      </c>
      <c r="AE246" s="98">
        <v>7</v>
      </c>
      <c r="AF246" s="92" t="s">
        <v>1184</v>
      </c>
      <c r="AG246" s="110" t="s">
        <v>1978</v>
      </c>
      <c r="AH246" s="91" t="s">
        <v>1979</v>
      </c>
      <c r="AI246" s="92" t="s">
        <v>485</v>
      </c>
      <c r="AJ246" s="92" t="s">
        <v>1771</v>
      </c>
      <c r="AK246" s="92" t="s">
        <v>1980</v>
      </c>
      <c r="AL246" s="91" t="s">
        <v>1369</v>
      </c>
      <c r="AM246" s="91" t="b">
        <v>0</v>
      </c>
    </row>
    <row r="247" spans="1:39" x14ac:dyDescent="0.2">
      <c r="A247" t="s">
        <v>1981</v>
      </c>
      <c r="B247" t="s">
        <v>1982</v>
      </c>
      <c r="C247" t="s">
        <v>449</v>
      </c>
      <c r="D247" s="85" t="s">
        <v>1983</v>
      </c>
      <c r="E247">
        <v>812900824</v>
      </c>
      <c r="F247" t="s">
        <v>0</v>
      </c>
      <c r="H247" t="s">
        <v>451</v>
      </c>
      <c r="J247" t="s">
        <v>1498</v>
      </c>
      <c r="K247" t="s">
        <v>1697</v>
      </c>
      <c r="L247" t="s">
        <v>1620</v>
      </c>
      <c r="M247" t="s">
        <v>455</v>
      </c>
      <c r="N247" t="s">
        <v>0</v>
      </c>
      <c r="O247">
        <v>0</v>
      </c>
      <c r="P247">
        <v>0</v>
      </c>
      <c r="Q247">
        <v>0</v>
      </c>
      <c r="R247">
        <v>1</v>
      </c>
      <c r="S247">
        <v>6</v>
      </c>
      <c r="T247">
        <v>111</v>
      </c>
      <c r="U247" t="s">
        <v>513</v>
      </c>
      <c r="V247" t="s">
        <v>11</v>
      </c>
      <c r="W247" t="s">
        <v>1984</v>
      </c>
      <c r="X247" t="s">
        <v>458</v>
      </c>
      <c r="Z247" t="s">
        <v>1965</v>
      </c>
      <c r="AE247" s="98">
        <v>7</v>
      </c>
      <c r="AF247" s="92" t="s">
        <v>1184</v>
      </c>
      <c r="AG247" s="110"/>
      <c r="AH247" s="91" t="s">
        <v>1985</v>
      </c>
      <c r="AI247" s="92" t="s">
        <v>485</v>
      </c>
      <c r="AJ247" s="92" t="s">
        <v>1764</v>
      </c>
      <c r="AK247" s="92" t="s">
        <v>1986</v>
      </c>
      <c r="AL247" s="91" t="s">
        <v>1369</v>
      </c>
      <c r="AM247" s="91" t="b">
        <v>0</v>
      </c>
    </row>
    <row r="248" spans="1:39" x14ac:dyDescent="0.2">
      <c r="A248" t="s">
        <v>351</v>
      </c>
      <c r="B248" t="s">
        <v>1987</v>
      </c>
      <c r="C248" t="s">
        <v>449</v>
      </c>
      <c r="D248" s="1" t="s">
        <v>1988</v>
      </c>
      <c r="E248">
        <v>785670597</v>
      </c>
      <c r="F248" t="s">
        <v>0</v>
      </c>
      <c r="H248" t="s">
        <v>451</v>
      </c>
      <c r="J248" t="s">
        <v>1989</v>
      </c>
      <c r="K248" t="s">
        <v>1990</v>
      </c>
      <c r="L248" t="s">
        <v>1991</v>
      </c>
      <c r="M248" t="s">
        <v>455</v>
      </c>
      <c r="N248" t="s">
        <v>0</v>
      </c>
      <c r="O248">
        <v>0</v>
      </c>
      <c r="P248">
        <v>0</v>
      </c>
      <c r="Q248">
        <v>0</v>
      </c>
      <c r="R248">
        <v>1</v>
      </c>
      <c r="S248">
        <v>8</v>
      </c>
      <c r="T248">
        <v>104</v>
      </c>
      <c r="U248" t="s">
        <v>456</v>
      </c>
      <c r="V248" t="s">
        <v>14</v>
      </c>
      <c r="W248" t="s">
        <v>1992</v>
      </c>
      <c r="X248" t="s">
        <v>458</v>
      </c>
      <c r="Z248" t="s">
        <v>1287</v>
      </c>
      <c r="AE248" s="99">
        <v>8</v>
      </c>
      <c r="AF248" s="92" t="s">
        <v>460</v>
      </c>
      <c r="AG248" s="84" t="s">
        <v>1815</v>
      </c>
      <c r="AH248" s="91" t="s">
        <v>1993</v>
      </c>
      <c r="AI248" s="92" t="s">
        <v>463</v>
      </c>
      <c r="AJ248" s="92" t="s">
        <v>1994</v>
      </c>
      <c r="AK248" s="92" t="s">
        <v>1995</v>
      </c>
      <c r="AL248" s="91" t="s">
        <v>1996</v>
      </c>
      <c r="AM248" s="91" t="b">
        <v>0</v>
      </c>
    </row>
    <row r="249" spans="1:39" x14ac:dyDescent="0.2">
      <c r="A249" t="s">
        <v>352</v>
      </c>
      <c r="B249" t="s">
        <v>1997</v>
      </c>
      <c r="C249" t="s">
        <v>449</v>
      </c>
      <c r="D249" s="85" t="s">
        <v>1998</v>
      </c>
      <c r="E249">
        <v>967486292</v>
      </c>
      <c r="F249" t="s">
        <v>0</v>
      </c>
      <c r="H249" t="s">
        <v>451</v>
      </c>
      <c r="J249" t="s">
        <v>1989</v>
      </c>
      <c r="K249" t="s">
        <v>1990</v>
      </c>
      <c r="L249" t="s">
        <v>1991</v>
      </c>
      <c r="M249" t="s">
        <v>455</v>
      </c>
      <c r="N249" t="s">
        <v>0</v>
      </c>
      <c r="O249">
        <v>0</v>
      </c>
      <c r="P249">
        <v>0</v>
      </c>
      <c r="Q249">
        <v>0</v>
      </c>
      <c r="R249">
        <v>1</v>
      </c>
      <c r="S249">
        <v>8</v>
      </c>
      <c r="T249">
        <v>123</v>
      </c>
      <c r="U249" t="s">
        <v>456</v>
      </c>
      <c r="V249" t="s">
        <v>14</v>
      </c>
      <c r="W249" t="s">
        <v>1999</v>
      </c>
      <c r="X249" t="s">
        <v>458</v>
      </c>
      <c r="Z249" t="s">
        <v>1287</v>
      </c>
      <c r="AE249" s="99">
        <v>8</v>
      </c>
      <c r="AF249" s="92" t="s">
        <v>460</v>
      </c>
      <c r="AG249" s="84" t="s">
        <v>1471</v>
      </c>
      <c r="AH249" s="91" t="s">
        <v>2000</v>
      </c>
      <c r="AI249" s="92" t="s">
        <v>463</v>
      </c>
      <c r="AJ249" s="92" t="s">
        <v>1988</v>
      </c>
      <c r="AK249" s="92" t="s">
        <v>2001</v>
      </c>
      <c r="AL249" s="91" t="s">
        <v>2002</v>
      </c>
      <c r="AM249" s="91" t="b">
        <v>0</v>
      </c>
    </row>
    <row r="250" spans="1:39" x14ac:dyDescent="0.2">
      <c r="A250" t="s">
        <v>353</v>
      </c>
      <c r="B250" t="s">
        <v>2003</v>
      </c>
      <c r="C250" t="s">
        <v>449</v>
      </c>
      <c r="D250" s="85" t="s">
        <v>2004</v>
      </c>
      <c r="E250">
        <v>355042483</v>
      </c>
      <c r="F250" t="s">
        <v>0</v>
      </c>
      <c r="H250" t="s">
        <v>451</v>
      </c>
      <c r="I250" t="s">
        <v>2005</v>
      </c>
      <c r="J250" t="s">
        <v>1989</v>
      </c>
      <c r="K250" t="s">
        <v>1990</v>
      </c>
      <c r="L250" t="s">
        <v>1991</v>
      </c>
      <c r="M250" t="s">
        <v>455</v>
      </c>
      <c r="N250" t="s">
        <v>0</v>
      </c>
      <c r="O250">
        <v>0</v>
      </c>
      <c r="P250">
        <v>0</v>
      </c>
      <c r="Q250">
        <v>0</v>
      </c>
      <c r="R250">
        <v>1</v>
      </c>
      <c r="S250">
        <v>8</v>
      </c>
      <c r="T250">
        <v>123</v>
      </c>
      <c r="U250" t="s">
        <v>456</v>
      </c>
      <c r="V250" t="s">
        <v>14</v>
      </c>
      <c r="W250" t="s">
        <v>2006</v>
      </c>
      <c r="X250" t="s">
        <v>458</v>
      </c>
      <c r="Z250" t="s">
        <v>1287</v>
      </c>
      <c r="AE250" s="99">
        <v>8</v>
      </c>
      <c r="AF250" s="92" t="s">
        <v>460</v>
      </c>
      <c r="AG250" s="110" t="s">
        <v>2007</v>
      </c>
      <c r="AH250" s="91" t="s">
        <v>2008</v>
      </c>
      <c r="AI250" s="92" t="s">
        <v>485</v>
      </c>
      <c r="AJ250" s="92" t="s">
        <v>1950</v>
      </c>
      <c r="AK250" s="92" t="s">
        <v>416</v>
      </c>
      <c r="AL250" s="91" t="s">
        <v>474</v>
      </c>
      <c r="AM250" s="91" t="b">
        <v>0</v>
      </c>
    </row>
    <row r="251" spans="1:39" x14ac:dyDescent="0.2">
      <c r="A251" t="s">
        <v>354</v>
      </c>
      <c r="B251" t="s">
        <v>2009</v>
      </c>
      <c r="C251" t="s">
        <v>449</v>
      </c>
      <c r="D251" s="85" t="s">
        <v>2010</v>
      </c>
      <c r="E251">
        <v>389420759</v>
      </c>
      <c r="F251" t="s">
        <v>0</v>
      </c>
      <c r="H251" t="s">
        <v>451</v>
      </c>
      <c r="J251" t="s">
        <v>2011</v>
      </c>
      <c r="K251" t="s">
        <v>2012</v>
      </c>
      <c r="L251" t="s">
        <v>2013</v>
      </c>
      <c r="M251" t="s">
        <v>455</v>
      </c>
      <c r="N251" t="s">
        <v>0</v>
      </c>
      <c r="O251">
        <v>0</v>
      </c>
      <c r="P251">
        <v>0</v>
      </c>
      <c r="Q251">
        <v>0</v>
      </c>
      <c r="R251">
        <v>1</v>
      </c>
      <c r="S251">
        <v>8</v>
      </c>
      <c r="T251">
        <v>122</v>
      </c>
      <c r="U251" t="s">
        <v>456</v>
      </c>
      <c r="V251" t="s">
        <v>14</v>
      </c>
      <c r="W251" t="s">
        <v>2014</v>
      </c>
      <c r="X251" t="s">
        <v>458</v>
      </c>
      <c r="Z251" t="s">
        <v>1287</v>
      </c>
      <c r="AE251" s="99">
        <v>8</v>
      </c>
      <c r="AF251" s="92" t="s">
        <v>460</v>
      </c>
      <c r="AG251" s="110"/>
      <c r="AH251" s="91" t="s">
        <v>2015</v>
      </c>
      <c r="AI251" s="92" t="s">
        <v>485</v>
      </c>
      <c r="AJ251" s="92" t="s">
        <v>1916</v>
      </c>
      <c r="AK251" s="92" t="s">
        <v>2016</v>
      </c>
      <c r="AL251" s="91" t="s">
        <v>474</v>
      </c>
      <c r="AM251" s="91" t="b">
        <v>0</v>
      </c>
    </row>
    <row r="252" spans="1:39" x14ac:dyDescent="0.2">
      <c r="A252" t="s">
        <v>355</v>
      </c>
      <c r="B252" t="s">
        <v>2017</v>
      </c>
      <c r="C252" t="s">
        <v>449</v>
      </c>
      <c r="D252" s="85" t="s">
        <v>2018</v>
      </c>
      <c r="E252">
        <v>913676060</v>
      </c>
      <c r="F252" t="s">
        <v>0</v>
      </c>
      <c r="H252" t="s">
        <v>451</v>
      </c>
      <c r="J252" t="s">
        <v>452</v>
      </c>
      <c r="K252" t="s">
        <v>904</v>
      </c>
      <c r="L252" t="s">
        <v>2019</v>
      </c>
      <c r="M252" t="s">
        <v>455</v>
      </c>
      <c r="N252" t="s">
        <v>0</v>
      </c>
      <c r="O252">
        <v>0</v>
      </c>
      <c r="P252">
        <v>0</v>
      </c>
      <c r="Q252">
        <v>0</v>
      </c>
      <c r="R252">
        <v>1</v>
      </c>
      <c r="S252">
        <v>8</v>
      </c>
      <c r="T252">
        <v>90</v>
      </c>
      <c r="U252" t="s">
        <v>513</v>
      </c>
      <c r="V252" t="s">
        <v>11</v>
      </c>
      <c r="W252" t="s">
        <v>2020</v>
      </c>
      <c r="X252" t="s">
        <v>458</v>
      </c>
      <c r="Z252" t="s">
        <v>1409</v>
      </c>
      <c r="AE252" s="99">
        <v>8</v>
      </c>
      <c r="AF252" s="92" t="s">
        <v>460</v>
      </c>
      <c r="AG252" s="84" t="s">
        <v>2021</v>
      </c>
      <c r="AH252" s="91" t="s">
        <v>2022</v>
      </c>
      <c r="AI252" s="92" t="s">
        <v>485</v>
      </c>
      <c r="AJ252" s="92" t="s">
        <v>1937</v>
      </c>
      <c r="AK252" s="92" t="s">
        <v>2023</v>
      </c>
      <c r="AL252" s="91" t="s">
        <v>2024</v>
      </c>
      <c r="AM252" s="91" t="b">
        <v>0</v>
      </c>
    </row>
    <row r="253" spans="1:39" x14ac:dyDescent="0.2">
      <c r="A253" t="s">
        <v>357</v>
      </c>
      <c r="B253" t="s">
        <v>2025</v>
      </c>
      <c r="C253" t="s">
        <v>449</v>
      </c>
      <c r="D253" s="85" t="s">
        <v>1994</v>
      </c>
      <c r="E253">
        <v>984016140</v>
      </c>
      <c r="F253" t="s">
        <v>0</v>
      </c>
      <c r="H253" t="s">
        <v>451</v>
      </c>
      <c r="J253" t="s">
        <v>2011</v>
      </c>
      <c r="K253" t="s">
        <v>2026</v>
      </c>
      <c r="L253" t="s">
        <v>2027</v>
      </c>
      <c r="M253" t="s">
        <v>455</v>
      </c>
      <c r="N253" t="s">
        <v>0</v>
      </c>
      <c r="O253">
        <v>0</v>
      </c>
      <c r="P253">
        <v>0</v>
      </c>
      <c r="Q253">
        <v>0</v>
      </c>
      <c r="R253">
        <v>1</v>
      </c>
      <c r="S253">
        <v>8</v>
      </c>
      <c r="T253">
        <v>45</v>
      </c>
      <c r="U253" t="s">
        <v>456</v>
      </c>
      <c r="V253" t="s">
        <v>14</v>
      </c>
      <c r="W253" t="s">
        <v>2028</v>
      </c>
      <c r="X253" t="s">
        <v>458</v>
      </c>
      <c r="Z253" t="s">
        <v>1287</v>
      </c>
      <c r="AE253" s="99">
        <v>8</v>
      </c>
      <c r="AF253" s="92" t="s">
        <v>460</v>
      </c>
      <c r="AG253" s="110" t="s">
        <v>2029</v>
      </c>
      <c r="AH253" s="91" t="s">
        <v>2030</v>
      </c>
      <c r="AI253" s="92" t="s">
        <v>463</v>
      </c>
      <c r="AJ253" s="92" t="s">
        <v>2031</v>
      </c>
      <c r="AK253" s="92" t="s">
        <v>2032</v>
      </c>
      <c r="AL253" s="91" t="s">
        <v>474</v>
      </c>
      <c r="AM253" s="91" t="b">
        <v>0</v>
      </c>
    </row>
    <row r="254" spans="1:39" x14ac:dyDescent="0.2">
      <c r="A254" t="s">
        <v>358</v>
      </c>
      <c r="B254" t="s">
        <v>2033</v>
      </c>
      <c r="C254" t="s">
        <v>449</v>
      </c>
      <c r="D254" s="85" t="s">
        <v>2034</v>
      </c>
      <c r="E254">
        <v>327649437</v>
      </c>
      <c r="F254" t="s">
        <v>0</v>
      </c>
      <c r="H254" t="s">
        <v>451</v>
      </c>
      <c r="J254" t="s">
        <v>2011</v>
      </c>
      <c r="K254" t="s">
        <v>2026</v>
      </c>
      <c r="L254" t="s">
        <v>2035</v>
      </c>
      <c r="M254" t="s">
        <v>455</v>
      </c>
      <c r="N254" t="s">
        <v>0</v>
      </c>
      <c r="O254">
        <v>0</v>
      </c>
      <c r="P254">
        <v>0</v>
      </c>
      <c r="Q254">
        <v>0</v>
      </c>
      <c r="R254">
        <v>1</v>
      </c>
      <c r="S254">
        <v>8</v>
      </c>
      <c r="T254">
        <v>119</v>
      </c>
      <c r="U254" t="s">
        <v>456</v>
      </c>
      <c r="V254" t="s">
        <v>14</v>
      </c>
      <c r="W254" t="s">
        <v>2036</v>
      </c>
      <c r="X254" t="s">
        <v>458</v>
      </c>
      <c r="Z254" t="s">
        <v>1287</v>
      </c>
      <c r="AE254" s="99">
        <v>8</v>
      </c>
      <c r="AF254" s="92" t="s">
        <v>460</v>
      </c>
      <c r="AG254" s="110"/>
      <c r="AH254" s="91" t="s">
        <v>2037</v>
      </c>
      <c r="AI254" s="92" t="s">
        <v>463</v>
      </c>
      <c r="AJ254" s="92" t="s">
        <v>2038</v>
      </c>
      <c r="AK254" s="92" t="s">
        <v>2039</v>
      </c>
      <c r="AL254" s="91" t="s">
        <v>474</v>
      </c>
      <c r="AM254" s="91" t="b">
        <v>0</v>
      </c>
    </row>
    <row r="255" spans="1:39" x14ac:dyDescent="0.2">
      <c r="A255" t="s">
        <v>359</v>
      </c>
      <c r="B255" t="s">
        <v>2040</v>
      </c>
      <c r="C255" t="s">
        <v>449</v>
      </c>
      <c r="D255" s="2" t="s">
        <v>2041</v>
      </c>
      <c r="E255">
        <v>902612360</v>
      </c>
      <c r="F255" t="s">
        <v>0</v>
      </c>
      <c r="H255" t="s">
        <v>451</v>
      </c>
      <c r="J255" t="s">
        <v>452</v>
      </c>
      <c r="K255" t="s">
        <v>1705</v>
      </c>
      <c r="L255" t="s">
        <v>2042</v>
      </c>
      <c r="M255" t="s">
        <v>455</v>
      </c>
      <c r="N255" t="s">
        <v>0</v>
      </c>
      <c r="O255">
        <v>0</v>
      </c>
      <c r="P255">
        <v>0</v>
      </c>
      <c r="Q255">
        <v>0</v>
      </c>
      <c r="R255">
        <v>1</v>
      </c>
      <c r="S255">
        <v>8</v>
      </c>
      <c r="T255">
        <v>90</v>
      </c>
      <c r="U255" t="s">
        <v>513</v>
      </c>
      <c r="V255" t="s">
        <v>11</v>
      </c>
      <c r="W255" t="s">
        <v>2043</v>
      </c>
      <c r="X255" t="s">
        <v>458</v>
      </c>
      <c r="Z255" t="s">
        <v>1739</v>
      </c>
      <c r="AE255" s="99">
        <v>8</v>
      </c>
      <c r="AF255" s="92" t="s">
        <v>460</v>
      </c>
      <c r="AG255" s="110" t="s">
        <v>2044</v>
      </c>
      <c r="AH255" s="91" t="s">
        <v>2045</v>
      </c>
      <c r="AI255" s="92" t="s">
        <v>463</v>
      </c>
      <c r="AJ255" s="92" t="s">
        <v>2046</v>
      </c>
      <c r="AK255" s="92" t="s">
        <v>2047</v>
      </c>
      <c r="AL255" s="91" t="s">
        <v>474</v>
      </c>
      <c r="AM255" s="91" t="b">
        <v>0</v>
      </c>
    </row>
    <row r="256" spans="1:39" x14ac:dyDescent="0.2">
      <c r="A256" t="s">
        <v>360</v>
      </c>
      <c r="B256" t="s">
        <v>2048</v>
      </c>
      <c r="C256" t="s">
        <v>449</v>
      </c>
      <c r="D256" s="1" t="s">
        <v>2049</v>
      </c>
      <c r="E256">
        <v>975488340</v>
      </c>
      <c r="F256" t="s">
        <v>458</v>
      </c>
      <c r="G256" t="s">
        <v>361</v>
      </c>
      <c r="H256" t="s">
        <v>451</v>
      </c>
      <c r="J256" t="s">
        <v>2011</v>
      </c>
      <c r="K256" t="s">
        <v>2026</v>
      </c>
      <c r="L256" t="s">
        <v>2050</v>
      </c>
      <c r="M256" t="s">
        <v>455</v>
      </c>
      <c r="N256" t="s">
        <v>458</v>
      </c>
      <c r="O256">
        <v>0</v>
      </c>
      <c r="P256">
        <v>1</v>
      </c>
      <c r="Q256">
        <v>1</v>
      </c>
      <c r="R256">
        <v>2</v>
      </c>
      <c r="S256">
        <v>8</v>
      </c>
      <c r="T256">
        <v>121</v>
      </c>
      <c r="U256" t="s">
        <v>456</v>
      </c>
      <c r="V256" t="s">
        <v>14</v>
      </c>
      <c r="W256" t="s">
        <v>2051</v>
      </c>
      <c r="X256" t="s">
        <v>458</v>
      </c>
      <c r="Z256" t="s">
        <v>1287</v>
      </c>
      <c r="AE256" s="99">
        <v>8</v>
      </c>
      <c r="AF256" s="92" t="s">
        <v>460</v>
      </c>
      <c r="AG256" s="110"/>
      <c r="AH256" s="91" t="s">
        <v>2052</v>
      </c>
      <c r="AI256" s="92" t="s">
        <v>463</v>
      </c>
      <c r="AJ256" s="92" t="s">
        <v>2053</v>
      </c>
      <c r="AK256" s="92" t="s">
        <v>2054</v>
      </c>
      <c r="AL256" s="91" t="s">
        <v>474</v>
      </c>
      <c r="AM256" s="91" t="b">
        <v>0</v>
      </c>
    </row>
    <row r="257" spans="1:39" x14ac:dyDescent="0.2">
      <c r="A257" t="s">
        <v>362</v>
      </c>
      <c r="B257" t="s">
        <v>2055</v>
      </c>
      <c r="C257" t="s">
        <v>449</v>
      </c>
      <c r="D257" s="1" t="s">
        <v>2056</v>
      </c>
      <c r="E257">
        <v>708319701</v>
      </c>
      <c r="F257" t="s">
        <v>0</v>
      </c>
      <c r="H257" t="s">
        <v>451</v>
      </c>
      <c r="J257" t="s">
        <v>2011</v>
      </c>
      <c r="K257" t="s">
        <v>2026</v>
      </c>
      <c r="L257" t="s">
        <v>2050</v>
      </c>
      <c r="M257" t="s">
        <v>455</v>
      </c>
      <c r="N257" t="s">
        <v>0</v>
      </c>
      <c r="O257">
        <v>0</v>
      </c>
      <c r="P257">
        <v>0</v>
      </c>
      <c r="Q257">
        <v>0</v>
      </c>
      <c r="R257">
        <v>1</v>
      </c>
      <c r="S257">
        <v>8</v>
      </c>
      <c r="T257">
        <v>118</v>
      </c>
      <c r="U257" t="s">
        <v>456</v>
      </c>
      <c r="V257" t="s">
        <v>14</v>
      </c>
      <c r="W257" t="s">
        <v>2057</v>
      </c>
      <c r="X257" t="s">
        <v>458</v>
      </c>
      <c r="Z257" t="s">
        <v>1287</v>
      </c>
      <c r="AE257" s="99">
        <v>8</v>
      </c>
      <c r="AF257" s="92" t="s">
        <v>460</v>
      </c>
      <c r="AG257" s="110" t="s">
        <v>2058</v>
      </c>
      <c r="AH257" s="91" t="s">
        <v>2059</v>
      </c>
      <c r="AI257" s="92" t="s">
        <v>463</v>
      </c>
      <c r="AJ257" s="92" t="s">
        <v>2056</v>
      </c>
      <c r="AK257" s="92" t="s">
        <v>2060</v>
      </c>
      <c r="AL257" s="91" t="s">
        <v>474</v>
      </c>
      <c r="AM257" s="91" t="b">
        <v>0</v>
      </c>
    </row>
    <row r="258" spans="1:39" x14ac:dyDescent="0.2">
      <c r="A258" t="s">
        <v>363</v>
      </c>
      <c r="B258" t="s">
        <v>2061</v>
      </c>
      <c r="C258" t="s">
        <v>449</v>
      </c>
      <c r="D258" s="1" t="s">
        <v>2062</v>
      </c>
      <c r="E258">
        <v>374428877</v>
      </c>
      <c r="F258" t="s">
        <v>0</v>
      </c>
      <c r="H258" t="s">
        <v>451</v>
      </c>
      <c r="J258" t="s">
        <v>2011</v>
      </c>
      <c r="K258" t="s">
        <v>2026</v>
      </c>
      <c r="L258" t="s">
        <v>2050</v>
      </c>
      <c r="M258" t="s">
        <v>455</v>
      </c>
      <c r="N258" t="s">
        <v>0</v>
      </c>
      <c r="O258">
        <v>0</v>
      </c>
      <c r="P258">
        <v>0</v>
      </c>
      <c r="Q258">
        <v>0</v>
      </c>
      <c r="R258">
        <v>1</v>
      </c>
      <c r="S258">
        <v>8</v>
      </c>
      <c r="T258">
        <v>119</v>
      </c>
      <c r="U258" t="s">
        <v>456</v>
      </c>
      <c r="V258" t="s">
        <v>14</v>
      </c>
      <c r="W258" t="s">
        <v>2063</v>
      </c>
      <c r="X258" t="s">
        <v>458</v>
      </c>
      <c r="Z258" t="s">
        <v>2064</v>
      </c>
      <c r="AE258" s="99">
        <v>8</v>
      </c>
      <c r="AF258" s="92" t="s">
        <v>460</v>
      </c>
      <c r="AG258" s="110"/>
      <c r="AH258" s="91" t="s">
        <v>2065</v>
      </c>
      <c r="AI258" s="92" t="s">
        <v>463</v>
      </c>
      <c r="AJ258" s="92" t="s">
        <v>2066</v>
      </c>
      <c r="AK258" s="92" t="s">
        <v>2067</v>
      </c>
      <c r="AL258" s="91" t="s">
        <v>474</v>
      </c>
      <c r="AM258" s="91" t="b">
        <v>0</v>
      </c>
    </row>
    <row r="259" spans="1:39" x14ac:dyDescent="0.2">
      <c r="A259" t="s">
        <v>364</v>
      </c>
      <c r="B259" t="s">
        <v>2068</v>
      </c>
      <c r="C259" t="s">
        <v>449</v>
      </c>
      <c r="D259" s="85" t="s">
        <v>2069</v>
      </c>
      <c r="E259">
        <v>363031131</v>
      </c>
      <c r="F259" t="s">
        <v>458</v>
      </c>
      <c r="G259" t="s">
        <v>365</v>
      </c>
      <c r="H259" t="s">
        <v>451</v>
      </c>
      <c r="J259" t="s">
        <v>2011</v>
      </c>
      <c r="K259" t="s">
        <v>2026</v>
      </c>
      <c r="L259" t="s">
        <v>2050</v>
      </c>
      <c r="M259" t="s">
        <v>455</v>
      </c>
      <c r="N259" t="s">
        <v>458</v>
      </c>
      <c r="O259">
        <v>0</v>
      </c>
      <c r="P259">
        <v>1</v>
      </c>
      <c r="Q259">
        <v>1</v>
      </c>
      <c r="R259">
        <v>2</v>
      </c>
      <c r="S259">
        <v>8</v>
      </c>
      <c r="T259">
        <v>120</v>
      </c>
      <c r="U259" t="s">
        <v>456</v>
      </c>
      <c r="V259" t="s">
        <v>14</v>
      </c>
      <c r="W259" t="s">
        <v>2070</v>
      </c>
      <c r="X259" t="s">
        <v>458</v>
      </c>
      <c r="Z259" t="s">
        <v>2064</v>
      </c>
      <c r="AE259" s="99">
        <v>8</v>
      </c>
      <c r="AF259" s="92" t="s">
        <v>460</v>
      </c>
      <c r="AG259" s="110" t="s">
        <v>2071</v>
      </c>
      <c r="AH259" s="91" t="s">
        <v>2072</v>
      </c>
      <c r="AI259" s="92" t="s">
        <v>463</v>
      </c>
      <c r="AJ259" s="92" t="s">
        <v>2062</v>
      </c>
      <c r="AK259" s="92" t="s">
        <v>2073</v>
      </c>
      <c r="AL259" s="91" t="s">
        <v>474</v>
      </c>
      <c r="AM259" s="91" t="b">
        <v>0</v>
      </c>
    </row>
    <row r="260" spans="1:39" x14ac:dyDescent="0.2">
      <c r="A260" t="s">
        <v>366</v>
      </c>
      <c r="B260" t="s">
        <v>2074</v>
      </c>
      <c r="C260" t="s">
        <v>449</v>
      </c>
      <c r="D260" s="1" t="s">
        <v>2046</v>
      </c>
      <c r="E260">
        <v>903175838</v>
      </c>
      <c r="F260" t="s">
        <v>0</v>
      </c>
      <c r="H260" t="s">
        <v>451</v>
      </c>
      <c r="J260" t="s">
        <v>2011</v>
      </c>
      <c r="K260" t="s">
        <v>2026</v>
      </c>
      <c r="L260" t="s">
        <v>2075</v>
      </c>
      <c r="M260" t="s">
        <v>455</v>
      </c>
      <c r="N260" t="s">
        <v>0</v>
      </c>
      <c r="O260">
        <v>0</v>
      </c>
      <c r="P260">
        <v>0</v>
      </c>
      <c r="Q260">
        <v>0</v>
      </c>
      <c r="R260">
        <v>1</v>
      </c>
      <c r="S260">
        <v>8</v>
      </c>
      <c r="T260">
        <v>117</v>
      </c>
      <c r="U260" t="s">
        <v>456</v>
      </c>
      <c r="V260" t="s">
        <v>14</v>
      </c>
      <c r="W260" t="s">
        <v>2076</v>
      </c>
      <c r="X260" t="s">
        <v>458</v>
      </c>
      <c r="Z260" t="s">
        <v>2064</v>
      </c>
      <c r="AE260" s="99">
        <v>8</v>
      </c>
      <c r="AF260" s="92" t="s">
        <v>460</v>
      </c>
      <c r="AG260" s="110"/>
      <c r="AH260" s="91" t="s">
        <v>2077</v>
      </c>
      <c r="AI260" s="92" t="s">
        <v>463</v>
      </c>
      <c r="AJ260" s="92" t="s">
        <v>2034</v>
      </c>
      <c r="AK260" s="92" t="s">
        <v>2078</v>
      </c>
      <c r="AL260" s="91" t="s">
        <v>474</v>
      </c>
      <c r="AM260" s="91" t="b">
        <v>0</v>
      </c>
    </row>
    <row r="261" spans="1:39" x14ac:dyDescent="0.2">
      <c r="A261" t="s">
        <v>367</v>
      </c>
      <c r="B261" t="s">
        <v>2079</v>
      </c>
      <c r="C261" t="s">
        <v>449</v>
      </c>
      <c r="D261" s="85" t="s">
        <v>2080</v>
      </c>
      <c r="E261">
        <v>985291931</v>
      </c>
      <c r="F261" t="s">
        <v>0</v>
      </c>
      <c r="H261" t="s">
        <v>451</v>
      </c>
      <c r="I261" t="s">
        <v>2081</v>
      </c>
      <c r="J261" t="s">
        <v>2011</v>
      </c>
      <c r="K261" t="s">
        <v>2026</v>
      </c>
      <c r="L261" t="s">
        <v>2075</v>
      </c>
      <c r="M261" t="s">
        <v>455</v>
      </c>
      <c r="N261" t="s">
        <v>0</v>
      </c>
      <c r="O261">
        <v>0</v>
      </c>
      <c r="P261">
        <v>0</v>
      </c>
      <c r="Q261">
        <v>0</v>
      </c>
      <c r="R261">
        <v>1</v>
      </c>
      <c r="S261">
        <v>8</v>
      </c>
      <c r="T261">
        <v>111</v>
      </c>
      <c r="U261" t="s">
        <v>513</v>
      </c>
      <c r="V261" t="s">
        <v>11</v>
      </c>
      <c r="W261" t="s">
        <v>2082</v>
      </c>
      <c r="X261" t="s">
        <v>458</v>
      </c>
      <c r="Y261" t="s">
        <v>1828</v>
      </c>
      <c r="Z261" t="s">
        <v>2064</v>
      </c>
      <c r="AE261" s="99">
        <v>8</v>
      </c>
      <c r="AF261" s="92" t="s">
        <v>460</v>
      </c>
      <c r="AG261" s="110" t="s">
        <v>2083</v>
      </c>
      <c r="AH261" s="91" t="s">
        <v>2084</v>
      </c>
      <c r="AI261" s="92" t="s">
        <v>485</v>
      </c>
      <c r="AJ261" s="92" t="s">
        <v>2085</v>
      </c>
      <c r="AK261" s="92" t="s">
        <v>2086</v>
      </c>
      <c r="AL261" s="91" t="s">
        <v>2086</v>
      </c>
      <c r="AM261" s="91" t="b">
        <v>0</v>
      </c>
    </row>
    <row r="262" spans="1:39" x14ac:dyDescent="0.2">
      <c r="A262" t="s">
        <v>368</v>
      </c>
      <c r="B262" t="s">
        <v>2087</v>
      </c>
      <c r="C262" t="s">
        <v>449</v>
      </c>
      <c r="D262" s="85" t="s">
        <v>2053</v>
      </c>
      <c r="E262">
        <v>905435679</v>
      </c>
      <c r="F262" t="s">
        <v>0</v>
      </c>
      <c r="H262" t="s">
        <v>451</v>
      </c>
      <c r="J262" t="s">
        <v>2011</v>
      </c>
      <c r="K262" t="s">
        <v>2026</v>
      </c>
      <c r="L262" t="s">
        <v>2075</v>
      </c>
      <c r="M262" t="s">
        <v>455</v>
      </c>
      <c r="N262" t="s">
        <v>0</v>
      </c>
      <c r="O262">
        <v>0</v>
      </c>
      <c r="P262">
        <v>0</v>
      </c>
      <c r="Q262">
        <v>0</v>
      </c>
      <c r="R262">
        <v>1</v>
      </c>
      <c r="S262">
        <v>8</v>
      </c>
      <c r="T262">
        <v>117</v>
      </c>
      <c r="U262" t="s">
        <v>456</v>
      </c>
      <c r="V262" t="s">
        <v>14</v>
      </c>
      <c r="W262" t="s">
        <v>2088</v>
      </c>
      <c r="X262" t="s">
        <v>458</v>
      </c>
      <c r="Z262" t="s">
        <v>2064</v>
      </c>
      <c r="AE262" s="99">
        <v>8</v>
      </c>
      <c r="AF262" s="92" t="s">
        <v>460</v>
      </c>
      <c r="AG262" s="110"/>
      <c r="AH262" s="91" t="s">
        <v>2089</v>
      </c>
      <c r="AI262" s="92" t="s">
        <v>463</v>
      </c>
      <c r="AJ262" s="92" t="s">
        <v>2069</v>
      </c>
      <c r="AK262" s="92" t="s">
        <v>2090</v>
      </c>
      <c r="AL262" s="91" t="s">
        <v>2086</v>
      </c>
      <c r="AM262" s="91" t="b">
        <v>0</v>
      </c>
    </row>
    <row r="263" spans="1:39" x14ac:dyDescent="0.2">
      <c r="A263" t="s">
        <v>2091</v>
      </c>
      <c r="B263" t="s">
        <v>2092</v>
      </c>
      <c r="C263" t="s">
        <v>449</v>
      </c>
      <c r="D263" s="85" t="s">
        <v>2093</v>
      </c>
      <c r="E263">
        <v>868772661</v>
      </c>
      <c r="F263" t="s">
        <v>0</v>
      </c>
      <c r="H263" t="s">
        <v>451</v>
      </c>
      <c r="J263" t="s">
        <v>2011</v>
      </c>
      <c r="K263" t="s">
        <v>2026</v>
      </c>
      <c r="L263" t="s">
        <v>2094</v>
      </c>
      <c r="M263" t="s">
        <v>455</v>
      </c>
      <c r="N263" t="s">
        <v>0</v>
      </c>
      <c r="O263">
        <v>0</v>
      </c>
      <c r="P263">
        <v>0</v>
      </c>
      <c r="Q263">
        <v>0</v>
      </c>
      <c r="R263">
        <v>1</v>
      </c>
      <c r="S263">
        <v>8</v>
      </c>
      <c r="T263">
        <v>118</v>
      </c>
      <c r="U263" t="s">
        <v>456</v>
      </c>
      <c r="V263" t="s">
        <v>14</v>
      </c>
      <c r="W263" t="s">
        <v>2095</v>
      </c>
      <c r="X263" t="s">
        <v>458</v>
      </c>
      <c r="Z263" t="s">
        <v>2064</v>
      </c>
      <c r="AE263" s="99">
        <v>8</v>
      </c>
      <c r="AF263" s="92" t="s">
        <v>460</v>
      </c>
      <c r="AG263" s="110" t="s">
        <v>2096</v>
      </c>
      <c r="AH263" s="91" t="s">
        <v>2097</v>
      </c>
      <c r="AI263" s="92" t="s">
        <v>463</v>
      </c>
      <c r="AJ263" s="92" t="s">
        <v>2049</v>
      </c>
      <c r="AK263" s="92" t="s">
        <v>2098</v>
      </c>
      <c r="AL263" s="91" t="s">
        <v>2099</v>
      </c>
      <c r="AM263" s="91" t="b">
        <v>0</v>
      </c>
    </row>
    <row r="264" spans="1:39" x14ac:dyDescent="0.2">
      <c r="A264" t="s">
        <v>369</v>
      </c>
      <c r="B264" t="s">
        <v>2100</v>
      </c>
      <c r="C264" t="s">
        <v>449</v>
      </c>
      <c r="D264" s="1" t="s">
        <v>2101</v>
      </c>
      <c r="E264">
        <v>961760721</v>
      </c>
      <c r="F264" t="s">
        <v>0</v>
      </c>
      <c r="H264" t="s">
        <v>451</v>
      </c>
      <c r="J264" t="s">
        <v>2011</v>
      </c>
      <c r="K264" t="s">
        <v>2012</v>
      </c>
      <c r="L264" t="s">
        <v>2102</v>
      </c>
      <c r="M264" t="s">
        <v>455</v>
      </c>
      <c r="N264" t="s">
        <v>0</v>
      </c>
      <c r="O264">
        <v>0</v>
      </c>
      <c r="P264">
        <v>0</v>
      </c>
      <c r="Q264">
        <v>0</v>
      </c>
      <c r="R264">
        <v>1</v>
      </c>
      <c r="S264">
        <v>8</v>
      </c>
      <c r="T264">
        <v>122</v>
      </c>
      <c r="U264" t="s">
        <v>456</v>
      </c>
      <c r="V264" t="s">
        <v>14</v>
      </c>
      <c r="W264" t="s">
        <v>2103</v>
      </c>
      <c r="X264" t="s">
        <v>458</v>
      </c>
      <c r="Z264" t="s">
        <v>2064</v>
      </c>
      <c r="AE264" s="99">
        <v>8</v>
      </c>
      <c r="AF264" s="92" t="s">
        <v>460</v>
      </c>
      <c r="AG264" s="110"/>
      <c r="AH264" s="91" t="s">
        <v>2104</v>
      </c>
      <c r="AI264" s="92" t="s">
        <v>485</v>
      </c>
      <c r="AJ264" s="92" t="s">
        <v>2105</v>
      </c>
      <c r="AK264" s="92" t="s">
        <v>2099</v>
      </c>
      <c r="AL264" s="91" t="s">
        <v>2099</v>
      </c>
      <c r="AM264" s="91" t="b">
        <v>0</v>
      </c>
    </row>
    <row r="265" spans="1:39" x14ac:dyDescent="0.2">
      <c r="A265" t="s">
        <v>370</v>
      </c>
      <c r="B265" t="s">
        <v>2106</v>
      </c>
      <c r="C265" t="s">
        <v>449</v>
      </c>
      <c r="D265" s="1" t="s">
        <v>2031</v>
      </c>
      <c r="E265">
        <v>909083103</v>
      </c>
      <c r="F265" t="s">
        <v>0</v>
      </c>
      <c r="H265" t="s">
        <v>451</v>
      </c>
      <c r="J265" t="s">
        <v>2107</v>
      </c>
      <c r="K265" t="s">
        <v>2108</v>
      </c>
      <c r="L265" t="s">
        <v>2109</v>
      </c>
      <c r="M265" t="s">
        <v>455</v>
      </c>
      <c r="N265" t="s">
        <v>0</v>
      </c>
      <c r="O265">
        <v>0</v>
      </c>
      <c r="P265">
        <v>0</v>
      </c>
      <c r="Q265">
        <v>0</v>
      </c>
      <c r="R265">
        <v>1</v>
      </c>
      <c r="S265">
        <v>8</v>
      </c>
      <c r="T265">
        <v>116</v>
      </c>
      <c r="U265" t="s">
        <v>456</v>
      </c>
      <c r="V265" t="s">
        <v>14</v>
      </c>
      <c r="W265" t="s">
        <v>2110</v>
      </c>
      <c r="X265" t="s">
        <v>458</v>
      </c>
      <c r="Z265" t="s">
        <v>2064</v>
      </c>
      <c r="AE265" s="99">
        <v>8</v>
      </c>
      <c r="AF265" s="92" t="s">
        <v>460</v>
      </c>
      <c r="AG265" s="110" t="s">
        <v>2111</v>
      </c>
      <c r="AH265" s="91" t="s">
        <v>2112</v>
      </c>
      <c r="AI265" s="92" t="s">
        <v>463</v>
      </c>
      <c r="AJ265" s="92" t="s">
        <v>2101</v>
      </c>
      <c r="AK265" s="92" t="s">
        <v>2113</v>
      </c>
      <c r="AL265" s="91" t="s">
        <v>474</v>
      </c>
      <c r="AM265" s="91" t="b">
        <v>0</v>
      </c>
    </row>
    <row r="266" spans="1:39" x14ac:dyDescent="0.2">
      <c r="A266" t="s">
        <v>371</v>
      </c>
      <c r="B266" t="s">
        <v>2114</v>
      </c>
      <c r="C266" t="s">
        <v>449</v>
      </c>
      <c r="D266" s="85" t="s">
        <v>2038</v>
      </c>
      <c r="E266">
        <v>931439977</v>
      </c>
      <c r="F266" t="s">
        <v>0</v>
      </c>
      <c r="H266" t="s">
        <v>451</v>
      </c>
      <c r="J266" t="s">
        <v>2107</v>
      </c>
      <c r="K266" t="s">
        <v>2108</v>
      </c>
      <c r="L266" t="s">
        <v>2109</v>
      </c>
      <c r="M266" t="s">
        <v>455</v>
      </c>
      <c r="N266" t="s">
        <v>0</v>
      </c>
      <c r="O266">
        <v>0</v>
      </c>
      <c r="P266">
        <v>0</v>
      </c>
      <c r="Q266">
        <v>0</v>
      </c>
      <c r="R266">
        <v>1</v>
      </c>
      <c r="S266">
        <v>8</v>
      </c>
      <c r="T266">
        <v>116</v>
      </c>
      <c r="U266" t="s">
        <v>456</v>
      </c>
      <c r="V266" t="s">
        <v>14</v>
      </c>
      <c r="W266" t="s">
        <v>2115</v>
      </c>
      <c r="X266" t="s">
        <v>458</v>
      </c>
      <c r="Z266" t="s">
        <v>2064</v>
      </c>
      <c r="AE266" s="99">
        <v>8</v>
      </c>
      <c r="AF266" s="92" t="s">
        <v>460</v>
      </c>
      <c r="AG266" s="110"/>
      <c r="AH266" s="91" t="s">
        <v>2116</v>
      </c>
      <c r="AI266" s="92" t="s">
        <v>463</v>
      </c>
      <c r="AJ266" s="92" t="s">
        <v>2010</v>
      </c>
      <c r="AK266" s="92" t="s">
        <v>2117</v>
      </c>
      <c r="AL266" s="91" t="s">
        <v>474</v>
      </c>
      <c r="AM266" s="91" t="b">
        <v>0</v>
      </c>
    </row>
    <row r="267" spans="1:39" x14ac:dyDescent="0.2">
      <c r="A267" t="s">
        <v>372</v>
      </c>
      <c r="B267" t="s">
        <v>2118</v>
      </c>
      <c r="C267" t="s">
        <v>449</v>
      </c>
      <c r="D267" s="1" t="s">
        <v>2119</v>
      </c>
      <c r="E267">
        <v>937756145</v>
      </c>
      <c r="F267" t="s">
        <v>0</v>
      </c>
      <c r="H267" t="s">
        <v>1137</v>
      </c>
      <c r="J267" t="s">
        <v>1498</v>
      </c>
      <c r="K267" t="s">
        <v>1951</v>
      </c>
      <c r="L267" t="s">
        <v>1952</v>
      </c>
      <c r="M267" t="s">
        <v>455</v>
      </c>
      <c r="N267" t="s">
        <v>0</v>
      </c>
      <c r="O267">
        <v>0</v>
      </c>
      <c r="P267">
        <v>0</v>
      </c>
      <c r="Q267">
        <v>0</v>
      </c>
      <c r="R267">
        <v>1</v>
      </c>
      <c r="T267">
        <v>114</v>
      </c>
      <c r="U267" t="s">
        <v>513</v>
      </c>
      <c r="V267" t="s">
        <v>14</v>
      </c>
      <c r="W267" t="s">
        <v>2120</v>
      </c>
      <c r="X267" t="s">
        <v>0</v>
      </c>
      <c r="Y267" t="s">
        <v>1369</v>
      </c>
      <c r="Z267" t="s">
        <v>1965</v>
      </c>
      <c r="AE267" s="99">
        <v>8</v>
      </c>
      <c r="AF267" s="92" t="s">
        <v>460</v>
      </c>
      <c r="AG267" s="110" t="s">
        <v>2121</v>
      </c>
      <c r="AH267" s="91" t="s">
        <v>2122</v>
      </c>
      <c r="AI267" s="92" t="s">
        <v>463</v>
      </c>
      <c r="AJ267" s="92" t="s">
        <v>2004</v>
      </c>
      <c r="AK267" s="92" t="s">
        <v>2123</v>
      </c>
      <c r="AL267" s="91" t="s">
        <v>2124</v>
      </c>
      <c r="AM267" s="91" t="b">
        <v>0</v>
      </c>
    </row>
    <row r="268" spans="1:39" x14ac:dyDescent="0.2">
      <c r="A268" t="s">
        <v>2125</v>
      </c>
      <c r="B268" t="s">
        <v>2126</v>
      </c>
      <c r="C268" t="s">
        <v>629</v>
      </c>
      <c r="J268" t="s">
        <v>631</v>
      </c>
      <c r="K268" t="s">
        <v>631</v>
      </c>
      <c r="L268" t="s">
        <v>631</v>
      </c>
      <c r="M268" t="s">
        <v>631</v>
      </c>
      <c r="N268" t="s">
        <v>0</v>
      </c>
      <c r="O268">
        <v>0</v>
      </c>
      <c r="P268">
        <v>0</v>
      </c>
      <c r="Q268">
        <v>0</v>
      </c>
      <c r="R268">
        <v>1</v>
      </c>
      <c r="U268" t="s">
        <v>456</v>
      </c>
      <c r="V268" t="s">
        <v>14</v>
      </c>
      <c r="W268" t="e">
        <v>#N/A</v>
      </c>
      <c r="X268" t="s">
        <v>0</v>
      </c>
      <c r="AE268" s="99">
        <v>8</v>
      </c>
      <c r="AF268" s="92" t="s">
        <v>460</v>
      </c>
      <c r="AG268" s="110"/>
      <c r="AH268" s="91" t="s">
        <v>2127</v>
      </c>
      <c r="AI268" s="92" t="s">
        <v>463</v>
      </c>
      <c r="AJ268" s="92" t="s">
        <v>1998</v>
      </c>
      <c r="AK268" s="92" t="s">
        <v>2128</v>
      </c>
      <c r="AL268" s="91" t="s">
        <v>2124</v>
      </c>
      <c r="AM268" s="91" t="b">
        <v>0</v>
      </c>
    </row>
    <row r="269" spans="1:39" x14ac:dyDescent="0.2">
      <c r="A269" t="s">
        <v>373</v>
      </c>
      <c r="B269" t="s">
        <v>2129</v>
      </c>
      <c r="C269" t="s">
        <v>449</v>
      </c>
      <c r="D269" s="1" t="s">
        <v>2130</v>
      </c>
      <c r="E269">
        <v>987646085</v>
      </c>
      <c r="F269" t="s">
        <v>0</v>
      </c>
      <c r="H269" t="s">
        <v>1137</v>
      </c>
      <c r="J269" t="s">
        <v>1498</v>
      </c>
      <c r="K269" t="s">
        <v>1938</v>
      </c>
      <c r="L269" t="s">
        <v>2131</v>
      </c>
      <c r="M269" t="s">
        <v>455</v>
      </c>
      <c r="N269" t="s">
        <v>0</v>
      </c>
      <c r="O269">
        <v>0</v>
      </c>
      <c r="P269">
        <v>0</v>
      </c>
      <c r="Q269">
        <v>0</v>
      </c>
      <c r="R269">
        <v>1</v>
      </c>
      <c r="T269">
        <v>92</v>
      </c>
      <c r="U269" t="s">
        <v>513</v>
      </c>
      <c r="V269" t="s">
        <v>11</v>
      </c>
      <c r="W269" t="s">
        <v>2132</v>
      </c>
      <c r="X269" t="s">
        <v>0</v>
      </c>
      <c r="Y269" t="s">
        <v>1369</v>
      </c>
      <c r="Z269" t="s">
        <v>1965</v>
      </c>
      <c r="AE269" s="99">
        <v>8</v>
      </c>
      <c r="AF269" s="92" t="s">
        <v>460</v>
      </c>
      <c r="AG269" s="110" t="s">
        <v>2133</v>
      </c>
      <c r="AH269" s="91" t="s">
        <v>2134</v>
      </c>
      <c r="AI269" s="92" t="s">
        <v>463</v>
      </c>
      <c r="AJ269" s="92" t="s">
        <v>1923</v>
      </c>
      <c r="AK269" s="92" t="s">
        <v>2135</v>
      </c>
      <c r="AL269" s="91" t="s">
        <v>474</v>
      </c>
      <c r="AM269" s="91" t="b">
        <v>0</v>
      </c>
    </row>
    <row r="270" spans="1:39" x14ac:dyDescent="0.2">
      <c r="A270" t="s">
        <v>2136</v>
      </c>
      <c r="B270" t="s">
        <v>2137</v>
      </c>
      <c r="C270" t="s">
        <v>629</v>
      </c>
      <c r="J270" t="s">
        <v>631</v>
      </c>
      <c r="K270" t="s">
        <v>631</v>
      </c>
      <c r="L270" t="s">
        <v>631</v>
      </c>
      <c r="M270" t="s">
        <v>631</v>
      </c>
      <c r="N270" t="s">
        <v>0</v>
      </c>
      <c r="O270">
        <v>0</v>
      </c>
      <c r="P270">
        <v>0</v>
      </c>
      <c r="Q270">
        <v>0</v>
      </c>
      <c r="R270">
        <v>1</v>
      </c>
      <c r="U270" t="s">
        <v>513</v>
      </c>
      <c r="V270" t="s">
        <v>14</v>
      </c>
      <c r="W270" t="e">
        <v>#N/A</v>
      </c>
      <c r="X270" t="s">
        <v>0</v>
      </c>
      <c r="AE270" s="99">
        <v>8</v>
      </c>
      <c r="AF270" s="92" t="s">
        <v>460</v>
      </c>
      <c r="AG270" s="110"/>
      <c r="AH270" s="91" t="s">
        <v>2138</v>
      </c>
      <c r="AI270" s="92" t="s">
        <v>463</v>
      </c>
      <c r="AJ270" s="92" t="s">
        <v>1896</v>
      </c>
      <c r="AK270" s="92" t="s">
        <v>2139</v>
      </c>
      <c r="AL270" s="91" t="s">
        <v>474</v>
      </c>
      <c r="AM270" s="91" t="b">
        <v>0</v>
      </c>
    </row>
    <row r="271" spans="1:39" ht="48" x14ac:dyDescent="0.2">
      <c r="A271" t="s">
        <v>2140</v>
      </c>
      <c r="B271" t="s">
        <v>2141</v>
      </c>
      <c r="C271" t="s">
        <v>629</v>
      </c>
      <c r="D271" s="1" t="s">
        <v>2142</v>
      </c>
      <c r="E271">
        <v>986474406</v>
      </c>
      <c r="F271" t="s">
        <v>458</v>
      </c>
      <c r="G271" s="11" t="s">
        <v>2143</v>
      </c>
      <c r="H271" t="s">
        <v>451</v>
      </c>
      <c r="J271" t="s">
        <v>631</v>
      </c>
      <c r="K271" t="s">
        <v>631</v>
      </c>
      <c r="L271" t="s">
        <v>631</v>
      </c>
      <c r="M271" t="s">
        <v>631</v>
      </c>
      <c r="N271" t="s">
        <v>458</v>
      </c>
      <c r="O271">
        <v>0</v>
      </c>
      <c r="P271">
        <v>0</v>
      </c>
      <c r="Q271">
        <v>0</v>
      </c>
      <c r="R271">
        <v>1</v>
      </c>
      <c r="U271" t="s">
        <v>456</v>
      </c>
      <c r="V271" t="s">
        <v>14</v>
      </c>
      <c r="W271" t="e">
        <v>#N/A</v>
      </c>
      <c r="X271" t="s">
        <v>0</v>
      </c>
      <c r="AE271" s="99">
        <v>8</v>
      </c>
      <c r="AF271" s="92" t="s">
        <v>460</v>
      </c>
      <c r="AG271" s="110" t="s">
        <v>2144</v>
      </c>
      <c r="AH271" s="91" t="s">
        <v>2145</v>
      </c>
      <c r="AI271" s="92" t="s">
        <v>463</v>
      </c>
      <c r="AJ271" s="92" t="s">
        <v>1413</v>
      </c>
      <c r="AK271" s="92" t="s">
        <v>2146</v>
      </c>
      <c r="AL271" s="91" t="s">
        <v>474</v>
      </c>
      <c r="AM271" s="91" t="b">
        <v>0</v>
      </c>
    </row>
    <row r="272" spans="1:39" ht="32" x14ac:dyDescent="0.2">
      <c r="A272" t="s">
        <v>374</v>
      </c>
      <c r="B272" t="s">
        <v>2147</v>
      </c>
      <c r="C272" t="s">
        <v>449</v>
      </c>
      <c r="D272" s="1" t="s">
        <v>2148</v>
      </c>
      <c r="E272">
        <v>972708318</v>
      </c>
      <c r="F272" t="s">
        <v>458</v>
      </c>
      <c r="G272" s="11" t="s">
        <v>375</v>
      </c>
      <c r="H272" t="s">
        <v>1137</v>
      </c>
      <c r="J272" t="s">
        <v>1498</v>
      </c>
      <c r="K272" t="s">
        <v>1515</v>
      </c>
      <c r="L272" t="s">
        <v>1508</v>
      </c>
      <c r="M272" t="s">
        <v>455</v>
      </c>
      <c r="N272" t="s">
        <v>458</v>
      </c>
      <c r="O272">
        <v>1</v>
      </c>
      <c r="P272">
        <v>1</v>
      </c>
      <c r="Q272">
        <v>2</v>
      </c>
      <c r="R272">
        <v>3</v>
      </c>
      <c r="T272">
        <v>93</v>
      </c>
      <c r="U272" t="s">
        <v>513</v>
      </c>
      <c r="V272" t="s">
        <v>14</v>
      </c>
      <c r="W272" t="s">
        <v>2149</v>
      </c>
      <c r="X272" t="s">
        <v>0</v>
      </c>
      <c r="Y272" t="s">
        <v>1369</v>
      </c>
      <c r="Z272" t="s">
        <v>1965</v>
      </c>
      <c r="AE272" s="99">
        <v>8</v>
      </c>
      <c r="AF272" s="92" t="s">
        <v>460</v>
      </c>
      <c r="AG272" s="110"/>
      <c r="AH272" s="91" t="s">
        <v>2150</v>
      </c>
      <c r="AI272" s="92" t="s">
        <v>463</v>
      </c>
      <c r="AJ272" s="92" t="s">
        <v>1902</v>
      </c>
      <c r="AK272" s="92" t="s">
        <v>2151</v>
      </c>
      <c r="AL272" s="91" t="s">
        <v>474</v>
      </c>
      <c r="AM272" s="91" t="b">
        <v>0</v>
      </c>
    </row>
    <row r="273" spans="1:39" x14ac:dyDescent="0.2">
      <c r="A273" t="s">
        <v>377</v>
      </c>
      <c r="B273" t="s">
        <v>2152</v>
      </c>
      <c r="C273" t="s">
        <v>449</v>
      </c>
      <c r="D273" s="85" t="s">
        <v>2153</v>
      </c>
      <c r="E273">
        <v>834132707</v>
      </c>
      <c r="F273" t="s">
        <v>0</v>
      </c>
      <c r="H273" t="s">
        <v>1137</v>
      </c>
      <c r="J273" t="s">
        <v>452</v>
      </c>
      <c r="K273" t="s">
        <v>453</v>
      </c>
      <c r="L273" t="s">
        <v>692</v>
      </c>
      <c r="M273" t="s">
        <v>455</v>
      </c>
      <c r="N273" t="s">
        <v>0</v>
      </c>
      <c r="O273">
        <v>0</v>
      </c>
      <c r="P273">
        <v>0</v>
      </c>
      <c r="Q273">
        <v>0</v>
      </c>
      <c r="R273">
        <v>1</v>
      </c>
      <c r="T273">
        <v>65</v>
      </c>
      <c r="U273" t="s">
        <v>513</v>
      </c>
      <c r="V273" t="s">
        <v>11</v>
      </c>
      <c r="W273" t="s">
        <v>2154</v>
      </c>
      <c r="X273" t="s">
        <v>0</v>
      </c>
      <c r="Y273" t="s">
        <v>1369</v>
      </c>
      <c r="Z273" t="s">
        <v>1409</v>
      </c>
      <c r="AE273" s="99">
        <v>8</v>
      </c>
      <c r="AF273" s="92" t="s">
        <v>460</v>
      </c>
      <c r="AG273" s="84" t="s">
        <v>1600</v>
      </c>
      <c r="AH273" s="91" t="s">
        <v>2155</v>
      </c>
      <c r="AI273" s="92" t="s">
        <v>463</v>
      </c>
      <c r="AJ273" s="92" t="s">
        <v>1703</v>
      </c>
      <c r="AK273" s="92" t="s">
        <v>2156</v>
      </c>
      <c r="AL273" s="91" t="s">
        <v>2157</v>
      </c>
      <c r="AM273" s="91" t="b">
        <v>0</v>
      </c>
    </row>
    <row r="274" spans="1:39" x14ac:dyDescent="0.2">
      <c r="A274" t="s">
        <v>2158</v>
      </c>
      <c r="B274" t="s">
        <v>2159</v>
      </c>
      <c r="C274" t="s">
        <v>629</v>
      </c>
      <c r="D274" s="85"/>
      <c r="J274" t="s">
        <v>631</v>
      </c>
      <c r="K274" t="s">
        <v>631</v>
      </c>
      <c r="L274" t="s">
        <v>631</v>
      </c>
      <c r="M274" t="s">
        <v>631</v>
      </c>
      <c r="N274" t="s">
        <v>0</v>
      </c>
      <c r="O274">
        <v>0</v>
      </c>
      <c r="P274">
        <v>0</v>
      </c>
      <c r="Q274">
        <v>0</v>
      </c>
      <c r="R274">
        <v>1</v>
      </c>
      <c r="U274" t="s">
        <v>456</v>
      </c>
      <c r="V274" t="s">
        <v>14</v>
      </c>
      <c r="W274" t="e">
        <v>#N/A</v>
      </c>
      <c r="X274" t="s">
        <v>0</v>
      </c>
      <c r="AE274" s="99">
        <v>8</v>
      </c>
      <c r="AF274" s="92" t="s">
        <v>460</v>
      </c>
      <c r="AG274" s="84" t="s">
        <v>1713</v>
      </c>
      <c r="AH274" s="91" t="s">
        <v>2160</v>
      </c>
      <c r="AI274" s="92" t="s">
        <v>485</v>
      </c>
      <c r="AJ274" s="92" t="s">
        <v>1496</v>
      </c>
      <c r="AK274" s="92" t="s">
        <v>2161</v>
      </c>
      <c r="AL274" s="91" t="s">
        <v>2162</v>
      </c>
      <c r="AM274" s="91" t="b">
        <v>0</v>
      </c>
    </row>
    <row r="275" spans="1:39" x14ac:dyDescent="0.2">
      <c r="A275" t="s">
        <v>2163</v>
      </c>
      <c r="B275" t="s">
        <v>2164</v>
      </c>
      <c r="C275" t="s">
        <v>629</v>
      </c>
      <c r="D275" s="85"/>
      <c r="J275" t="s">
        <v>631</v>
      </c>
      <c r="K275" t="s">
        <v>631</v>
      </c>
      <c r="L275" t="s">
        <v>631</v>
      </c>
      <c r="M275" t="s">
        <v>631</v>
      </c>
      <c r="N275" t="s">
        <v>0</v>
      </c>
      <c r="O275">
        <v>0</v>
      </c>
      <c r="P275">
        <v>0</v>
      </c>
      <c r="Q275">
        <v>0</v>
      </c>
      <c r="R275">
        <v>1</v>
      </c>
      <c r="U275" t="s">
        <v>513</v>
      </c>
      <c r="V275" t="s">
        <v>14</v>
      </c>
      <c r="W275" t="e">
        <v>#N/A</v>
      </c>
      <c r="X275" t="s">
        <v>0</v>
      </c>
      <c r="AE275" s="99">
        <v>8</v>
      </c>
      <c r="AF275" s="92" t="s">
        <v>460</v>
      </c>
      <c r="AG275" s="84" t="s">
        <v>656</v>
      </c>
      <c r="AH275" s="101" t="s">
        <v>2165</v>
      </c>
      <c r="AI275" s="102" t="s">
        <v>485</v>
      </c>
      <c r="AJ275" s="102" t="s">
        <v>1889</v>
      </c>
      <c r="AK275" s="102" t="s">
        <v>2166</v>
      </c>
      <c r="AL275" s="101" t="s">
        <v>488</v>
      </c>
      <c r="AM275" s="101" t="b">
        <v>0</v>
      </c>
    </row>
    <row r="276" spans="1:39" x14ac:dyDescent="0.2">
      <c r="A276" t="s">
        <v>2167</v>
      </c>
      <c r="B276" t="s">
        <v>2168</v>
      </c>
      <c r="C276" t="s">
        <v>629</v>
      </c>
      <c r="D276" s="85" t="s">
        <v>2169</v>
      </c>
      <c r="E276">
        <v>965847061</v>
      </c>
      <c r="F276" t="s">
        <v>0</v>
      </c>
      <c r="H276" t="s">
        <v>451</v>
      </c>
      <c r="J276" t="s">
        <v>631</v>
      </c>
      <c r="K276" t="s">
        <v>631</v>
      </c>
      <c r="L276" t="s">
        <v>631</v>
      </c>
      <c r="M276" t="s">
        <v>631</v>
      </c>
      <c r="N276" t="s">
        <v>0</v>
      </c>
      <c r="O276">
        <v>0</v>
      </c>
      <c r="P276">
        <v>0</v>
      </c>
      <c r="Q276">
        <v>0</v>
      </c>
      <c r="R276">
        <v>1</v>
      </c>
      <c r="U276" t="s">
        <v>456</v>
      </c>
      <c r="V276" t="s">
        <v>14</v>
      </c>
      <c r="W276" t="e">
        <v>#N/A</v>
      </c>
      <c r="X276" t="s">
        <v>0</v>
      </c>
      <c r="AE276" s="99">
        <v>8</v>
      </c>
      <c r="AF276" s="92" t="s">
        <v>460</v>
      </c>
      <c r="AG276" s="84" t="s">
        <v>1318</v>
      </c>
      <c r="AH276" s="91" t="s">
        <v>2170</v>
      </c>
      <c r="AI276" s="92" t="s">
        <v>463</v>
      </c>
      <c r="AJ276" s="92" t="s">
        <v>1909</v>
      </c>
      <c r="AK276" s="92" t="s">
        <v>406</v>
      </c>
      <c r="AL276" s="91" t="s">
        <v>1322</v>
      </c>
      <c r="AM276" s="91" t="b">
        <v>0</v>
      </c>
    </row>
    <row r="277" spans="1:39" x14ac:dyDescent="0.2">
      <c r="A277" t="s">
        <v>2171</v>
      </c>
      <c r="B277" t="s">
        <v>2172</v>
      </c>
      <c r="C277" t="s">
        <v>629</v>
      </c>
      <c r="D277" s="85"/>
      <c r="J277" t="s">
        <v>631</v>
      </c>
      <c r="K277" t="s">
        <v>631</v>
      </c>
      <c r="L277" t="s">
        <v>631</v>
      </c>
      <c r="M277" t="s">
        <v>631</v>
      </c>
      <c r="N277" t="s">
        <v>0</v>
      </c>
      <c r="O277">
        <v>0</v>
      </c>
      <c r="P277">
        <v>0</v>
      </c>
      <c r="Q277">
        <v>0</v>
      </c>
      <c r="R277">
        <v>1</v>
      </c>
      <c r="U277" t="s">
        <v>456</v>
      </c>
      <c r="V277" t="s">
        <v>14</v>
      </c>
      <c r="W277" t="e">
        <v>#N/A</v>
      </c>
      <c r="X277" t="s">
        <v>0</v>
      </c>
      <c r="AE277" s="99">
        <v>8</v>
      </c>
      <c r="AF277" s="92" t="s">
        <v>460</v>
      </c>
      <c r="AG277" s="110" t="s">
        <v>2173</v>
      </c>
      <c r="AH277" s="91" t="s">
        <v>1706</v>
      </c>
      <c r="AI277" s="92" t="s">
        <v>485</v>
      </c>
      <c r="AJ277" s="92" t="s">
        <v>2041</v>
      </c>
      <c r="AK277" s="92" t="s">
        <v>2174</v>
      </c>
      <c r="AL277" s="91" t="s">
        <v>1562</v>
      </c>
      <c r="AM277" s="91" t="b">
        <v>0</v>
      </c>
    </row>
    <row r="278" spans="1:39" x14ac:dyDescent="0.2">
      <c r="A278" t="s">
        <v>2175</v>
      </c>
      <c r="B278" t="s">
        <v>2176</v>
      </c>
      <c r="C278" t="s">
        <v>629</v>
      </c>
      <c r="D278" s="85"/>
      <c r="J278" t="s">
        <v>631</v>
      </c>
      <c r="K278" t="s">
        <v>631</v>
      </c>
      <c r="L278" t="s">
        <v>631</v>
      </c>
      <c r="M278" t="s">
        <v>631</v>
      </c>
      <c r="N278" t="s">
        <v>0</v>
      </c>
      <c r="O278">
        <v>0</v>
      </c>
      <c r="P278">
        <v>0</v>
      </c>
      <c r="Q278">
        <v>0</v>
      </c>
      <c r="R278">
        <v>1</v>
      </c>
      <c r="U278" t="s">
        <v>513</v>
      </c>
      <c r="V278" t="s">
        <v>14</v>
      </c>
      <c r="W278" t="e">
        <v>#N/A</v>
      </c>
      <c r="X278" t="s">
        <v>0</v>
      </c>
      <c r="AE278" s="99">
        <v>8</v>
      </c>
      <c r="AF278" s="92" t="s">
        <v>460</v>
      </c>
      <c r="AG278" s="110"/>
      <c r="AH278" s="91" t="s">
        <v>2177</v>
      </c>
      <c r="AI278" s="92" t="s">
        <v>485</v>
      </c>
      <c r="AJ278" s="92" t="s">
        <v>2018</v>
      </c>
      <c r="AK278" s="92" t="s">
        <v>2178</v>
      </c>
      <c r="AL278" s="91" t="s">
        <v>474</v>
      </c>
      <c r="AM278" s="91" t="b">
        <v>0</v>
      </c>
    </row>
    <row r="279" spans="1:39" x14ac:dyDescent="0.2">
      <c r="A279" t="s">
        <v>2179</v>
      </c>
      <c r="B279" t="s">
        <v>2180</v>
      </c>
      <c r="C279" t="s">
        <v>629</v>
      </c>
      <c r="D279" s="85"/>
      <c r="J279" t="s">
        <v>631</v>
      </c>
      <c r="K279" t="s">
        <v>631</v>
      </c>
      <c r="L279" t="s">
        <v>631</v>
      </c>
      <c r="M279" t="s">
        <v>631</v>
      </c>
      <c r="N279" t="s">
        <v>0</v>
      </c>
      <c r="O279">
        <v>0</v>
      </c>
      <c r="P279">
        <v>0</v>
      </c>
      <c r="Q279">
        <v>0</v>
      </c>
      <c r="R279">
        <v>1</v>
      </c>
      <c r="U279" t="s">
        <v>513</v>
      </c>
      <c r="V279" t="s">
        <v>14</v>
      </c>
      <c r="W279" t="e">
        <v>#N/A</v>
      </c>
      <c r="X279" t="s">
        <v>0</v>
      </c>
      <c r="AE279" s="99">
        <v>8</v>
      </c>
      <c r="AF279" s="92" t="s">
        <v>460</v>
      </c>
      <c r="AG279" s="110" t="s">
        <v>2181</v>
      </c>
      <c r="AH279" s="91" t="s">
        <v>1389</v>
      </c>
      <c r="AI279" s="92" t="s">
        <v>485</v>
      </c>
      <c r="AJ279" s="92" t="s">
        <v>1374</v>
      </c>
      <c r="AK279" s="92" t="s">
        <v>2182</v>
      </c>
      <c r="AL279" s="91" t="s">
        <v>1562</v>
      </c>
      <c r="AM279" s="91" t="b">
        <v>0</v>
      </c>
    </row>
    <row r="280" spans="1:39" x14ac:dyDescent="0.2">
      <c r="A280" t="s">
        <v>378</v>
      </c>
      <c r="B280" t="s">
        <v>2183</v>
      </c>
      <c r="C280" t="s">
        <v>449</v>
      </c>
      <c r="D280" s="85" t="s">
        <v>2184</v>
      </c>
      <c r="E280">
        <v>909009984</v>
      </c>
      <c r="F280" t="s">
        <v>458</v>
      </c>
      <c r="G280" t="s">
        <v>2185</v>
      </c>
      <c r="H280" t="s">
        <v>1137</v>
      </c>
      <c r="J280" t="s">
        <v>452</v>
      </c>
      <c r="K280" t="s">
        <v>453</v>
      </c>
      <c r="L280" t="s">
        <v>959</v>
      </c>
      <c r="M280" t="s">
        <v>455</v>
      </c>
      <c r="N280" t="s">
        <v>458</v>
      </c>
      <c r="O280">
        <v>0</v>
      </c>
      <c r="P280">
        <v>1</v>
      </c>
      <c r="Q280">
        <v>1</v>
      </c>
      <c r="R280">
        <v>2</v>
      </c>
      <c r="T280">
        <v>77</v>
      </c>
      <c r="U280" t="s">
        <v>513</v>
      </c>
      <c r="V280" t="s">
        <v>14</v>
      </c>
      <c r="W280" t="s">
        <v>2186</v>
      </c>
      <c r="X280" t="s">
        <v>0</v>
      </c>
      <c r="Y280" t="s">
        <v>1369</v>
      </c>
      <c r="Z280" t="s">
        <v>1248</v>
      </c>
      <c r="AE280" s="99">
        <v>8</v>
      </c>
      <c r="AF280" s="92" t="s">
        <v>460</v>
      </c>
      <c r="AG280" s="110"/>
      <c r="AH280" s="91" t="s">
        <v>2187</v>
      </c>
      <c r="AI280" s="92" t="s">
        <v>485</v>
      </c>
      <c r="AJ280" s="92" t="s">
        <v>666</v>
      </c>
      <c r="AK280" s="92" t="s">
        <v>2188</v>
      </c>
      <c r="AL280" s="91" t="s">
        <v>474</v>
      </c>
      <c r="AM280" s="91" t="b">
        <v>0</v>
      </c>
    </row>
    <row r="281" spans="1:39" x14ac:dyDescent="0.2">
      <c r="A281" t="s">
        <v>2189</v>
      </c>
      <c r="B281" t="s">
        <v>2190</v>
      </c>
      <c r="C281" t="s">
        <v>629</v>
      </c>
      <c r="D281" s="85" t="s">
        <v>2191</v>
      </c>
      <c r="E281">
        <v>364911302</v>
      </c>
      <c r="F281" t="s">
        <v>0</v>
      </c>
      <c r="H281" t="s">
        <v>451</v>
      </c>
      <c r="J281" t="s">
        <v>631</v>
      </c>
      <c r="K281" t="s">
        <v>631</v>
      </c>
      <c r="L281" t="s">
        <v>631</v>
      </c>
      <c r="M281" t="s">
        <v>631</v>
      </c>
      <c r="N281" t="s">
        <v>0</v>
      </c>
      <c r="O281">
        <v>0</v>
      </c>
      <c r="P281">
        <v>0</v>
      </c>
      <c r="Q281">
        <v>0</v>
      </c>
      <c r="R281">
        <v>1</v>
      </c>
      <c r="U281" t="s">
        <v>513</v>
      </c>
      <c r="V281" t="s">
        <v>14</v>
      </c>
      <c r="W281" t="e">
        <v>#N/A</v>
      </c>
      <c r="X281" t="s">
        <v>0</v>
      </c>
      <c r="AE281" s="99">
        <v>8</v>
      </c>
      <c r="AF281" s="92" t="s">
        <v>460</v>
      </c>
      <c r="AG281" s="84" t="s">
        <v>661</v>
      </c>
      <c r="AH281" s="91" t="s">
        <v>2192</v>
      </c>
      <c r="AI281" s="92" t="s">
        <v>485</v>
      </c>
      <c r="AJ281" s="92" t="s">
        <v>2080</v>
      </c>
      <c r="AK281" s="92" t="s">
        <v>2193</v>
      </c>
      <c r="AL281" s="91" t="s">
        <v>664</v>
      </c>
      <c r="AM281" s="91" t="b">
        <v>0</v>
      </c>
    </row>
    <row r="282" spans="1:39" x14ac:dyDescent="0.2">
      <c r="A282" t="s">
        <v>2194</v>
      </c>
      <c r="B282" t="s">
        <v>2195</v>
      </c>
      <c r="C282" t="s">
        <v>629</v>
      </c>
      <c r="D282" s="85"/>
      <c r="J282" t="s">
        <v>631</v>
      </c>
      <c r="K282" t="s">
        <v>631</v>
      </c>
      <c r="L282" t="s">
        <v>631</v>
      </c>
      <c r="M282" t="s">
        <v>631</v>
      </c>
      <c r="N282" t="s">
        <v>0</v>
      </c>
      <c r="O282">
        <v>0</v>
      </c>
      <c r="P282">
        <v>0</v>
      </c>
      <c r="Q282">
        <v>0</v>
      </c>
      <c r="R282">
        <v>1</v>
      </c>
      <c r="U282" t="s">
        <v>456</v>
      </c>
      <c r="V282" t="s">
        <v>14</v>
      </c>
      <c r="W282" t="e">
        <v>#N/A</v>
      </c>
      <c r="X282" t="s">
        <v>0</v>
      </c>
      <c r="AE282" s="100" t="s">
        <v>2196</v>
      </c>
      <c r="AF282" s="92" t="s">
        <v>1184</v>
      </c>
      <c r="AG282" s="110" t="s">
        <v>2197</v>
      </c>
      <c r="AH282" s="91" t="s">
        <v>2198</v>
      </c>
      <c r="AI282" s="92" t="s">
        <v>463</v>
      </c>
      <c r="AJ282" s="92" t="s">
        <v>2199</v>
      </c>
      <c r="AK282" s="92" t="s">
        <v>2200</v>
      </c>
      <c r="AL282" s="91" t="s">
        <v>2200</v>
      </c>
      <c r="AM282" s="91" t="b">
        <v>0</v>
      </c>
    </row>
    <row r="283" spans="1:39" x14ac:dyDescent="0.2">
      <c r="A283" t="s">
        <v>2201</v>
      </c>
      <c r="B283" t="s">
        <v>2202</v>
      </c>
      <c r="C283" t="s">
        <v>629</v>
      </c>
      <c r="D283" s="85"/>
      <c r="J283" t="s">
        <v>631</v>
      </c>
      <c r="K283" t="s">
        <v>631</v>
      </c>
      <c r="L283" t="s">
        <v>631</v>
      </c>
      <c r="M283" t="s">
        <v>631</v>
      </c>
      <c r="N283" t="s">
        <v>0</v>
      </c>
      <c r="O283">
        <v>0</v>
      </c>
      <c r="P283">
        <v>0</v>
      </c>
      <c r="Q283">
        <v>0</v>
      </c>
      <c r="R283">
        <v>1</v>
      </c>
      <c r="U283" t="s">
        <v>513</v>
      </c>
      <c r="V283" t="s">
        <v>14</v>
      </c>
      <c r="W283" t="e">
        <v>#N/A</v>
      </c>
      <c r="X283" t="s">
        <v>0</v>
      </c>
      <c r="AE283" s="100" t="s">
        <v>2196</v>
      </c>
      <c r="AF283" s="92" t="s">
        <v>1184</v>
      </c>
      <c r="AG283" s="110"/>
      <c r="AH283" s="91" t="s">
        <v>2203</v>
      </c>
      <c r="AI283" s="92" t="s">
        <v>485</v>
      </c>
      <c r="AJ283" s="92" t="s">
        <v>2184</v>
      </c>
      <c r="AK283" s="92" t="s">
        <v>2204</v>
      </c>
      <c r="AL283" s="91" t="s">
        <v>2200</v>
      </c>
      <c r="AM283" s="91" t="b">
        <v>0</v>
      </c>
    </row>
    <row r="284" spans="1:39" x14ac:dyDescent="0.2">
      <c r="A284" t="s">
        <v>2205</v>
      </c>
      <c r="B284" t="s">
        <v>2206</v>
      </c>
      <c r="C284" t="s">
        <v>629</v>
      </c>
      <c r="D284" s="85"/>
      <c r="J284" t="s">
        <v>631</v>
      </c>
      <c r="K284" t="s">
        <v>631</v>
      </c>
      <c r="L284" t="s">
        <v>631</v>
      </c>
      <c r="M284" t="s">
        <v>631</v>
      </c>
      <c r="N284" t="s">
        <v>0</v>
      </c>
      <c r="O284">
        <v>0</v>
      </c>
      <c r="P284">
        <v>0</v>
      </c>
      <c r="Q284">
        <v>0</v>
      </c>
      <c r="R284">
        <v>1</v>
      </c>
      <c r="U284" t="s">
        <v>513</v>
      </c>
      <c r="V284" t="s">
        <v>14</v>
      </c>
      <c r="W284" t="e">
        <v>#N/A</v>
      </c>
      <c r="X284" t="s">
        <v>0</v>
      </c>
      <c r="AE284" s="100" t="s">
        <v>2196</v>
      </c>
      <c r="AF284" s="92" t="s">
        <v>1184</v>
      </c>
      <c r="AG284" s="110" t="s">
        <v>2207</v>
      </c>
      <c r="AH284" s="91" t="s">
        <v>2208</v>
      </c>
      <c r="AI284" s="92" t="s">
        <v>485</v>
      </c>
      <c r="AJ284" s="92" t="s">
        <v>2148</v>
      </c>
      <c r="AK284" s="92" t="s">
        <v>2209</v>
      </c>
      <c r="AL284" s="91" t="s">
        <v>2210</v>
      </c>
      <c r="AM284" s="91" t="b">
        <v>0</v>
      </c>
    </row>
    <row r="285" spans="1:39" x14ac:dyDescent="0.2">
      <c r="A285" t="s">
        <v>2211</v>
      </c>
      <c r="B285" t="s">
        <v>2212</v>
      </c>
      <c r="C285" t="s">
        <v>629</v>
      </c>
      <c r="D285" s="85"/>
      <c r="J285" t="s">
        <v>631</v>
      </c>
      <c r="K285" t="s">
        <v>631</v>
      </c>
      <c r="L285" t="s">
        <v>631</v>
      </c>
      <c r="M285" t="s">
        <v>631</v>
      </c>
      <c r="N285" t="s">
        <v>0</v>
      </c>
      <c r="O285">
        <v>0</v>
      </c>
      <c r="P285">
        <v>0</v>
      </c>
      <c r="Q285">
        <v>0</v>
      </c>
      <c r="R285">
        <v>1</v>
      </c>
      <c r="U285" t="s">
        <v>513</v>
      </c>
      <c r="V285" t="s">
        <v>14</v>
      </c>
      <c r="W285" t="e">
        <v>#N/A</v>
      </c>
      <c r="X285" t="s">
        <v>0</v>
      </c>
      <c r="AE285" s="100" t="s">
        <v>2196</v>
      </c>
      <c r="AF285" s="92" t="s">
        <v>1184</v>
      </c>
      <c r="AG285" s="110"/>
      <c r="AH285" s="91" t="s">
        <v>2213</v>
      </c>
      <c r="AI285" s="92" t="s">
        <v>485</v>
      </c>
      <c r="AJ285" s="92" t="s">
        <v>2214</v>
      </c>
      <c r="AK285" s="92" t="s">
        <v>2210</v>
      </c>
      <c r="AL285" s="91" t="s">
        <v>2210</v>
      </c>
      <c r="AM285" s="91" t="b">
        <v>0</v>
      </c>
    </row>
    <row r="286" spans="1:39" x14ac:dyDescent="0.2">
      <c r="A286" t="s">
        <v>2215</v>
      </c>
      <c r="B286" t="s">
        <v>2216</v>
      </c>
      <c r="C286" t="s">
        <v>629</v>
      </c>
      <c r="D286" s="85"/>
      <c r="J286" t="s">
        <v>631</v>
      </c>
      <c r="K286" t="s">
        <v>631</v>
      </c>
      <c r="L286" t="s">
        <v>631</v>
      </c>
      <c r="M286" t="s">
        <v>631</v>
      </c>
      <c r="N286" t="s">
        <v>0</v>
      </c>
      <c r="O286">
        <v>0</v>
      </c>
      <c r="P286">
        <v>0</v>
      </c>
      <c r="Q286">
        <v>0</v>
      </c>
      <c r="R286">
        <v>1</v>
      </c>
      <c r="U286" t="s">
        <v>513</v>
      </c>
      <c r="V286" t="s">
        <v>14</v>
      </c>
      <c r="W286" t="e">
        <v>#N/A</v>
      </c>
      <c r="X286" t="s">
        <v>0</v>
      </c>
      <c r="AE286" s="100" t="s">
        <v>2196</v>
      </c>
      <c r="AF286" s="92" t="s">
        <v>1184</v>
      </c>
      <c r="AG286" s="110"/>
      <c r="AH286" s="91" t="s">
        <v>2217</v>
      </c>
      <c r="AI286" s="92" t="s">
        <v>463</v>
      </c>
      <c r="AJ286" s="92" t="s">
        <v>2218</v>
      </c>
      <c r="AK286" s="92" t="s">
        <v>2210</v>
      </c>
      <c r="AL286" s="91" t="s">
        <v>2210</v>
      </c>
      <c r="AM286" s="91" t="b">
        <v>0</v>
      </c>
    </row>
    <row r="287" spans="1:39" x14ac:dyDescent="0.2">
      <c r="A287" t="s">
        <v>2219</v>
      </c>
      <c r="B287" t="s">
        <v>2220</v>
      </c>
      <c r="C287" t="s">
        <v>629</v>
      </c>
      <c r="D287" s="85"/>
      <c r="J287" t="s">
        <v>631</v>
      </c>
      <c r="K287" t="s">
        <v>631</v>
      </c>
      <c r="L287" t="s">
        <v>631</v>
      </c>
      <c r="M287" t="s">
        <v>631</v>
      </c>
      <c r="N287" t="s">
        <v>0</v>
      </c>
      <c r="O287">
        <v>0</v>
      </c>
      <c r="P287">
        <v>0</v>
      </c>
      <c r="Q287">
        <v>0</v>
      </c>
      <c r="R287">
        <v>1</v>
      </c>
      <c r="U287" t="s">
        <v>513</v>
      </c>
      <c r="V287" t="s">
        <v>14</v>
      </c>
      <c r="W287" t="e">
        <v>#N/A</v>
      </c>
      <c r="X287" t="s">
        <v>0</v>
      </c>
      <c r="AE287" s="100" t="s">
        <v>2196</v>
      </c>
      <c r="AF287" s="92" t="s">
        <v>1184</v>
      </c>
      <c r="AG287" s="84" t="s">
        <v>2021</v>
      </c>
      <c r="AH287" s="91" t="s">
        <v>2221</v>
      </c>
      <c r="AI287" s="92" t="s">
        <v>485</v>
      </c>
      <c r="AJ287" s="92" t="s">
        <v>2119</v>
      </c>
      <c r="AK287" s="92" t="s">
        <v>2222</v>
      </c>
      <c r="AL287" s="91" t="s">
        <v>2024</v>
      </c>
      <c r="AM287" s="91" t="b">
        <v>0</v>
      </c>
    </row>
    <row r="288" spans="1:39" x14ac:dyDescent="0.2">
      <c r="A288" t="s">
        <v>2223</v>
      </c>
      <c r="B288" t="s">
        <v>2224</v>
      </c>
      <c r="C288" t="s">
        <v>629</v>
      </c>
      <c r="D288" s="85"/>
      <c r="J288" t="s">
        <v>631</v>
      </c>
      <c r="K288" t="s">
        <v>631</v>
      </c>
      <c r="L288" t="s">
        <v>631</v>
      </c>
      <c r="M288" t="s">
        <v>631</v>
      </c>
      <c r="N288" t="s">
        <v>0</v>
      </c>
      <c r="O288">
        <v>0</v>
      </c>
      <c r="P288">
        <v>0</v>
      </c>
      <c r="Q288">
        <v>0</v>
      </c>
      <c r="R288">
        <v>1</v>
      </c>
      <c r="U288" t="s">
        <v>513</v>
      </c>
      <c r="V288" t="s">
        <v>14</v>
      </c>
      <c r="W288" t="e">
        <v>#N/A</v>
      </c>
      <c r="X288" t="s">
        <v>0</v>
      </c>
      <c r="AE288" s="100" t="s">
        <v>2196</v>
      </c>
      <c r="AF288" s="92" t="s">
        <v>1184</v>
      </c>
      <c r="AG288" s="84" t="s">
        <v>1684</v>
      </c>
      <c r="AH288" s="91" t="s">
        <v>2225</v>
      </c>
      <c r="AI288" s="92" t="s">
        <v>485</v>
      </c>
      <c r="AJ288" s="92" t="s">
        <v>2226</v>
      </c>
      <c r="AK288" s="92" t="s">
        <v>2227</v>
      </c>
      <c r="AL288" s="91" t="s">
        <v>1687</v>
      </c>
      <c r="AM288" s="91" t="b">
        <v>0</v>
      </c>
    </row>
    <row r="289" spans="1:39" x14ac:dyDescent="0.2">
      <c r="A289" t="s">
        <v>2228</v>
      </c>
      <c r="B289" t="s">
        <v>2229</v>
      </c>
      <c r="C289" t="s">
        <v>629</v>
      </c>
      <c r="D289" s="85" t="s">
        <v>2230</v>
      </c>
      <c r="E289">
        <v>707323959</v>
      </c>
      <c r="F289" t="s">
        <v>0</v>
      </c>
      <c r="H289" t="s">
        <v>451</v>
      </c>
      <c r="J289" t="s">
        <v>631</v>
      </c>
      <c r="K289" t="s">
        <v>631</v>
      </c>
      <c r="L289" t="s">
        <v>631</v>
      </c>
      <c r="M289" t="s">
        <v>631</v>
      </c>
      <c r="N289" t="s">
        <v>0</v>
      </c>
      <c r="O289">
        <v>0</v>
      </c>
      <c r="P289">
        <v>0</v>
      </c>
      <c r="Q289">
        <v>0</v>
      </c>
      <c r="R289">
        <v>1</v>
      </c>
      <c r="U289" t="s">
        <v>513</v>
      </c>
      <c r="V289" t="s">
        <v>14</v>
      </c>
      <c r="W289" t="e">
        <v>#N/A</v>
      </c>
      <c r="X289" t="s">
        <v>0</v>
      </c>
      <c r="AE289" s="100" t="s">
        <v>2196</v>
      </c>
      <c r="AF289" s="92" t="s">
        <v>1184</v>
      </c>
      <c r="AG289" s="84" t="s">
        <v>1692</v>
      </c>
      <c r="AH289" s="91" t="s">
        <v>2231</v>
      </c>
      <c r="AI289" s="92" t="s">
        <v>485</v>
      </c>
      <c r="AJ289" s="92" t="s">
        <v>1612</v>
      </c>
      <c r="AK289" s="92" t="s">
        <v>2232</v>
      </c>
      <c r="AL289" s="91" t="s">
        <v>1695</v>
      </c>
      <c r="AM289" s="91" t="b">
        <v>0</v>
      </c>
    </row>
    <row r="290" spans="1:39" x14ac:dyDescent="0.2">
      <c r="A290" t="s">
        <v>2233</v>
      </c>
      <c r="B290" t="s">
        <v>2234</v>
      </c>
      <c r="C290" t="s">
        <v>629</v>
      </c>
      <c r="D290" s="85"/>
      <c r="J290" t="s">
        <v>631</v>
      </c>
      <c r="K290" t="s">
        <v>631</v>
      </c>
      <c r="L290" t="s">
        <v>631</v>
      </c>
      <c r="M290" t="s">
        <v>631</v>
      </c>
      <c r="N290" t="s">
        <v>0</v>
      </c>
      <c r="O290">
        <v>0</v>
      </c>
      <c r="P290">
        <v>0</v>
      </c>
      <c r="Q290">
        <v>0</v>
      </c>
      <c r="R290">
        <v>1</v>
      </c>
      <c r="U290" t="s">
        <v>513</v>
      </c>
      <c r="V290" t="s">
        <v>14</v>
      </c>
      <c r="W290" t="e">
        <v>#N/A</v>
      </c>
      <c r="X290" t="s">
        <v>0</v>
      </c>
      <c r="AE290" s="100" t="s">
        <v>2196</v>
      </c>
      <c r="AF290" s="92" t="s">
        <v>1184</v>
      </c>
      <c r="AG290" s="110" t="s">
        <v>2235</v>
      </c>
      <c r="AH290" s="91" t="s">
        <v>2236</v>
      </c>
      <c r="AI290" s="92" t="s">
        <v>485</v>
      </c>
      <c r="AJ290" s="92" t="s">
        <v>1136</v>
      </c>
      <c r="AK290" s="92" t="s">
        <v>2237</v>
      </c>
      <c r="AL290" s="91" t="s">
        <v>474</v>
      </c>
      <c r="AM290" s="91" t="b">
        <v>0</v>
      </c>
    </row>
    <row r="291" spans="1:39" x14ac:dyDescent="0.2">
      <c r="A291" t="s">
        <v>2238</v>
      </c>
      <c r="B291" t="s">
        <v>2239</v>
      </c>
      <c r="C291" t="s">
        <v>629</v>
      </c>
      <c r="D291" s="85"/>
      <c r="J291" t="s">
        <v>631</v>
      </c>
      <c r="K291" t="s">
        <v>631</v>
      </c>
      <c r="L291" t="s">
        <v>631</v>
      </c>
      <c r="M291" t="s">
        <v>631</v>
      </c>
      <c r="N291" t="s">
        <v>0</v>
      </c>
      <c r="O291">
        <v>0</v>
      </c>
      <c r="P291">
        <v>0</v>
      </c>
      <c r="Q291">
        <v>0</v>
      </c>
      <c r="R291">
        <v>1</v>
      </c>
      <c r="U291" t="s">
        <v>513</v>
      </c>
      <c r="V291" t="s">
        <v>14</v>
      </c>
      <c r="W291" t="e">
        <v>#N/A</v>
      </c>
      <c r="X291" t="s">
        <v>0</v>
      </c>
      <c r="AE291" s="100" t="s">
        <v>2196</v>
      </c>
      <c r="AF291" s="92" t="s">
        <v>1184</v>
      </c>
      <c r="AG291" s="110"/>
      <c r="AH291" s="91" t="s">
        <v>2240</v>
      </c>
      <c r="AI291" s="92" t="s">
        <v>485</v>
      </c>
      <c r="AJ291" s="92" t="s">
        <v>1142</v>
      </c>
      <c r="AK291" s="92" t="s">
        <v>2241</v>
      </c>
      <c r="AL291" s="91" t="s">
        <v>474</v>
      </c>
      <c r="AM291" s="91" t="b">
        <v>0</v>
      </c>
    </row>
    <row r="292" spans="1:39" x14ac:dyDescent="0.2">
      <c r="A292" t="s">
        <v>2242</v>
      </c>
      <c r="B292" t="s">
        <v>2243</v>
      </c>
      <c r="C292" t="s">
        <v>629</v>
      </c>
      <c r="D292" s="85"/>
      <c r="J292" t="s">
        <v>631</v>
      </c>
      <c r="K292" t="s">
        <v>631</v>
      </c>
      <c r="L292" t="s">
        <v>631</v>
      </c>
      <c r="M292" t="s">
        <v>631</v>
      </c>
      <c r="N292" t="s">
        <v>0</v>
      </c>
      <c r="O292">
        <v>0</v>
      </c>
      <c r="P292">
        <v>0</v>
      </c>
      <c r="Q292">
        <v>0</v>
      </c>
      <c r="R292">
        <v>1</v>
      </c>
      <c r="U292" t="s">
        <v>513</v>
      </c>
      <c r="V292" t="s">
        <v>14</v>
      </c>
      <c r="W292" t="e">
        <v>#N/A</v>
      </c>
      <c r="X292" t="s">
        <v>0</v>
      </c>
      <c r="AE292" s="100" t="s">
        <v>2196</v>
      </c>
      <c r="AF292" s="92" t="s">
        <v>1184</v>
      </c>
      <c r="AG292" s="84" t="s">
        <v>1260</v>
      </c>
      <c r="AH292" s="91" t="s">
        <v>2244</v>
      </c>
      <c r="AI292" s="92" t="s">
        <v>485</v>
      </c>
      <c r="AJ292" s="92" t="s">
        <v>2245</v>
      </c>
      <c r="AK292" s="92" t="s">
        <v>2246</v>
      </c>
      <c r="AL292" s="91" t="s">
        <v>1263</v>
      </c>
      <c r="AM292" s="91" t="b">
        <v>0</v>
      </c>
    </row>
    <row r="293" spans="1:39" x14ac:dyDescent="0.2">
      <c r="A293" t="s">
        <v>2247</v>
      </c>
      <c r="B293" t="s">
        <v>2248</v>
      </c>
      <c r="C293" t="s">
        <v>629</v>
      </c>
      <c r="D293" s="85"/>
      <c r="J293" t="s">
        <v>631</v>
      </c>
      <c r="K293" t="s">
        <v>631</v>
      </c>
      <c r="L293" t="s">
        <v>631</v>
      </c>
      <c r="M293" t="s">
        <v>631</v>
      </c>
      <c r="N293" t="s">
        <v>0</v>
      </c>
      <c r="O293">
        <v>0</v>
      </c>
      <c r="P293">
        <v>0</v>
      </c>
      <c r="Q293">
        <v>0</v>
      </c>
      <c r="R293">
        <v>1</v>
      </c>
      <c r="U293" t="s">
        <v>456</v>
      </c>
      <c r="V293" t="s">
        <v>14</v>
      </c>
      <c r="W293" t="e">
        <v>#N/A</v>
      </c>
      <c r="X293" t="s">
        <v>0</v>
      </c>
      <c r="AE293" s="100" t="s">
        <v>2196</v>
      </c>
      <c r="AF293" s="92" t="s">
        <v>1184</v>
      </c>
      <c r="AG293" s="84" t="s">
        <v>1918</v>
      </c>
      <c r="AH293" s="91" t="s">
        <v>2249</v>
      </c>
      <c r="AI293" s="92" t="s">
        <v>485</v>
      </c>
      <c r="AJ293" s="92" t="s">
        <v>2153</v>
      </c>
      <c r="AK293" s="92" t="s">
        <v>2250</v>
      </c>
      <c r="AL293" s="91" t="s">
        <v>1921</v>
      </c>
      <c r="AM293" s="91" t="b">
        <v>0</v>
      </c>
    </row>
    <row r="294" spans="1:39" x14ac:dyDescent="0.2">
      <c r="A294" t="s">
        <v>2251</v>
      </c>
      <c r="B294" t="s">
        <v>2252</v>
      </c>
      <c r="C294" t="s">
        <v>629</v>
      </c>
      <c r="D294" s="85"/>
      <c r="J294" t="s">
        <v>631</v>
      </c>
      <c r="K294" t="s">
        <v>631</v>
      </c>
      <c r="L294" t="s">
        <v>631</v>
      </c>
      <c r="M294" t="s">
        <v>631</v>
      </c>
      <c r="N294" t="s">
        <v>0</v>
      </c>
      <c r="O294">
        <v>0</v>
      </c>
      <c r="P294">
        <v>0</v>
      </c>
      <c r="Q294">
        <v>0</v>
      </c>
      <c r="R294">
        <v>1</v>
      </c>
      <c r="U294" t="s">
        <v>513</v>
      </c>
      <c r="V294" t="s">
        <v>14</v>
      </c>
      <c r="W294" t="e">
        <v>#N/A</v>
      </c>
      <c r="X294" t="s">
        <v>0</v>
      </c>
      <c r="AE294" s="100" t="s">
        <v>2196</v>
      </c>
      <c r="AF294" s="92" t="s">
        <v>1184</v>
      </c>
      <c r="AG294" s="84" t="s">
        <v>1954</v>
      </c>
      <c r="AH294" s="91" t="s">
        <v>2253</v>
      </c>
      <c r="AI294" s="92" t="s">
        <v>485</v>
      </c>
      <c r="AJ294" s="92" t="s">
        <v>2254</v>
      </c>
      <c r="AK294" s="92" t="s">
        <v>2255</v>
      </c>
      <c r="AL294" s="91" t="s">
        <v>1957</v>
      </c>
      <c r="AM294" s="91" t="b">
        <v>0</v>
      </c>
    </row>
    <row r="295" spans="1:39" x14ac:dyDescent="0.2">
      <c r="A295" t="s">
        <v>2256</v>
      </c>
      <c r="B295" t="s">
        <v>2257</v>
      </c>
      <c r="C295" t="s">
        <v>629</v>
      </c>
      <c r="D295" s="85"/>
      <c r="J295" t="s">
        <v>631</v>
      </c>
      <c r="K295" t="s">
        <v>631</v>
      </c>
      <c r="L295" t="s">
        <v>631</v>
      </c>
      <c r="M295" t="s">
        <v>631</v>
      </c>
      <c r="N295" t="s">
        <v>0</v>
      </c>
      <c r="O295">
        <v>0</v>
      </c>
      <c r="P295">
        <v>0</v>
      </c>
      <c r="Q295">
        <v>0</v>
      </c>
      <c r="R295">
        <v>1</v>
      </c>
      <c r="U295" t="s">
        <v>513</v>
      </c>
      <c r="V295" t="s">
        <v>14</v>
      </c>
      <c r="W295" t="e">
        <v>#N/A</v>
      </c>
      <c r="X295" t="s">
        <v>0</v>
      </c>
      <c r="AE295" s="100" t="s">
        <v>2196</v>
      </c>
      <c r="AF295" s="92" t="s">
        <v>1184</v>
      </c>
      <c r="AG295" s="110" t="s">
        <v>2258</v>
      </c>
      <c r="AH295" s="91" t="s">
        <v>2259</v>
      </c>
      <c r="AI295" s="92" t="s">
        <v>485</v>
      </c>
      <c r="AJ295" s="92" t="s">
        <v>1945</v>
      </c>
      <c r="AK295" s="92" t="s">
        <v>2260</v>
      </c>
      <c r="AL295" s="91" t="s">
        <v>474</v>
      </c>
      <c r="AM295" s="91" t="b">
        <v>0</v>
      </c>
    </row>
    <row r="296" spans="1:39" x14ac:dyDescent="0.2">
      <c r="A296" t="s">
        <v>2261</v>
      </c>
      <c r="B296" t="s">
        <v>2262</v>
      </c>
      <c r="C296" t="s">
        <v>629</v>
      </c>
      <c r="D296" s="85"/>
      <c r="J296" t="s">
        <v>631</v>
      </c>
      <c r="K296" t="s">
        <v>631</v>
      </c>
      <c r="L296" t="s">
        <v>631</v>
      </c>
      <c r="M296" t="s">
        <v>631</v>
      </c>
      <c r="N296" t="s">
        <v>0</v>
      </c>
      <c r="O296">
        <v>0</v>
      </c>
      <c r="P296">
        <v>0</v>
      </c>
      <c r="Q296">
        <v>0</v>
      </c>
      <c r="R296">
        <v>1</v>
      </c>
      <c r="U296" t="s">
        <v>513</v>
      </c>
      <c r="V296" t="s">
        <v>14</v>
      </c>
      <c r="W296" t="e">
        <v>#N/A</v>
      </c>
      <c r="X296" t="s">
        <v>0</v>
      </c>
      <c r="AE296" s="100" t="s">
        <v>2196</v>
      </c>
      <c r="AF296" s="92" t="s">
        <v>1184</v>
      </c>
      <c r="AG296" s="110"/>
      <c r="AH296" s="91" t="s">
        <v>2263</v>
      </c>
      <c r="AI296" s="92" t="s">
        <v>485</v>
      </c>
      <c r="AJ296" s="92" t="s">
        <v>2130</v>
      </c>
      <c r="AK296" s="92" t="s">
        <v>2264</v>
      </c>
      <c r="AL296" s="91" t="s">
        <v>474</v>
      </c>
      <c r="AM296" s="91" t="b">
        <v>0</v>
      </c>
    </row>
    <row r="297" spans="1:39" x14ac:dyDescent="0.2">
      <c r="A297" t="s">
        <v>2265</v>
      </c>
      <c r="B297" t="s">
        <v>2266</v>
      </c>
      <c r="C297" t="s">
        <v>629</v>
      </c>
      <c r="D297" s="85"/>
      <c r="J297" t="s">
        <v>631</v>
      </c>
      <c r="K297" t="s">
        <v>631</v>
      </c>
      <c r="L297" t="s">
        <v>631</v>
      </c>
      <c r="M297" t="s">
        <v>631</v>
      </c>
      <c r="N297" t="s">
        <v>0</v>
      </c>
      <c r="O297">
        <v>0</v>
      </c>
      <c r="P297">
        <v>0</v>
      </c>
      <c r="Q297">
        <v>0</v>
      </c>
      <c r="R297">
        <v>1</v>
      </c>
      <c r="U297" t="s">
        <v>513</v>
      </c>
      <c r="V297" t="s">
        <v>14</v>
      </c>
      <c r="W297" t="e">
        <v>#N/A</v>
      </c>
      <c r="X297" t="s">
        <v>0</v>
      </c>
    </row>
    <row r="298" spans="1:39" x14ac:dyDescent="0.2">
      <c r="A298" t="s">
        <v>2267</v>
      </c>
      <c r="B298" t="s">
        <v>2268</v>
      </c>
      <c r="C298" t="s">
        <v>629</v>
      </c>
      <c r="D298" s="85"/>
      <c r="J298" t="s">
        <v>631</v>
      </c>
      <c r="K298" t="s">
        <v>631</v>
      </c>
      <c r="L298" t="s">
        <v>631</v>
      </c>
      <c r="M298" t="s">
        <v>631</v>
      </c>
      <c r="N298" t="s">
        <v>0</v>
      </c>
      <c r="O298">
        <v>0</v>
      </c>
      <c r="P298">
        <v>0</v>
      </c>
      <c r="Q298">
        <v>0</v>
      </c>
      <c r="R298">
        <v>1</v>
      </c>
      <c r="U298" t="s">
        <v>513</v>
      </c>
      <c r="V298" t="s">
        <v>14</v>
      </c>
      <c r="W298" t="e">
        <v>#N/A</v>
      </c>
      <c r="X298" t="s">
        <v>0</v>
      </c>
    </row>
    <row r="299" spans="1:39" x14ac:dyDescent="0.2">
      <c r="A299" t="s">
        <v>2269</v>
      </c>
      <c r="B299" t="s">
        <v>2270</v>
      </c>
      <c r="C299" t="s">
        <v>629</v>
      </c>
      <c r="D299" s="85"/>
      <c r="J299" t="s">
        <v>631</v>
      </c>
      <c r="K299" t="s">
        <v>631</v>
      </c>
      <c r="L299" t="s">
        <v>631</v>
      </c>
      <c r="M299" t="s">
        <v>631</v>
      </c>
      <c r="N299" t="s">
        <v>0</v>
      </c>
      <c r="O299">
        <v>0</v>
      </c>
      <c r="P299">
        <v>0</v>
      </c>
      <c r="Q299">
        <v>0</v>
      </c>
      <c r="R299">
        <v>1</v>
      </c>
      <c r="U299" t="s">
        <v>513</v>
      </c>
      <c r="V299" t="s">
        <v>14</v>
      </c>
      <c r="W299" t="e">
        <v>#N/A</v>
      </c>
      <c r="X299" t="s">
        <v>0</v>
      </c>
    </row>
    <row r="300" spans="1:39" x14ac:dyDescent="0.2">
      <c r="A300" t="s">
        <v>2271</v>
      </c>
      <c r="B300" t="s">
        <v>2272</v>
      </c>
      <c r="C300" t="s">
        <v>629</v>
      </c>
      <c r="D300" s="85"/>
      <c r="J300" t="s">
        <v>631</v>
      </c>
      <c r="K300" t="s">
        <v>631</v>
      </c>
      <c r="L300" t="s">
        <v>631</v>
      </c>
      <c r="M300" t="s">
        <v>631</v>
      </c>
      <c r="N300" t="s">
        <v>0</v>
      </c>
      <c r="O300">
        <v>0</v>
      </c>
      <c r="P300">
        <v>0</v>
      </c>
      <c r="Q300">
        <v>0</v>
      </c>
      <c r="R300">
        <v>1</v>
      </c>
      <c r="U300" t="s">
        <v>456</v>
      </c>
      <c r="V300" t="s">
        <v>14</v>
      </c>
      <c r="W300" t="e">
        <v>#N/A</v>
      </c>
      <c r="X300" t="s">
        <v>0</v>
      </c>
    </row>
    <row r="301" spans="1:39" x14ac:dyDescent="0.2">
      <c r="A301" t="s">
        <v>2273</v>
      </c>
      <c r="B301" t="s">
        <v>2274</v>
      </c>
      <c r="C301" t="s">
        <v>629</v>
      </c>
      <c r="D301" s="85"/>
      <c r="J301" t="s">
        <v>631</v>
      </c>
      <c r="K301" t="s">
        <v>631</v>
      </c>
      <c r="L301" t="s">
        <v>631</v>
      </c>
      <c r="M301" t="s">
        <v>631</v>
      </c>
      <c r="N301" t="s">
        <v>0</v>
      </c>
      <c r="O301">
        <v>0</v>
      </c>
      <c r="P301">
        <v>0</v>
      </c>
      <c r="Q301">
        <v>0</v>
      </c>
      <c r="R301">
        <v>1</v>
      </c>
      <c r="U301" t="s">
        <v>513</v>
      </c>
      <c r="V301" t="s">
        <v>14</v>
      </c>
      <c r="W301" t="e">
        <v>#N/A</v>
      </c>
      <c r="X301" t="s">
        <v>0</v>
      </c>
    </row>
    <row r="302" spans="1:39" x14ac:dyDescent="0.2">
      <c r="A302" t="s">
        <v>2275</v>
      </c>
      <c r="B302" t="s">
        <v>2276</v>
      </c>
      <c r="C302" t="s">
        <v>629</v>
      </c>
      <c r="D302" s="85"/>
      <c r="J302" t="s">
        <v>631</v>
      </c>
      <c r="K302" t="s">
        <v>631</v>
      </c>
      <c r="L302" t="s">
        <v>631</v>
      </c>
      <c r="M302" t="s">
        <v>631</v>
      </c>
      <c r="N302" t="s">
        <v>0</v>
      </c>
      <c r="O302">
        <v>0</v>
      </c>
      <c r="P302">
        <v>0</v>
      </c>
      <c r="Q302">
        <v>0</v>
      </c>
      <c r="R302">
        <v>1</v>
      </c>
      <c r="U302" t="s">
        <v>456</v>
      </c>
      <c r="V302" t="s">
        <v>14</v>
      </c>
      <c r="W302" t="e">
        <v>#N/A</v>
      </c>
      <c r="X302" t="s">
        <v>0</v>
      </c>
    </row>
    <row r="303" spans="1:39" x14ac:dyDescent="0.2">
      <c r="A303" t="s">
        <v>2277</v>
      </c>
      <c r="B303" t="s">
        <v>2278</v>
      </c>
      <c r="C303" t="s">
        <v>629</v>
      </c>
      <c r="D303" s="85"/>
      <c r="J303" t="s">
        <v>631</v>
      </c>
      <c r="K303" t="s">
        <v>631</v>
      </c>
      <c r="L303" t="s">
        <v>631</v>
      </c>
      <c r="M303" t="s">
        <v>631</v>
      </c>
      <c r="N303" t="s">
        <v>0</v>
      </c>
      <c r="O303">
        <v>0</v>
      </c>
      <c r="P303">
        <v>0</v>
      </c>
      <c r="Q303">
        <v>0</v>
      </c>
      <c r="R303">
        <v>1</v>
      </c>
      <c r="U303" t="s">
        <v>456</v>
      </c>
      <c r="V303" t="s">
        <v>14</v>
      </c>
      <c r="W303" t="e">
        <v>#N/A</v>
      </c>
      <c r="X303" t="s">
        <v>0</v>
      </c>
    </row>
    <row r="304" spans="1:39" x14ac:dyDescent="0.2">
      <c r="A304" t="s">
        <v>2279</v>
      </c>
      <c r="B304" t="s">
        <v>2280</v>
      </c>
      <c r="C304" t="s">
        <v>629</v>
      </c>
      <c r="D304" s="85" t="s">
        <v>2281</v>
      </c>
      <c r="E304">
        <v>898522510</v>
      </c>
      <c r="F304" t="s">
        <v>0</v>
      </c>
      <c r="H304" t="s">
        <v>451</v>
      </c>
      <c r="J304" t="s">
        <v>631</v>
      </c>
      <c r="K304" t="s">
        <v>631</v>
      </c>
      <c r="L304" t="s">
        <v>631</v>
      </c>
      <c r="M304" t="s">
        <v>631</v>
      </c>
      <c r="N304" t="s">
        <v>0</v>
      </c>
      <c r="O304">
        <v>0</v>
      </c>
      <c r="P304">
        <v>0</v>
      </c>
      <c r="Q304">
        <v>0</v>
      </c>
      <c r="R304">
        <v>1</v>
      </c>
      <c r="U304" t="s">
        <v>513</v>
      </c>
      <c r="V304" t="s">
        <v>14</v>
      </c>
      <c r="W304" t="e">
        <v>#N/A</v>
      </c>
      <c r="X304" t="s">
        <v>0</v>
      </c>
    </row>
    <row r="305" spans="1:26" x14ac:dyDescent="0.2">
      <c r="A305" t="s">
        <v>2282</v>
      </c>
      <c r="B305" t="s">
        <v>2283</v>
      </c>
      <c r="C305" t="s">
        <v>629</v>
      </c>
      <c r="D305" s="85"/>
      <c r="J305" t="s">
        <v>631</v>
      </c>
      <c r="K305" t="s">
        <v>631</v>
      </c>
      <c r="L305" t="s">
        <v>631</v>
      </c>
      <c r="M305" t="s">
        <v>631</v>
      </c>
      <c r="N305" t="s">
        <v>0</v>
      </c>
      <c r="O305">
        <v>0</v>
      </c>
      <c r="P305">
        <v>0</v>
      </c>
      <c r="Q305">
        <v>0</v>
      </c>
      <c r="R305">
        <v>1</v>
      </c>
      <c r="U305" t="s">
        <v>513</v>
      </c>
      <c r="V305" t="s">
        <v>14</v>
      </c>
      <c r="W305" t="e">
        <v>#N/A</v>
      </c>
      <c r="X305" t="s">
        <v>0</v>
      </c>
    </row>
    <row r="306" spans="1:26" x14ac:dyDescent="0.2">
      <c r="A306" t="s">
        <v>2284</v>
      </c>
      <c r="B306" t="s">
        <v>2285</v>
      </c>
      <c r="C306" t="s">
        <v>629</v>
      </c>
      <c r="D306" s="85"/>
      <c r="J306" t="s">
        <v>631</v>
      </c>
      <c r="K306" t="s">
        <v>631</v>
      </c>
      <c r="L306" t="s">
        <v>631</v>
      </c>
      <c r="M306" t="s">
        <v>631</v>
      </c>
      <c r="N306" t="s">
        <v>0</v>
      </c>
      <c r="O306">
        <v>0</v>
      </c>
      <c r="P306">
        <v>0</v>
      </c>
      <c r="Q306">
        <v>0</v>
      </c>
      <c r="R306">
        <v>1</v>
      </c>
      <c r="U306" t="s">
        <v>513</v>
      </c>
      <c r="V306" t="s">
        <v>14</v>
      </c>
      <c r="W306" t="e">
        <v>#N/A</v>
      </c>
      <c r="X306" t="s">
        <v>0</v>
      </c>
    </row>
    <row r="307" spans="1:26" x14ac:dyDescent="0.2">
      <c r="A307" t="s">
        <v>2286</v>
      </c>
      <c r="B307" t="s">
        <v>2287</v>
      </c>
      <c r="C307" t="s">
        <v>629</v>
      </c>
      <c r="D307" s="85"/>
      <c r="J307" t="s">
        <v>631</v>
      </c>
      <c r="K307" t="s">
        <v>631</v>
      </c>
      <c r="L307" t="s">
        <v>631</v>
      </c>
      <c r="M307" t="s">
        <v>631</v>
      </c>
      <c r="N307" t="s">
        <v>0</v>
      </c>
      <c r="O307">
        <v>0</v>
      </c>
      <c r="P307">
        <v>0</v>
      </c>
      <c r="Q307">
        <v>0</v>
      </c>
      <c r="R307">
        <v>1</v>
      </c>
      <c r="U307" t="s">
        <v>513</v>
      </c>
      <c r="V307" t="s">
        <v>14</v>
      </c>
      <c r="W307" t="e">
        <v>#N/A</v>
      </c>
      <c r="X307" t="s">
        <v>0</v>
      </c>
    </row>
    <row r="308" spans="1:26" x14ac:dyDescent="0.2">
      <c r="A308" t="s">
        <v>2288</v>
      </c>
      <c r="B308" t="s">
        <v>2289</v>
      </c>
      <c r="C308" t="s">
        <v>629</v>
      </c>
      <c r="D308" s="85"/>
      <c r="J308" t="s">
        <v>631</v>
      </c>
      <c r="K308" t="s">
        <v>631</v>
      </c>
      <c r="L308" t="s">
        <v>631</v>
      </c>
      <c r="M308" t="s">
        <v>631</v>
      </c>
      <c r="N308" t="s">
        <v>0</v>
      </c>
      <c r="O308">
        <v>0</v>
      </c>
      <c r="P308">
        <v>0</v>
      </c>
      <c r="Q308">
        <v>0</v>
      </c>
      <c r="R308">
        <v>1</v>
      </c>
      <c r="U308" t="s">
        <v>513</v>
      </c>
      <c r="V308" t="s">
        <v>14</v>
      </c>
      <c r="W308" t="e">
        <v>#N/A</v>
      </c>
      <c r="X308" t="s">
        <v>0</v>
      </c>
    </row>
    <row r="309" spans="1:26" x14ac:dyDescent="0.2">
      <c r="A309" t="s">
        <v>381</v>
      </c>
      <c r="B309" t="s">
        <v>2290</v>
      </c>
      <c r="C309" t="s">
        <v>449</v>
      </c>
      <c r="D309" s="85" t="s">
        <v>2226</v>
      </c>
      <c r="E309">
        <v>773820182</v>
      </c>
      <c r="F309" t="s">
        <v>0</v>
      </c>
      <c r="H309" t="s">
        <v>1137</v>
      </c>
      <c r="J309" t="s">
        <v>1498</v>
      </c>
      <c r="K309" t="s">
        <v>1627</v>
      </c>
      <c r="L309" t="s">
        <v>1628</v>
      </c>
      <c r="M309" t="s">
        <v>455</v>
      </c>
      <c r="N309" t="s">
        <v>0</v>
      </c>
      <c r="O309">
        <v>0</v>
      </c>
      <c r="P309">
        <v>0</v>
      </c>
      <c r="Q309">
        <v>0</v>
      </c>
      <c r="R309">
        <v>1</v>
      </c>
      <c r="T309">
        <v>135</v>
      </c>
      <c r="U309" t="s">
        <v>513</v>
      </c>
      <c r="V309" t="s">
        <v>14</v>
      </c>
      <c r="W309" t="s">
        <v>2291</v>
      </c>
      <c r="X309" t="s">
        <v>0</v>
      </c>
      <c r="Y309" t="s">
        <v>1369</v>
      </c>
      <c r="Z309" t="s">
        <v>1409</v>
      </c>
    </row>
    <row r="310" spans="1:26" x14ac:dyDescent="0.2">
      <c r="A310" t="s">
        <v>2292</v>
      </c>
      <c r="B310" t="s">
        <v>2293</v>
      </c>
      <c r="C310" t="s">
        <v>629</v>
      </c>
      <c r="D310" s="85"/>
      <c r="J310" t="s">
        <v>631</v>
      </c>
      <c r="K310" t="s">
        <v>631</v>
      </c>
      <c r="L310" t="s">
        <v>631</v>
      </c>
      <c r="M310" t="s">
        <v>631</v>
      </c>
      <c r="N310" t="s">
        <v>0</v>
      </c>
      <c r="O310">
        <v>0</v>
      </c>
      <c r="P310">
        <v>0</v>
      </c>
      <c r="Q310">
        <v>0</v>
      </c>
      <c r="R310">
        <v>1</v>
      </c>
      <c r="U310" t="s">
        <v>513</v>
      </c>
      <c r="V310" t="s">
        <v>14</v>
      </c>
      <c r="W310" t="e">
        <v>#N/A</v>
      </c>
      <c r="X310" t="s">
        <v>0</v>
      </c>
    </row>
    <row r="311" spans="1:26" x14ac:dyDescent="0.2">
      <c r="A311" t="s">
        <v>2294</v>
      </c>
      <c r="B311" t="s">
        <v>2295</v>
      </c>
      <c r="C311" t="s">
        <v>629</v>
      </c>
      <c r="D311" s="85"/>
      <c r="J311" t="s">
        <v>631</v>
      </c>
      <c r="K311" t="s">
        <v>631</v>
      </c>
      <c r="L311" t="s">
        <v>631</v>
      </c>
      <c r="M311" t="s">
        <v>631</v>
      </c>
      <c r="N311" t="s">
        <v>0</v>
      </c>
      <c r="O311">
        <v>0</v>
      </c>
      <c r="P311">
        <v>0</v>
      </c>
      <c r="Q311">
        <v>0</v>
      </c>
      <c r="R311">
        <v>1</v>
      </c>
      <c r="U311" t="s">
        <v>513</v>
      </c>
      <c r="V311" t="s">
        <v>14</v>
      </c>
      <c r="W311" t="e">
        <v>#N/A</v>
      </c>
      <c r="X311" t="s">
        <v>0</v>
      </c>
    </row>
    <row r="312" spans="1:26" x14ac:dyDescent="0.2">
      <c r="A312" t="s">
        <v>2296</v>
      </c>
      <c r="B312" t="s">
        <v>2297</v>
      </c>
      <c r="C312" t="s">
        <v>629</v>
      </c>
      <c r="D312" s="85"/>
      <c r="J312" t="s">
        <v>631</v>
      </c>
      <c r="K312" t="s">
        <v>631</v>
      </c>
      <c r="L312" t="s">
        <v>631</v>
      </c>
      <c r="M312" t="s">
        <v>631</v>
      </c>
      <c r="N312" t="s">
        <v>0</v>
      </c>
      <c r="O312">
        <v>0</v>
      </c>
      <c r="P312">
        <v>0</v>
      </c>
      <c r="Q312">
        <v>0</v>
      </c>
      <c r="R312">
        <v>1</v>
      </c>
      <c r="U312" t="s">
        <v>456</v>
      </c>
      <c r="V312" t="s">
        <v>14</v>
      </c>
      <c r="W312" t="e">
        <v>#N/A</v>
      </c>
      <c r="X312" t="s">
        <v>0</v>
      </c>
    </row>
    <row r="313" spans="1:26" x14ac:dyDescent="0.2">
      <c r="A313" t="s">
        <v>382</v>
      </c>
      <c r="B313" t="s">
        <v>2298</v>
      </c>
      <c r="C313" t="s">
        <v>449</v>
      </c>
      <c r="D313" s="85" t="s">
        <v>2245</v>
      </c>
      <c r="E313">
        <v>345864246</v>
      </c>
      <c r="F313" t="s">
        <v>0</v>
      </c>
      <c r="H313" t="s">
        <v>1137</v>
      </c>
      <c r="J313" t="s">
        <v>452</v>
      </c>
      <c r="K313" t="s">
        <v>453</v>
      </c>
      <c r="L313" t="s">
        <v>959</v>
      </c>
      <c r="M313" t="s">
        <v>455</v>
      </c>
      <c r="N313" t="s">
        <v>0</v>
      </c>
      <c r="O313">
        <v>0</v>
      </c>
      <c r="P313">
        <v>0</v>
      </c>
      <c r="Q313">
        <v>0</v>
      </c>
      <c r="R313">
        <v>1</v>
      </c>
      <c r="T313">
        <v>55</v>
      </c>
      <c r="U313" t="s">
        <v>513</v>
      </c>
      <c r="V313" t="s">
        <v>11</v>
      </c>
      <c r="W313" t="s">
        <v>2299</v>
      </c>
      <c r="X313" t="s">
        <v>0</v>
      </c>
      <c r="Y313" t="s">
        <v>1369</v>
      </c>
      <c r="Z313" t="s">
        <v>1858</v>
      </c>
    </row>
    <row r="314" spans="1:26" x14ac:dyDescent="0.2">
      <c r="A314" t="s">
        <v>2300</v>
      </c>
      <c r="B314" t="s">
        <v>2301</v>
      </c>
      <c r="C314" t="s">
        <v>629</v>
      </c>
      <c r="D314" s="85"/>
      <c r="J314" t="s">
        <v>631</v>
      </c>
      <c r="K314" t="s">
        <v>631</v>
      </c>
      <c r="L314" t="s">
        <v>631</v>
      </c>
      <c r="M314" t="s">
        <v>631</v>
      </c>
      <c r="N314" t="s">
        <v>0</v>
      </c>
      <c r="O314">
        <v>0</v>
      </c>
      <c r="P314">
        <v>0</v>
      </c>
      <c r="Q314">
        <v>0</v>
      </c>
      <c r="R314">
        <v>1</v>
      </c>
      <c r="U314" t="s">
        <v>513</v>
      </c>
      <c r="V314" t="s">
        <v>14</v>
      </c>
      <c r="W314" t="e">
        <v>#N/A</v>
      </c>
      <c r="X314" t="s">
        <v>0</v>
      </c>
    </row>
    <row r="315" spans="1:26" x14ac:dyDescent="0.2">
      <c r="A315" t="s">
        <v>2302</v>
      </c>
      <c r="B315" t="s">
        <v>2303</v>
      </c>
      <c r="C315" t="s">
        <v>629</v>
      </c>
      <c r="D315" s="85"/>
      <c r="J315" t="s">
        <v>631</v>
      </c>
      <c r="K315" t="s">
        <v>631</v>
      </c>
      <c r="L315" t="s">
        <v>631</v>
      </c>
      <c r="M315" t="s">
        <v>631</v>
      </c>
      <c r="N315" t="s">
        <v>0</v>
      </c>
      <c r="O315">
        <v>0</v>
      </c>
      <c r="P315">
        <v>0</v>
      </c>
      <c r="Q315">
        <v>0</v>
      </c>
      <c r="R315">
        <v>1</v>
      </c>
      <c r="U315" t="s">
        <v>513</v>
      </c>
      <c r="V315" t="s">
        <v>14</v>
      </c>
      <c r="W315" t="e">
        <v>#N/A</v>
      </c>
      <c r="X315" t="s">
        <v>0</v>
      </c>
    </row>
    <row r="316" spans="1:26" x14ac:dyDescent="0.2">
      <c r="A316" t="s">
        <v>2304</v>
      </c>
      <c r="B316" t="s">
        <v>2305</v>
      </c>
      <c r="C316" t="s">
        <v>629</v>
      </c>
      <c r="D316" s="85"/>
      <c r="J316" t="s">
        <v>631</v>
      </c>
      <c r="K316" t="s">
        <v>631</v>
      </c>
      <c r="L316" t="s">
        <v>631</v>
      </c>
      <c r="M316" t="s">
        <v>631</v>
      </c>
      <c r="N316" t="s">
        <v>0</v>
      </c>
      <c r="O316">
        <v>0</v>
      </c>
      <c r="P316">
        <v>0</v>
      </c>
      <c r="Q316">
        <v>0</v>
      </c>
      <c r="R316">
        <v>1</v>
      </c>
      <c r="U316" t="s">
        <v>513</v>
      </c>
      <c r="V316" t="s">
        <v>14</v>
      </c>
      <c r="W316" t="e">
        <v>#N/A</v>
      </c>
      <c r="X316" t="s">
        <v>0</v>
      </c>
    </row>
    <row r="317" spans="1:26" x14ac:dyDescent="0.2">
      <c r="A317" t="s">
        <v>2306</v>
      </c>
      <c r="B317" t="s">
        <v>2307</v>
      </c>
      <c r="C317" t="s">
        <v>629</v>
      </c>
      <c r="D317" s="85"/>
      <c r="J317" t="s">
        <v>631</v>
      </c>
      <c r="K317" t="s">
        <v>631</v>
      </c>
      <c r="L317" t="s">
        <v>631</v>
      </c>
      <c r="M317" t="s">
        <v>631</v>
      </c>
      <c r="N317" t="s">
        <v>0</v>
      </c>
      <c r="O317">
        <v>0</v>
      </c>
      <c r="P317">
        <v>0</v>
      </c>
      <c r="Q317">
        <v>0</v>
      </c>
      <c r="R317">
        <v>1</v>
      </c>
      <c r="U317" t="s">
        <v>456</v>
      </c>
      <c r="V317" t="s">
        <v>14</v>
      </c>
      <c r="W317" t="e">
        <v>#N/A</v>
      </c>
      <c r="X317" t="s">
        <v>0</v>
      </c>
    </row>
    <row r="318" spans="1:26" x14ac:dyDescent="0.2">
      <c r="A318" t="s">
        <v>2308</v>
      </c>
      <c r="B318" t="s">
        <v>2309</v>
      </c>
      <c r="C318" t="s">
        <v>629</v>
      </c>
      <c r="D318" s="85"/>
      <c r="J318" t="s">
        <v>631</v>
      </c>
      <c r="K318" t="s">
        <v>631</v>
      </c>
      <c r="L318" t="s">
        <v>631</v>
      </c>
      <c r="M318" t="s">
        <v>631</v>
      </c>
      <c r="N318" t="s">
        <v>0</v>
      </c>
      <c r="O318">
        <v>0</v>
      </c>
      <c r="P318">
        <v>0</v>
      </c>
      <c r="Q318">
        <v>0</v>
      </c>
      <c r="R318">
        <v>1</v>
      </c>
      <c r="U318" t="s">
        <v>513</v>
      </c>
      <c r="V318" t="s">
        <v>14</v>
      </c>
      <c r="W318" t="e">
        <v>#N/A</v>
      </c>
      <c r="X318" t="s">
        <v>0</v>
      </c>
    </row>
    <row r="319" spans="1:26" x14ac:dyDescent="0.2">
      <c r="A319" t="s">
        <v>2310</v>
      </c>
      <c r="B319" t="s">
        <v>2311</v>
      </c>
      <c r="C319" t="s">
        <v>629</v>
      </c>
      <c r="D319" s="2"/>
      <c r="J319" t="s">
        <v>631</v>
      </c>
      <c r="K319" t="s">
        <v>631</v>
      </c>
      <c r="L319" t="s">
        <v>631</v>
      </c>
      <c r="M319" t="s">
        <v>631</v>
      </c>
      <c r="N319" t="s">
        <v>0</v>
      </c>
      <c r="O319">
        <v>0</v>
      </c>
      <c r="P319">
        <v>0</v>
      </c>
      <c r="Q319">
        <v>0</v>
      </c>
      <c r="R319">
        <v>1</v>
      </c>
      <c r="U319" t="s">
        <v>2312</v>
      </c>
      <c r="V319" t="s">
        <v>14</v>
      </c>
      <c r="W319" t="e">
        <v>#N/A</v>
      </c>
      <c r="X319" t="s">
        <v>0</v>
      </c>
    </row>
    <row r="320" spans="1:26" x14ac:dyDescent="0.2">
      <c r="A320" t="s">
        <v>383</v>
      </c>
      <c r="B320" t="s">
        <v>2313</v>
      </c>
      <c r="C320" t="s">
        <v>449</v>
      </c>
      <c r="D320" s="85" t="s">
        <v>2254</v>
      </c>
      <c r="E320">
        <v>963357143</v>
      </c>
      <c r="F320" t="s">
        <v>0</v>
      </c>
      <c r="H320" t="s">
        <v>1137</v>
      </c>
      <c r="J320" t="s">
        <v>452</v>
      </c>
      <c r="K320" t="s">
        <v>453</v>
      </c>
      <c r="L320" t="s">
        <v>751</v>
      </c>
      <c r="M320" t="s">
        <v>455</v>
      </c>
      <c r="N320" t="s">
        <v>0</v>
      </c>
      <c r="O320">
        <v>0</v>
      </c>
      <c r="P320">
        <v>0</v>
      </c>
      <c r="Q320">
        <v>0</v>
      </c>
      <c r="R320">
        <v>1</v>
      </c>
      <c r="T320">
        <v>78</v>
      </c>
      <c r="U320" t="s">
        <v>513</v>
      </c>
      <c r="V320" t="s">
        <v>11</v>
      </c>
      <c r="W320" t="s">
        <v>2314</v>
      </c>
      <c r="X320" t="s">
        <v>0</v>
      </c>
      <c r="Y320" t="s">
        <v>1369</v>
      </c>
      <c r="Z320" t="s">
        <v>1096</v>
      </c>
    </row>
    <row r="321" spans="1:26" x14ac:dyDescent="0.2">
      <c r="A321" t="s">
        <v>2315</v>
      </c>
      <c r="B321" t="s">
        <v>2316</v>
      </c>
      <c r="C321" t="s">
        <v>629</v>
      </c>
      <c r="D321" s="85"/>
      <c r="J321" t="s">
        <v>631</v>
      </c>
      <c r="K321" t="s">
        <v>631</v>
      </c>
      <c r="L321" t="s">
        <v>631</v>
      </c>
      <c r="M321" t="s">
        <v>631</v>
      </c>
      <c r="N321" t="s">
        <v>0</v>
      </c>
      <c r="O321">
        <v>0</v>
      </c>
      <c r="P321">
        <v>0</v>
      </c>
      <c r="Q321">
        <v>0</v>
      </c>
      <c r="R321">
        <v>1</v>
      </c>
      <c r="U321" t="s">
        <v>513</v>
      </c>
      <c r="V321" t="s">
        <v>14</v>
      </c>
      <c r="W321" t="e">
        <v>#N/A</v>
      </c>
      <c r="X321" t="s">
        <v>0</v>
      </c>
    </row>
    <row r="322" spans="1:26" x14ac:dyDescent="0.2">
      <c r="A322" t="s">
        <v>2317</v>
      </c>
      <c r="B322" t="s">
        <v>2318</v>
      </c>
      <c r="C322" t="s">
        <v>629</v>
      </c>
      <c r="D322" s="85"/>
      <c r="J322" t="s">
        <v>631</v>
      </c>
      <c r="K322" t="s">
        <v>631</v>
      </c>
      <c r="L322" t="s">
        <v>631</v>
      </c>
      <c r="M322" t="s">
        <v>631</v>
      </c>
      <c r="N322" t="s">
        <v>0</v>
      </c>
      <c r="O322">
        <v>0</v>
      </c>
      <c r="P322">
        <v>0</v>
      </c>
      <c r="Q322">
        <v>0</v>
      </c>
      <c r="R322">
        <v>1</v>
      </c>
      <c r="U322" t="s">
        <v>513</v>
      </c>
      <c r="V322" t="s">
        <v>14</v>
      </c>
      <c r="W322" t="e">
        <v>#N/A</v>
      </c>
      <c r="X322" t="s">
        <v>0</v>
      </c>
    </row>
    <row r="323" spans="1:26" x14ac:dyDescent="0.2">
      <c r="A323" t="s">
        <v>2319</v>
      </c>
      <c r="B323" t="s">
        <v>2320</v>
      </c>
      <c r="C323" t="s">
        <v>629</v>
      </c>
      <c r="D323" s="85"/>
      <c r="J323" t="s">
        <v>631</v>
      </c>
      <c r="K323" t="s">
        <v>631</v>
      </c>
      <c r="L323" t="s">
        <v>631</v>
      </c>
      <c r="M323" t="s">
        <v>631</v>
      </c>
      <c r="N323" t="s">
        <v>0</v>
      </c>
      <c r="O323">
        <v>0</v>
      </c>
      <c r="P323">
        <v>0</v>
      </c>
      <c r="Q323">
        <v>0</v>
      </c>
      <c r="R323">
        <v>1</v>
      </c>
      <c r="U323" t="s">
        <v>456</v>
      </c>
      <c r="V323" t="s">
        <v>14</v>
      </c>
      <c r="W323" t="e">
        <v>#N/A</v>
      </c>
      <c r="X323" t="s">
        <v>0</v>
      </c>
    </row>
    <row r="324" spans="1:26" x14ac:dyDescent="0.2">
      <c r="A324" t="s">
        <v>2321</v>
      </c>
      <c r="B324" t="s">
        <v>2322</v>
      </c>
      <c r="C324" t="s">
        <v>629</v>
      </c>
      <c r="D324" s="2"/>
      <c r="J324" t="s">
        <v>631</v>
      </c>
      <c r="K324" t="s">
        <v>631</v>
      </c>
      <c r="L324" t="s">
        <v>631</v>
      </c>
      <c r="M324" t="s">
        <v>631</v>
      </c>
      <c r="N324" t="s">
        <v>0</v>
      </c>
      <c r="O324">
        <v>0</v>
      </c>
      <c r="P324">
        <v>0</v>
      </c>
      <c r="Q324">
        <v>0</v>
      </c>
      <c r="R324">
        <v>1</v>
      </c>
      <c r="U324" t="s">
        <v>513</v>
      </c>
      <c r="V324" t="s">
        <v>14</v>
      </c>
      <c r="W324" t="e">
        <v>#N/A</v>
      </c>
      <c r="X324" t="s">
        <v>0</v>
      </c>
    </row>
    <row r="325" spans="1:26" x14ac:dyDescent="0.2">
      <c r="A325" t="s">
        <v>2323</v>
      </c>
      <c r="B325" t="s">
        <v>2324</v>
      </c>
      <c r="C325" t="s">
        <v>629</v>
      </c>
      <c r="D325" s="85" t="s">
        <v>2325</v>
      </c>
      <c r="E325">
        <v>914845799</v>
      </c>
      <c r="F325" t="s">
        <v>0</v>
      </c>
      <c r="H325" t="s">
        <v>451</v>
      </c>
      <c r="J325" t="s">
        <v>631</v>
      </c>
      <c r="K325" t="s">
        <v>631</v>
      </c>
      <c r="L325" t="s">
        <v>631</v>
      </c>
      <c r="M325" t="s">
        <v>631</v>
      </c>
      <c r="N325" t="s">
        <v>0</v>
      </c>
      <c r="O325">
        <v>0</v>
      </c>
      <c r="P325">
        <v>0</v>
      </c>
      <c r="Q325">
        <v>0</v>
      </c>
      <c r="R325">
        <v>1</v>
      </c>
      <c r="U325" t="s">
        <v>456</v>
      </c>
      <c r="V325" t="s">
        <v>14</v>
      </c>
      <c r="W325" t="e">
        <v>#N/A</v>
      </c>
      <c r="X325" t="s">
        <v>0</v>
      </c>
    </row>
    <row r="326" spans="1:26" x14ac:dyDescent="0.2">
      <c r="A326" t="s">
        <v>2326</v>
      </c>
      <c r="B326" t="s">
        <v>2327</v>
      </c>
      <c r="C326" t="s">
        <v>629</v>
      </c>
      <c r="D326" s="2"/>
      <c r="J326" t="s">
        <v>631</v>
      </c>
      <c r="K326" t="s">
        <v>631</v>
      </c>
      <c r="L326" t="s">
        <v>631</v>
      </c>
      <c r="M326" t="s">
        <v>631</v>
      </c>
      <c r="N326" t="s">
        <v>0</v>
      </c>
      <c r="O326">
        <v>0</v>
      </c>
      <c r="P326">
        <v>0</v>
      </c>
      <c r="Q326">
        <v>0</v>
      </c>
      <c r="R326">
        <v>1</v>
      </c>
      <c r="U326" t="s">
        <v>513</v>
      </c>
      <c r="V326" t="s">
        <v>14</v>
      </c>
      <c r="W326" t="e">
        <v>#N/A</v>
      </c>
      <c r="X326" t="s">
        <v>0</v>
      </c>
    </row>
    <row r="327" spans="1:26" x14ac:dyDescent="0.2">
      <c r="A327" t="s">
        <v>2328</v>
      </c>
      <c r="B327" t="s">
        <v>2329</v>
      </c>
      <c r="C327" t="s">
        <v>629</v>
      </c>
      <c r="D327" s="2"/>
      <c r="J327" t="s">
        <v>631</v>
      </c>
      <c r="K327" t="s">
        <v>631</v>
      </c>
      <c r="L327" t="s">
        <v>631</v>
      </c>
      <c r="M327" t="s">
        <v>631</v>
      </c>
      <c r="N327" t="s">
        <v>0</v>
      </c>
      <c r="O327">
        <v>0</v>
      </c>
      <c r="P327">
        <v>0</v>
      </c>
      <c r="Q327">
        <v>0</v>
      </c>
      <c r="R327">
        <v>1</v>
      </c>
      <c r="U327" t="s">
        <v>513</v>
      </c>
      <c r="V327" t="s">
        <v>14</v>
      </c>
      <c r="W327" t="e">
        <v>#N/A</v>
      </c>
      <c r="X327" t="s">
        <v>0</v>
      </c>
    </row>
    <row r="328" spans="1:26" x14ac:dyDescent="0.2">
      <c r="A328" t="s">
        <v>384</v>
      </c>
      <c r="B328" t="s">
        <v>2330</v>
      </c>
      <c r="C328" t="s">
        <v>449</v>
      </c>
      <c r="D328" s="85" t="s">
        <v>1342</v>
      </c>
      <c r="E328">
        <v>908617538</v>
      </c>
      <c r="F328" t="s">
        <v>0</v>
      </c>
      <c r="H328" t="s">
        <v>451</v>
      </c>
      <c r="J328" t="s">
        <v>452</v>
      </c>
      <c r="K328" t="s">
        <v>453</v>
      </c>
      <c r="L328" t="s">
        <v>1077</v>
      </c>
      <c r="M328" t="s">
        <v>455</v>
      </c>
      <c r="N328" t="s">
        <v>0</v>
      </c>
      <c r="O328">
        <v>0</v>
      </c>
      <c r="P328">
        <v>0</v>
      </c>
      <c r="Q328">
        <v>0</v>
      </c>
      <c r="R328">
        <v>1</v>
      </c>
      <c r="S328">
        <v>4</v>
      </c>
      <c r="T328">
        <v>91</v>
      </c>
      <c r="U328" t="s">
        <v>513</v>
      </c>
      <c r="V328" t="s">
        <v>11</v>
      </c>
      <c r="W328" t="s">
        <v>2331</v>
      </c>
      <c r="X328" t="s">
        <v>458</v>
      </c>
      <c r="Z328" t="s">
        <v>1151</v>
      </c>
    </row>
    <row r="329" spans="1:26" x14ac:dyDescent="0.2">
      <c r="A329" t="s">
        <v>386</v>
      </c>
      <c r="B329" t="s">
        <v>2332</v>
      </c>
      <c r="C329" t="s">
        <v>449</v>
      </c>
      <c r="D329" s="1" t="s">
        <v>1885</v>
      </c>
      <c r="E329">
        <v>903040298</v>
      </c>
      <c r="F329" t="s">
        <v>0</v>
      </c>
      <c r="H329" t="s">
        <v>451</v>
      </c>
      <c r="J329" t="s">
        <v>452</v>
      </c>
      <c r="K329" t="s">
        <v>453</v>
      </c>
      <c r="L329" t="s">
        <v>751</v>
      </c>
      <c r="M329" t="s">
        <v>455</v>
      </c>
      <c r="N329" t="s">
        <v>0</v>
      </c>
      <c r="O329">
        <v>0</v>
      </c>
      <c r="P329">
        <v>0</v>
      </c>
      <c r="Q329">
        <v>0</v>
      </c>
      <c r="R329">
        <v>1</v>
      </c>
      <c r="S329">
        <v>7</v>
      </c>
      <c r="T329">
        <v>54</v>
      </c>
      <c r="U329" t="s">
        <v>513</v>
      </c>
      <c r="V329" t="s">
        <v>11</v>
      </c>
      <c r="W329" t="s">
        <v>2333</v>
      </c>
      <c r="X329" t="s">
        <v>458</v>
      </c>
      <c r="Z329" t="s">
        <v>1739</v>
      </c>
    </row>
    <row r="330" spans="1:26" x14ac:dyDescent="0.2">
      <c r="A330" t="s">
        <v>388</v>
      </c>
      <c r="B330" t="s">
        <v>1332</v>
      </c>
      <c r="C330" t="s">
        <v>449</v>
      </c>
      <c r="D330" s="85" t="s">
        <v>1434</v>
      </c>
      <c r="E330">
        <v>973239494</v>
      </c>
      <c r="F330" t="s">
        <v>0</v>
      </c>
      <c r="H330" t="s">
        <v>1137</v>
      </c>
      <c r="J330" t="s">
        <v>1283</v>
      </c>
      <c r="K330" t="s">
        <v>1331</v>
      </c>
      <c r="L330" t="s">
        <v>2334</v>
      </c>
      <c r="M330" t="s">
        <v>455</v>
      </c>
      <c r="N330" t="s">
        <v>0</v>
      </c>
      <c r="O330">
        <v>0</v>
      </c>
      <c r="P330">
        <v>0</v>
      </c>
      <c r="Q330">
        <v>0</v>
      </c>
      <c r="R330">
        <v>1</v>
      </c>
      <c r="T330">
        <v>100</v>
      </c>
      <c r="U330" t="s">
        <v>456</v>
      </c>
      <c r="V330" t="s">
        <v>14</v>
      </c>
      <c r="W330" t="s">
        <v>2335</v>
      </c>
      <c r="X330" t="s">
        <v>0</v>
      </c>
      <c r="Y330" t="s">
        <v>1369</v>
      </c>
      <c r="Z330" t="s">
        <v>1443</v>
      </c>
    </row>
    <row r="331" spans="1:26" x14ac:dyDescent="0.2">
      <c r="A331" t="s">
        <v>2336</v>
      </c>
      <c r="B331" t="s">
        <v>2337</v>
      </c>
      <c r="C331" t="s">
        <v>629</v>
      </c>
      <c r="D331" s="86" t="s">
        <v>2338</v>
      </c>
      <c r="H331" t="s">
        <v>451</v>
      </c>
      <c r="J331" t="s">
        <v>452</v>
      </c>
      <c r="K331" t="s">
        <v>453</v>
      </c>
      <c r="L331" t="e">
        <v>#N/A</v>
      </c>
      <c r="M331" t="s">
        <v>631</v>
      </c>
      <c r="N331" t="s">
        <v>0</v>
      </c>
      <c r="O331">
        <v>0</v>
      </c>
      <c r="P331">
        <v>0</v>
      </c>
      <c r="Q331">
        <v>0</v>
      </c>
      <c r="R331">
        <v>1</v>
      </c>
      <c r="U331" t="s">
        <v>456</v>
      </c>
      <c r="V331" t="s">
        <v>14</v>
      </c>
      <c r="W331" t="e">
        <v>#N/A</v>
      </c>
      <c r="X331" t="s">
        <v>0</v>
      </c>
    </row>
    <row r="332" spans="1:26" x14ac:dyDescent="0.2">
      <c r="A332" t="s">
        <v>389</v>
      </c>
      <c r="B332" t="s">
        <v>2339</v>
      </c>
      <c r="C332" t="s">
        <v>449</v>
      </c>
      <c r="D332" s="85" t="s">
        <v>1336</v>
      </c>
      <c r="E332">
        <v>327629830</v>
      </c>
      <c r="F332" t="s">
        <v>0</v>
      </c>
      <c r="H332" t="s">
        <v>451</v>
      </c>
      <c r="J332" t="s">
        <v>452</v>
      </c>
      <c r="K332" t="s">
        <v>453</v>
      </c>
      <c r="L332" t="s">
        <v>1077</v>
      </c>
      <c r="M332" t="s">
        <v>455</v>
      </c>
      <c r="N332" t="s">
        <v>0</v>
      </c>
      <c r="O332">
        <v>0</v>
      </c>
      <c r="P332">
        <v>0</v>
      </c>
      <c r="Q332">
        <v>0</v>
      </c>
      <c r="R332">
        <v>1</v>
      </c>
      <c r="S332">
        <v>4</v>
      </c>
      <c r="T332">
        <v>91</v>
      </c>
      <c r="U332" t="s">
        <v>513</v>
      </c>
      <c r="V332" t="s">
        <v>11</v>
      </c>
      <c r="W332" t="s">
        <v>2340</v>
      </c>
      <c r="X332" t="s">
        <v>458</v>
      </c>
      <c r="Z332" t="s">
        <v>1858</v>
      </c>
    </row>
    <row r="333" spans="1:26" x14ac:dyDescent="0.2">
      <c r="A333" t="s">
        <v>391</v>
      </c>
      <c r="B333" t="s">
        <v>2341</v>
      </c>
      <c r="C333" t="s">
        <v>449</v>
      </c>
      <c r="D333" s="85" t="s">
        <v>1796</v>
      </c>
      <c r="E333">
        <v>389964662</v>
      </c>
      <c r="F333" t="s">
        <v>458</v>
      </c>
      <c r="G333" t="s">
        <v>392</v>
      </c>
      <c r="H333" t="s">
        <v>451</v>
      </c>
      <c r="J333" t="s">
        <v>1498</v>
      </c>
      <c r="K333" t="s">
        <v>1515</v>
      </c>
      <c r="L333" t="s">
        <v>1648</v>
      </c>
      <c r="M333" t="s">
        <v>455</v>
      </c>
      <c r="N333" t="s">
        <v>458</v>
      </c>
      <c r="O333">
        <v>0</v>
      </c>
      <c r="P333">
        <v>1</v>
      </c>
      <c r="Q333">
        <v>1</v>
      </c>
      <c r="R333">
        <v>2</v>
      </c>
      <c r="S333">
        <v>6</v>
      </c>
      <c r="T333">
        <v>145</v>
      </c>
      <c r="U333" t="s">
        <v>513</v>
      </c>
      <c r="V333" t="s">
        <v>14</v>
      </c>
      <c r="W333" t="s">
        <v>2342</v>
      </c>
      <c r="X333" t="s">
        <v>458</v>
      </c>
      <c r="Z333" t="s">
        <v>1409</v>
      </c>
    </row>
    <row r="334" spans="1:26" x14ac:dyDescent="0.2">
      <c r="A334" t="s">
        <v>2343</v>
      </c>
      <c r="B334" t="s">
        <v>2344</v>
      </c>
      <c r="C334" t="s">
        <v>449</v>
      </c>
      <c r="D334" s="2" t="s">
        <v>2066</v>
      </c>
      <c r="E334">
        <v>835761935</v>
      </c>
      <c r="F334" t="s">
        <v>0</v>
      </c>
      <c r="H334" t="s">
        <v>451</v>
      </c>
      <c r="J334" t="s">
        <v>2107</v>
      </c>
      <c r="K334" t="s">
        <v>2345</v>
      </c>
      <c r="L334" t="s">
        <v>2346</v>
      </c>
      <c r="M334" t="s">
        <v>455</v>
      </c>
      <c r="N334" t="s">
        <v>0</v>
      </c>
      <c r="O334">
        <v>0</v>
      </c>
      <c r="P334">
        <v>0</v>
      </c>
      <c r="Q334">
        <v>0</v>
      </c>
      <c r="R334">
        <v>1</v>
      </c>
      <c r="S334">
        <v>8</v>
      </c>
      <c r="T334">
        <v>118</v>
      </c>
      <c r="U334" t="s">
        <v>456</v>
      </c>
      <c r="V334" t="s">
        <v>14</v>
      </c>
      <c r="W334" t="s">
        <v>2347</v>
      </c>
      <c r="X334" t="s">
        <v>458</v>
      </c>
      <c r="Z334" t="s">
        <v>1287</v>
      </c>
    </row>
  </sheetData>
  <mergeCells count="123">
    <mergeCell ref="AG282:AG283"/>
    <mergeCell ref="AG284:AG286"/>
    <mergeCell ref="AG290:AG291"/>
    <mergeCell ref="AG295:AG296"/>
    <mergeCell ref="AG265:AG266"/>
    <mergeCell ref="AG267:AG268"/>
    <mergeCell ref="AG269:AG270"/>
    <mergeCell ref="AG271:AG272"/>
    <mergeCell ref="AG277:AG278"/>
    <mergeCell ref="AG279:AG280"/>
    <mergeCell ref="AG253:AG254"/>
    <mergeCell ref="AG255:AG256"/>
    <mergeCell ref="AG257:AG258"/>
    <mergeCell ref="AG259:AG260"/>
    <mergeCell ref="AG261:AG262"/>
    <mergeCell ref="AG263:AG264"/>
    <mergeCell ref="AG237:AG238"/>
    <mergeCell ref="AG239:AG240"/>
    <mergeCell ref="AG242:AG243"/>
    <mergeCell ref="AG244:AG245"/>
    <mergeCell ref="AG246:AG247"/>
    <mergeCell ref="AG250:AG251"/>
    <mergeCell ref="AG221:AG222"/>
    <mergeCell ref="AG224:AG225"/>
    <mergeCell ref="AG226:AG227"/>
    <mergeCell ref="AG228:AG229"/>
    <mergeCell ref="AG232:AG233"/>
    <mergeCell ref="AG234:AG235"/>
    <mergeCell ref="AG206:AG207"/>
    <mergeCell ref="AG208:AG209"/>
    <mergeCell ref="AG210:AG211"/>
    <mergeCell ref="AG212:AG214"/>
    <mergeCell ref="AG216:AG217"/>
    <mergeCell ref="AG218:AG219"/>
    <mergeCell ref="AG191:AG192"/>
    <mergeCell ref="AG193:AG194"/>
    <mergeCell ref="AG195:AG196"/>
    <mergeCell ref="AG197:AG198"/>
    <mergeCell ref="AG201:AG202"/>
    <mergeCell ref="AG204:AG205"/>
    <mergeCell ref="AG178:AG179"/>
    <mergeCell ref="AG180:AG181"/>
    <mergeCell ref="AG182:AG183"/>
    <mergeCell ref="AG184:AG185"/>
    <mergeCell ref="AG187:AG188"/>
    <mergeCell ref="AG189:AG190"/>
    <mergeCell ref="AG165:AG166"/>
    <mergeCell ref="AG168:AG169"/>
    <mergeCell ref="AG170:AG171"/>
    <mergeCell ref="AG172:AG173"/>
    <mergeCell ref="AG174:AG175"/>
    <mergeCell ref="AG176:AG177"/>
    <mergeCell ref="AG152:AG153"/>
    <mergeCell ref="AG154:AG155"/>
    <mergeCell ref="AG156:AG157"/>
    <mergeCell ref="AG158:AG159"/>
    <mergeCell ref="AG160:AG161"/>
    <mergeCell ref="AG163:AG164"/>
    <mergeCell ref="AG138:AG139"/>
    <mergeCell ref="AG140:AG141"/>
    <mergeCell ref="AG142:AG143"/>
    <mergeCell ref="AG146:AG147"/>
    <mergeCell ref="AG148:AG149"/>
    <mergeCell ref="AG150:AG151"/>
    <mergeCell ref="AG124:AG125"/>
    <mergeCell ref="AG126:AG127"/>
    <mergeCell ref="AG128:AG129"/>
    <mergeCell ref="AG130:AG131"/>
    <mergeCell ref="AG132:AG133"/>
    <mergeCell ref="AG136:AG137"/>
    <mergeCell ref="AG105:AG108"/>
    <mergeCell ref="AG109:AG112"/>
    <mergeCell ref="AG113:AG114"/>
    <mergeCell ref="AG115:AG116"/>
    <mergeCell ref="AG118:AG119"/>
    <mergeCell ref="AG122:AG123"/>
    <mergeCell ref="AG93:AG94"/>
    <mergeCell ref="AG95:AG96"/>
    <mergeCell ref="AG97:AG98"/>
    <mergeCell ref="AG99:AG100"/>
    <mergeCell ref="AG101:AG102"/>
    <mergeCell ref="AG103:AG104"/>
    <mergeCell ref="AG80:AG81"/>
    <mergeCell ref="AG82:AG83"/>
    <mergeCell ref="AG84:AG86"/>
    <mergeCell ref="AG87:AG88"/>
    <mergeCell ref="AG89:AG90"/>
    <mergeCell ref="AG91:AG92"/>
    <mergeCell ref="AG67:AG68"/>
    <mergeCell ref="AG69:AG70"/>
    <mergeCell ref="AG71:AG72"/>
    <mergeCell ref="AG73:AG74"/>
    <mergeCell ref="AG76:AG77"/>
    <mergeCell ref="AG78:AG79"/>
    <mergeCell ref="AG57:AG58"/>
    <mergeCell ref="AG59:AG60"/>
    <mergeCell ref="AG61:AG62"/>
    <mergeCell ref="AG63:AG64"/>
    <mergeCell ref="AG65:AG66"/>
    <mergeCell ref="AG42:AG43"/>
    <mergeCell ref="AG44:AG45"/>
    <mergeCell ref="AG46:AG47"/>
    <mergeCell ref="AG49:AG50"/>
    <mergeCell ref="AG51:AG52"/>
    <mergeCell ref="AG53:AG54"/>
    <mergeCell ref="AG38:AG39"/>
    <mergeCell ref="AG40:AG41"/>
    <mergeCell ref="AG15:AG16"/>
    <mergeCell ref="AG17:AG18"/>
    <mergeCell ref="AG19:AG20"/>
    <mergeCell ref="AG21:AG22"/>
    <mergeCell ref="AG23:AG24"/>
    <mergeCell ref="AG25:AG26"/>
    <mergeCell ref="AG55:AG56"/>
    <mergeCell ref="AG3:AG4"/>
    <mergeCell ref="AG5:AG6"/>
    <mergeCell ref="AG7:AG8"/>
    <mergeCell ref="AG9:AG11"/>
    <mergeCell ref="AG12:AG13"/>
    <mergeCell ref="AG27:AG28"/>
    <mergeCell ref="AG29:AG30"/>
    <mergeCell ref="AG31:AG32"/>
    <mergeCell ref="AG35:AG3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0193A3-B4EA-4548-A70F-3E55010F0B0C}">
  <dimension ref="A1:AP286"/>
  <sheetViews>
    <sheetView topLeftCell="I1" zoomScale="85" workbookViewId="0">
      <selection activeCell="AA1" sqref="AA1"/>
    </sheetView>
  </sheetViews>
  <sheetFormatPr baseColWidth="10" defaultColWidth="8.83203125" defaultRowHeight="15" x14ac:dyDescent="0.2"/>
  <cols>
    <col min="1" max="1" width="33.33203125" bestFit="1" customWidth="1"/>
    <col min="2" max="2" width="41.83203125" bestFit="1" customWidth="1"/>
    <col min="3" max="3" width="38.5" bestFit="1" customWidth="1"/>
    <col min="4" max="4" width="67.1640625" bestFit="1" customWidth="1"/>
    <col min="5" max="5" width="53.6640625" bestFit="1" customWidth="1"/>
    <col min="6" max="6" width="57.6640625" bestFit="1" customWidth="1"/>
    <col min="7" max="7" width="44.83203125" bestFit="1" customWidth="1"/>
    <col min="8" max="8" width="110.5" bestFit="1" customWidth="1"/>
    <col min="9" max="9" width="31.83203125" bestFit="1" customWidth="1"/>
    <col min="10" max="10" width="29.83203125" bestFit="1" customWidth="1"/>
    <col min="11" max="11" width="28.1640625" bestFit="1" customWidth="1"/>
    <col min="12" max="12" width="18.1640625" bestFit="1" customWidth="1"/>
    <col min="13" max="13" width="12.1640625" bestFit="1" customWidth="1"/>
    <col min="14" max="14" width="9" bestFit="1" customWidth="1"/>
    <col min="15" max="15" width="9.33203125" bestFit="1" customWidth="1"/>
    <col min="16" max="16" width="9.5" bestFit="1" customWidth="1"/>
    <col min="17" max="17" width="10.6640625" bestFit="1" customWidth="1"/>
    <col min="18" max="18" width="14.33203125" bestFit="1" customWidth="1"/>
    <col min="19" max="19" width="12.1640625" bestFit="1" customWidth="1"/>
    <col min="20" max="20" width="14.1640625" bestFit="1" customWidth="1"/>
    <col min="27" max="27" width="38.33203125" bestFit="1" customWidth="1"/>
    <col min="28" max="28" width="14.33203125" bestFit="1" customWidth="1"/>
    <col min="29" max="29" width="33.33203125" bestFit="1" customWidth="1"/>
    <col min="30" max="30" width="13.33203125" bestFit="1" customWidth="1"/>
    <col min="31" max="31" width="14.6640625" bestFit="1" customWidth="1"/>
    <col min="32" max="33" width="14.33203125" bestFit="1" customWidth="1"/>
    <col min="35" max="35" width="39" bestFit="1" customWidth="1"/>
    <col min="36" max="36" width="14.6640625" customWidth="1"/>
    <col min="37" max="37" width="31.83203125" bestFit="1" customWidth="1"/>
    <col min="38" max="38" width="15.6640625" bestFit="1" customWidth="1"/>
    <col min="39" max="39" width="9.33203125" bestFit="1" customWidth="1"/>
    <col min="40" max="40" width="13.6640625" bestFit="1" customWidth="1"/>
    <col min="41" max="41" width="15.5" bestFit="1" customWidth="1"/>
  </cols>
  <sheetData>
    <row r="1" spans="1:42" ht="16.25" customHeight="1" x14ac:dyDescent="0.2">
      <c r="A1" s="14" t="s">
        <v>417</v>
      </c>
      <c r="B1" s="14" t="s">
        <v>418</v>
      </c>
      <c r="C1" s="14" t="s">
        <v>419</v>
      </c>
      <c r="D1" s="14" t="s">
        <v>420</v>
      </c>
      <c r="E1" s="14" t="s">
        <v>421</v>
      </c>
      <c r="F1" s="14" t="s">
        <v>422</v>
      </c>
      <c r="G1" s="14" t="s">
        <v>423</v>
      </c>
      <c r="H1" s="14" t="s">
        <v>424</v>
      </c>
      <c r="I1" s="14" t="s">
        <v>425</v>
      </c>
      <c r="J1" s="14" t="s">
        <v>426</v>
      </c>
      <c r="K1" s="14" t="s">
        <v>427</v>
      </c>
      <c r="L1" s="27" t="s">
        <v>428</v>
      </c>
      <c r="M1" s="14" t="s">
        <v>429</v>
      </c>
      <c r="N1" s="14" t="s">
        <v>430</v>
      </c>
      <c r="O1" s="14" t="s">
        <v>431</v>
      </c>
      <c r="P1" s="14" t="s">
        <v>432</v>
      </c>
      <c r="Q1" s="14" t="s">
        <v>433</v>
      </c>
      <c r="R1" s="28" t="s">
        <v>434</v>
      </c>
      <c r="S1" s="28" t="s">
        <v>435</v>
      </c>
      <c r="T1" s="56" t="s">
        <v>6</v>
      </c>
      <c r="AA1" s="9" t="s">
        <v>418</v>
      </c>
      <c r="AB1" t="s">
        <v>2348</v>
      </c>
      <c r="AI1" s="9" t="s">
        <v>418</v>
      </c>
      <c r="AJ1" t="s">
        <v>2348</v>
      </c>
    </row>
    <row r="2" spans="1:42" ht="16.25" customHeight="1" x14ac:dyDescent="0.2">
      <c r="A2" s="10" t="s">
        <v>448</v>
      </c>
      <c r="B2" s="10" t="s">
        <v>449</v>
      </c>
      <c r="C2" s="29" t="s">
        <v>450</v>
      </c>
      <c r="D2" s="29" t="s">
        <v>682</v>
      </c>
      <c r="E2" s="10" t="s">
        <v>0</v>
      </c>
      <c r="F2" s="10"/>
      <c r="G2" s="10" t="s">
        <v>451</v>
      </c>
      <c r="H2" s="10"/>
      <c r="I2" s="30" t="s">
        <v>452</v>
      </c>
      <c r="J2" s="30" t="s">
        <v>453</v>
      </c>
      <c r="K2" s="30" t="s">
        <v>454</v>
      </c>
      <c r="L2" s="30" t="s">
        <v>455</v>
      </c>
      <c r="M2" s="18" t="s">
        <v>0</v>
      </c>
      <c r="N2" s="18">
        <v>0</v>
      </c>
      <c r="O2" s="18">
        <v>0</v>
      </c>
      <c r="P2" s="18">
        <v>0</v>
      </c>
      <c r="Q2" s="18">
        <v>1</v>
      </c>
      <c r="R2" s="31">
        <v>1</v>
      </c>
      <c r="S2" s="31">
        <v>1</v>
      </c>
      <c r="T2" t="e">
        <f>_xlfn.XLOOKUP(A2,Master!#REF!,Master!G:G)</f>
        <v>#REF!</v>
      </c>
    </row>
    <row r="3" spans="1:42" ht="16.25" customHeight="1" x14ac:dyDescent="0.2">
      <c r="A3" s="32" t="s">
        <v>467</v>
      </c>
      <c r="B3" s="32" t="s">
        <v>449</v>
      </c>
      <c r="C3" s="33" t="s">
        <v>464</v>
      </c>
      <c r="D3" s="33" t="s">
        <v>465</v>
      </c>
      <c r="E3" s="32" t="s">
        <v>0</v>
      </c>
      <c r="F3" s="32"/>
      <c r="G3" s="32" t="s">
        <v>451</v>
      </c>
      <c r="H3" s="32"/>
      <c r="I3" s="30" t="s">
        <v>452</v>
      </c>
      <c r="J3" s="30" t="s">
        <v>453</v>
      </c>
      <c r="K3" s="30" t="s">
        <v>468</v>
      </c>
      <c r="L3" s="30" t="s">
        <v>455</v>
      </c>
      <c r="M3" s="15" t="s">
        <v>0</v>
      </c>
      <c r="N3" s="15">
        <v>0</v>
      </c>
      <c r="O3" s="15">
        <v>0</v>
      </c>
      <c r="P3" s="15">
        <v>0</v>
      </c>
      <c r="Q3" s="15">
        <v>1</v>
      </c>
      <c r="R3" s="31">
        <v>1</v>
      </c>
      <c r="S3" s="31">
        <v>1</v>
      </c>
      <c r="T3" t="e">
        <f>_xlfn.XLOOKUP(A3,Master!#REF!,Master!G:G)</f>
        <v>#REF!</v>
      </c>
      <c r="W3" cm="1">
        <f t="array" ref="W3:W145">_xlfn.UNIQUE(S2:S272)</f>
        <v>1</v>
      </c>
      <c r="AA3" s="9" t="s">
        <v>434</v>
      </c>
      <c r="AB3" s="9" t="s">
        <v>435</v>
      </c>
      <c r="AC3" s="9" t="s">
        <v>417</v>
      </c>
      <c r="AD3" t="s">
        <v>2349</v>
      </c>
      <c r="AE3" t="s">
        <v>2350</v>
      </c>
      <c r="AI3" s="9" t="s">
        <v>6</v>
      </c>
      <c r="AJ3" s="9" t="s">
        <v>435</v>
      </c>
      <c r="AK3" s="9" t="s">
        <v>429</v>
      </c>
      <c r="AL3" s="9" t="s">
        <v>434</v>
      </c>
      <c r="AM3" s="9" t="s">
        <v>417</v>
      </c>
      <c r="AN3" t="s">
        <v>2349</v>
      </c>
      <c r="AO3" t="s">
        <v>2350</v>
      </c>
      <c r="AP3" s="12"/>
    </row>
    <row r="4" spans="1:42" ht="16.25" customHeight="1" x14ac:dyDescent="0.2">
      <c r="A4" s="10" t="s">
        <v>475</v>
      </c>
      <c r="B4" s="10" t="s">
        <v>449</v>
      </c>
      <c r="C4" s="29" t="s">
        <v>476</v>
      </c>
      <c r="D4" s="29" t="s">
        <v>479</v>
      </c>
      <c r="E4" s="10" t="s">
        <v>0</v>
      </c>
      <c r="F4" s="10"/>
      <c r="G4" s="10" t="s">
        <v>451</v>
      </c>
      <c r="H4" s="10"/>
      <c r="I4" s="30" t="s">
        <v>452</v>
      </c>
      <c r="J4" s="30" t="s">
        <v>453</v>
      </c>
      <c r="K4" s="30" t="s">
        <v>468</v>
      </c>
      <c r="L4" s="30" t="s">
        <v>455</v>
      </c>
      <c r="M4" s="18" t="s">
        <v>0</v>
      </c>
      <c r="N4" s="18">
        <v>0</v>
      </c>
      <c r="O4" s="18">
        <v>0</v>
      </c>
      <c r="P4" s="18">
        <v>0</v>
      </c>
      <c r="Q4" s="18">
        <v>1</v>
      </c>
      <c r="R4" s="31">
        <v>1</v>
      </c>
      <c r="S4" s="31">
        <v>2</v>
      </c>
      <c r="T4" t="e">
        <f>_xlfn.XLOOKUP(A4,Master!#REF!,Master!G:G)</f>
        <v>#REF!</v>
      </c>
      <c r="W4">
        <v>2</v>
      </c>
      <c r="AA4">
        <v>1</v>
      </c>
      <c r="AB4">
        <v>1</v>
      </c>
      <c r="AC4" t="s">
        <v>467</v>
      </c>
      <c r="AD4" s="12">
        <v>0</v>
      </c>
      <c r="AE4" s="12">
        <v>1</v>
      </c>
      <c r="AI4" t="s">
        <v>456</v>
      </c>
      <c r="AJ4">
        <v>1</v>
      </c>
      <c r="AN4" s="12">
        <v>0</v>
      </c>
      <c r="AO4" s="12">
        <v>2</v>
      </c>
      <c r="AP4" s="12">
        <f>AO4</f>
        <v>2</v>
      </c>
    </row>
    <row r="5" spans="1:42" ht="16.25" customHeight="1" x14ac:dyDescent="0.2">
      <c r="A5" s="32" t="s">
        <v>480</v>
      </c>
      <c r="B5" s="32" t="s">
        <v>449</v>
      </c>
      <c r="C5" s="33" t="s">
        <v>472</v>
      </c>
      <c r="D5" s="33" t="s">
        <v>473</v>
      </c>
      <c r="E5" s="32" t="s">
        <v>0</v>
      </c>
      <c r="F5" s="26"/>
      <c r="G5" s="32" t="s">
        <v>451</v>
      </c>
      <c r="H5" s="32" t="s">
        <v>481</v>
      </c>
      <c r="I5" s="30" t="s">
        <v>452</v>
      </c>
      <c r="J5" s="30" t="s">
        <v>453</v>
      </c>
      <c r="K5" s="30" t="s">
        <v>468</v>
      </c>
      <c r="L5" s="30" t="s">
        <v>455</v>
      </c>
      <c r="M5" s="15" t="s">
        <v>0</v>
      </c>
      <c r="N5" s="15">
        <v>0</v>
      </c>
      <c r="O5" s="15">
        <v>0</v>
      </c>
      <c r="P5" s="15">
        <v>0</v>
      </c>
      <c r="Q5" s="15">
        <v>1</v>
      </c>
      <c r="R5" s="31">
        <v>1</v>
      </c>
      <c r="S5" s="31">
        <v>2</v>
      </c>
      <c r="T5" t="e">
        <f>_xlfn.XLOOKUP(A5,Master!#REF!,Master!G:G)</f>
        <v>#REF!</v>
      </c>
      <c r="W5">
        <v>3</v>
      </c>
      <c r="AA5">
        <v>1</v>
      </c>
      <c r="AB5">
        <v>1</v>
      </c>
      <c r="AC5" t="s">
        <v>448</v>
      </c>
      <c r="AD5" s="12">
        <v>0</v>
      </c>
      <c r="AE5" s="12">
        <v>1</v>
      </c>
      <c r="AI5" t="s">
        <v>456</v>
      </c>
      <c r="AJ5">
        <v>2</v>
      </c>
      <c r="AN5" s="12">
        <v>0</v>
      </c>
      <c r="AO5" s="12">
        <v>2</v>
      </c>
      <c r="AP5" s="12">
        <f t="shared" ref="AP5:AP68" si="0">AO5</f>
        <v>2</v>
      </c>
    </row>
    <row r="6" spans="1:42" ht="16.25" customHeight="1" x14ac:dyDescent="0.2">
      <c r="A6" s="32" t="s">
        <v>530</v>
      </c>
      <c r="B6" s="32" t="s">
        <v>449</v>
      </c>
      <c r="C6" s="33" t="s">
        <v>531</v>
      </c>
      <c r="D6" s="33" t="s">
        <v>554</v>
      </c>
      <c r="E6" s="32" t="s">
        <v>0</v>
      </c>
      <c r="F6" s="39"/>
      <c r="G6" s="32" t="s">
        <v>451</v>
      </c>
      <c r="H6" s="32"/>
      <c r="I6" s="30" t="s">
        <v>452</v>
      </c>
      <c r="J6" s="30" t="s">
        <v>453</v>
      </c>
      <c r="K6" s="30" t="s">
        <v>454</v>
      </c>
      <c r="L6" s="30" t="s">
        <v>455</v>
      </c>
      <c r="M6" s="15" t="s">
        <v>0</v>
      </c>
      <c r="N6" s="15">
        <v>0</v>
      </c>
      <c r="O6" s="15">
        <v>0</v>
      </c>
      <c r="P6" s="15">
        <v>0</v>
      </c>
      <c r="Q6" s="15">
        <v>1</v>
      </c>
      <c r="R6" s="31">
        <v>1</v>
      </c>
      <c r="S6" s="31">
        <v>3</v>
      </c>
      <c r="T6" t="e">
        <f>_xlfn.XLOOKUP(A6,Master!#REF!,Master!G:G)</f>
        <v>#REF!</v>
      </c>
      <c r="W6">
        <v>4</v>
      </c>
      <c r="AA6">
        <v>1</v>
      </c>
      <c r="AB6">
        <v>2</v>
      </c>
      <c r="AC6" t="s">
        <v>475</v>
      </c>
      <c r="AD6" s="12">
        <v>0</v>
      </c>
      <c r="AE6" s="12">
        <v>1</v>
      </c>
      <c r="AI6" t="s">
        <v>456</v>
      </c>
      <c r="AJ6">
        <v>31</v>
      </c>
      <c r="AN6" s="12">
        <v>0</v>
      </c>
      <c r="AO6" s="12">
        <v>2</v>
      </c>
      <c r="AP6" s="12">
        <f t="shared" si="0"/>
        <v>2</v>
      </c>
    </row>
    <row r="7" spans="1:42" ht="16.25" customHeight="1" x14ac:dyDescent="0.2">
      <c r="A7" s="10" t="s">
        <v>537</v>
      </c>
      <c r="B7" s="10" t="s">
        <v>449</v>
      </c>
      <c r="C7" s="29" t="s">
        <v>538</v>
      </c>
      <c r="D7" s="29" t="s">
        <v>560</v>
      </c>
      <c r="E7" s="10" t="s">
        <v>0</v>
      </c>
      <c r="F7" s="42"/>
      <c r="G7" s="10" t="s">
        <v>451</v>
      </c>
      <c r="H7" s="10" t="s">
        <v>539</v>
      </c>
      <c r="I7" s="30" t="s">
        <v>452</v>
      </c>
      <c r="J7" s="30" t="s">
        <v>453</v>
      </c>
      <c r="K7" s="30" t="s">
        <v>454</v>
      </c>
      <c r="L7" s="30" t="s">
        <v>455</v>
      </c>
      <c r="M7" s="18" t="s">
        <v>0</v>
      </c>
      <c r="N7" s="18">
        <v>0</v>
      </c>
      <c r="O7" s="18">
        <v>0</v>
      </c>
      <c r="P7" s="18">
        <v>0</v>
      </c>
      <c r="Q7" s="18">
        <v>1</v>
      </c>
      <c r="R7" s="31">
        <v>1</v>
      </c>
      <c r="S7" s="31">
        <v>3</v>
      </c>
      <c r="T7" t="e">
        <f>_xlfn.XLOOKUP(A7,Master!#REF!,Master!G:G)</f>
        <v>#REF!</v>
      </c>
      <c r="W7">
        <v>5</v>
      </c>
      <c r="AA7">
        <v>1</v>
      </c>
      <c r="AB7">
        <v>2</v>
      </c>
      <c r="AC7" t="s">
        <v>480</v>
      </c>
      <c r="AD7" s="12">
        <v>0</v>
      </c>
      <c r="AE7" s="12">
        <v>1</v>
      </c>
      <c r="AI7" t="s">
        <v>456</v>
      </c>
      <c r="AJ7">
        <v>32</v>
      </c>
      <c r="AN7" s="12">
        <v>0</v>
      </c>
      <c r="AO7" s="12">
        <v>2</v>
      </c>
      <c r="AP7" s="12">
        <f t="shared" si="0"/>
        <v>2</v>
      </c>
    </row>
    <row r="8" spans="1:42" ht="16.25" customHeight="1" x14ac:dyDescent="0.2">
      <c r="A8" s="32" t="s">
        <v>511</v>
      </c>
      <c r="B8" s="32" t="s">
        <v>449</v>
      </c>
      <c r="C8" s="33" t="s">
        <v>512</v>
      </c>
      <c r="D8" s="33" t="s">
        <v>565</v>
      </c>
      <c r="E8" s="32" t="s">
        <v>0</v>
      </c>
      <c r="F8" s="32"/>
      <c r="G8" s="32" t="s">
        <v>451</v>
      </c>
      <c r="H8" s="32"/>
      <c r="I8" s="30" t="s">
        <v>452</v>
      </c>
      <c r="J8" s="30" t="s">
        <v>453</v>
      </c>
      <c r="K8" s="30" t="s">
        <v>454</v>
      </c>
      <c r="L8" s="30" t="s">
        <v>455</v>
      </c>
      <c r="M8" s="15" t="s">
        <v>0</v>
      </c>
      <c r="N8" s="15">
        <v>0</v>
      </c>
      <c r="O8" s="15">
        <v>0</v>
      </c>
      <c r="P8" s="15">
        <v>0</v>
      </c>
      <c r="Q8" s="15">
        <v>1</v>
      </c>
      <c r="R8" s="31">
        <v>1</v>
      </c>
      <c r="S8" s="31">
        <v>4</v>
      </c>
      <c r="T8" t="e">
        <f>_xlfn.XLOOKUP(A8,Master!#REF!,Master!G:G)</f>
        <v>#REF!</v>
      </c>
      <c r="W8">
        <v>6</v>
      </c>
      <c r="AA8">
        <v>1</v>
      </c>
      <c r="AB8">
        <v>4</v>
      </c>
      <c r="AC8" t="s">
        <v>511</v>
      </c>
      <c r="AD8" s="12">
        <v>0</v>
      </c>
      <c r="AE8" s="12">
        <v>1</v>
      </c>
      <c r="AI8" t="s">
        <v>456</v>
      </c>
      <c r="AJ8">
        <v>33</v>
      </c>
      <c r="AN8" s="12">
        <v>0</v>
      </c>
      <c r="AO8" s="12">
        <v>2</v>
      </c>
      <c r="AP8" s="12">
        <f t="shared" si="0"/>
        <v>2</v>
      </c>
    </row>
    <row r="9" spans="1:42" ht="16.25" customHeight="1" x14ac:dyDescent="0.2">
      <c r="A9" s="10" t="s">
        <v>519</v>
      </c>
      <c r="B9" s="10" t="s">
        <v>449</v>
      </c>
      <c r="C9" s="29" t="s">
        <v>520</v>
      </c>
      <c r="D9" s="29" t="s">
        <v>570</v>
      </c>
      <c r="E9" s="10" t="s">
        <v>0</v>
      </c>
      <c r="F9" s="10"/>
      <c r="G9" s="10" t="s">
        <v>451</v>
      </c>
      <c r="H9" s="10"/>
      <c r="I9" s="30" t="s">
        <v>452</v>
      </c>
      <c r="J9" s="30" t="s">
        <v>453</v>
      </c>
      <c r="K9" s="30" t="s">
        <v>454</v>
      </c>
      <c r="L9" s="30" t="s">
        <v>455</v>
      </c>
      <c r="M9" s="18" t="s">
        <v>0</v>
      </c>
      <c r="N9" s="18">
        <v>0</v>
      </c>
      <c r="O9" s="18">
        <v>0</v>
      </c>
      <c r="P9" s="18">
        <v>0</v>
      </c>
      <c r="Q9" s="18">
        <v>1</v>
      </c>
      <c r="R9" s="31">
        <v>1</v>
      </c>
      <c r="S9" s="31">
        <v>4</v>
      </c>
      <c r="T9" t="e">
        <f>_xlfn.XLOOKUP(A9,Master!#REF!,Master!G:G)</f>
        <v>#REF!</v>
      </c>
      <c r="W9">
        <v>7</v>
      </c>
      <c r="AA9">
        <v>1</v>
      </c>
      <c r="AB9">
        <v>4</v>
      </c>
      <c r="AC9" t="s">
        <v>519</v>
      </c>
      <c r="AD9" s="12">
        <v>0</v>
      </c>
      <c r="AE9" s="12">
        <v>1</v>
      </c>
      <c r="AI9" t="s">
        <v>456</v>
      </c>
      <c r="AJ9">
        <v>34</v>
      </c>
      <c r="AN9" s="12">
        <v>0</v>
      </c>
      <c r="AO9" s="12">
        <v>2</v>
      </c>
      <c r="AP9" s="12">
        <f t="shared" si="0"/>
        <v>2</v>
      </c>
    </row>
    <row r="10" spans="1:42" ht="16.25" customHeight="1" x14ac:dyDescent="0.2">
      <c r="A10" s="32" t="s">
        <v>525</v>
      </c>
      <c r="B10" s="32" t="s">
        <v>449</v>
      </c>
      <c r="C10" s="33" t="s">
        <v>526</v>
      </c>
      <c r="D10" s="33" t="s">
        <v>576</v>
      </c>
      <c r="E10" s="32" t="s">
        <v>0</v>
      </c>
      <c r="F10" s="39"/>
      <c r="G10" s="32" t="s">
        <v>451</v>
      </c>
      <c r="H10" s="32"/>
      <c r="I10" s="30" t="s">
        <v>452</v>
      </c>
      <c r="J10" s="30" t="s">
        <v>453</v>
      </c>
      <c r="K10" s="30" t="s">
        <v>454</v>
      </c>
      <c r="L10" s="30" t="s">
        <v>455</v>
      </c>
      <c r="M10" s="15" t="s">
        <v>0</v>
      </c>
      <c r="N10" s="15">
        <v>0</v>
      </c>
      <c r="O10" s="15">
        <v>0</v>
      </c>
      <c r="P10" s="15">
        <v>0</v>
      </c>
      <c r="Q10" s="15">
        <v>1</v>
      </c>
      <c r="R10" s="31">
        <v>1</v>
      </c>
      <c r="S10" s="31">
        <v>5</v>
      </c>
      <c r="T10" t="e">
        <f>_xlfn.XLOOKUP(A10,Master!#REF!,Master!G:G)</f>
        <v>#REF!</v>
      </c>
      <c r="W10">
        <v>8</v>
      </c>
      <c r="AA10">
        <v>1</v>
      </c>
      <c r="AB10">
        <v>5</v>
      </c>
      <c r="AC10" t="s">
        <v>525</v>
      </c>
      <c r="AD10" s="12">
        <v>0</v>
      </c>
      <c r="AE10" s="12">
        <v>1</v>
      </c>
      <c r="AI10" t="s">
        <v>456</v>
      </c>
      <c r="AJ10">
        <v>44</v>
      </c>
      <c r="AN10" s="12">
        <v>0</v>
      </c>
      <c r="AO10" s="12">
        <v>2</v>
      </c>
      <c r="AP10" s="12">
        <f t="shared" si="0"/>
        <v>2</v>
      </c>
    </row>
    <row r="11" spans="1:42" ht="16.25" customHeight="1" x14ac:dyDescent="0.2">
      <c r="A11" s="32" t="s">
        <v>543</v>
      </c>
      <c r="B11" s="32" t="s">
        <v>449</v>
      </c>
      <c r="C11" s="33" t="s">
        <v>544</v>
      </c>
      <c r="D11" s="33" t="s">
        <v>581</v>
      </c>
      <c r="E11" s="32" t="s">
        <v>0</v>
      </c>
      <c r="F11" s="39"/>
      <c r="G11" s="32" t="s">
        <v>451</v>
      </c>
      <c r="H11" s="32"/>
      <c r="I11" s="30" t="s">
        <v>452</v>
      </c>
      <c r="J11" s="30" t="s">
        <v>453</v>
      </c>
      <c r="K11" s="30" t="s">
        <v>454</v>
      </c>
      <c r="L11" s="30" t="s">
        <v>455</v>
      </c>
      <c r="M11" s="15" t="s">
        <v>0</v>
      </c>
      <c r="N11" s="15">
        <v>0</v>
      </c>
      <c r="O11" s="15">
        <v>0</v>
      </c>
      <c r="P11" s="15">
        <v>0</v>
      </c>
      <c r="Q11" s="15">
        <v>1</v>
      </c>
      <c r="R11" s="31">
        <v>1</v>
      </c>
      <c r="S11" s="31">
        <v>5</v>
      </c>
      <c r="T11" t="e">
        <f>_xlfn.XLOOKUP(A11,Master!#REF!,Master!G:G)</f>
        <v>#REF!</v>
      </c>
      <c r="W11">
        <v>9</v>
      </c>
      <c r="AA11">
        <v>1</v>
      </c>
      <c r="AB11">
        <v>5</v>
      </c>
      <c r="AC11" t="s">
        <v>543</v>
      </c>
      <c r="AD11" s="12">
        <v>0</v>
      </c>
      <c r="AE11" s="12">
        <v>1</v>
      </c>
      <c r="AI11" t="s">
        <v>456</v>
      </c>
      <c r="AJ11">
        <v>45</v>
      </c>
      <c r="AN11" s="12">
        <v>0</v>
      </c>
      <c r="AO11" s="12">
        <v>2</v>
      </c>
      <c r="AP11" s="12">
        <f t="shared" si="0"/>
        <v>2</v>
      </c>
    </row>
    <row r="12" spans="1:42" ht="16.25" customHeight="1" x14ac:dyDescent="0.2">
      <c r="A12" s="10" t="s">
        <v>550</v>
      </c>
      <c r="B12" s="10" t="s">
        <v>449</v>
      </c>
      <c r="C12" s="29" t="s">
        <v>486</v>
      </c>
      <c r="D12" s="29" t="s">
        <v>487</v>
      </c>
      <c r="E12" s="10" t="s">
        <v>0</v>
      </c>
      <c r="F12" s="42"/>
      <c r="G12" s="10" t="s">
        <v>451</v>
      </c>
      <c r="H12" s="10"/>
      <c r="I12" s="30" t="s">
        <v>452</v>
      </c>
      <c r="J12" s="30" t="s">
        <v>453</v>
      </c>
      <c r="K12" s="30" t="s">
        <v>454</v>
      </c>
      <c r="L12" s="30" t="s">
        <v>455</v>
      </c>
      <c r="M12" s="18" t="s">
        <v>0</v>
      </c>
      <c r="N12" s="18">
        <v>0</v>
      </c>
      <c r="O12" s="18">
        <v>0</v>
      </c>
      <c r="P12" s="18">
        <v>0</v>
      </c>
      <c r="Q12" s="18">
        <v>1</v>
      </c>
      <c r="R12" s="31">
        <v>1</v>
      </c>
      <c r="S12" s="31">
        <v>6</v>
      </c>
      <c r="T12" t="e">
        <f>_xlfn.XLOOKUP(A12,Master!#REF!,Master!G:G)</f>
        <v>#REF!</v>
      </c>
      <c r="W12">
        <v>10</v>
      </c>
      <c r="AA12">
        <v>1</v>
      </c>
      <c r="AB12">
        <v>6</v>
      </c>
      <c r="AC12" t="s">
        <v>561</v>
      </c>
      <c r="AD12" s="12">
        <v>0</v>
      </c>
      <c r="AE12" s="12">
        <v>1</v>
      </c>
      <c r="AI12" t="s">
        <v>456</v>
      </c>
      <c r="AJ12">
        <v>60</v>
      </c>
      <c r="AN12" s="12">
        <v>0</v>
      </c>
      <c r="AO12" s="12">
        <v>2</v>
      </c>
      <c r="AP12" s="12">
        <f t="shared" si="0"/>
        <v>2</v>
      </c>
    </row>
    <row r="13" spans="1:42" ht="16.25" customHeight="1" x14ac:dyDescent="0.2">
      <c r="A13" s="10" t="s">
        <v>561</v>
      </c>
      <c r="B13" s="10" t="s">
        <v>449</v>
      </c>
      <c r="C13" s="29" t="s">
        <v>495</v>
      </c>
      <c r="D13" s="29" t="s">
        <v>496</v>
      </c>
      <c r="E13" s="10" t="s">
        <v>0</v>
      </c>
      <c r="F13" s="10"/>
      <c r="G13" s="10" t="s">
        <v>451</v>
      </c>
      <c r="H13" s="10"/>
      <c r="I13" s="30" t="s">
        <v>452</v>
      </c>
      <c r="J13" s="30" t="s">
        <v>453</v>
      </c>
      <c r="K13" s="30" t="s">
        <v>454</v>
      </c>
      <c r="L13" s="30" t="s">
        <v>455</v>
      </c>
      <c r="M13" s="18" t="s">
        <v>0</v>
      </c>
      <c r="N13" s="18">
        <v>0</v>
      </c>
      <c r="O13" s="18">
        <v>0</v>
      </c>
      <c r="P13" s="18">
        <v>0</v>
      </c>
      <c r="Q13" s="18">
        <v>1</v>
      </c>
      <c r="R13" s="31">
        <v>1</v>
      </c>
      <c r="S13" s="31">
        <v>6</v>
      </c>
      <c r="T13" t="e">
        <f>_xlfn.XLOOKUP(A13,Master!#REF!,Master!G:G)</f>
        <v>#REF!</v>
      </c>
      <c r="W13">
        <v>11</v>
      </c>
      <c r="AA13">
        <v>1</v>
      </c>
      <c r="AB13">
        <v>6</v>
      </c>
      <c r="AC13" t="s">
        <v>550</v>
      </c>
      <c r="AD13" s="12">
        <v>0</v>
      </c>
      <c r="AE13" s="12">
        <v>1</v>
      </c>
      <c r="AI13" t="s">
        <v>456</v>
      </c>
      <c r="AJ13">
        <v>61</v>
      </c>
      <c r="AN13" s="12">
        <v>0</v>
      </c>
      <c r="AO13" s="12">
        <v>2</v>
      </c>
      <c r="AP13" s="12">
        <f t="shared" si="0"/>
        <v>2</v>
      </c>
    </row>
    <row r="14" spans="1:42" ht="16.25" customHeight="1" x14ac:dyDescent="0.2">
      <c r="A14" s="43" t="s">
        <v>555</v>
      </c>
      <c r="B14" s="32" t="s">
        <v>449</v>
      </c>
      <c r="C14" s="32" t="s">
        <v>556</v>
      </c>
      <c r="D14" s="32" t="s">
        <v>2351</v>
      </c>
      <c r="E14" s="32" t="s">
        <v>0</v>
      </c>
      <c r="F14" s="32"/>
      <c r="G14" s="32" t="s">
        <v>451</v>
      </c>
      <c r="H14" s="32" t="s">
        <v>557</v>
      </c>
      <c r="I14" s="30" t="s">
        <v>452</v>
      </c>
      <c r="J14" s="30" t="s">
        <v>453</v>
      </c>
      <c r="K14" s="30" t="s">
        <v>454</v>
      </c>
      <c r="L14" s="30" t="s">
        <v>455</v>
      </c>
      <c r="M14" s="15" t="s">
        <v>0</v>
      </c>
      <c r="N14" s="15">
        <v>0</v>
      </c>
      <c r="O14" s="15">
        <v>0</v>
      </c>
      <c r="P14" s="15">
        <v>0</v>
      </c>
      <c r="Q14" s="15">
        <v>1</v>
      </c>
      <c r="R14" s="31">
        <v>1</v>
      </c>
      <c r="S14" s="31">
        <v>7</v>
      </c>
      <c r="T14" t="e">
        <f>_xlfn.XLOOKUP(A14,Master!#REF!,Master!G:G)</f>
        <v>#REF!</v>
      </c>
      <c r="W14">
        <v>12</v>
      </c>
      <c r="AA14">
        <v>1</v>
      </c>
      <c r="AB14">
        <v>7</v>
      </c>
      <c r="AC14" t="s">
        <v>566</v>
      </c>
      <c r="AD14" s="12">
        <v>0</v>
      </c>
      <c r="AE14" s="12">
        <v>1</v>
      </c>
      <c r="AI14" t="s">
        <v>456</v>
      </c>
      <c r="AJ14">
        <v>62</v>
      </c>
      <c r="AN14" s="12">
        <v>0</v>
      </c>
      <c r="AO14" s="12">
        <v>2</v>
      </c>
      <c r="AP14" s="12">
        <f t="shared" si="0"/>
        <v>2</v>
      </c>
    </row>
    <row r="15" spans="1:42" ht="16.25" customHeight="1" x14ac:dyDescent="0.2">
      <c r="A15" s="32" t="s">
        <v>566</v>
      </c>
      <c r="B15" s="32" t="s">
        <v>449</v>
      </c>
      <c r="C15" s="33" t="s">
        <v>567</v>
      </c>
      <c r="D15" s="33" t="s">
        <v>599</v>
      </c>
      <c r="E15" s="32" t="s">
        <v>0</v>
      </c>
      <c r="F15" s="32"/>
      <c r="G15" s="32" t="s">
        <v>451</v>
      </c>
      <c r="H15" s="32"/>
      <c r="I15" s="30" t="s">
        <v>452</v>
      </c>
      <c r="J15" s="30" t="s">
        <v>453</v>
      </c>
      <c r="K15" s="30" t="s">
        <v>454</v>
      </c>
      <c r="L15" s="30" t="s">
        <v>455</v>
      </c>
      <c r="M15" s="15" t="s">
        <v>0</v>
      </c>
      <c r="N15" s="15">
        <v>0</v>
      </c>
      <c r="O15" s="15">
        <v>0</v>
      </c>
      <c r="P15" s="15">
        <v>0</v>
      </c>
      <c r="Q15" s="15">
        <v>1</v>
      </c>
      <c r="R15" s="31">
        <v>1</v>
      </c>
      <c r="S15" s="31">
        <v>7</v>
      </c>
      <c r="T15" t="e">
        <f>_xlfn.XLOOKUP(A15,Master!#REF!,Master!G:G)</f>
        <v>#REF!</v>
      </c>
      <c r="W15">
        <v>13</v>
      </c>
      <c r="AA15">
        <v>1</v>
      </c>
      <c r="AB15">
        <v>7</v>
      </c>
      <c r="AC15" t="s">
        <v>555</v>
      </c>
      <c r="AD15" s="12">
        <v>0</v>
      </c>
      <c r="AE15" s="12">
        <v>1</v>
      </c>
      <c r="AI15" t="s">
        <v>456</v>
      </c>
      <c r="AJ15">
        <v>68</v>
      </c>
      <c r="AN15" s="12">
        <v>0</v>
      </c>
      <c r="AO15" s="12">
        <v>1</v>
      </c>
      <c r="AP15" s="12">
        <f t="shared" si="0"/>
        <v>1</v>
      </c>
    </row>
    <row r="16" spans="1:42" ht="16.25" customHeight="1" x14ac:dyDescent="0.2">
      <c r="A16" s="17" t="s">
        <v>571</v>
      </c>
      <c r="B16" s="10" t="s">
        <v>449</v>
      </c>
      <c r="C16" s="10" t="s">
        <v>572</v>
      </c>
      <c r="D16" s="10" t="s">
        <v>2352</v>
      </c>
      <c r="E16" s="10" t="s">
        <v>0</v>
      </c>
      <c r="F16" s="10"/>
      <c r="G16" s="10" t="s">
        <v>451</v>
      </c>
      <c r="H16" s="10"/>
      <c r="I16" s="30" t="s">
        <v>452</v>
      </c>
      <c r="J16" s="30" t="s">
        <v>453</v>
      </c>
      <c r="K16" s="30" t="s">
        <v>454</v>
      </c>
      <c r="L16" s="30" t="s">
        <v>455</v>
      </c>
      <c r="M16" s="18" t="s">
        <v>0</v>
      </c>
      <c r="N16" s="18">
        <v>0</v>
      </c>
      <c r="O16" s="18">
        <v>0</v>
      </c>
      <c r="P16" s="18">
        <v>0</v>
      </c>
      <c r="Q16" s="18">
        <v>1</v>
      </c>
      <c r="R16" s="31">
        <v>1</v>
      </c>
      <c r="S16" s="31">
        <v>8</v>
      </c>
      <c r="T16" t="e">
        <f>_xlfn.XLOOKUP(A16,Master!#REF!,Master!G:G)</f>
        <v>#REF!</v>
      </c>
      <c r="W16">
        <v>14</v>
      </c>
      <c r="AA16">
        <v>1</v>
      </c>
      <c r="AB16">
        <v>8</v>
      </c>
      <c r="AC16" t="s">
        <v>582</v>
      </c>
      <c r="AD16" s="12">
        <v>0</v>
      </c>
      <c r="AE16" s="12">
        <v>1</v>
      </c>
      <c r="AI16" t="s">
        <v>456</v>
      </c>
      <c r="AJ16">
        <v>69</v>
      </c>
      <c r="AN16" s="12">
        <v>0</v>
      </c>
      <c r="AO16" s="12">
        <v>2</v>
      </c>
      <c r="AP16" s="12">
        <f t="shared" si="0"/>
        <v>2</v>
      </c>
    </row>
    <row r="17" spans="1:42" ht="16.25" customHeight="1" x14ac:dyDescent="0.2">
      <c r="A17" s="32" t="s">
        <v>582</v>
      </c>
      <c r="B17" s="32" t="s">
        <v>449</v>
      </c>
      <c r="C17" s="33" t="s">
        <v>583</v>
      </c>
      <c r="D17" s="33" t="s">
        <v>604</v>
      </c>
      <c r="E17" s="32" t="s">
        <v>0</v>
      </c>
      <c r="F17" s="32"/>
      <c r="G17" s="32" t="s">
        <v>451</v>
      </c>
      <c r="H17" s="32"/>
      <c r="I17" s="30" t="s">
        <v>452</v>
      </c>
      <c r="J17" s="30" t="s">
        <v>453</v>
      </c>
      <c r="K17" s="30" t="s">
        <v>468</v>
      </c>
      <c r="L17" s="30" t="s">
        <v>455</v>
      </c>
      <c r="M17" s="15" t="s">
        <v>0</v>
      </c>
      <c r="N17" s="15">
        <v>0</v>
      </c>
      <c r="O17" s="15">
        <v>0</v>
      </c>
      <c r="P17" s="15">
        <v>0</v>
      </c>
      <c r="Q17" s="15">
        <v>1</v>
      </c>
      <c r="R17" s="31">
        <v>1</v>
      </c>
      <c r="S17" s="31">
        <v>8</v>
      </c>
      <c r="T17" t="e">
        <f>_xlfn.XLOOKUP(A17,Master!#REF!,Master!G:G)</f>
        <v>#REF!</v>
      </c>
      <c r="W17">
        <v>15</v>
      </c>
      <c r="AA17">
        <v>1</v>
      </c>
      <c r="AB17">
        <v>8</v>
      </c>
      <c r="AC17" t="s">
        <v>571</v>
      </c>
      <c r="AD17" s="12">
        <v>0</v>
      </c>
      <c r="AE17" s="12">
        <v>1</v>
      </c>
      <c r="AI17" t="s">
        <v>456</v>
      </c>
      <c r="AJ17">
        <v>82</v>
      </c>
      <c r="AN17" s="12">
        <v>0</v>
      </c>
      <c r="AO17" s="12">
        <v>2</v>
      </c>
      <c r="AP17" s="12">
        <f t="shared" si="0"/>
        <v>2</v>
      </c>
    </row>
    <row r="18" spans="1:42" ht="16.25" customHeight="1" x14ac:dyDescent="0.2">
      <c r="A18" s="10" t="s">
        <v>588</v>
      </c>
      <c r="B18" s="10" t="s">
        <v>449</v>
      </c>
      <c r="C18" s="29" t="s">
        <v>589</v>
      </c>
      <c r="D18" s="29" t="s">
        <v>616</v>
      </c>
      <c r="E18" s="10" t="s">
        <v>0</v>
      </c>
      <c r="F18" s="10"/>
      <c r="G18" s="10" t="s">
        <v>451</v>
      </c>
      <c r="H18" s="10"/>
      <c r="I18" s="30" t="s">
        <v>452</v>
      </c>
      <c r="J18" s="30" t="s">
        <v>453</v>
      </c>
      <c r="K18" s="30" t="s">
        <v>468</v>
      </c>
      <c r="L18" s="30" t="s">
        <v>455</v>
      </c>
      <c r="M18" s="18" t="s">
        <v>0</v>
      </c>
      <c r="N18" s="18">
        <v>0</v>
      </c>
      <c r="O18" s="18">
        <v>0</v>
      </c>
      <c r="P18" s="18">
        <v>0</v>
      </c>
      <c r="Q18" s="18">
        <v>1</v>
      </c>
      <c r="R18" s="31">
        <v>1</v>
      </c>
      <c r="S18" s="31">
        <v>9</v>
      </c>
      <c r="T18" t="e">
        <f>_xlfn.XLOOKUP(A18,Master!#REF!,Master!G:G)</f>
        <v>#REF!</v>
      </c>
      <c r="W18">
        <v>16</v>
      </c>
      <c r="AA18">
        <v>1</v>
      </c>
      <c r="AB18">
        <v>9</v>
      </c>
      <c r="AC18" t="s">
        <v>588</v>
      </c>
      <c r="AD18" s="12">
        <v>0</v>
      </c>
      <c r="AE18" s="12">
        <v>1</v>
      </c>
      <c r="AI18" t="s">
        <v>456</v>
      </c>
      <c r="AJ18">
        <v>83</v>
      </c>
      <c r="AN18" s="12">
        <v>0</v>
      </c>
      <c r="AO18" s="12">
        <v>2</v>
      </c>
      <c r="AP18" s="12">
        <f t="shared" si="0"/>
        <v>2</v>
      </c>
    </row>
    <row r="19" spans="1:42" ht="16.25" customHeight="1" x14ac:dyDescent="0.2">
      <c r="A19" s="10" t="s">
        <v>623</v>
      </c>
      <c r="B19" s="10" t="s">
        <v>449</v>
      </c>
      <c r="C19" s="29" t="s">
        <v>610</v>
      </c>
      <c r="D19" s="29" t="s">
        <v>611</v>
      </c>
      <c r="E19" s="10" t="s">
        <v>0</v>
      </c>
      <c r="F19" s="10"/>
      <c r="G19" s="10" t="s">
        <v>451</v>
      </c>
      <c r="H19" s="10"/>
      <c r="I19" s="30" t="s">
        <v>452</v>
      </c>
      <c r="J19" s="30" t="s">
        <v>453</v>
      </c>
      <c r="K19" s="30" t="s">
        <v>468</v>
      </c>
      <c r="L19" s="30" t="s">
        <v>455</v>
      </c>
      <c r="M19" s="18" t="s">
        <v>0</v>
      </c>
      <c r="N19" s="18">
        <v>0</v>
      </c>
      <c r="O19" s="18">
        <v>0</v>
      </c>
      <c r="P19" s="18">
        <v>0</v>
      </c>
      <c r="Q19" s="18">
        <v>1</v>
      </c>
      <c r="R19" s="31">
        <v>1</v>
      </c>
      <c r="S19" s="31">
        <v>9</v>
      </c>
      <c r="T19" t="e">
        <f>_xlfn.XLOOKUP(A19,Master!#REF!,Master!G:G)</f>
        <v>#REF!</v>
      </c>
      <c r="W19">
        <v>17</v>
      </c>
      <c r="AA19">
        <v>1</v>
      </c>
      <c r="AB19">
        <v>9</v>
      </c>
      <c r="AC19" t="s">
        <v>623</v>
      </c>
      <c r="AD19" s="12">
        <v>0</v>
      </c>
      <c r="AE19" s="12">
        <v>1</v>
      </c>
      <c r="AI19" t="s">
        <v>456</v>
      </c>
      <c r="AJ19">
        <v>84</v>
      </c>
      <c r="AN19" s="12">
        <v>0</v>
      </c>
      <c r="AO19" s="12">
        <v>2</v>
      </c>
      <c r="AP19" s="12">
        <f t="shared" si="0"/>
        <v>2</v>
      </c>
    </row>
    <row r="20" spans="1:42" ht="16.25" customHeight="1" x14ac:dyDescent="0.2">
      <c r="A20" s="32" t="s">
        <v>617</v>
      </c>
      <c r="B20" s="32" t="s">
        <v>449</v>
      </c>
      <c r="C20" s="33" t="s">
        <v>502</v>
      </c>
      <c r="D20" s="33" t="s">
        <v>503</v>
      </c>
      <c r="E20" s="32" t="s">
        <v>0</v>
      </c>
      <c r="F20" s="32"/>
      <c r="G20" s="32" t="s">
        <v>451</v>
      </c>
      <c r="H20" s="32"/>
      <c r="I20" s="30" t="s">
        <v>452</v>
      </c>
      <c r="J20" s="30" t="s">
        <v>453</v>
      </c>
      <c r="K20" s="30" t="s">
        <v>468</v>
      </c>
      <c r="L20" s="30" t="s">
        <v>455</v>
      </c>
      <c r="M20" s="15" t="s">
        <v>0</v>
      </c>
      <c r="N20" s="15">
        <v>0</v>
      </c>
      <c r="O20" s="15">
        <v>0</v>
      </c>
      <c r="P20" s="15">
        <v>0</v>
      </c>
      <c r="Q20" s="15">
        <v>1</v>
      </c>
      <c r="R20" s="31">
        <v>1</v>
      </c>
      <c r="S20" s="31">
        <v>10</v>
      </c>
      <c r="T20" t="e">
        <f>_xlfn.XLOOKUP(A20,Master!#REF!,Master!G:G)</f>
        <v>#REF!</v>
      </c>
      <c r="W20">
        <v>18</v>
      </c>
      <c r="AA20">
        <v>1</v>
      </c>
      <c r="AB20">
        <v>10</v>
      </c>
      <c r="AC20" t="s">
        <v>617</v>
      </c>
      <c r="AD20" s="12">
        <v>0</v>
      </c>
      <c r="AE20" s="12">
        <v>1</v>
      </c>
      <c r="AI20" t="s">
        <v>456</v>
      </c>
      <c r="AJ20">
        <v>85</v>
      </c>
      <c r="AN20" s="12">
        <v>0</v>
      </c>
      <c r="AO20" s="12">
        <v>2</v>
      </c>
      <c r="AP20" s="12">
        <f t="shared" si="0"/>
        <v>2</v>
      </c>
    </row>
    <row r="21" spans="1:42" ht="16.25" customHeight="1" x14ac:dyDescent="0.2">
      <c r="A21" s="10" t="s">
        <v>637</v>
      </c>
      <c r="B21" s="10" t="s">
        <v>449</v>
      </c>
      <c r="C21" s="29" t="s">
        <v>510</v>
      </c>
      <c r="D21" s="29" t="s">
        <v>408</v>
      </c>
      <c r="E21" s="10" t="s">
        <v>0</v>
      </c>
      <c r="F21" s="10"/>
      <c r="G21" s="10" t="s">
        <v>451</v>
      </c>
      <c r="H21" s="10"/>
      <c r="I21" s="30" t="s">
        <v>452</v>
      </c>
      <c r="J21" s="30" t="s">
        <v>453</v>
      </c>
      <c r="K21" s="30" t="s">
        <v>468</v>
      </c>
      <c r="L21" s="30" t="s">
        <v>455</v>
      </c>
      <c r="M21" s="18" t="s">
        <v>0</v>
      </c>
      <c r="N21" s="18">
        <v>0</v>
      </c>
      <c r="O21" s="18">
        <v>0</v>
      </c>
      <c r="P21" s="18">
        <v>0</v>
      </c>
      <c r="Q21" s="18">
        <v>1</v>
      </c>
      <c r="R21" s="31">
        <v>1</v>
      </c>
      <c r="S21" s="31">
        <v>10</v>
      </c>
      <c r="T21" t="e">
        <f>_xlfn.XLOOKUP(A21,Master!#REF!,Master!G:G)</f>
        <v>#REF!</v>
      </c>
      <c r="W21">
        <v>19</v>
      </c>
      <c r="AA21">
        <v>1</v>
      </c>
      <c r="AB21">
        <v>10</v>
      </c>
      <c r="AC21" t="s">
        <v>637</v>
      </c>
      <c r="AD21" s="12">
        <v>0</v>
      </c>
      <c r="AE21" s="12">
        <v>1</v>
      </c>
      <c r="AI21" t="s">
        <v>456</v>
      </c>
      <c r="AJ21">
        <v>86</v>
      </c>
      <c r="AN21" s="12">
        <v>0</v>
      </c>
      <c r="AO21" s="12">
        <v>2</v>
      </c>
      <c r="AP21" s="12">
        <f t="shared" si="0"/>
        <v>2</v>
      </c>
    </row>
    <row r="22" spans="1:42" ht="16.25" customHeight="1" x14ac:dyDescent="0.2">
      <c r="A22" s="10" t="s">
        <v>659</v>
      </c>
      <c r="B22" s="10" t="s">
        <v>449</v>
      </c>
      <c r="C22" s="29" t="s">
        <v>621</v>
      </c>
      <c r="D22" s="29" t="s">
        <v>622</v>
      </c>
      <c r="E22" s="10" t="s">
        <v>0</v>
      </c>
      <c r="F22" s="10"/>
      <c r="G22" s="10" t="s">
        <v>451</v>
      </c>
      <c r="H22" s="10"/>
      <c r="I22" s="30" t="s">
        <v>452</v>
      </c>
      <c r="J22" s="30" t="s">
        <v>453</v>
      </c>
      <c r="K22" s="30" t="s">
        <v>468</v>
      </c>
      <c r="L22" s="30" t="s">
        <v>455</v>
      </c>
      <c r="M22" s="18" t="s">
        <v>0</v>
      </c>
      <c r="N22" s="18">
        <v>0</v>
      </c>
      <c r="O22" s="18">
        <v>0</v>
      </c>
      <c r="P22" s="18">
        <v>0</v>
      </c>
      <c r="Q22" s="18">
        <v>1</v>
      </c>
      <c r="R22" s="31">
        <v>1</v>
      </c>
      <c r="S22" s="31">
        <v>11</v>
      </c>
      <c r="T22" t="e">
        <f>_xlfn.XLOOKUP(A22,Master!#REF!,Master!G:G)</f>
        <v>#REF!</v>
      </c>
      <c r="W22">
        <v>20</v>
      </c>
      <c r="AA22">
        <v>1</v>
      </c>
      <c r="AB22">
        <v>11</v>
      </c>
      <c r="AC22" t="s">
        <v>600</v>
      </c>
      <c r="AD22" s="12">
        <v>0</v>
      </c>
      <c r="AE22" s="12">
        <v>1</v>
      </c>
      <c r="AI22" t="s">
        <v>456</v>
      </c>
      <c r="AJ22">
        <v>87</v>
      </c>
      <c r="AN22" s="12">
        <v>0</v>
      </c>
      <c r="AO22" s="12">
        <v>2</v>
      </c>
      <c r="AP22" s="12">
        <f t="shared" si="0"/>
        <v>2</v>
      </c>
    </row>
    <row r="23" spans="1:42" ht="16.25" customHeight="1" x14ac:dyDescent="0.2">
      <c r="A23" s="10" t="s">
        <v>600</v>
      </c>
      <c r="B23" s="10" t="s">
        <v>449</v>
      </c>
      <c r="C23" s="29" t="s">
        <v>2353</v>
      </c>
      <c r="D23" s="29" t="s">
        <v>626</v>
      </c>
      <c r="E23" s="10" t="s">
        <v>0</v>
      </c>
      <c r="F23" s="10"/>
      <c r="G23" s="10" t="s">
        <v>451</v>
      </c>
      <c r="H23" s="10"/>
      <c r="I23" s="30" t="s">
        <v>452</v>
      </c>
      <c r="J23" s="30" t="s">
        <v>453</v>
      </c>
      <c r="K23" s="30" t="s">
        <v>468</v>
      </c>
      <c r="L23" s="30" t="s">
        <v>455</v>
      </c>
      <c r="M23" s="18" t="s">
        <v>0</v>
      </c>
      <c r="N23" s="18">
        <v>0</v>
      </c>
      <c r="O23" s="18">
        <v>0</v>
      </c>
      <c r="P23" s="18">
        <v>0</v>
      </c>
      <c r="Q23" s="18">
        <v>1</v>
      </c>
      <c r="R23" s="31">
        <v>1</v>
      </c>
      <c r="S23" s="31">
        <v>11</v>
      </c>
      <c r="T23" t="e">
        <f>_xlfn.XLOOKUP(A23,Master!#REF!,Master!G:G)</f>
        <v>#REF!</v>
      </c>
      <c r="W23">
        <v>21</v>
      </c>
      <c r="AA23">
        <v>1</v>
      </c>
      <c r="AB23">
        <v>11</v>
      </c>
      <c r="AC23" t="s">
        <v>659</v>
      </c>
      <c r="AD23" s="12">
        <v>0</v>
      </c>
      <c r="AE23" s="12">
        <v>1</v>
      </c>
      <c r="AI23" t="s">
        <v>456</v>
      </c>
      <c r="AJ23">
        <v>88</v>
      </c>
      <c r="AN23" s="12">
        <v>0</v>
      </c>
      <c r="AO23" s="12">
        <v>2</v>
      </c>
      <c r="AP23" s="12">
        <f t="shared" si="0"/>
        <v>2</v>
      </c>
    </row>
    <row r="24" spans="1:42" ht="16.25" customHeight="1" x14ac:dyDescent="0.2">
      <c r="A24" s="32" t="s">
        <v>605</v>
      </c>
      <c r="B24" s="32" t="s">
        <v>449</v>
      </c>
      <c r="C24" s="33" t="s">
        <v>606</v>
      </c>
      <c r="D24" s="33" t="s">
        <v>640</v>
      </c>
      <c r="E24" s="32" t="s">
        <v>0</v>
      </c>
      <c r="F24" s="32"/>
      <c r="G24" s="32" t="s">
        <v>451</v>
      </c>
      <c r="H24" s="32"/>
      <c r="I24" s="30" t="s">
        <v>452</v>
      </c>
      <c r="J24" s="30" t="s">
        <v>453</v>
      </c>
      <c r="K24" s="30" t="s">
        <v>468</v>
      </c>
      <c r="L24" s="30" t="s">
        <v>455</v>
      </c>
      <c r="M24" s="15" t="s">
        <v>0</v>
      </c>
      <c r="N24" s="15">
        <v>0</v>
      </c>
      <c r="O24" s="15">
        <v>0</v>
      </c>
      <c r="P24" s="15">
        <v>0</v>
      </c>
      <c r="Q24" s="15">
        <v>1</v>
      </c>
      <c r="R24" s="31">
        <v>1</v>
      </c>
      <c r="S24" s="31">
        <v>12</v>
      </c>
      <c r="T24" t="e">
        <f>_xlfn.XLOOKUP(A24,Master!#REF!,Master!G:G)</f>
        <v>#REF!</v>
      </c>
      <c r="W24">
        <v>22</v>
      </c>
      <c r="AA24">
        <v>1</v>
      </c>
      <c r="AB24">
        <v>12</v>
      </c>
      <c r="AC24" t="s">
        <v>605</v>
      </c>
      <c r="AD24" s="12">
        <v>0</v>
      </c>
      <c r="AE24" s="12">
        <v>1</v>
      </c>
      <c r="AI24" t="s">
        <v>456</v>
      </c>
      <c r="AJ24">
        <v>89</v>
      </c>
      <c r="AN24" s="12">
        <v>0</v>
      </c>
      <c r="AO24" s="12">
        <v>2</v>
      </c>
      <c r="AP24" s="12">
        <f t="shared" si="0"/>
        <v>2</v>
      </c>
    </row>
    <row r="25" spans="1:42" ht="16.25" customHeight="1" x14ac:dyDescent="0.2">
      <c r="A25" s="10" t="s">
        <v>647</v>
      </c>
      <c r="B25" s="10" t="s">
        <v>449</v>
      </c>
      <c r="C25" s="29" t="s">
        <v>635</v>
      </c>
      <c r="D25" s="29" t="s">
        <v>636</v>
      </c>
      <c r="E25" s="10" t="s">
        <v>0</v>
      </c>
      <c r="F25" s="42"/>
      <c r="G25" s="10" t="s">
        <v>451</v>
      </c>
      <c r="H25" s="10"/>
      <c r="I25" s="30" t="s">
        <v>452</v>
      </c>
      <c r="J25" s="30" t="s">
        <v>453</v>
      </c>
      <c r="K25" s="30" t="s">
        <v>468</v>
      </c>
      <c r="L25" s="30" t="s">
        <v>455</v>
      </c>
      <c r="M25" s="18" t="s">
        <v>0</v>
      </c>
      <c r="N25" s="18">
        <v>0</v>
      </c>
      <c r="O25" s="18">
        <v>0</v>
      </c>
      <c r="P25" s="18">
        <v>0</v>
      </c>
      <c r="Q25" s="18">
        <v>1</v>
      </c>
      <c r="R25" s="31">
        <v>1</v>
      </c>
      <c r="S25" s="31">
        <v>12</v>
      </c>
      <c r="T25" t="e">
        <f>_xlfn.XLOOKUP(A25,Master!#REF!,Master!G:G)</f>
        <v>#REF!</v>
      </c>
      <c r="W25">
        <v>23</v>
      </c>
      <c r="AA25">
        <v>1</v>
      </c>
      <c r="AB25">
        <v>12</v>
      </c>
      <c r="AC25" t="s">
        <v>647</v>
      </c>
      <c r="AD25" s="12">
        <v>0</v>
      </c>
      <c r="AE25" s="12">
        <v>1</v>
      </c>
      <c r="AI25" t="s">
        <v>456</v>
      </c>
      <c r="AJ25">
        <v>94</v>
      </c>
      <c r="AN25" s="12">
        <v>0</v>
      </c>
      <c r="AO25" s="12">
        <v>2</v>
      </c>
      <c r="AP25" s="12">
        <f t="shared" si="0"/>
        <v>2</v>
      </c>
    </row>
    <row r="26" spans="1:42" ht="16.25" customHeight="1" x14ac:dyDescent="0.2">
      <c r="A26" s="10" t="s">
        <v>612</v>
      </c>
      <c r="B26" s="10" t="s">
        <v>449</v>
      </c>
      <c r="C26" s="29" t="s">
        <v>613</v>
      </c>
      <c r="D26" s="29" t="s">
        <v>646</v>
      </c>
      <c r="E26" s="10" t="s">
        <v>0</v>
      </c>
      <c r="F26" s="10"/>
      <c r="G26" s="10" t="s">
        <v>451</v>
      </c>
      <c r="H26" s="10"/>
      <c r="I26" s="30" t="s">
        <v>452</v>
      </c>
      <c r="J26" s="30" t="s">
        <v>453</v>
      </c>
      <c r="K26" s="30" t="s">
        <v>468</v>
      </c>
      <c r="L26" s="30" t="s">
        <v>455</v>
      </c>
      <c r="M26" s="18" t="s">
        <v>0</v>
      </c>
      <c r="N26" s="18">
        <v>0</v>
      </c>
      <c r="O26" s="18">
        <v>0</v>
      </c>
      <c r="P26" s="18">
        <v>0</v>
      </c>
      <c r="Q26" s="18">
        <v>1</v>
      </c>
      <c r="R26" s="31">
        <v>1</v>
      </c>
      <c r="S26" s="31">
        <v>13</v>
      </c>
      <c r="T26" t="e">
        <f>_xlfn.XLOOKUP(A26,Master!#REF!,Master!G:G)</f>
        <v>#REF!</v>
      </c>
      <c r="W26">
        <v>24</v>
      </c>
      <c r="AA26">
        <v>1</v>
      </c>
      <c r="AB26">
        <v>13</v>
      </c>
      <c r="AC26" t="s">
        <v>612</v>
      </c>
      <c r="AD26" s="12">
        <v>0</v>
      </c>
      <c r="AE26" s="12">
        <v>1</v>
      </c>
      <c r="AI26" t="s">
        <v>456</v>
      </c>
      <c r="AJ26">
        <v>95</v>
      </c>
      <c r="AN26" s="12">
        <v>0</v>
      </c>
      <c r="AO26" s="12">
        <v>2</v>
      </c>
      <c r="AP26" s="12">
        <f t="shared" si="0"/>
        <v>2</v>
      </c>
    </row>
    <row r="27" spans="1:42" ht="16.25" customHeight="1" x14ac:dyDescent="0.2">
      <c r="A27" s="18" t="s">
        <v>577</v>
      </c>
      <c r="B27" s="18" t="s">
        <v>449</v>
      </c>
      <c r="C27" s="41" t="s">
        <v>578</v>
      </c>
      <c r="D27" s="41" t="s">
        <v>651</v>
      </c>
      <c r="E27" s="18" t="s">
        <v>0</v>
      </c>
      <c r="F27" s="18"/>
      <c r="G27" s="18" t="s">
        <v>451</v>
      </c>
      <c r="H27" s="18"/>
      <c r="I27" s="30" t="s">
        <v>452</v>
      </c>
      <c r="J27" s="30" t="s">
        <v>453</v>
      </c>
      <c r="K27" s="30" t="s">
        <v>468</v>
      </c>
      <c r="L27" s="30" t="s">
        <v>455</v>
      </c>
      <c r="M27" s="18" t="s">
        <v>0</v>
      </c>
      <c r="N27" s="18">
        <v>0</v>
      </c>
      <c r="O27" s="18">
        <v>0</v>
      </c>
      <c r="P27" s="18">
        <v>0</v>
      </c>
      <c r="Q27" s="18">
        <v>1</v>
      </c>
      <c r="R27" s="31">
        <v>1</v>
      </c>
      <c r="S27" s="31">
        <v>13</v>
      </c>
      <c r="T27" t="e">
        <f>_xlfn.XLOOKUP(A27,Master!#REF!,Master!G:G)</f>
        <v>#REF!</v>
      </c>
      <c r="W27">
        <v>25</v>
      </c>
      <c r="AA27">
        <v>1</v>
      </c>
      <c r="AB27">
        <v>13</v>
      </c>
      <c r="AC27" t="s">
        <v>577</v>
      </c>
      <c r="AD27" s="12">
        <v>0</v>
      </c>
      <c r="AE27" s="12">
        <v>1</v>
      </c>
      <c r="AI27" t="s">
        <v>456</v>
      </c>
      <c r="AJ27">
        <v>96</v>
      </c>
      <c r="AN27" s="12">
        <v>0</v>
      </c>
      <c r="AO27" s="12">
        <v>2</v>
      </c>
      <c r="AP27" s="12">
        <f t="shared" si="0"/>
        <v>2</v>
      </c>
    </row>
    <row r="28" spans="1:42" ht="16.25" customHeight="1" x14ac:dyDescent="0.2">
      <c r="A28" s="32" t="s">
        <v>594</v>
      </c>
      <c r="B28" s="32" t="s">
        <v>449</v>
      </c>
      <c r="C28" s="33" t="s">
        <v>595</v>
      </c>
      <c r="D28" s="33" t="s">
        <v>658</v>
      </c>
      <c r="E28" s="32" t="s">
        <v>0</v>
      </c>
      <c r="F28" s="32"/>
      <c r="G28" s="32" t="s">
        <v>451</v>
      </c>
      <c r="H28" s="32"/>
      <c r="I28" s="30" t="s">
        <v>452</v>
      </c>
      <c r="J28" s="30" t="s">
        <v>453</v>
      </c>
      <c r="K28" s="30" t="s">
        <v>468</v>
      </c>
      <c r="L28" s="30" t="s">
        <v>455</v>
      </c>
      <c r="M28" s="15" t="s">
        <v>0</v>
      </c>
      <c r="N28" s="15">
        <v>0</v>
      </c>
      <c r="O28" s="15">
        <v>0</v>
      </c>
      <c r="P28" s="15">
        <v>0</v>
      </c>
      <c r="Q28" s="15">
        <v>1</v>
      </c>
      <c r="R28" s="31">
        <v>1</v>
      </c>
      <c r="S28" s="31">
        <v>14</v>
      </c>
      <c r="T28" t="e">
        <f>_xlfn.XLOOKUP(A28,Master!#REF!,Master!G:G)</f>
        <v>#REF!</v>
      </c>
      <c r="W28">
        <v>26</v>
      </c>
      <c r="AA28">
        <v>1</v>
      </c>
      <c r="AB28">
        <v>14</v>
      </c>
      <c r="AC28" t="s">
        <v>628</v>
      </c>
      <c r="AD28" s="12">
        <v>0</v>
      </c>
      <c r="AE28" s="12">
        <v>1</v>
      </c>
      <c r="AI28" t="s">
        <v>456</v>
      </c>
      <c r="AJ28">
        <v>97</v>
      </c>
      <c r="AN28" s="12">
        <v>0</v>
      </c>
      <c r="AO28" s="12">
        <v>2</v>
      </c>
      <c r="AP28" s="12">
        <f t="shared" si="0"/>
        <v>2</v>
      </c>
    </row>
    <row r="29" spans="1:42" ht="16.25" customHeight="1" x14ac:dyDescent="0.2">
      <c r="A29" s="32" t="s">
        <v>628</v>
      </c>
      <c r="B29" s="32" t="s">
        <v>449</v>
      </c>
      <c r="C29" s="33" t="s">
        <v>630</v>
      </c>
      <c r="D29" s="33" t="s">
        <v>2354</v>
      </c>
      <c r="E29" s="32" t="s">
        <v>0</v>
      </c>
      <c r="F29" s="32"/>
      <c r="G29" s="32" t="s">
        <v>451</v>
      </c>
      <c r="H29" s="32"/>
      <c r="I29" s="30" t="s">
        <v>452</v>
      </c>
      <c r="J29" s="30" t="s">
        <v>453</v>
      </c>
      <c r="K29" s="30" t="s">
        <v>468</v>
      </c>
      <c r="L29" s="30" t="s">
        <v>455</v>
      </c>
      <c r="M29" s="15" t="s">
        <v>0</v>
      </c>
      <c r="N29" s="15">
        <v>0</v>
      </c>
      <c r="O29" s="15">
        <v>0</v>
      </c>
      <c r="P29" s="15">
        <v>0</v>
      </c>
      <c r="Q29" s="15">
        <v>1</v>
      </c>
      <c r="R29" s="31">
        <v>1</v>
      </c>
      <c r="S29" s="31">
        <v>14</v>
      </c>
      <c r="T29" t="e">
        <f>_xlfn.XLOOKUP(A29,Master!#REF!,Master!G:G)</f>
        <v>#REF!</v>
      </c>
      <c r="W29">
        <v>27</v>
      </c>
      <c r="AA29">
        <v>1</v>
      </c>
      <c r="AB29">
        <v>14</v>
      </c>
      <c r="AC29" t="s">
        <v>594</v>
      </c>
      <c r="AD29" s="12">
        <v>0</v>
      </c>
      <c r="AE29" s="12">
        <v>1</v>
      </c>
      <c r="AI29" t="s">
        <v>456</v>
      </c>
      <c r="AJ29">
        <v>98</v>
      </c>
      <c r="AN29" s="12">
        <v>0</v>
      </c>
      <c r="AO29" s="12">
        <v>2</v>
      </c>
      <c r="AP29" s="12">
        <f t="shared" si="0"/>
        <v>2</v>
      </c>
    </row>
    <row r="30" spans="1:42" ht="16.25" customHeight="1" x14ac:dyDescent="0.2">
      <c r="A30" s="32" t="s">
        <v>653</v>
      </c>
      <c r="B30" s="32" t="s">
        <v>449</v>
      </c>
      <c r="C30" s="33" t="s">
        <v>654</v>
      </c>
      <c r="D30" s="33" t="s">
        <v>2355</v>
      </c>
      <c r="E30" s="32" t="s">
        <v>0</v>
      </c>
      <c r="F30" s="32"/>
      <c r="G30" s="32" t="s">
        <v>451</v>
      </c>
      <c r="H30" s="32"/>
      <c r="I30" s="30" t="s">
        <v>452</v>
      </c>
      <c r="J30" s="30" t="s">
        <v>453</v>
      </c>
      <c r="K30" s="30" t="s">
        <v>468</v>
      </c>
      <c r="L30" s="30" t="s">
        <v>455</v>
      </c>
      <c r="M30" s="15" t="s">
        <v>0</v>
      </c>
      <c r="N30" s="15">
        <v>0</v>
      </c>
      <c r="O30" s="15">
        <v>0</v>
      </c>
      <c r="P30" s="15">
        <v>0</v>
      </c>
      <c r="Q30" s="15">
        <v>1</v>
      </c>
      <c r="R30" s="31">
        <v>1</v>
      </c>
      <c r="S30" s="31">
        <v>15</v>
      </c>
      <c r="T30" t="e">
        <f>_xlfn.XLOOKUP(A30,Master!#REF!,Master!G:G)</f>
        <v>#REF!</v>
      </c>
      <c r="W30">
        <v>28</v>
      </c>
      <c r="AA30">
        <v>1</v>
      </c>
      <c r="AB30">
        <v>15</v>
      </c>
      <c r="AC30" t="s">
        <v>399</v>
      </c>
      <c r="AD30" s="12">
        <v>0</v>
      </c>
      <c r="AE30" s="12">
        <v>1</v>
      </c>
      <c r="AI30" t="s">
        <v>456</v>
      </c>
      <c r="AJ30">
        <v>99</v>
      </c>
      <c r="AN30" s="12">
        <v>0</v>
      </c>
      <c r="AO30" s="12">
        <v>2</v>
      </c>
      <c r="AP30" s="12">
        <f t="shared" si="0"/>
        <v>2</v>
      </c>
    </row>
    <row r="31" spans="1:42" ht="16.25" customHeight="1" x14ac:dyDescent="0.2">
      <c r="A31" s="10" t="s">
        <v>399</v>
      </c>
      <c r="B31" s="10" t="s">
        <v>449</v>
      </c>
      <c r="C31" s="29" t="s">
        <v>663</v>
      </c>
      <c r="D31" s="29" t="s">
        <v>400</v>
      </c>
      <c r="E31" s="10" t="s">
        <v>0</v>
      </c>
      <c r="F31" s="42"/>
      <c r="G31" s="10" t="s">
        <v>451</v>
      </c>
      <c r="H31" s="10" t="s">
        <v>672</v>
      </c>
      <c r="I31" s="30" t="s">
        <v>452</v>
      </c>
      <c r="J31" s="30" t="s">
        <v>453</v>
      </c>
      <c r="K31" s="30" t="s">
        <v>665</v>
      </c>
      <c r="L31" s="30" t="s">
        <v>455</v>
      </c>
      <c r="M31" s="18" t="s">
        <v>0</v>
      </c>
      <c r="N31" s="18">
        <v>0</v>
      </c>
      <c r="O31" s="18">
        <v>0</v>
      </c>
      <c r="P31" s="18">
        <v>0</v>
      </c>
      <c r="Q31" s="18">
        <v>1</v>
      </c>
      <c r="R31" s="31">
        <v>1</v>
      </c>
      <c r="S31" s="31">
        <v>15</v>
      </c>
      <c r="T31" t="e">
        <f>_xlfn.XLOOKUP(A31,Master!#REF!,Master!G:G)</f>
        <v>#REF!</v>
      </c>
      <c r="W31">
        <v>29</v>
      </c>
      <c r="AA31">
        <v>1</v>
      </c>
      <c r="AB31">
        <v>15</v>
      </c>
      <c r="AC31" t="s">
        <v>653</v>
      </c>
      <c r="AD31" s="12">
        <v>0</v>
      </c>
      <c r="AE31" s="12">
        <v>1</v>
      </c>
      <c r="AI31" t="s">
        <v>456</v>
      </c>
      <c r="AJ31">
        <v>100</v>
      </c>
      <c r="AN31" s="12">
        <v>0</v>
      </c>
      <c r="AO31" s="12">
        <v>2</v>
      </c>
      <c r="AP31" s="12">
        <f t="shared" si="0"/>
        <v>2</v>
      </c>
    </row>
    <row r="32" spans="1:42" ht="16.25" customHeight="1" x14ac:dyDescent="0.2">
      <c r="A32" s="10" t="s">
        <v>678</v>
      </c>
      <c r="B32" s="10" t="s">
        <v>449</v>
      </c>
      <c r="C32" s="29" t="s">
        <v>676</v>
      </c>
      <c r="D32" s="29" t="s">
        <v>677</v>
      </c>
      <c r="E32" s="10" t="s">
        <v>0</v>
      </c>
      <c r="F32" s="42"/>
      <c r="G32" s="10" t="s">
        <v>451</v>
      </c>
      <c r="H32" s="10"/>
      <c r="I32" s="30" t="s">
        <v>452</v>
      </c>
      <c r="J32" s="30" t="s">
        <v>453</v>
      </c>
      <c r="K32" s="30" t="s">
        <v>665</v>
      </c>
      <c r="L32" s="30" t="s">
        <v>455</v>
      </c>
      <c r="M32" s="18" t="s">
        <v>0</v>
      </c>
      <c r="N32" s="18">
        <v>0</v>
      </c>
      <c r="O32" s="18">
        <v>0</v>
      </c>
      <c r="P32" s="18">
        <v>0</v>
      </c>
      <c r="Q32" s="18">
        <v>1</v>
      </c>
      <c r="R32" s="31">
        <v>1</v>
      </c>
      <c r="S32" s="31">
        <v>16</v>
      </c>
      <c r="T32" t="e">
        <f>_xlfn.XLOOKUP(A32,Master!#REF!,Master!G:G)</f>
        <v>#REF!</v>
      </c>
      <c r="W32">
        <v>30</v>
      </c>
      <c r="AA32">
        <v>1</v>
      </c>
      <c r="AB32">
        <v>16</v>
      </c>
      <c r="AC32" t="s">
        <v>678</v>
      </c>
      <c r="AD32" s="12">
        <v>0</v>
      </c>
      <c r="AE32" s="12">
        <v>1</v>
      </c>
      <c r="AI32" t="s">
        <v>456</v>
      </c>
      <c r="AJ32">
        <v>101</v>
      </c>
      <c r="AN32" s="12">
        <v>0</v>
      </c>
      <c r="AO32" s="12">
        <v>2</v>
      </c>
      <c r="AP32" s="12">
        <f t="shared" si="0"/>
        <v>2</v>
      </c>
    </row>
    <row r="33" spans="1:42" ht="16.25" customHeight="1" x14ac:dyDescent="0.2">
      <c r="A33" s="32" t="s">
        <v>684</v>
      </c>
      <c r="B33" s="32" t="s">
        <v>449</v>
      </c>
      <c r="C33" s="33" t="s">
        <v>670</v>
      </c>
      <c r="D33" s="33" t="s">
        <v>671</v>
      </c>
      <c r="E33" s="32" t="s">
        <v>0</v>
      </c>
      <c r="F33" s="39"/>
      <c r="G33" s="32" t="s">
        <v>451</v>
      </c>
      <c r="H33" s="32"/>
      <c r="I33" s="30" t="s">
        <v>452</v>
      </c>
      <c r="J33" s="30" t="s">
        <v>453</v>
      </c>
      <c r="K33" s="30" t="s">
        <v>665</v>
      </c>
      <c r="L33" s="30" t="s">
        <v>455</v>
      </c>
      <c r="M33" s="15" t="s">
        <v>0</v>
      </c>
      <c r="N33" s="15">
        <v>0</v>
      </c>
      <c r="O33" s="15">
        <v>0</v>
      </c>
      <c r="P33" s="15">
        <v>0</v>
      </c>
      <c r="Q33" s="15">
        <v>1</v>
      </c>
      <c r="R33" s="31">
        <v>1</v>
      </c>
      <c r="S33" s="31">
        <v>16</v>
      </c>
      <c r="T33" t="e">
        <f>_xlfn.XLOOKUP(A33,Master!#REF!,Master!G:G)</f>
        <v>#REF!</v>
      </c>
      <c r="W33">
        <v>31</v>
      </c>
      <c r="AA33">
        <v>1</v>
      </c>
      <c r="AB33">
        <v>16</v>
      </c>
      <c r="AC33" t="s">
        <v>684</v>
      </c>
      <c r="AD33" s="12">
        <v>0</v>
      </c>
      <c r="AE33" s="12">
        <v>1</v>
      </c>
      <c r="AI33" t="s">
        <v>456</v>
      </c>
      <c r="AJ33">
        <v>102</v>
      </c>
      <c r="AN33" s="12">
        <v>0</v>
      </c>
      <c r="AO33" s="12">
        <v>2</v>
      </c>
      <c r="AP33" s="12">
        <f t="shared" si="0"/>
        <v>2</v>
      </c>
    </row>
    <row r="34" spans="1:42" ht="16.25" customHeight="1" x14ac:dyDescent="0.2">
      <c r="A34" s="10" t="s">
        <v>690</v>
      </c>
      <c r="B34" s="10" t="s">
        <v>449</v>
      </c>
      <c r="C34" s="29" t="s">
        <v>691</v>
      </c>
      <c r="D34" s="29" t="s">
        <v>1920</v>
      </c>
      <c r="E34" s="10" t="s">
        <v>0</v>
      </c>
      <c r="F34" s="10"/>
      <c r="G34" s="10" t="s">
        <v>451</v>
      </c>
      <c r="H34" s="10"/>
      <c r="I34" s="30" t="s">
        <v>452</v>
      </c>
      <c r="J34" s="30" t="s">
        <v>453</v>
      </c>
      <c r="K34" s="30" t="s">
        <v>692</v>
      </c>
      <c r="L34" s="30" t="s">
        <v>455</v>
      </c>
      <c r="M34" s="18" t="s">
        <v>0</v>
      </c>
      <c r="N34" s="18">
        <v>0</v>
      </c>
      <c r="O34" s="18">
        <v>0</v>
      </c>
      <c r="P34" s="18">
        <v>0</v>
      </c>
      <c r="Q34" s="18">
        <v>1</v>
      </c>
      <c r="R34" s="17">
        <v>7</v>
      </c>
      <c r="S34" s="17">
        <v>17</v>
      </c>
      <c r="T34" t="e">
        <f>_xlfn.XLOOKUP(A34,Master!#REF!,Master!G:G)</f>
        <v>#REF!</v>
      </c>
      <c r="W34">
        <v>32</v>
      </c>
      <c r="AA34">
        <v>1</v>
      </c>
      <c r="AB34">
        <v>85</v>
      </c>
      <c r="AC34" t="s">
        <v>489</v>
      </c>
      <c r="AD34" s="12">
        <v>0</v>
      </c>
      <c r="AE34" s="12">
        <v>1</v>
      </c>
      <c r="AI34" t="s">
        <v>456</v>
      </c>
      <c r="AJ34">
        <v>103</v>
      </c>
      <c r="AN34" s="12">
        <v>0</v>
      </c>
      <c r="AO34" s="12">
        <v>2</v>
      </c>
      <c r="AP34" s="12">
        <f t="shared" si="0"/>
        <v>2</v>
      </c>
    </row>
    <row r="35" spans="1:42" ht="16.25" customHeight="1" x14ac:dyDescent="0.2">
      <c r="A35" s="10" t="s">
        <v>732</v>
      </c>
      <c r="B35" s="10" t="s">
        <v>449</v>
      </c>
      <c r="C35" s="29" t="s">
        <v>733</v>
      </c>
      <c r="D35" s="29" t="s">
        <v>764</v>
      </c>
      <c r="E35" s="10" t="s">
        <v>0</v>
      </c>
      <c r="F35" s="10"/>
      <c r="G35" s="10" t="s">
        <v>451</v>
      </c>
      <c r="H35" s="10"/>
      <c r="I35" s="30" t="s">
        <v>452</v>
      </c>
      <c r="J35" s="30" t="s">
        <v>453</v>
      </c>
      <c r="K35" s="30" t="s">
        <v>726</v>
      </c>
      <c r="L35" s="30" t="s">
        <v>455</v>
      </c>
      <c r="M35" s="18" t="s">
        <v>0</v>
      </c>
      <c r="N35" s="18">
        <v>0</v>
      </c>
      <c r="O35" s="18">
        <v>0</v>
      </c>
      <c r="P35" s="18">
        <v>0</v>
      </c>
      <c r="Q35" s="18">
        <v>1</v>
      </c>
      <c r="R35" s="17">
        <v>2</v>
      </c>
      <c r="S35" s="17">
        <v>17</v>
      </c>
      <c r="T35" t="e">
        <f>_xlfn.XLOOKUP(A35,Master!#REF!,Master!G:G)</f>
        <v>#REF!</v>
      </c>
      <c r="W35">
        <v>33</v>
      </c>
      <c r="AA35">
        <v>1</v>
      </c>
      <c r="AB35">
        <v>85</v>
      </c>
      <c r="AC35" t="s">
        <v>497</v>
      </c>
      <c r="AD35" s="12">
        <v>0</v>
      </c>
      <c r="AE35" s="12">
        <v>1</v>
      </c>
      <c r="AI35" t="s">
        <v>456</v>
      </c>
      <c r="AJ35">
        <v>104</v>
      </c>
      <c r="AN35" s="12">
        <v>0</v>
      </c>
      <c r="AO35" s="12">
        <v>2</v>
      </c>
      <c r="AP35" s="12">
        <f t="shared" si="0"/>
        <v>2</v>
      </c>
    </row>
    <row r="36" spans="1:42" ht="16.25" customHeight="1" x14ac:dyDescent="0.2">
      <c r="A36" s="32" t="s">
        <v>697</v>
      </c>
      <c r="B36" s="32" t="s">
        <v>449</v>
      </c>
      <c r="C36" s="33" t="s">
        <v>698</v>
      </c>
      <c r="D36" s="33" t="s">
        <v>1929</v>
      </c>
      <c r="E36" s="32" t="s">
        <v>0</v>
      </c>
      <c r="F36" s="32"/>
      <c r="G36" s="32" t="s">
        <v>451</v>
      </c>
      <c r="H36" s="32"/>
      <c r="I36" s="30" t="s">
        <v>452</v>
      </c>
      <c r="J36" s="30" t="s">
        <v>453</v>
      </c>
      <c r="K36" s="30" t="s">
        <v>692</v>
      </c>
      <c r="L36" s="30" t="s">
        <v>455</v>
      </c>
      <c r="M36" s="15" t="s">
        <v>0</v>
      </c>
      <c r="N36" s="15">
        <v>0</v>
      </c>
      <c r="O36" s="15">
        <v>0</v>
      </c>
      <c r="P36" s="15">
        <v>0</v>
      </c>
      <c r="Q36" s="15">
        <v>1</v>
      </c>
      <c r="R36" s="17">
        <v>7</v>
      </c>
      <c r="S36" s="17">
        <v>18</v>
      </c>
      <c r="T36" t="e">
        <f>_xlfn.XLOOKUP(A36,Master!#REF!,Master!G:G)</f>
        <v>#REF!</v>
      </c>
      <c r="W36">
        <v>34</v>
      </c>
      <c r="AA36">
        <v>1</v>
      </c>
      <c r="AB36">
        <v>86</v>
      </c>
      <c r="AC36" t="s">
        <v>504</v>
      </c>
      <c r="AD36" s="12">
        <v>0</v>
      </c>
      <c r="AE36" s="12">
        <v>1</v>
      </c>
      <c r="AI36" t="s">
        <v>456</v>
      </c>
      <c r="AJ36">
        <v>116</v>
      </c>
      <c r="AN36" s="12">
        <v>0</v>
      </c>
      <c r="AO36" s="12">
        <v>2</v>
      </c>
      <c r="AP36" s="12">
        <f t="shared" si="0"/>
        <v>2</v>
      </c>
    </row>
    <row r="37" spans="1:42" ht="16.25" customHeight="1" x14ac:dyDescent="0.2">
      <c r="A37" s="10" t="s">
        <v>704</v>
      </c>
      <c r="B37" s="10" t="s">
        <v>449</v>
      </c>
      <c r="C37" s="29" t="s">
        <v>705</v>
      </c>
      <c r="D37" s="29" t="s">
        <v>1935</v>
      </c>
      <c r="E37" s="10" t="s">
        <v>0</v>
      </c>
      <c r="F37" s="10"/>
      <c r="G37" s="10" t="s">
        <v>451</v>
      </c>
      <c r="H37" s="10"/>
      <c r="I37" s="30" t="s">
        <v>452</v>
      </c>
      <c r="J37" s="30" t="s">
        <v>453</v>
      </c>
      <c r="K37" s="30" t="s">
        <v>692</v>
      </c>
      <c r="L37" s="30" t="s">
        <v>455</v>
      </c>
      <c r="M37" s="18" t="s">
        <v>0</v>
      </c>
      <c r="N37" s="18">
        <v>0</v>
      </c>
      <c r="O37" s="18">
        <v>0</v>
      </c>
      <c r="P37" s="18">
        <v>0</v>
      </c>
      <c r="Q37" s="18">
        <v>1</v>
      </c>
      <c r="R37" s="17">
        <v>7</v>
      </c>
      <c r="S37" s="17">
        <v>18</v>
      </c>
      <c r="T37" t="e">
        <f>_xlfn.XLOOKUP(A37,Master!#REF!,Master!G:G)</f>
        <v>#REF!</v>
      </c>
      <c r="W37">
        <v>35</v>
      </c>
      <c r="AA37">
        <v>1</v>
      </c>
      <c r="AB37">
        <v>90</v>
      </c>
      <c r="AC37" t="s">
        <v>665</v>
      </c>
      <c r="AD37" s="12">
        <v>0</v>
      </c>
      <c r="AE37" s="12">
        <v>1</v>
      </c>
      <c r="AI37" t="s">
        <v>456</v>
      </c>
      <c r="AJ37">
        <v>117</v>
      </c>
      <c r="AN37" s="12">
        <v>0</v>
      </c>
      <c r="AO37" s="12">
        <v>2</v>
      </c>
      <c r="AP37" s="12">
        <f t="shared" si="0"/>
        <v>2</v>
      </c>
    </row>
    <row r="38" spans="1:42" ht="16.25" customHeight="1" x14ac:dyDescent="0.2">
      <c r="A38" s="32" t="s">
        <v>710</v>
      </c>
      <c r="B38" s="32" t="s">
        <v>449</v>
      </c>
      <c r="C38" s="33" t="s">
        <v>711</v>
      </c>
      <c r="D38" s="33" t="s">
        <v>1943</v>
      </c>
      <c r="E38" s="32" t="s">
        <v>0</v>
      </c>
      <c r="F38" s="32"/>
      <c r="G38" s="32" t="s">
        <v>451</v>
      </c>
      <c r="H38" s="32"/>
      <c r="I38" s="30" t="s">
        <v>452</v>
      </c>
      <c r="J38" s="30" t="s">
        <v>453</v>
      </c>
      <c r="K38" s="30" t="s">
        <v>692</v>
      </c>
      <c r="L38" s="30" t="s">
        <v>455</v>
      </c>
      <c r="M38" s="15" t="s">
        <v>0</v>
      </c>
      <c r="N38" s="15">
        <v>0</v>
      </c>
      <c r="O38" s="15">
        <v>0</v>
      </c>
      <c r="P38" s="15">
        <v>0</v>
      </c>
      <c r="Q38" s="15">
        <v>1</v>
      </c>
      <c r="R38" s="17">
        <v>7</v>
      </c>
      <c r="S38" s="17">
        <v>19</v>
      </c>
      <c r="T38" t="e">
        <f>_xlfn.XLOOKUP(A38,Master!#REF!,Master!G:G)</f>
        <v>#REF!</v>
      </c>
      <c r="W38">
        <v>36</v>
      </c>
      <c r="AA38">
        <v>1</v>
      </c>
      <c r="AB38">
        <v>3</v>
      </c>
      <c r="AC38" t="s">
        <v>530</v>
      </c>
      <c r="AD38" s="12">
        <v>0</v>
      </c>
      <c r="AE38" s="12">
        <v>1</v>
      </c>
      <c r="AI38" t="s">
        <v>456</v>
      </c>
      <c r="AJ38">
        <v>118</v>
      </c>
      <c r="AN38" s="12">
        <v>0</v>
      </c>
      <c r="AO38" s="12">
        <v>2</v>
      </c>
      <c r="AP38" s="12">
        <f t="shared" si="0"/>
        <v>2</v>
      </c>
    </row>
    <row r="39" spans="1:42" ht="16.25" customHeight="1" x14ac:dyDescent="0.2">
      <c r="A39" s="43" t="s">
        <v>717</v>
      </c>
      <c r="B39" s="10" t="s">
        <v>449</v>
      </c>
      <c r="C39" s="10" t="s">
        <v>718</v>
      </c>
      <c r="D39" s="29" t="s">
        <v>1948</v>
      </c>
      <c r="E39" s="10" t="s">
        <v>0</v>
      </c>
      <c r="F39" s="10"/>
      <c r="G39" s="10" t="s">
        <v>451</v>
      </c>
      <c r="H39" s="10"/>
      <c r="I39" s="30" t="s">
        <v>452</v>
      </c>
      <c r="J39" s="30" t="s">
        <v>453</v>
      </c>
      <c r="K39" s="30" t="s">
        <v>692</v>
      </c>
      <c r="L39" s="30" t="s">
        <v>719</v>
      </c>
      <c r="M39" s="18" t="s">
        <v>0</v>
      </c>
      <c r="N39" s="18"/>
      <c r="O39" s="18"/>
      <c r="P39" s="18">
        <v>0</v>
      </c>
      <c r="Q39" s="18">
        <v>1</v>
      </c>
      <c r="R39" s="17">
        <v>7</v>
      </c>
      <c r="S39" s="17">
        <v>19</v>
      </c>
      <c r="T39" t="e">
        <f>_xlfn.XLOOKUP(A39,Master!#REF!,Master!G:G)</f>
        <v>#REF!</v>
      </c>
      <c r="W39">
        <v>37</v>
      </c>
      <c r="AA39">
        <v>1</v>
      </c>
      <c r="AB39">
        <v>3</v>
      </c>
      <c r="AC39" t="s">
        <v>537</v>
      </c>
      <c r="AD39" s="12">
        <v>0</v>
      </c>
      <c r="AE39" s="12">
        <v>1</v>
      </c>
      <c r="AI39" t="s">
        <v>456</v>
      </c>
      <c r="AJ39">
        <v>119</v>
      </c>
      <c r="AN39" s="12">
        <v>0</v>
      </c>
      <c r="AO39" s="12">
        <v>2</v>
      </c>
      <c r="AP39" s="12">
        <f t="shared" si="0"/>
        <v>2</v>
      </c>
    </row>
    <row r="40" spans="1:42" ht="16.25" customHeight="1" x14ac:dyDescent="0.2">
      <c r="A40" s="15" t="s">
        <v>724</v>
      </c>
      <c r="B40" s="15" t="s">
        <v>449</v>
      </c>
      <c r="C40" s="44" t="s">
        <v>725</v>
      </c>
      <c r="D40" s="44" t="s">
        <v>801</v>
      </c>
      <c r="E40" s="15" t="s">
        <v>0</v>
      </c>
      <c r="F40" s="15"/>
      <c r="G40" s="15" t="s">
        <v>451</v>
      </c>
      <c r="H40" s="15"/>
      <c r="I40" s="30" t="s">
        <v>452</v>
      </c>
      <c r="J40" s="30" t="s">
        <v>453</v>
      </c>
      <c r="K40" s="30" t="s">
        <v>726</v>
      </c>
      <c r="L40" s="30" t="s">
        <v>455</v>
      </c>
      <c r="M40" s="15" t="s">
        <v>0</v>
      </c>
      <c r="N40" s="15">
        <v>0</v>
      </c>
      <c r="O40" s="15">
        <v>0</v>
      </c>
      <c r="P40" s="15">
        <v>0</v>
      </c>
      <c r="Q40" s="15">
        <v>1</v>
      </c>
      <c r="R40" s="17">
        <v>2</v>
      </c>
      <c r="S40" s="17">
        <v>20</v>
      </c>
      <c r="T40" t="e">
        <f>_xlfn.XLOOKUP(A40,Master!#REF!,Master!G:G)</f>
        <v>#REF!</v>
      </c>
      <c r="W40">
        <v>38</v>
      </c>
      <c r="AA40">
        <v>1</v>
      </c>
      <c r="AB40">
        <v>73</v>
      </c>
      <c r="AC40" t="s">
        <v>641</v>
      </c>
      <c r="AD40" s="12">
        <v>2</v>
      </c>
      <c r="AE40" s="12">
        <v>3</v>
      </c>
      <c r="AI40" t="s">
        <v>456</v>
      </c>
      <c r="AJ40">
        <v>122</v>
      </c>
      <c r="AN40" s="12">
        <v>0</v>
      </c>
      <c r="AO40" s="12">
        <v>2</v>
      </c>
      <c r="AP40" s="12">
        <f t="shared" si="0"/>
        <v>2</v>
      </c>
    </row>
    <row r="41" spans="1:42" ht="16.25" customHeight="1" x14ac:dyDescent="0.2">
      <c r="A41" s="32" t="s">
        <v>738</v>
      </c>
      <c r="B41" s="32" t="s">
        <v>449</v>
      </c>
      <c r="C41" s="33" t="s">
        <v>739</v>
      </c>
      <c r="D41" s="33" t="s">
        <v>806</v>
      </c>
      <c r="E41" s="32" t="s">
        <v>0</v>
      </c>
      <c r="F41" s="32"/>
      <c r="G41" s="32" t="s">
        <v>451</v>
      </c>
      <c r="H41" s="32"/>
      <c r="I41" s="30" t="s">
        <v>452</v>
      </c>
      <c r="J41" s="30" t="s">
        <v>453</v>
      </c>
      <c r="K41" s="30" t="s">
        <v>726</v>
      </c>
      <c r="L41" s="30" t="s">
        <v>455</v>
      </c>
      <c r="M41" s="15" t="s">
        <v>0</v>
      </c>
      <c r="N41" s="15">
        <v>0</v>
      </c>
      <c r="O41" s="15">
        <v>0</v>
      </c>
      <c r="P41" s="15">
        <v>0</v>
      </c>
      <c r="Q41" s="15">
        <v>1</v>
      </c>
      <c r="R41" s="17">
        <v>2</v>
      </c>
      <c r="S41" s="17">
        <v>20</v>
      </c>
      <c r="T41" t="e">
        <f>_xlfn.XLOOKUP(A41,Master!#REF!,Master!G:G)</f>
        <v>#REF!</v>
      </c>
      <c r="W41">
        <v>39</v>
      </c>
      <c r="AA41" t="s">
        <v>2356</v>
      </c>
      <c r="AD41" s="12">
        <v>2</v>
      </c>
      <c r="AE41" s="12">
        <v>39</v>
      </c>
      <c r="AI41" t="s">
        <v>456</v>
      </c>
      <c r="AJ41">
        <v>123</v>
      </c>
      <c r="AN41" s="12">
        <v>0</v>
      </c>
      <c r="AO41" s="12">
        <v>3</v>
      </c>
      <c r="AP41" s="12">
        <f t="shared" si="0"/>
        <v>3</v>
      </c>
    </row>
    <row r="42" spans="1:42" ht="16.25" customHeight="1" x14ac:dyDescent="0.2">
      <c r="A42" s="18" t="s">
        <v>758</v>
      </c>
      <c r="B42" s="18" t="s">
        <v>449</v>
      </c>
      <c r="C42" s="41" t="s">
        <v>759</v>
      </c>
      <c r="D42" s="41" t="s">
        <v>815</v>
      </c>
      <c r="E42" s="18" t="s">
        <v>0</v>
      </c>
      <c r="F42" s="18"/>
      <c r="G42" s="18" t="s">
        <v>451</v>
      </c>
      <c r="H42" s="18"/>
      <c r="I42" s="30" t="s">
        <v>452</v>
      </c>
      <c r="J42" s="30" t="s">
        <v>453</v>
      </c>
      <c r="K42" s="30" t="s">
        <v>751</v>
      </c>
      <c r="L42" s="30" t="s">
        <v>455</v>
      </c>
      <c r="M42" s="18" t="s">
        <v>0</v>
      </c>
      <c r="N42" s="18">
        <v>0</v>
      </c>
      <c r="O42" s="18">
        <v>0</v>
      </c>
      <c r="P42" s="18">
        <v>0</v>
      </c>
      <c r="Q42" s="18">
        <v>1</v>
      </c>
      <c r="R42" s="17">
        <v>2</v>
      </c>
      <c r="S42" s="17">
        <v>21</v>
      </c>
      <c r="T42" t="e">
        <f>_xlfn.XLOOKUP(A42,Master!#REF!,Master!G:G)</f>
        <v>#REF!</v>
      </c>
      <c r="W42">
        <v>40</v>
      </c>
      <c r="AA42">
        <v>2</v>
      </c>
      <c r="AB42">
        <v>17</v>
      </c>
      <c r="AC42" t="s">
        <v>732</v>
      </c>
      <c r="AD42" s="12">
        <v>0</v>
      </c>
      <c r="AE42" s="12">
        <v>1</v>
      </c>
      <c r="AI42" t="s">
        <v>456</v>
      </c>
      <c r="AJ42">
        <v>124</v>
      </c>
      <c r="AN42" s="12">
        <v>0</v>
      </c>
      <c r="AO42" s="12">
        <v>2</v>
      </c>
      <c r="AP42" s="12">
        <f t="shared" si="0"/>
        <v>2</v>
      </c>
    </row>
    <row r="43" spans="1:42" ht="16.25" customHeight="1" x14ac:dyDescent="0.2">
      <c r="A43" s="18" t="s">
        <v>770</v>
      </c>
      <c r="B43" s="18" t="s">
        <v>449</v>
      </c>
      <c r="C43" s="41" t="s">
        <v>771</v>
      </c>
      <c r="D43" s="41" t="s">
        <v>811</v>
      </c>
      <c r="E43" s="18" t="s">
        <v>0</v>
      </c>
      <c r="F43" s="18"/>
      <c r="G43" s="18" t="s">
        <v>451</v>
      </c>
      <c r="H43" s="18"/>
      <c r="I43" s="30" t="s">
        <v>452</v>
      </c>
      <c r="J43" s="30" t="s">
        <v>453</v>
      </c>
      <c r="K43" s="30" t="s">
        <v>751</v>
      </c>
      <c r="L43" s="30" t="s">
        <v>455</v>
      </c>
      <c r="M43" s="18" t="s">
        <v>0</v>
      </c>
      <c r="N43" s="18">
        <v>0</v>
      </c>
      <c r="O43" s="18">
        <v>0</v>
      </c>
      <c r="P43" s="18">
        <v>0</v>
      </c>
      <c r="Q43" s="18">
        <v>1</v>
      </c>
      <c r="R43" s="17">
        <v>2</v>
      </c>
      <c r="S43" s="17">
        <v>21</v>
      </c>
      <c r="T43" t="e">
        <f>_xlfn.XLOOKUP(A43,Master!#REF!,Master!G:G)</f>
        <v>#REF!</v>
      </c>
      <c r="W43">
        <v>57</v>
      </c>
      <c r="AA43">
        <v>2</v>
      </c>
      <c r="AB43">
        <v>17</v>
      </c>
      <c r="AC43" t="s">
        <v>690</v>
      </c>
      <c r="AD43" s="12">
        <v>0</v>
      </c>
      <c r="AE43" s="12">
        <v>1</v>
      </c>
      <c r="AI43" t="s">
        <v>456</v>
      </c>
      <c r="AJ43">
        <v>125</v>
      </c>
      <c r="AN43" s="12">
        <v>0</v>
      </c>
      <c r="AO43" s="12">
        <v>2</v>
      </c>
      <c r="AP43" s="12">
        <f t="shared" si="0"/>
        <v>2</v>
      </c>
    </row>
    <row r="44" spans="1:42" ht="16.25" customHeight="1" x14ac:dyDescent="0.2">
      <c r="A44" s="15" t="s">
        <v>782</v>
      </c>
      <c r="B44" s="15" t="s">
        <v>449</v>
      </c>
      <c r="C44" s="44" t="s">
        <v>783</v>
      </c>
      <c r="D44" s="44" t="s">
        <v>822</v>
      </c>
      <c r="E44" s="15" t="s">
        <v>0</v>
      </c>
      <c r="F44" s="15"/>
      <c r="G44" s="15" t="s">
        <v>451</v>
      </c>
      <c r="H44" s="15"/>
      <c r="I44" s="30" t="s">
        <v>452</v>
      </c>
      <c r="J44" s="30" t="s">
        <v>453</v>
      </c>
      <c r="K44" s="30" t="s">
        <v>751</v>
      </c>
      <c r="L44" s="30" t="s">
        <v>455</v>
      </c>
      <c r="M44" s="15" t="s">
        <v>0</v>
      </c>
      <c r="N44" s="15">
        <v>0</v>
      </c>
      <c r="O44" s="15">
        <v>0</v>
      </c>
      <c r="P44" s="15">
        <v>0</v>
      </c>
      <c r="Q44" s="15">
        <v>1</v>
      </c>
      <c r="R44" s="17">
        <v>2</v>
      </c>
      <c r="S44" s="17">
        <v>22</v>
      </c>
      <c r="T44" t="e">
        <f>_xlfn.XLOOKUP(A44,Master!#REF!,Master!G:G)</f>
        <v>#REF!</v>
      </c>
      <c r="W44">
        <v>41</v>
      </c>
      <c r="AA44">
        <v>2</v>
      </c>
      <c r="AB44">
        <v>18</v>
      </c>
      <c r="AC44" t="s">
        <v>704</v>
      </c>
      <c r="AD44" s="12">
        <v>0</v>
      </c>
      <c r="AE44" s="12">
        <v>1</v>
      </c>
      <c r="AI44" t="s">
        <v>456</v>
      </c>
      <c r="AJ44">
        <v>126</v>
      </c>
      <c r="AN44" s="12">
        <v>0</v>
      </c>
      <c r="AO44" s="12">
        <v>2</v>
      </c>
      <c r="AP44" s="12">
        <f t="shared" si="0"/>
        <v>2</v>
      </c>
    </row>
    <row r="45" spans="1:42" ht="16.25" customHeight="1" x14ac:dyDescent="0.2">
      <c r="A45" s="18" t="s">
        <v>789</v>
      </c>
      <c r="B45" s="18" t="s">
        <v>449</v>
      </c>
      <c r="C45" s="41" t="s">
        <v>790</v>
      </c>
      <c r="D45" s="41" t="s">
        <v>827</v>
      </c>
      <c r="E45" s="18" t="s">
        <v>0</v>
      </c>
      <c r="F45" s="18"/>
      <c r="G45" s="18" t="s">
        <v>451</v>
      </c>
      <c r="H45" s="18"/>
      <c r="I45" s="30" t="s">
        <v>452</v>
      </c>
      <c r="J45" s="30" t="s">
        <v>453</v>
      </c>
      <c r="K45" s="30" t="s">
        <v>751</v>
      </c>
      <c r="L45" s="30" t="s">
        <v>455</v>
      </c>
      <c r="M45" s="18" t="s">
        <v>0</v>
      </c>
      <c r="N45" s="18">
        <v>0</v>
      </c>
      <c r="O45" s="18">
        <v>0</v>
      </c>
      <c r="P45" s="18">
        <v>0</v>
      </c>
      <c r="Q45" s="18">
        <v>1</v>
      </c>
      <c r="R45" s="17">
        <v>2</v>
      </c>
      <c r="S45" s="17">
        <v>22</v>
      </c>
      <c r="T45" t="e">
        <f>_xlfn.XLOOKUP(A45,Master!#REF!,Master!G:G)</f>
        <v>#REF!</v>
      </c>
      <c r="W45">
        <v>42</v>
      </c>
      <c r="AA45">
        <v>2</v>
      </c>
      <c r="AB45">
        <v>18</v>
      </c>
      <c r="AC45" t="s">
        <v>697</v>
      </c>
      <c r="AD45" s="12">
        <v>0</v>
      </c>
      <c r="AE45" s="12">
        <v>1</v>
      </c>
      <c r="AI45" t="s">
        <v>456</v>
      </c>
      <c r="AJ45">
        <v>127</v>
      </c>
      <c r="AN45" s="12">
        <v>0</v>
      </c>
      <c r="AO45" s="12">
        <v>2</v>
      </c>
      <c r="AP45" s="12">
        <f t="shared" si="0"/>
        <v>2</v>
      </c>
    </row>
    <row r="46" spans="1:42" ht="16.25" customHeight="1" x14ac:dyDescent="0.2">
      <c r="A46" s="32" t="s">
        <v>796</v>
      </c>
      <c r="B46" s="32" t="s">
        <v>449</v>
      </c>
      <c r="C46" s="33" t="s">
        <v>797</v>
      </c>
      <c r="D46" s="33" t="s">
        <v>832</v>
      </c>
      <c r="E46" s="32" t="s">
        <v>0</v>
      </c>
      <c r="F46" s="32"/>
      <c r="G46" s="32" t="s">
        <v>451</v>
      </c>
      <c r="H46" s="32"/>
      <c r="I46" s="30" t="s">
        <v>452</v>
      </c>
      <c r="J46" s="30" t="s">
        <v>453</v>
      </c>
      <c r="K46" s="30" t="s">
        <v>751</v>
      </c>
      <c r="L46" s="30" t="s">
        <v>455</v>
      </c>
      <c r="M46" s="15" t="s">
        <v>0</v>
      </c>
      <c r="N46" s="15">
        <v>0</v>
      </c>
      <c r="O46" s="15">
        <v>0</v>
      </c>
      <c r="P46" s="15">
        <v>0</v>
      </c>
      <c r="Q46" s="15">
        <v>1</v>
      </c>
      <c r="R46" s="17">
        <v>2</v>
      </c>
      <c r="S46" s="17">
        <v>23</v>
      </c>
      <c r="T46" t="e">
        <f>_xlfn.XLOOKUP(A46,Master!#REF!,Master!G:G)</f>
        <v>#REF!</v>
      </c>
      <c r="W46">
        <v>43</v>
      </c>
      <c r="AA46">
        <v>2</v>
      </c>
      <c r="AB46">
        <v>19</v>
      </c>
      <c r="AC46" t="s">
        <v>710</v>
      </c>
      <c r="AD46" s="12">
        <v>0</v>
      </c>
      <c r="AE46" s="12">
        <v>1</v>
      </c>
      <c r="AI46" t="s">
        <v>456</v>
      </c>
      <c r="AJ46">
        <v>128</v>
      </c>
      <c r="AN46" s="12">
        <v>0</v>
      </c>
      <c r="AO46" s="12">
        <v>2</v>
      </c>
      <c r="AP46" s="12">
        <f t="shared" si="0"/>
        <v>2</v>
      </c>
    </row>
    <row r="47" spans="1:42" ht="16.25" customHeight="1" x14ac:dyDescent="0.2">
      <c r="A47" s="10" t="s">
        <v>802</v>
      </c>
      <c r="B47" s="10" t="s">
        <v>449</v>
      </c>
      <c r="C47" s="29" t="s">
        <v>803</v>
      </c>
      <c r="D47" s="29" t="s">
        <v>837</v>
      </c>
      <c r="E47" s="10" t="s">
        <v>0</v>
      </c>
      <c r="F47" s="10"/>
      <c r="G47" s="10" t="s">
        <v>451</v>
      </c>
      <c r="H47" s="10"/>
      <c r="I47" s="30" t="s">
        <v>452</v>
      </c>
      <c r="J47" s="30" t="s">
        <v>453</v>
      </c>
      <c r="K47" s="30" t="s">
        <v>751</v>
      </c>
      <c r="L47" s="30" t="s">
        <v>455</v>
      </c>
      <c r="M47" s="18" t="s">
        <v>0</v>
      </c>
      <c r="N47" s="18">
        <v>0</v>
      </c>
      <c r="O47" s="18">
        <v>0</v>
      </c>
      <c r="P47" s="18">
        <v>0</v>
      </c>
      <c r="Q47" s="18">
        <v>1</v>
      </c>
      <c r="R47" s="17">
        <v>2</v>
      </c>
      <c r="S47" s="17">
        <v>23</v>
      </c>
      <c r="T47" t="e">
        <f>_xlfn.XLOOKUP(A47,Master!#REF!,Master!G:G)</f>
        <v>#REF!</v>
      </c>
      <c r="W47">
        <v>44</v>
      </c>
      <c r="AA47">
        <v>2</v>
      </c>
      <c r="AB47">
        <v>19</v>
      </c>
      <c r="AC47" t="s">
        <v>717</v>
      </c>
      <c r="AD47" s="12">
        <v>0</v>
      </c>
      <c r="AE47" s="12">
        <v>1</v>
      </c>
      <c r="AI47" t="s">
        <v>456</v>
      </c>
      <c r="AJ47">
        <v>129</v>
      </c>
      <c r="AN47" s="12">
        <v>0</v>
      </c>
      <c r="AO47" s="12">
        <v>2</v>
      </c>
      <c r="AP47" s="12">
        <f t="shared" si="0"/>
        <v>2</v>
      </c>
    </row>
    <row r="48" spans="1:42" ht="16.25" customHeight="1" x14ac:dyDescent="0.2">
      <c r="A48" s="32" t="s">
        <v>807</v>
      </c>
      <c r="B48" s="32" t="s">
        <v>449</v>
      </c>
      <c r="C48" s="33" t="s">
        <v>695</v>
      </c>
      <c r="D48" s="33" t="s">
        <v>696</v>
      </c>
      <c r="E48" s="32" t="s">
        <v>0</v>
      </c>
      <c r="F48" s="32"/>
      <c r="G48" s="32" t="s">
        <v>451</v>
      </c>
      <c r="H48" s="32"/>
      <c r="I48" s="30" t="s">
        <v>452</v>
      </c>
      <c r="J48" s="30" t="s">
        <v>453</v>
      </c>
      <c r="K48" s="30" t="s">
        <v>751</v>
      </c>
      <c r="L48" s="30" t="s">
        <v>455</v>
      </c>
      <c r="M48" s="15" t="s">
        <v>0</v>
      </c>
      <c r="N48" s="15">
        <v>0</v>
      </c>
      <c r="O48" s="15">
        <v>0</v>
      </c>
      <c r="P48" s="15">
        <v>0</v>
      </c>
      <c r="Q48" s="15">
        <v>1</v>
      </c>
      <c r="R48" s="17">
        <v>2</v>
      </c>
      <c r="S48" s="17">
        <v>24</v>
      </c>
      <c r="T48" t="e">
        <f>_xlfn.XLOOKUP(A48,Master!#REF!,Master!G:G)</f>
        <v>#REF!</v>
      </c>
      <c r="W48">
        <v>45</v>
      </c>
      <c r="AA48">
        <v>2</v>
      </c>
      <c r="AB48">
        <v>20</v>
      </c>
      <c r="AC48" t="s">
        <v>724</v>
      </c>
      <c r="AD48" s="12">
        <v>0</v>
      </c>
      <c r="AE48" s="12">
        <v>1</v>
      </c>
      <c r="AI48" t="s">
        <v>456</v>
      </c>
      <c r="AJ48">
        <v>130</v>
      </c>
      <c r="AN48" s="12">
        <v>0</v>
      </c>
      <c r="AO48" s="12">
        <v>2</v>
      </c>
      <c r="AP48" s="12">
        <f t="shared" si="0"/>
        <v>2</v>
      </c>
    </row>
    <row r="49" spans="1:42" ht="16.25" customHeight="1" x14ac:dyDescent="0.2">
      <c r="A49" s="10" t="s">
        <v>812</v>
      </c>
      <c r="B49" s="10" t="s">
        <v>449</v>
      </c>
      <c r="C49" s="29" t="s">
        <v>688</v>
      </c>
      <c r="D49" s="29" t="s">
        <v>689</v>
      </c>
      <c r="E49" s="10" t="s">
        <v>0</v>
      </c>
      <c r="F49" s="10"/>
      <c r="G49" s="10" t="s">
        <v>451</v>
      </c>
      <c r="H49" s="10"/>
      <c r="I49" s="30" t="s">
        <v>452</v>
      </c>
      <c r="J49" s="30" t="s">
        <v>453</v>
      </c>
      <c r="K49" s="30" t="s">
        <v>751</v>
      </c>
      <c r="L49" s="30" t="s">
        <v>455</v>
      </c>
      <c r="M49" s="18" t="s">
        <v>0</v>
      </c>
      <c r="N49" s="18">
        <v>0</v>
      </c>
      <c r="O49" s="18">
        <v>0</v>
      </c>
      <c r="P49" s="18">
        <v>0</v>
      </c>
      <c r="Q49" s="18">
        <v>1</v>
      </c>
      <c r="R49" s="17">
        <v>2</v>
      </c>
      <c r="S49" s="17">
        <v>24</v>
      </c>
      <c r="T49" t="e">
        <f>_xlfn.XLOOKUP(A49,Master!#REF!,Master!G:G)</f>
        <v>#REF!</v>
      </c>
      <c r="W49">
        <v>46</v>
      </c>
      <c r="AA49">
        <v>2</v>
      </c>
      <c r="AB49">
        <v>20</v>
      </c>
      <c r="AC49" t="s">
        <v>738</v>
      </c>
      <c r="AD49" s="12">
        <v>0</v>
      </c>
      <c r="AE49" s="12">
        <v>1</v>
      </c>
      <c r="AI49" t="s">
        <v>456</v>
      </c>
      <c r="AJ49">
        <v>131</v>
      </c>
      <c r="AN49" s="12">
        <v>0</v>
      </c>
      <c r="AO49" s="12">
        <v>2</v>
      </c>
      <c r="AP49" s="12">
        <f t="shared" si="0"/>
        <v>2</v>
      </c>
    </row>
    <row r="50" spans="1:42" ht="16.25" customHeight="1" x14ac:dyDescent="0.2">
      <c r="A50" s="32" t="s">
        <v>816</v>
      </c>
      <c r="B50" s="32" t="s">
        <v>449</v>
      </c>
      <c r="C50" s="33" t="s">
        <v>817</v>
      </c>
      <c r="D50" s="33" t="s">
        <v>842</v>
      </c>
      <c r="E50" s="32" t="s">
        <v>0</v>
      </c>
      <c r="F50" s="32"/>
      <c r="G50" s="32" t="s">
        <v>451</v>
      </c>
      <c r="H50" s="32"/>
      <c r="I50" s="30" t="s">
        <v>452</v>
      </c>
      <c r="J50" s="30" t="s">
        <v>453</v>
      </c>
      <c r="K50" s="30" t="s">
        <v>751</v>
      </c>
      <c r="L50" s="30" t="s">
        <v>455</v>
      </c>
      <c r="M50" s="15" t="s">
        <v>0</v>
      </c>
      <c r="N50" s="15">
        <v>0</v>
      </c>
      <c r="O50" s="15">
        <v>0</v>
      </c>
      <c r="P50" s="15">
        <v>0</v>
      </c>
      <c r="Q50" s="15">
        <v>1</v>
      </c>
      <c r="R50" s="17">
        <v>2</v>
      </c>
      <c r="S50" s="17">
        <v>25</v>
      </c>
      <c r="T50" t="e">
        <f>_xlfn.XLOOKUP(A50,Master!#REF!,Master!G:G)</f>
        <v>#REF!</v>
      </c>
      <c r="W50">
        <v>47</v>
      </c>
      <c r="AA50">
        <v>2</v>
      </c>
      <c r="AB50">
        <v>21</v>
      </c>
      <c r="AC50" t="s">
        <v>770</v>
      </c>
      <c r="AD50" s="12">
        <v>0</v>
      </c>
      <c r="AE50" s="12">
        <v>1</v>
      </c>
      <c r="AI50" t="s">
        <v>2312</v>
      </c>
      <c r="AJ50">
        <v>3</v>
      </c>
      <c r="AN50" s="12">
        <v>0</v>
      </c>
      <c r="AO50" s="12">
        <v>2</v>
      </c>
      <c r="AP50" s="12">
        <f t="shared" si="0"/>
        <v>2</v>
      </c>
    </row>
    <row r="51" spans="1:42" ht="16.25" customHeight="1" x14ac:dyDescent="0.2">
      <c r="A51" s="10" t="s">
        <v>823</v>
      </c>
      <c r="B51" s="10" t="s">
        <v>449</v>
      </c>
      <c r="C51" s="29" t="s">
        <v>824</v>
      </c>
      <c r="D51" s="29" t="s">
        <v>847</v>
      </c>
      <c r="E51" s="10" t="s">
        <v>0</v>
      </c>
      <c r="F51" s="10"/>
      <c r="G51" s="10" t="s">
        <v>451</v>
      </c>
      <c r="H51" s="10"/>
      <c r="I51" s="30" t="s">
        <v>452</v>
      </c>
      <c r="J51" s="30" t="s">
        <v>453</v>
      </c>
      <c r="K51" s="30" t="s">
        <v>751</v>
      </c>
      <c r="L51" s="30" t="s">
        <v>455</v>
      </c>
      <c r="M51" s="18" t="s">
        <v>0</v>
      </c>
      <c r="N51" s="18">
        <v>0</v>
      </c>
      <c r="O51" s="18">
        <v>0</v>
      </c>
      <c r="P51" s="18">
        <v>0</v>
      </c>
      <c r="Q51" s="18">
        <v>1</v>
      </c>
      <c r="R51" s="17">
        <v>2</v>
      </c>
      <c r="S51" s="17">
        <v>25</v>
      </c>
      <c r="T51" t="e">
        <f>_xlfn.XLOOKUP(A51,Master!#REF!,Master!G:G)</f>
        <v>#REF!</v>
      </c>
      <c r="W51">
        <v>48</v>
      </c>
      <c r="AA51">
        <v>2</v>
      </c>
      <c r="AB51">
        <v>21</v>
      </c>
      <c r="AC51" t="s">
        <v>758</v>
      </c>
      <c r="AD51" s="12">
        <v>0</v>
      </c>
      <c r="AE51" s="12">
        <v>1</v>
      </c>
      <c r="AI51" t="s">
        <v>2312</v>
      </c>
      <c r="AJ51">
        <v>4</v>
      </c>
      <c r="AN51" s="12">
        <v>0</v>
      </c>
      <c r="AO51" s="12">
        <v>2</v>
      </c>
      <c r="AP51" s="12">
        <f t="shared" si="0"/>
        <v>2</v>
      </c>
    </row>
    <row r="52" spans="1:42" ht="16.25" customHeight="1" x14ac:dyDescent="0.2">
      <c r="A52" s="32" t="s">
        <v>833</v>
      </c>
      <c r="B52" s="32" t="s">
        <v>449</v>
      </c>
      <c r="C52" s="33" t="s">
        <v>834</v>
      </c>
      <c r="D52" s="33" t="s">
        <v>853</v>
      </c>
      <c r="E52" s="32" t="s">
        <v>0</v>
      </c>
      <c r="F52" s="32"/>
      <c r="G52" s="32" t="s">
        <v>451</v>
      </c>
      <c r="H52" s="32"/>
      <c r="I52" s="30" t="s">
        <v>452</v>
      </c>
      <c r="J52" s="30" t="s">
        <v>453</v>
      </c>
      <c r="K52" s="30" t="s">
        <v>751</v>
      </c>
      <c r="L52" s="30" t="s">
        <v>455</v>
      </c>
      <c r="M52" s="15" t="s">
        <v>0</v>
      </c>
      <c r="N52" s="15">
        <v>0</v>
      </c>
      <c r="O52" s="15">
        <v>0</v>
      </c>
      <c r="P52" s="15">
        <v>0</v>
      </c>
      <c r="Q52" s="15">
        <v>1</v>
      </c>
      <c r="R52" s="17">
        <v>2</v>
      </c>
      <c r="S52" s="17">
        <v>26</v>
      </c>
      <c r="T52" t="e">
        <f>_xlfn.XLOOKUP(A52,Master!#REF!,Master!G:G)</f>
        <v>#REF!</v>
      </c>
      <c r="W52">
        <v>49</v>
      </c>
      <c r="AA52">
        <v>2</v>
      </c>
      <c r="AB52">
        <v>22</v>
      </c>
      <c r="AC52" t="s">
        <v>782</v>
      </c>
      <c r="AD52" s="12">
        <v>0</v>
      </c>
      <c r="AE52" s="12">
        <v>1</v>
      </c>
      <c r="AI52" t="s">
        <v>2312</v>
      </c>
      <c r="AJ52">
        <v>5</v>
      </c>
      <c r="AN52" s="12">
        <v>0</v>
      </c>
      <c r="AO52" s="12">
        <v>2</v>
      </c>
      <c r="AP52" s="12">
        <f t="shared" si="0"/>
        <v>2</v>
      </c>
    </row>
    <row r="53" spans="1:42" ht="16.25" customHeight="1" x14ac:dyDescent="0.2">
      <c r="A53" s="32" t="s">
        <v>843</v>
      </c>
      <c r="B53" s="32" t="s">
        <v>449</v>
      </c>
      <c r="C53" s="33" t="s">
        <v>844</v>
      </c>
      <c r="D53" s="33" t="s">
        <v>858</v>
      </c>
      <c r="E53" s="32" t="s">
        <v>0</v>
      </c>
      <c r="F53" s="39"/>
      <c r="G53" s="32" t="s">
        <v>451</v>
      </c>
      <c r="H53" s="32"/>
      <c r="I53" s="30" t="s">
        <v>452</v>
      </c>
      <c r="J53" s="30" t="s">
        <v>453</v>
      </c>
      <c r="K53" s="30" t="s">
        <v>751</v>
      </c>
      <c r="L53" s="30" t="s">
        <v>455</v>
      </c>
      <c r="M53" s="15" t="s">
        <v>0</v>
      </c>
      <c r="N53" s="15">
        <v>0</v>
      </c>
      <c r="O53" s="15">
        <v>0</v>
      </c>
      <c r="P53" s="15">
        <v>0</v>
      </c>
      <c r="Q53" s="15">
        <v>1</v>
      </c>
      <c r="R53" s="17">
        <v>2</v>
      </c>
      <c r="S53" s="17">
        <v>26</v>
      </c>
      <c r="T53" t="e">
        <f>_xlfn.XLOOKUP(A53,Master!#REF!,Master!G:G)</f>
        <v>#REF!</v>
      </c>
      <c r="W53">
        <v>50</v>
      </c>
      <c r="AA53">
        <v>2</v>
      </c>
      <c r="AB53">
        <v>22</v>
      </c>
      <c r="AC53" t="s">
        <v>789</v>
      </c>
      <c r="AD53" s="12">
        <v>0</v>
      </c>
      <c r="AE53" s="12">
        <v>1</v>
      </c>
      <c r="AI53" t="s">
        <v>2312</v>
      </c>
      <c r="AJ53">
        <v>6</v>
      </c>
      <c r="AN53" s="12">
        <v>0</v>
      </c>
      <c r="AO53" s="12">
        <v>2</v>
      </c>
      <c r="AP53" s="12">
        <f t="shared" si="0"/>
        <v>2</v>
      </c>
    </row>
    <row r="54" spans="1:42" ht="16.25" customHeight="1" x14ac:dyDescent="0.2">
      <c r="A54" s="10" t="s">
        <v>848</v>
      </c>
      <c r="B54" s="10" t="s">
        <v>449</v>
      </c>
      <c r="C54" s="29" t="s">
        <v>849</v>
      </c>
      <c r="D54" s="29" t="s">
        <v>868</v>
      </c>
      <c r="E54" s="10" t="s">
        <v>0</v>
      </c>
      <c r="F54" s="42"/>
      <c r="G54" s="10" t="s">
        <v>451</v>
      </c>
      <c r="H54" s="10"/>
      <c r="I54" s="30" t="s">
        <v>452</v>
      </c>
      <c r="J54" s="30" t="s">
        <v>453</v>
      </c>
      <c r="K54" s="30" t="s">
        <v>751</v>
      </c>
      <c r="L54" s="30" t="s">
        <v>455</v>
      </c>
      <c r="M54" s="18" t="s">
        <v>0</v>
      </c>
      <c r="N54" s="18">
        <v>0</v>
      </c>
      <c r="O54" s="18">
        <v>0</v>
      </c>
      <c r="P54" s="18">
        <v>0</v>
      </c>
      <c r="Q54" s="18">
        <v>1</v>
      </c>
      <c r="R54" s="17">
        <v>2</v>
      </c>
      <c r="S54" s="17">
        <v>27</v>
      </c>
      <c r="T54" t="e">
        <f>_xlfn.XLOOKUP(A54,Master!#REF!,Master!G:G)</f>
        <v>#REF!</v>
      </c>
      <c r="W54">
        <v>51</v>
      </c>
      <c r="AA54">
        <v>2</v>
      </c>
      <c r="AB54">
        <v>23</v>
      </c>
      <c r="AC54" t="s">
        <v>802</v>
      </c>
      <c r="AD54" s="12">
        <v>0</v>
      </c>
      <c r="AE54" s="12">
        <v>1</v>
      </c>
      <c r="AI54" t="s">
        <v>2312</v>
      </c>
      <c r="AJ54">
        <v>7</v>
      </c>
      <c r="AN54" s="12">
        <v>0</v>
      </c>
      <c r="AO54" s="12">
        <v>2</v>
      </c>
      <c r="AP54" s="12">
        <f t="shared" si="0"/>
        <v>2</v>
      </c>
    </row>
    <row r="55" spans="1:42" ht="16.25" customHeight="1" x14ac:dyDescent="0.2">
      <c r="A55" s="32" t="s">
        <v>854</v>
      </c>
      <c r="B55" s="32" t="s">
        <v>449</v>
      </c>
      <c r="C55" s="33" t="s">
        <v>855</v>
      </c>
      <c r="D55" s="33" t="s">
        <v>863</v>
      </c>
      <c r="E55" s="32" t="s">
        <v>0</v>
      </c>
      <c r="F55" s="39"/>
      <c r="G55" s="32" t="s">
        <v>451</v>
      </c>
      <c r="H55" s="32"/>
      <c r="I55" s="30" t="s">
        <v>452</v>
      </c>
      <c r="J55" s="30" t="s">
        <v>453</v>
      </c>
      <c r="K55" s="30" t="s">
        <v>751</v>
      </c>
      <c r="L55" s="30" t="s">
        <v>455</v>
      </c>
      <c r="M55" s="15" t="s">
        <v>0</v>
      </c>
      <c r="N55" s="15">
        <v>0</v>
      </c>
      <c r="O55" s="15">
        <v>0</v>
      </c>
      <c r="P55" s="15">
        <v>0</v>
      </c>
      <c r="Q55" s="15">
        <v>1</v>
      </c>
      <c r="R55" s="17">
        <v>2</v>
      </c>
      <c r="S55" s="17">
        <v>27</v>
      </c>
      <c r="T55" t="e">
        <f>_xlfn.XLOOKUP(A55,Master!#REF!,Master!G:G)</f>
        <v>#REF!</v>
      </c>
      <c r="W55">
        <v>52</v>
      </c>
      <c r="AA55">
        <v>2</v>
      </c>
      <c r="AB55">
        <v>23</v>
      </c>
      <c r="AC55" t="s">
        <v>796</v>
      </c>
      <c r="AD55" s="12">
        <v>0</v>
      </c>
      <c r="AE55" s="12">
        <v>1</v>
      </c>
      <c r="AI55" t="s">
        <v>2312</v>
      </c>
      <c r="AJ55">
        <v>8</v>
      </c>
      <c r="AN55" s="12">
        <v>0</v>
      </c>
      <c r="AO55" s="12">
        <v>2</v>
      </c>
      <c r="AP55" s="12">
        <f t="shared" si="0"/>
        <v>2</v>
      </c>
    </row>
    <row r="56" spans="1:42" ht="16.25" customHeight="1" x14ac:dyDescent="0.2">
      <c r="A56" s="32" t="s">
        <v>864</v>
      </c>
      <c r="B56" s="32" t="s">
        <v>449</v>
      </c>
      <c r="C56" s="33" t="s">
        <v>865</v>
      </c>
      <c r="D56" s="33" t="s">
        <v>880</v>
      </c>
      <c r="E56" s="32" t="s">
        <v>0</v>
      </c>
      <c r="F56" s="39"/>
      <c r="G56" s="32" t="s">
        <v>451</v>
      </c>
      <c r="H56" s="32"/>
      <c r="I56" s="30" t="s">
        <v>452</v>
      </c>
      <c r="J56" s="30" t="s">
        <v>453</v>
      </c>
      <c r="K56" s="30" t="s">
        <v>751</v>
      </c>
      <c r="L56" s="30" t="s">
        <v>455</v>
      </c>
      <c r="M56" s="15" t="s">
        <v>0</v>
      </c>
      <c r="N56" s="15">
        <v>0</v>
      </c>
      <c r="O56" s="15">
        <v>0</v>
      </c>
      <c r="P56" s="15">
        <v>0</v>
      </c>
      <c r="Q56" s="15">
        <v>1</v>
      </c>
      <c r="R56" s="17">
        <v>2</v>
      </c>
      <c r="S56" s="17">
        <v>28</v>
      </c>
      <c r="T56" t="e">
        <f>_xlfn.XLOOKUP(A56,Master!#REF!,Master!G:G)</f>
        <v>#REF!</v>
      </c>
      <c r="W56">
        <v>53</v>
      </c>
      <c r="Y56">
        <v>65</v>
      </c>
      <c r="AA56">
        <v>2</v>
      </c>
      <c r="AB56">
        <v>24</v>
      </c>
      <c r="AC56" t="s">
        <v>807</v>
      </c>
      <c r="AD56" s="12">
        <v>0</v>
      </c>
      <c r="AE56" s="12">
        <v>1</v>
      </c>
      <c r="AI56" t="s">
        <v>2312</v>
      </c>
      <c r="AJ56">
        <v>9</v>
      </c>
      <c r="AN56" s="12">
        <v>0</v>
      </c>
      <c r="AO56" s="12">
        <v>2</v>
      </c>
      <c r="AP56" s="12">
        <f t="shared" si="0"/>
        <v>2</v>
      </c>
    </row>
    <row r="57" spans="1:42" ht="16.25" customHeight="1" x14ac:dyDescent="0.2">
      <c r="A57" s="10" t="s">
        <v>869</v>
      </c>
      <c r="B57" s="10" t="s">
        <v>449</v>
      </c>
      <c r="C57" s="29" t="s">
        <v>113</v>
      </c>
      <c r="D57" s="29" t="s">
        <v>875</v>
      </c>
      <c r="E57" s="10" t="s">
        <v>0</v>
      </c>
      <c r="F57" s="42"/>
      <c r="G57" s="10" t="s">
        <v>451</v>
      </c>
      <c r="H57" s="10"/>
      <c r="I57" s="30" t="s">
        <v>452</v>
      </c>
      <c r="J57" s="30" t="s">
        <v>453</v>
      </c>
      <c r="K57" s="30" t="s">
        <v>751</v>
      </c>
      <c r="L57" s="30" t="s">
        <v>455</v>
      </c>
      <c r="M57" s="18" t="s">
        <v>0</v>
      </c>
      <c r="N57" s="18">
        <v>0</v>
      </c>
      <c r="O57" s="18">
        <v>0</v>
      </c>
      <c r="P57" s="18">
        <v>0</v>
      </c>
      <c r="Q57" s="18">
        <v>1</v>
      </c>
      <c r="R57" s="17">
        <v>2</v>
      </c>
      <c r="S57" s="17">
        <v>28</v>
      </c>
      <c r="T57" t="e">
        <f>_xlfn.XLOOKUP(A57,Master!#REF!,Master!G:G)</f>
        <v>#REF!</v>
      </c>
      <c r="W57">
        <v>54</v>
      </c>
      <c r="Y57">
        <v>66</v>
      </c>
      <c r="AA57">
        <v>2</v>
      </c>
      <c r="AB57">
        <v>24</v>
      </c>
      <c r="AC57" t="s">
        <v>812</v>
      </c>
      <c r="AD57" s="12">
        <v>0</v>
      </c>
      <c r="AE57" s="12">
        <v>1</v>
      </c>
      <c r="AI57" t="s">
        <v>2312</v>
      </c>
      <c r="AJ57">
        <v>10</v>
      </c>
      <c r="AN57" s="12">
        <v>0</v>
      </c>
      <c r="AO57" s="12">
        <v>2</v>
      </c>
      <c r="AP57" s="12">
        <f t="shared" si="0"/>
        <v>2</v>
      </c>
    </row>
    <row r="58" spans="1:42" ht="16.25" customHeight="1" x14ac:dyDescent="0.2">
      <c r="A58" s="32" t="s">
        <v>876</v>
      </c>
      <c r="B58" s="32" t="s">
        <v>449</v>
      </c>
      <c r="C58" s="33" t="s">
        <v>877</v>
      </c>
      <c r="D58" s="33" t="s">
        <v>890</v>
      </c>
      <c r="E58" s="32" t="s">
        <v>0</v>
      </c>
      <c r="F58" s="32"/>
      <c r="G58" s="32" t="s">
        <v>451</v>
      </c>
      <c r="H58" s="32"/>
      <c r="I58" s="30" t="s">
        <v>452</v>
      </c>
      <c r="J58" s="30" t="s">
        <v>453</v>
      </c>
      <c r="K58" s="30" t="s">
        <v>751</v>
      </c>
      <c r="L58" s="30" t="s">
        <v>455</v>
      </c>
      <c r="M58" s="15" t="s">
        <v>0</v>
      </c>
      <c r="N58" s="15">
        <v>0</v>
      </c>
      <c r="O58" s="15">
        <v>0</v>
      </c>
      <c r="P58" s="15">
        <v>0</v>
      </c>
      <c r="Q58" s="15">
        <v>1</v>
      </c>
      <c r="R58" s="17">
        <v>2</v>
      </c>
      <c r="S58" s="17">
        <v>29</v>
      </c>
      <c r="T58" t="e">
        <f>_xlfn.XLOOKUP(A58,Master!#REF!,Master!G:G)</f>
        <v>#REF!</v>
      </c>
      <c r="W58">
        <v>55</v>
      </c>
      <c r="Y58">
        <v>66</v>
      </c>
      <c r="AA58">
        <v>2</v>
      </c>
      <c r="AB58">
        <v>25</v>
      </c>
      <c r="AC58" t="s">
        <v>823</v>
      </c>
      <c r="AD58" s="12">
        <v>0</v>
      </c>
      <c r="AE58" s="12">
        <v>1</v>
      </c>
      <c r="AI58" t="s">
        <v>2312</v>
      </c>
      <c r="AJ58">
        <v>11</v>
      </c>
      <c r="AN58" s="12">
        <v>0</v>
      </c>
      <c r="AO58" s="12">
        <v>2</v>
      </c>
      <c r="AP58" s="12">
        <f t="shared" si="0"/>
        <v>2</v>
      </c>
    </row>
    <row r="59" spans="1:42" ht="16.25" customHeight="1" x14ac:dyDescent="0.2">
      <c r="A59" s="32" t="s">
        <v>887</v>
      </c>
      <c r="B59" s="32" t="s">
        <v>449</v>
      </c>
      <c r="C59" s="33" t="s">
        <v>885</v>
      </c>
      <c r="D59" s="33" t="s">
        <v>886</v>
      </c>
      <c r="E59" s="32" t="s">
        <v>0</v>
      </c>
      <c r="F59" s="32"/>
      <c r="G59" s="32" t="s">
        <v>451</v>
      </c>
      <c r="H59" s="32"/>
      <c r="I59" s="30" t="s">
        <v>452</v>
      </c>
      <c r="J59" s="30" t="s">
        <v>453</v>
      </c>
      <c r="K59" s="30" t="s">
        <v>751</v>
      </c>
      <c r="L59" s="30" t="s">
        <v>455</v>
      </c>
      <c r="M59" s="15" t="s">
        <v>0</v>
      </c>
      <c r="N59" s="15">
        <v>0</v>
      </c>
      <c r="O59" s="15">
        <v>0</v>
      </c>
      <c r="P59" s="15">
        <v>0</v>
      </c>
      <c r="Q59" s="15">
        <v>1</v>
      </c>
      <c r="R59" s="17">
        <v>2</v>
      </c>
      <c r="S59" s="17">
        <v>29</v>
      </c>
      <c r="T59" t="e">
        <f>_xlfn.XLOOKUP(A59,Master!#REF!,Master!G:G)</f>
        <v>#REF!</v>
      </c>
      <c r="W59">
        <v>56</v>
      </c>
      <c r="Y59">
        <v>67</v>
      </c>
      <c r="AA59">
        <v>2</v>
      </c>
      <c r="AB59">
        <v>25</v>
      </c>
      <c r="AC59" t="s">
        <v>816</v>
      </c>
      <c r="AD59" s="12">
        <v>0</v>
      </c>
      <c r="AE59" s="12">
        <v>1</v>
      </c>
      <c r="AI59" t="s">
        <v>2312</v>
      </c>
      <c r="AJ59">
        <v>12</v>
      </c>
      <c r="AN59" s="12">
        <v>0</v>
      </c>
      <c r="AO59" s="12">
        <v>2</v>
      </c>
      <c r="AP59" s="12">
        <f t="shared" si="0"/>
        <v>2</v>
      </c>
    </row>
    <row r="60" spans="1:42" ht="16.25" customHeight="1" x14ac:dyDescent="0.2">
      <c r="A60" s="43" t="s">
        <v>891</v>
      </c>
      <c r="B60" s="10" t="s">
        <v>449</v>
      </c>
      <c r="C60" s="29" t="s">
        <v>892</v>
      </c>
      <c r="D60" s="10" t="s">
        <v>2357</v>
      </c>
      <c r="E60" s="10" t="s">
        <v>0</v>
      </c>
      <c r="F60" s="10"/>
      <c r="G60" s="10" t="s">
        <v>451</v>
      </c>
      <c r="H60" s="10"/>
      <c r="I60" s="30" t="s">
        <v>452</v>
      </c>
      <c r="J60" s="30" t="s">
        <v>453</v>
      </c>
      <c r="K60" s="30" t="s">
        <v>751</v>
      </c>
      <c r="L60" s="30" t="s">
        <v>455</v>
      </c>
      <c r="M60" s="18" t="s">
        <v>0</v>
      </c>
      <c r="N60" s="18">
        <v>0</v>
      </c>
      <c r="O60" s="18">
        <v>0</v>
      </c>
      <c r="P60" s="18">
        <v>0</v>
      </c>
      <c r="Q60" s="18">
        <v>1</v>
      </c>
      <c r="R60" s="17">
        <v>2</v>
      </c>
      <c r="S60" s="17">
        <v>30</v>
      </c>
      <c r="T60" t="e">
        <f>_xlfn.XLOOKUP(A60,Master!#REF!,Master!G:G)</f>
        <v>#REF!</v>
      </c>
      <c r="W60">
        <v>58</v>
      </c>
      <c r="Y60">
        <v>67</v>
      </c>
      <c r="AA60">
        <v>2</v>
      </c>
      <c r="AB60">
        <v>26</v>
      </c>
      <c r="AC60" t="s">
        <v>833</v>
      </c>
      <c r="AD60" s="12">
        <v>0</v>
      </c>
      <c r="AE60" s="12">
        <v>1</v>
      </c>
      <c r="AI60" t="s">
        <v>2312</v>
      </c>
      <c r="AJ60">
        <v>13</v>
      </c>
      <c r="AN60" s="12">
        <v>0</v>
      </c>
      <c r="AO60" s="12">
        <v>2</v>
      </c>
      <c r="AP60" s="12">
        <f t="shared" si="0"/>
        <v>2</v>
      </c>
    </row>
    <row r="61" spans="1:42" ht="16.25" customHeight="1" x14ac:dyDescent="0.2">
      <c r="A61" s="32" t="s">
        <v>897</v>
      </c>
      <c r="B61" s="32" t="s">
        <v>449</v>
      </c>
      <c r="C61" s="33" t="s">
        <v>898</v>
      </c>
      <c r="D61" s="33" t="s">
        <v>903</v>
      </c>
      <c r="E61" s="32" t="s">
        <v>0</v>
      </c>
      <c r="F61" s="32"/>
      <c r="G61" s="32" t="s">
        <v>451</v>
      </c>
      <c r="H61" s="32" t="s">
        <v>899</v>
      </c>
      <c r="I61" s="30" t="s">
        <v>452</v>
      </c>
      <c r="J61" s="30" t="s">
        <v>453</v>
      </c>
      <c r="K61" s="30" t="s">
        <v>900</v>
      </c>
      <c r="L61" s="30" t="s">
        <v>455</v>
      </c>
      <c r="M61" s="15" t="s">
        <v>0</v>
      </c>
      <c r="N61" s="15">
        <v>0</v>
      </c>
      <c r="O61" s="15">
        <v>0</v>
      </c>
      <c r="P61" s="15">
        <v>0</v>
      </c>
      <c r="Q61" s="15">
        <v>1</v>
      </c>
      <c r="R61" s="17">
        <v>2</v>
      </c>
      <c r="S61" s="17">
        <v>30</v>
      </c>
      <c r="T61" t="e">
        <f>_xlfn.XLOOKUP(A61,Master!#REF!,Master!G:G)</f>
        <v>#REF!</v>
      </c>
      <c r="W61">
        <v>59</v>
      </c>
      <c r="AA61">
        <v>2</v>
      </c>
      <c r="AB61">
        <v>26</v>
      </c>
      <c r="AC61" t="s">
        <v>843</v>
      </c>
      <c r="AD61" s="12">
        <v>0</v>
      </c>
      <c r="AE61" s="12">
        <v>1</v>
      </c>
      <c r="AI61" t="s">
        <v>2312</v>
      </c>
      <c r="AJ61">
        <v>14</v>
      </c>
      <c r="AN61" s="12">
        <v>0</v>
      </c>
      <c r="AO61" s="12">
        <v>2</v>
      </c>
      <c r="AP61" s="12">
        <f t="shared" si="0"/>
        <v>2</v>
      </c>
    </row>
    <row r="62" spans="1:42" ht="16.25" customHeight="1" x14ac:dyDescent="0.2">
      <c r="A62" s="10" t="s">
        <v>745</v>
      </c>
      <c r="B62" s="10" t="s">
        <v>449</v>
      </c>
      <c r="C62" s="29" t="s">
        <v>708</v>
      </c>
      <c r="D62" s="29" t="s">
        <v>709</v>
      </c>
      <c r="E62" s="10" t="s">
        <v>0</v>
      </c>
      <c r="F62" s="10"/>
      <c r="G62" s="10" t="s">
        <v>451</v>
      </c>
      <c r="H62" s="10"/>
      <c r="I62" s="30" t="s">
        <v>452</v>
      </c>
      <c r="J62" s="30" t="s">
        <v>453</v>
      </c>
      <c r="K62" s="30" t="s">
        <v>726</v>
      </c>
      <c r="L62" s="30" t="s">
        <v>455</v>
      </c>
      <c r="M62" s="18" t="s">
        <v>0</v>
      </c>
      <c r="N62" s="18">
        <v>0</v>
      </c>
      <c r="O62" s="18">
        <v>0</v>
      </c>
      <c r="P62" s="18">
        <v>0</v>
      </c>
      <c r="Q62" s="18">
        <v>1</v>
      </c>
      <c r="R62" s="17">
        <v>2</v>
      </c>
      <c r="S62" s="17">
        <v>31</v>
      </c>
      <c r="T62" t="e">
        <f>_xlfn.XLOOKUP(A62,Master!#REF!,Master!G:G)</f>
        <v>#REF!</v>
      </c>
      <c r="W62">
        <v>60</v>
      </c>
      <c r="AA62">
        <v>2</v>
      </c>
      <c r="AB62">
        <v>27</v>
      </c>
      <c r="AC62" t="s">
        <v>848</v>
      </c>
      <c r="AD62" s="12">
        <v>0</v>
      </c>
      <c r="AE62" s="12">
        <v>1</v>
      </c>
      <c r="AI62" t="s">
        <v>2312</v>
      </c>
      <c r="AJ62">
        <v>15</v>
      </c>
      <c r="AN62" s="12">
        <v>0</v>
      </c>
      <c r="AO62" s="12">
        <v>2</v>
      </c>
      <c r="AP62" s="12">
        <f t="shared" si="0"/>
        <v>2</v>
      </c>
    </row>
    <row r="63" spans="1:42" ht="16.25" customHeight="1" x14ac:dyDescent="0.2">
      <c r="A63" s="15" t="s">
        <v>750</v>
      </c>
      <c r="B63" s="15" t="s">
        <v>449</v>
      </c>
      <c r="C63" s="44" t="s">
        <v>702</v>
      </c>
      <c r="D63" s="44" t="s">
        <v>703</v>
      </c>
      <c r="E63" s="15" t="s">
        <v>0</v>
      </c>
      <c r="F63" s="15"/>
      <c r="G63" s="15" t="s">
        <v>451</v>
      </c>
      <c r="H63" s="15"/>
      <c r="I63" s="30" t="s">
        <v>452</v>
      </c>
      <c r="J63" s="30" t="s">
        <v>453</v>
      </c>
      <c r="K63" s="30" t="s">
        <v>751</v>
      </c>
      <c r="L63" s="30" t="s">
        <v>455</v>
      </c>
      <c r="M63" s="15" t="s">
        <v>0</v>
      </c>
      <c r="N63" s="15">
        <v>0</v>
      </c>
      <c r="O63" s="15">
        <v>0</v>
      </c>
      <c r="P63" s="15">
        <v>0</v>
      </c>
      <c r="Q63" s="15">
        <v>1</v>
      </c>
      <c r="R63" s="17">
        <v>2</v>
      </c>
      <c r="S63" s="17">
        <v>31</v>
      </c>
      <c r="T63" t="e">
        <f>_xlfn.XLOOKUP(A63,Master!#REF!,Master!G:G)</f>
        <v>#REF!</v>
      </c>
      <c r="W63">
        <v>62</v>
      </c>
      <c r="AA63">
        <v>2</v>
      </c>
      <c r="AB63">
        <v>27</v>
      </c>
      <c r="AC63" t="s">
        <v>854</v>
      </c>
      <c r="AD63" s="12">
        <v>0</v>
      </c>
      <c r="AE63" s="12">
        <v>1</v>
      </c>
      <c r="AI63" t="s">
        <v>2312</v>
      </c>
      <c r="AJ63">
        <v>16</v>
      </c>
      <c r="AN63" s="12">
        <v>0</v>
      </c>
      <c r="AO63" s="12">
        <v>2</v>
      </c>
      <c r="AP63" s="12">
        <f t="shared" si="0"/>
        <v>2</v>
      </c>
    </row>
    <row r="64" spans="1:42" ht="16.25" customHeight="1" x14ac:dyDescent="0.2">
      <c r="A64" s="15" t="s">
        <v>765</v>
      </c>
      <c r="B64" s="15" t="s">
        <v>449</v>
      </c>
      <c r="C64" s="44" t="s">
        <v>722</v>
      </c>
      <c r="D64" s="44" t="s">
        <v>723</v>
      </c>
      <c r="E64" s="15" t="s">
        <v>0</v>
      </c>
      <c r="F64" s="15"/>
      <c r="G64" s="15" t="s">
        <v>451</v>
      </c>
      <c r="H64" s="15"/>
      <c r="I64" s="30" t="s">
        <v>452</v>
      </c>
      <c r="J64" s="30" t="s">
        <v>453</v>
      </c>
      <c r="K64" s="30" t="s">
        <v>751</v>
      </c>
      <c r="L64" s="30" t="s">
        <v>455</v>
      </c>
      <c r="M64" s="15" t="s">
        <v>0</v>
      </c>
      <c r="N64" s="15">
        <v>0</v>
      </c>
      <c r="O64" s="15">
        <v>0</v>
      </c>
      <c r="P64" s="15">
        <v>0</v>
      </c>
      <c r="Q64" s="15">
        <v>1</v>
      </c>
      <c r="R64" s="17">
        <v>2</v>
      </c>
      <c r="S64" s="17">
        <v>32</v>
      </c>
      <c r="T64" t="e">
        <f>_xlfn.XLOOKUP(A64,Master!#REF!,Master!G:G)</f>
        <v>#REF!</v>
      </c>
      <c r="W64">
        <v>61</v>
      </c>
      <c r="AA64">
        <v>2</v>
      </c>
      <c r="AB64">
        <v>28</v>
      </c>
      <c r="AC64" t="s">
        <v>869</v>
      </c>
      <c r="AD64" s="12">
        <v>0</v>
      </c>
      <c r="AE64" s="12">
        <v>1</v>
      </c>
      <c r="AI64" t="s">
        <v>2312</v>
      </c>
      <c r="AJ64">
        <v>17</v>
      </c>
      <c r="AN64" s="12">
        <v>0</v>
      </c>
      <c r="AO64" s="12">
        <v>2</v>
      </c>
      <c r="AP64" s="12">
        <f t="shared" si="0"/>
        <v>2</v>
      </c>
    </row>
    <row r="65" spans="1:42" ht="16.25" customHeight="1" x14ac:dyDescent="0.2">
      <c r="A65" s="18" t="s">
        <v>777</v>
      </c>
      <c r="B65" s="18" t="s">
        <v>449</v>
      </c>
      <c r="C65" s="41" t="s">
        <v>715</v>
      </c>
      <c r="D65" s="41" t="s">
        <v>716</v>
      </c>
      <c r="E65" s="18" t="s">
        <v>0</v>
      </c>
      <c r="F65" s="18"/>
      <c r="G65" s="18" t="s">
        <v>451</v>
      </c>
      <c r="H65" s="18"/>
      <c r="I65" s="30" t="s">
        <v>452</v>
      </c>
      <c r="J65" s="30" t="s">
        <v>453</v>
      </c>
      <c r="K65" s="30" t="s">
        <v>751</v>
      </c>
      <c r="L65" s="30" t="s">
        <v>455</v>
      </c>
      <c r="M65" s="18" t="s">
        <v>0</v>
      </c>
      <c r="N65" s="18">
        <v>0</v>
      </c>
      <c r="O65" s="18">
        <v>0</v>
      </c>
      <c r="P65" s="18">
        <v>0</v>
      </c>
      <c r="Q65" s="18">
        <v>1</v>
      </c>
      <c r="R65" s="17">
        <v>2</v>
      </c>
      <c r="S65" s="17">
        <v>32</v>
      </c>
      <c r="T65" t="e">
        <f>_xlfn.XLOOKUP(A65,Master!#REF!,Master!G:G)</f>
        <v>#REF!</v>
      </c>
      <c r="W65">
        <v>69</v>
      </c>
      <c r="AA65">
        <v>2</v>
      </c>
      <c r="AB65">
        <v>28</v>
      </c>
      <c r="AC65" t="s">
        <v>864</v>
      </c>
      <c r="AD65" s="12">
        <v>0</v>
      </c>
      <c r="AE65" s="12">
        <v>1</v>
      </c>
      <c r="AI65" t="s">
        <v>2312</v>
      </c>
      <c r="AJ65">
        <v>18</v>
      </c>
      <c r="AN65" s="12">
        <v>0</v>
      </c>
      <c r="AO65" s="12">
        <v>2</v>
      </c>
      <c r="AP65" s="12">
        <f t="shared" si="0"/>
        <v>2</v>
      </c>
    </row>
    <row r="66" spans="1:42" ht="16.25" customHeight="1" x14ac:dyDescent="0.2">
      <c r="A66" s="10" t="s">
        <v>828</v>
      </c>
      <c r="B66" s="10" t="s">
        <v>449</v>
      </c>
      <c r="C66" s="29" t="s">
        <v>730</v>
      </c>
      <c r="D66" s="29" t="s">
        <v>731</v>
      </c>
      <c r="E66" s="10" t="s">
        <v>0</v>
      </c>
      <c r="F66" s="10"/>
      <c r="G66" s="10" t="s">
        <v>451</v>
      </c>
      <c r="H66" s="10"/>
      <c r="I66" s="30" t="s">
        <v>452</v>
      </c>
      <c r="J66" s="30" t="s">
        <v>453</v>
      </c>
      <c r="K66" s="30" t="s">
        <v>751</v>
      </c>
      <c r="L66" s="30" t="s">
        <v>455</v>
      </c>
      <c r="M66" s="18" t="s">
        <v>0</v>
      </c>
      <c r="N66" s="18">
        <v>0</v>
      </c>
      <c r="O66" s="18">
        <v>0</v>
      </c>
      <c r="P66" s="18">
        <v>0</v>
      </c>
      <c r="Q66" s="18">
        <v>1</v>
      </c>
      <c r="R66" s="17">
        <v>2</v>
      </c>
      <c r="S66" s="17">
        <v>33</v>
      </c>
      <c r="T66" t="e">
        <f>_xlfn.XLOOKUP(A66,Master!#REF!,Master!G:G)</f>
        <v>#REF!</v>
      </c>
      <c r="W66">
        <v>63</v>
      </c>
      <c r="AA66">
        <v>2</v>
      </c>
      <c r="AB66">
        <v>29</v>
      </c>
      <c r="AC66" t="s">
        <v>887</v>
      </c>
      <c r="AD66" s="12">
        <v>0</v>
      </c>
      <c r="AE66" s="12">
        <v>1</v>
      </c>
      <c r="AI66" t="s">
        <v>2312</v>
      </c>
      <c r="AJ66">
        <v>19</v>
      </c>
      <c r="AN66" s="12">
        <v>0</v>
      </c>
      <c r="AO66" s="12">
        <v>2</v>
      </c>
      <c r="AP66" s="12">
        <f t="shared" si="0"/>
        <v>2</v>
      </c>
    </row>
    <row r="67" spans="1:42" ht="16.25" customHeight="1" x14ac:dyDescent="0.2">
      <c r="A67" s="10" t="s">
        <v>881</v>
      </c>
      <c r="B67" s="10" t="s">
        <v>449</v>
      </c>
      <c r="C67" s="29" t="s">
        <v>736</v>
      </c>
      <c r="D67" s="29" t="s">
        <v>737</v>
      </c>
      <c r="E67" s="10" t="s">
        <v>0</v>
      </c>
      <c r="F67" s="10"/>
      <c r="G67" s="10" t="s">
        <v>451</v>
      </c>
      <c r="H67" s="10"/>
      <c r="I67" s="30" t="s">
        <v>452</v>
      </c>
      <c r="J67" s="30" t="s">
        <v>453</v>
      </c>
      <c r="K67" s="30" t="s">
        <v>751</v>
      </c>
      <c r="L67" s="30" t="s">
        <v>455</v>
      </c>
      <c r="M67" s="18" t="s">
        <v>0</v>
      </c>
      <c r="N67" s="18">
        <v>0</v>
      </c>
      <c r="O67" s="18">
        <v>0</v>
      </c>
      <c r="P67" s="18">
        <v>0</v>
      </c>
      <c r="Q67" s="18">
        <v>1</v>
      </c>
      <c r="R67" s="17">
        <v>2</v>
      </c>
      <c r="S67" s="17">
        <v>33</v>
      </c>
      <c r="T67" t="e">
        <f>_xlfn.XLOOKUP(A67,Master!#REF!,Master!G:G)</f>
        <v>#REF!</v>
      </c>
      <c r="W67">
        <v>64</v>
      </c>
      <c r="AA67">
        <v>2</v>
      </c>
      <c r="AB67">
        <v>29</v>
      </c>
      <c r="AC67" t="s">
        <v>876</v>
      </c>
      <c r="AD67" s="12">
        <v>0</v>
      </c>
      <c r="AE67" s="12">
        <v>1</v>
      </c>
      <c r="AI67" t="s">
        <v>2312</v>
      </c>
      <c r="AJ67">
        <v>20</v>
      </c>
      <c r="AN67" s="12">
        <v>0</v>
      </c>
      <c r="AO67" s="12">
        <v>2</v>
      </c>
      <c r="AP67" s="12">
        <f t="shared" si="0"/>
        <v>2</v>
      </c>
    </row>
    <row r="68" spans="1:42" ht="16.25" customHeight="1" x14ac:dyDescent="0.2">
      <c r="A68" s="10" t="s">
        <v>838</v>
      </c>
      <c r="B68" s="10" t="s">
        <v>449</v>
      </c>
      <c r="C68" s="29" t="s">
        <v>743</v>
      </c>
      <c r="D68" s="29" t="s">
        <v>744</v>
      </c>
      <c r="E68" s="10" t="s">
        <v>0</v>
      </c>
      <c r="F68" s="10"/>
      <c r="G68" s="10" t="s">
        <v>451</v>
      </c>
      <c r="H68" s="10"/>
      <c r="I68" s="30" t="s">
        <v>452</v>
      </c>
      <c r="J68" s="30" t="s">
        <v>453</v>
      </c>
      <c r="K68" s="30" t="s">
        <v>751</v>
      </c>
      <c r="L68" s="30" t="s">
        <v>455</v>
      </c>
      <c r="M68" s="18" t="s">
        <v>0</v>
      </c>
      <c r="N68" s="18">
        <v>0</v>
      </c>
      <c r="O68" s="18">
        <v>0</v>
      </c>
      <c r="P68" s="18">
        <v>0</v>
      </c>
      <c r="Q68" s="18">
        <v>1</v>
      </c>
      <c r="R68" s="17">
        <v>2</v>
      </c>
      <c r="S68" s="17">
        <v>34</v>
      </c>
      <c r="T68" t="e">
        <f>_xlfn.XLOOKUP(A68,Master!#REF!,Master!G:G)</f>
        <v>#REF!</v>
      </c>
      <c r="W68">
        <v>65</v>
      </c>
      <c r="AA68">
        <v>2</v>
      </c>
      <c r="AB68">
        <v>30</v>
      </c>
      <c r="AC68" t="s">
        <v>897</v>
      </c>
      <c r="AD68" s="12">
        <v>0</v>
      </c>
      <c r="AE68" s="12">
        <v>1</v>
      </c>
      <c r="AI68" t="s">
        <v>2312</v>
      </c>
      <c r="AJ68">
        <v>21</v>
      </c>
      <c r="AN68" s="12">
        <v>0</v>
      </c>
      <c r="AO68" s="12">
        <v>2</v>
      </c>
      <c r="AP68" s="12">
        <f t="shared" si="0"/>
        <v>2</v>
      </c>
    </row>
    <row r="69" spans="1:42" ht="16.25" customHeight="1" x14ac:dyDescent="0.2">
      <c r="A69" s="10" t="s">
        <v>859</v>
      </c>
      <c r="B69" s="10" t="s">
        <v>449</v>
      </c>
      <c r="C69" s="29" t="s">
        <v>748</v>
      </c>
      <c r="D69" s="29" t="s">
        <v>749</v>
      </c>
      <c r="E69" s="10" t="s">
        <v>0</v>
      </c>
      <c r="F69" s="42"/>
      <c r="G69" s="10" t="s">
        <v>451</v>
      </c>
      <c r="H69" s="10"/>
      <c r="I69" s="30" t="s">
        <v>452</v>
      </c>
      <c r="J69" s="30" t="s">
        <v>453</v>
      </c>
      <c r="K69" s="30" t="s">
        <v>751</v>
      </c>
      <c r="L69" s="30" t="s">
        <v>455</v>
      </c>
      <c r="M69" s="18" t="s">
        <v>0</v>
      </c>
      <c r="N69" s="18">
        <v>0</v>
      </c>
      <c r="O69" s="18">
        <v>0</v>
      </c>
      <c r="P69" s="18">
        <v>0</v>
      </c>
      <c r="Q69" s="18">
        <v>1</v>
      </c>
      <c r="R69" s="17">
        <v>2</v>
      </c>
      <c r="S69" s="17">
        <v>34</v>
      </c>
      <c r="T69" t="e">
        <f>_xlfn.XLOOKUP(A69,Master!#REF!,Master!G:G)</f>
        <v>#REF!</v>
      </c>
      <c r="W69">
        <v>66</v>
      </c>
      <c r="AA69">
        <v>2</v>
      </c>
      <c r="AB69">
        <v>30</v>
      </c>
      <c r="AC69" t="s">
        <v>891</v>
      </c>
      <c r="AD69" s="12">
        <v>0</v>
      </c>
      <c r="AE69" s="12">
        <v>1</v>
      </c>
      <c r="AI69" t="s">
        <v>2312</v>
      </c>
      <c r="AJ69">
        <v>22</v>
      </c>
      <c r="AN69" s="12">
        <v>0</v>
      </c>
      <c r="AO69" s="12">
        <v>2</v>
      </c>
      <c r="AP69" s="12">
        <f t="shared" ref="AP69:AP132" si="1">AO69</f>
        <v>2</v>
      </c>
    </row>
    <row r="70" spans="1:42" ht="16.25" customHeight="1" x14ac:dyDescent="0.2">
      <c r="A70" s="18" t="s">
        <v>924</v>
      </c>
      <c r="B70" s="18" t="s">
        <v>449</v>
      </c>
      <c r="C70" s="41" t="s">
        <v>925</v>
      </c>
      <c r="D70" s="41" t="s">
        <v>1005</v>
      </c>
      <c r="E70" s="18" t="s">
        <v>0</v>
      </c>
      <c r="F70" s="18"/>
      <c r="G70" s="18" t="s">
        <v>451</v>
      </c>
      <c r="H70" s="18"/>
      <c r="I70" s="30" t="s">
        <v>452</v>
      </c>
      <c r="J70" s="30" t="s">
        <v>453</v>
      </c>
      <c r="K70" s="30" t="s">
        <v>919</v>
      </c>
      <c r="L70" s="30" t="s">
        <v>455</v>
      </c>
      <c r="M70" s="18" t="s">
        <v>0</v>
      </c>
      <c r="N70" s="18">
        <v>0</v>
      </c>
      <c r="O70" s="18">
        <v>0</v>
      </c>
      <c r="P70" s="18">
        <v>0</v>
      </c>
      <c r="Q70" s="18">
        <v>1</v>
      </c>
      <c r="R70" s="62">
        <v>3</v>
      </c>
      <c r="S70" s="62">
        <v>35</v>
      </c>
      <c r="T70" t="e">
        <f>_xlfn.XLOOKUP(A70,Master!#REF!,Master!G:G)</f>
        <v>#REF!</v>
      </c>
      <c r="W70">
        <v>67</v>
      </c>
      <c r="AA70">
        <v>2</v>
      </c>
      <c r="AB70">
        <v>31</v>
      </c>
      <c r="AC70" t="s">
        <v>750</v>
      </c>
      <c r="AD70" s="12">
        <v>0</v>
      </c>
      <c r="AE70" s="12">
        <v>1</v>
      </c>
      <c r="AI70" t="s">
        <v>2312</v>
      </c>
      <c r="AJ70">
        <v>23</v>
      </c>
      <c r="AN70" s="12">
        <v>0</v>
      </c>
      <c r="AO70" s="12">
        <v>2</v>
      </c>
      <c r="AP70" s="12">
        <f t="shared" si="1"/>
        <v>2</v>
      </c>
    </row>
    <row r="71" spans="1:42" ht="16.25" customHeight="1" x14ac:dyDescent="0.2">
      <c r="A71" s="32" t="s">
        <v>945</v>
      </c>
      <c r="B71" s="32" t="s">
        <v>449</v>
      </c>
      <c r="C71" s="33" t="s">
        <v>946</v>
      </c>
      <c r="D71" s="33" t="s">
        <v>1000</v>
      </c>
      <c r="E71" s="32" t="s">
        <v>0</v>
      </c>
      <c r="F71" s="32"/>
      <c r="G71" s="32" t="s">
        <v>451</v>
      </c>
      <c r="H71" s="32"/>
      <c r="I71" s="30" t="s">
        <v>452</v>
      </c>
      <c r="J71" s="30" t="s">
        <v>453</v>
      </c>
      <c r="K71" s="30" t="s">
        <v>900</v>
      </c>
      <c r="L71" s="30" t="s">
        <v>455</v>
      </c>
      <c r="M71" s="15" t="s">
        <v>0</v>
      </c>
      <c r="N71" s="15">
        <v>0</v>
      </c>
      <c r="O71" s="15">
        <v>0</v>
      </c>
      <c r="P71" s="15">
        <v>0</v>
      </c>
      <c r="Q71" s="15">
        <v>1</v>
      </c>
      <c r="R71" s="62">
        <v>3</v>
      </c>
      <c r="S71" s="62">
        <v>35</v>
      </c>
      <c r="T71" t="e">
        <f>_xlfn.XLOOKUP(A71,Master!#REF!,Master!G:G)</f>
        <v>#REF!</v>
      </c>
      <c r="W71">
        <v>68</v>
      </c>
      <c r="AA71">
        <v>2</v>
      </c>
      <c r="AB71">
        <v>31</v>
      </c>
      <c r="AC71" t="s">
        <v>745</v>
      </c>
      <c r="AD71" s="12">
        <v>0</v>
      </c>
      <c r="AE71" s="12">
        <v>1</v>
      </c>
      <c r="AI71" t="s">
        <v>2312</v>
      </c>
      <c r="AJ71">
        <v>24</v>
      </c>
      <c r="AN71" s="12">
        <v>0</v>
      </c>
      <c r="AO71" s="12">
        <v>2</v>
      </c>
      <c r="AP71" s="12">
        <f t="shared" si="1"/>
        <v>2</v>
      </c>
    </row>
    <row r="72" spans="1:42" ht="16.25" customHeight="1" x14ac:dyDescent="0.2">
      <c r="A72" s="32" t="s">
        <v>931</v>
      </c>
      <c r="B72" s="32" t="s">
        <v>449</v>
      </c>
      <c r="C72" s="33" t="s">
        <v>932</v>
      </c>
      <c r="D72" s="33" t="s">
        <v>1015</v>
      </c>
      <c r="E72" s="32" t="s">
        <v>0</v>
      </c>
      <c r="F72" s="32"/>
      <c r="G72" s="32" t="s">
        <v>451</v>
      </c>
      <c r="H72" s="32"/>
      <c r="I72" s="30" t="s">
        <v>452</v>
      </c>
      <c r="J72" s="30" t="s">
        <v>453</v>
      </c>
      <c r="K72" s="30" t="s">
        <v>919</v>
      </c>
      <c r="L72" s="30" t="s">
        <v>455</v>
      </c>
      <c r="M72" s="15" t="s">
        <v>0</v>
      </c>
      <c r="N72" s="15">
        <v>0</v>
      </c>
      <c r="O72" s="15">
        <v>0</v>
      </c>
      <c r="P72" s="15">
        <v>0</v>
      </c>
      <c r="Q72" s="15">
        <v>1</v>
      </c>
      <c r="R72" s="62">
        <v>3</v>
      </c>
      <c r="S72" s="62">
        <v>36</v>
      </c>
      <c r="T72" t="e">
        <f>_xlfn.XLOOKUP(A72,Master!#REF!,Master!G:G)</f>
        <v>#REF!</v>
      </c>
      <c r="W72">
        <v>70</v>
      </c>
      <c r="AA72">
        <v>2</v>
      </c>
      <c r="AB72">
        <v>32</v>
      </c>
      <c r="AC72" t="s">
        <v>777</v>
      </c>
      <c r="AD72" s="12">
        <v>0</v>
      </c>
      <c r="AE72" s="12">
        <v>1</v>
      </c>
      <c r="AI72" t="s">
        <v>2312</v>
      </c>
      <c r="AJ72">
        <v>25</v>
      </c>
      <c r="AN72" s="12">
        <v>0</v>
      </c>
      <c r="AO72" s="12">
        <v>2</v>
      </c>
      <c r="AP72" s="12">
        <f t="shared" si="1"/>
        <v>2</v>
      </c>
    </row>
    <row r="73" spans="1:42" ht="16.25" customHeight="1" x14ac:dyDescent="0.2">
      <c r="A73" s="10" t="s">
        <v>937</v>
      </c>
      <c r="B73" s="10" t="s">
        <v>449</v>
      </c>
      <c r="C73" s="29" t="s">
        <v>938</v>
      </c>
      <c r="D73" s="29" t="s">
        <v>1010</v>
      </c>
      <c r="E73" s="10" t="s">
        <v>0</v>
      </c>
      <c r="F73" s="10"/>
      <c r="G73" s="10" t="s">
        <v>451</v>
      </c>
      <c r="H73" s="10"/>
      <c r="I73" s="30" t="s">
        <v>452</v>
      </c>
      <c r="J73" s="30" t="s">
        <v>453</v>
      </c>
      <c r="K73" s="30" t="s">
        <v>919</v>
      </c>
      <c r="L73" s="30" t="s">
        <v>455</v>
      </c>
      <c r="M73" s="18" t="s">
        <v>0</v>
      </c>
      <c r="N73" s="18">
        <v>0</v>
      </c>
      <c r="O73" s="18">
        <v>0</v>
      </c>
      <c r="P73" s="18">
        <v>0</v>
      </c>
      <c r="Q73" s="18">
        <v>1</v>
      </c>
      <c r="R73" s="62">
        <v>3</v>
      </c>
      <c r="S73" s="62">
        <v>36</v>
      </c>
      <c r="T73" t="e">
        <f>_xlfn.XLOOKUP(A73,Master!#REF!,Master!G:G)</f>
        <v>#REF!</v>
      </c>
      <c r="W73">
        <v>71</v>
      </c>
      <c r="AA73">
        <v>2</v>
      </c>
      <c r="AB73">
        <v>32</v>
      </c>
      <c r="AC73" t="s">
        <v>765</v>
      </c>
      <c r="AD73" s="12">
        <v>0</v>
      </c>
      <c r="AE73" s="12">
        <v>1</v>
      </c>
      <c r="AI73" t="s">
        <v>2312</v>
      </c>
      <c r="AJ73">
        <v>26</v>
      </c>
      <c r="AN73" s="12">
        <v>0</v>
      </c>
      <c r="AO73" s="12">
        <v>2</v>
      </c>
      <c r="AP73" s="12">
        <f t="shared" si="1"/>
        <v>2</v>
      </c>
    </row>
    <row r="74" spans="1:42" ht="16.25" customHeight="1" x14ac:dyDescent="0.2">
      <c r="A74" s="15" t="s">
        <v>957</v>
      </c>
      <c r="B74" s="15" t="s">
        <v>449</v>
      </c>
      <c r="C74" s="44" t="s">
        <v>958</v>
      </c>
      <c r="D74" s="44" t="s">
        <v>1303</v>
      </c>
      <c r="E74" s="15" t="s">
        <v>0</v>
      </c>
      <c r="F74" s="15"/>
      <c r="G74" s="15" t="s">
        <v>451</v>
      </c>
      <c r="H74" s="15"/>
      <c r="I74" s="30" t="s">
        <v>452</v>
      </c>
      <c r="J74" s="30" t="s">
        <v>453</v>
      </c>
      <c r="K74" s="30" t="s">
        <v>959</v>
      </c>
      <c r="L74" s="30" t="s">
        <v>455</v>
      </c>
      <c r="M74" s="15" t="s">
        <v>0</v>
      </c>
      <c r="N74" s="15">
        <v>0</v>
      </c>
      <c r="O74" s="15">
        <v>0</v>
      </c>
      <c r="P74" s="15">
        <v>0</v>
      </c>
      <c r="Q74" s="15">
        <v>1</v>
      </c>
      <c r="R74" s="62">
        <v>3</v>
      </c>
      <c r="S74" s="62">
        <v>37</v>
      </c>
      <c r="T74" t="e">
        <f>_xlfn.XLOOKUP(A74,Master!#REF!,Master!G:G)</f>
        <v>#REF!</v>
      </c>
      <c r="W74">
        <v>72</v>
      </c>
      <c r="AA74">
        <v>2</v>
      </c>
      <c r="AB74">
        <v>33</v>
      </c>
      <c r="AC74" t="s">
        <v>828</v>
      </c>
      <c r="AD74" s="12">
        <v>0</v>
      </c>
      <c r="AE74" s="12">
        <v>1</v>
      </c>
      <c r="AI74" t="s">
        <v>2312</v>
      </c>
      <c r="AJ74">
        <v>27</v>
      </c>
      <c r="AN74" s="12">
        <v>0</v>
      </c>
      <c r="AO74" s="12">
        <v>2</v>
      </c>
      <c r="AP74" s="12">
        <f t="shared" si="1"/>
        <v>2</v>
      </c>
    </row>
    <row r="75" spans="1:42" ht="16.25" customHeight="1" x14ac:dyDescent="0.2">
      <c r="A75" s="32" t="s">
        <v>972</v>
      </c>
      <c r="B75" s="15" t="s">
        <v>449</v>
      </c>
      <c r="C75" s="33" t="s">
        <v>973</v>
      </c>
      <c r="D75" s="33" t="s">
        <v>1027</v>
      </c>
      <c r="E75" s="32" t="s">
        <v>0</v>
      </c>
      <c r="F75" s="32"/>
      <c r="G75" s="32" t="s">
        <v>451</v>
      </c>
      <c r="H75" s="32"/>
      <c r="I75" s="30" t="s">
        <v>452</v>
      </c>
      <c r="J75" s="30" t="s">
        <v>453</v>
      </c>
      <c r="K75" s="30" t="s">
        <v>959</v>
      </c>
      <c r="L75" s="30" t="s">
        <v>455</v>
      </c>
      <c r="M75" s="15" t="s">
        <v>0</v>
      </c>
      <c r="N75" s="15">
        <v>0</v>
      </c>
      <c r="O75" s="15">
        <v>0</v>
      </c>
      <c r="P75" s="15">
        <v>0</v>
      </c>
      <c r="Q75" s="15">
        <v>1</v>
      </c>
      <c r="R75" s="62">
        <v>3</v>
      </c>
      <c r="S75" s="62">
        <v>37</v>
      </c>
      <c r="T75" t="e">
        <f>_xlfn.XLOOKUP(A75,Master!#REF!,Master!G:G)</f>
        <v>#REF!</v>
      </c>
      <c r="W75">
        <v>73</v>
      </c>
      <c r="AA75">
        <v>2</v>
      </c>
      <c r="AB75">
        <v>33</v>
      </c>
      <c r="AC75" t="s">
        <v>881</v>
      </c>
      <c r="AD75" s="12">
        <v>0</v>
      </c>
      <c r="AE75" s="12">
        <v>1</v>
      </c>
      <c r="AI75" t="s">
        <v>2312</v>
      </c>
      <c r="AJ75">
        <v>28</v>
      </c>
      <c r="AN75" s="12">
        <v>0</v>
      </c>
      <c r="AO75" s="12">
        <v>2</v>
      </c>
      <c r="AP75" s="12">
        <f t="shared" si="1"/>
        <v>2</v>
      </c>
    </row>
    <row r="76" spans="1:42" ht="16.25" customHeight="1" x14ac:dyDescent="0.2">
      <c r="A76" s="10" t="s">
        <v>977</v>
      </c>
      <c r="B76" s="18" t="s">
        <v>449</v>
      </c>
      <c r="C76" s="29" t="s">
        <v>978</v>
      </c>
      <c r="D76" s="29" t="s">
        <v>1039</v>
      </c>
      <c r="E76" s="10" t="s">
        <v>0</v>
      </c>
      <c r="F76" s="10"/>
      <c r="G76" s="10" t="s">
        <v>451</v>
      </c>
      <c r="H76" s="10"/>
      <c r="I76" s="30" t="s">
        <v>452</v>
      </c>
      <c r="J76" s="30" t="s">
        <v>453</v>
      </c>
      <c r="K76" s="30" t="s">
        <v>959</v>
      </c>
      <c r="L76" s="30" t="s">
        <v>455</v>
      </c>
      <c r="M76" s="18" t="s">
        <v>0</v>
      </c>
      <c r="N76" s="18">
        <v>0</v>
      </c>
      <c r="O76" s="18">
        <v>0</v>
      </c>
      <c r="P76" s="18">
        <v>0</v>
      </c>
      <c r="Q76" s="18">
        <v>1</v>
      </c>
      <c r="R76" s="62">
        <v>3</v>
      </c>
      <c r="S76" s="62">
        <v>38</v>
      </c>
      <c r="T76" t="e">
        <f>_xlfn.XLOOKUP(A76,Master!#REF!,Master!G:G)</f>
        <v>#REF!</v>
      </c>
      <c r="W76">
        <v>74</v>
      </c>
      <c r="AA76">
        <v>2</v>
      </c>
      <c r="AB76">
        <v>34</v>
      </c>
      <c r="AC76" t="s">
        <v>859</v>
      </c>
      <c r="AD76" s="12">
        <v>0</v>
      </c>
      <c r="AE76" s="12">
        <v>1</v>
      </c>
      <c r="AI76" t="s">
        <v>2312</v>
      </c>
      <c r="AJ76">
        <v>29</v>
      </c>
      <c r="AN76" s="12">
        <v>0</v>
      </c>
      <c r="AO76" s="12">
        <v>2</v>
      </c>
      <c r="AP76" s="12">
        <f t="shared" si="1"/>
        <v>2</v>
      </c>
    </row>
    <row r="77" spans="1:42" ht="16.25" customHeight="1" x14ac:dyDescent="0.2">
      <c r="A77" s="10" t="s">
        <v>982</v>
      </c>
      <c r="B77" s="18" t="s">
        <v>449</v>
      </c>
      <c r="C77" s="29" t="s">
        <v>983</v>
      </c>
      <c r="D77" s="29" t="s">
        <v>1034</v>
      </c>
      <c r="E77" s="10" t="s">
        <v>0</v>
      </c>
      <c r="F77" s="10"/>
      <c r="G77" s="10" t="s">
        <v>451</v>
      </c>
      <c r="H77" s="10"/>
      <c r="I77" s="30" t="s">
        <v>452</v>
      </c>
      <c r="J77" s="30" t="s">
        <v>453</v>
      </c>
      <c r="K77" s="30" t="s">
        <v>959</v>
      </c>
      <c r="L77" s="30" t="s">
        <v>455</v>
      </c>
      <c r="M77" s="18" t="s">
        <v>0</v>
      </c>
      <c r="N77" s="18">
        <v>0</v>
      </c>
      <c r="O77" s="18">
        <v>0</v>
      </c>
      <c r="P77" s="18">
        <v>0</v>
      </c>
      <c r="Q77" s="18">
        <v>1</v>
      </c>
      <c r="R77" s="62">
        <v>3</v>
      </c>
      <c r="S77" s="62">
        <v>38</v>
      </c>
      <c r="T77" t="e">
        <f>_xlfn.XLOOKUP(A77,Master!#REF!,Master!G:G)</f>
        <v>#REF!</v>
      </c>
      <c r="W77">
        <v>75</v>
      </c>
      <c r="AA77">
        <v>2</v>
      </c>
      <c r="AB77">
        <v>34</v>
      </c>
      <c r="AC77" t="s">
        <v>838</v>
      </c>
      <c r="AD77" s="12">
        <v>0</v>
      </c>
      <c r="AE77" s="12">
        <v>1</v>
      </c>
      <c r="AI77" t="s">
        <v>2312</v>
      </c>
      <c r="AJ77">
        <v>30</v>
      </c>
      <c r="AN77" s="12">
        <v>0</v>
      </c>
      <c r="AO77" s="12">
        <v>2</v>
      </c>
      <c r="AP77" s="12">
        <f t="shared" si="1"/>
        <v>2</v>
      </c>
    </row>
    <row r="78" spans="1:42" ht="16.25" customHeight="1" x14ac:dyDescent="0.2">
      <c r="A78" s="10" t="s">
        <v>994</v>
      </c>
      <c r="B78" s="18" t="s">
        <v>449</v>
      </c>
      <c r="C78" s="29" t="s">
        <v>995</v>
      </c>
      <c r="D78" s="29" t="s">
        <v>1044</v>
      </c>
      <c r="E78" s="10" t="s">
        <v>0</v>
      </c>
      <c r="F78" s="10"/>
      <c r="G78" s="10" t="s">
        <v>451</v>
      </c>
      <c r="H78" s="10"/>
      <c r="I78" s="30" t="s">
        <v>452</v>
      </c>
      <c r="J78" s="30" t="s">
        <v>453</v>
      </c>
      <c r="K78" s="30" t="s">
        <v>959</v>
      </c>
      <c r="L78" s="30" t="s">
        <v>455</v>
      </c>
      <c r="M78" s="18" t="s">
        <v>0</v>
      </c>
      <c r="N78" s="18">
        <v>0</v>
      </c>
      <c r="O78" s="18">
        <v>0</v>
      </c>
      <c r="P78" s="18">
        <v>0</v>
      </c>
      <c r="Q78" s="18">
        <v>1</v>
      </c>
      <c r="R78" s="62">
        <v>3</v>
      </c>
      <c r="S78" s="62">
        <v>39</v>
      </c>
      <c r="T78" t="e">
        <f>_xlfn.XLOOKUP(A78,Master!#REF!,Master!G:G)</f>
        <v>#REF!</v>
      </c>
      <c r="W78">
        <v>76</v>
      </c>
      <c r="AA78">
        <v>2</v>
      </c>
      <c r="AB78">
        <v>87</v>
      </c>
      <c r="AC78" t="s">
        <v>401</v>
      </c>
      <c r="AD78" s="12">
        <v>0</v>
      </c>
      <c r="AE78" s="12">
        <v>1</v>
      </c>
      <c r="AI78" t="s">
        <v>2312</v>
      </c>
      <c r="AJ78">
        <v>35</v>
      </c>
      <c r="AN78" s="12">
        <v>0</v>
      </c>
      <c r="AO78" s="12">
        <v>2</v>
      </c>
      <c r="AP78" s="12">
        <f t="shared" si="1"/>
        <v>2</v>
      </c>
    </row>
    <row r="79" spans="1:42" ht="16.25" customHeight="1" x14ac:dyDescent="0.2">
      <c r="A79" s="32" t="s">
        <v>1001</v>
      </c>
      <c r="B79" s="15" t="s">
        <v>449</v>
      </c>
      <c r="C79" s="33" t="s">
        <v>1002</v>
      </c>
      <c r="D79" s="33" t="s">
        <v>1049</v>
      </c>
      <c r="E79" s="32" t="s">
        <v>0</v>
      </c>
      <c r="F79" s="32"/>
      <c r="G79" s="32" t="s">
        <v>451</v>
      </c>
      <c r="H79" s="32"/>
      <c r="I79" s="30" t="s">
        <v>452</v>
      </c>
      <c r="J79" s="30" t="s">
        <v>453</v>
      </c>
      <c r="K79" s="30" t="s">
        <v>959</v>
      </c>
      <c r="L79" s="30" t="s">
        <v>455</v>
      </c>
      <c r="M79" s="15" t="s">
        <v>0</v>
      </c>
      <c r="N79" s="15">
        <v>0</v>
      </c>
      <c r="O79" s="15">
        <v>0</v>
      </c>
      <c r="P79" s="15">
        <v>0</v>
      </c>
      <c r="Q79" s="15">
        <v>1</v>
      </c>
      <c r="R79" s="62">
        <v>3</v>
      </c>
      <c r="S79" s="62">
        <v>39</v>
      </c>
      <c r="T79" t="e">
        <f>_xlfn.XLOOKUP(A79,Master!#REF!,Master!G:G)</f>
        <v>#REF!</v>
      </c>
      <c r="W79">
        <v>77</v>
      </c>
      <c r="AA79" t="s">
        <v>2358</v>
      </c>
      <c r="AD79" s="12">
        <v>0</v>
      </c>
      <c r="AE79" s="12">
        <v>37</v>
      </c>
      <c r="AI79" t="s">
        <v>2312</v>
      </c>
      <c r="AJ79">
        <v>36</v>
      </c>
      <c r="AN79" s="12">
        <v>0</v>
      </c>
      <c r="AO79" s="12">
        <v>2</v>
      </c>
      <c r="AP79" s="12">
        <f t="shared" si="1"/>
        <v>2</v>
      </c>
    </row>
    <row r="80" spans="1:42" ht="16.25" customHeight="1" x14ac:dyDescent="0.2">
      <c r="A80" s="32" t="s">
        <v>1011</v>
      </c>
      <c r="B80" s="15" t="s">
        <v>449</v>
      </c>
      <c r="C80" s="33" t="s">
        <v>1012</v>
      </c>
      <c r="D80" s="33" t="s">
        <v>1060</v>
      </c>
      <c r="E80" s="32" t="s">
        <v>0</v>
      </c>
      <c r="F80" s="32"/>
      <c r="G80" s="32" t="s">
        <v>451</v>
      </c>
      <c r="H80" s="32"/>
      <c r="I80" s="30" t="s">
        <v>452</v>
      </c>
      <c r="J80" s="30" t="s">
        <v>453</v>
      </c>
      <c r="K80" s="30" t="s">
        <v>959</v>
      </c>
      <c r="L80" s="30" t="s">
        <v>455</v>
      </c>
      <c r="M80" s="15" t="s">
        <v>0</v>
      </c>
      <c r="N80" s="15">
        <v>0</v>
      </c>
      <c r="O80" s="15">
        <v>0</v>
      </c>
      <c r="P80" s="15">
        <v>0</v>
      </c>
      <c r="Q80" s="15">
        <v>1</v>
      </c>
      <c r="R80" s="62">
        <v>3</v>
      </c>
      <c r="S80" s="62">
        <v>40</v>
      </c>
      <c r="T80" t="e">
        <f>_xlfn.XLOOKUP(A80,Master!#REF!,Master!G:G)</f>
        <v>#REF!</v>
      </c>
      <c r="W80">
        <v>78</v>
      </c>
      <c r="AA80">
        <v>3</v>
      </c>
      <c r="AB80">
        <v>35</v>
      </c>
      <c r="AC80" t="s">
        <v>945</v>
      </c>
      <c r="AD80" s="12">
        <v>0</v>
      </c>
      <c r="AE80" s="12">
        <v>1</v>
      </c>
      <c r="AI80" t="s">
        <v>2312</v>
      </c>
      <c r="AJ80">
        <v>37</v>
      </c>
      <c r="AN80" s="12">
        <v>0</v>
      </c>
      <c r="AO80" s="12">
        <v>2</v>
      </c>
      <c r="AP80" s="12">
        <f t="shared" si="1"/>
        <v>2</v>
      </c>
    </row>
    <row r="81" spans="1:42" ht="16.25" customHeight="1" x14ac:dyDescent="0.2">
      <c r="A81" s="10" t="s">
        <v>1028</v>
      </c>
      <c r="B81" s="18" t="s">
        <v>449</v>
      </c>
      <c r="C81" s="29" t="s">
        <v>1029</v>
      </c>
      <c r="D81" s="29" t="s">
        <v>1289</v>
      </c>
      <c r="E81" s="10" t="s">
        <v>0</v>
      </c>
      <c r="F81" s="42"/>
      <c r="G81" s="10" t="s">
        <v>451</v>
      </c>
      <c r="H81" s="10"/>
      <c r="I81" s="30" t="s">
        <v>452</v>
      </c>
      <c r="J81" s="30" t="s">
        <v>453</v>
      </c>
      <c r="K81" s="30" t="s">
        <v>959</v>
      </c>
      <c r="L81" s="30" t="s">
        <v>455</v>
      </c>
      <c r="M81" s="18" t="s">
        <v>0</v>
      </c>
      <c r="N81" s="18">
        <v>0</v>
      </c>
      <c r="O81" s="18">
        <v>0</v>
      </c>
      <c r="P81" s="18">
        <v>0</v>
      </c>
      <c r="Q81" s="18">
        <v>1</v>
      </c>
      <c r="R81" s="62">
        <v>4</v>
      </c>
      <c r="S81" s="62">
        <v>57</v>
      </c>
      <c r="T81" t="e">
        <f>_xlfn.XLOOKUP(A81,Master!#REF!,Master!G:G)</f>
        <v>#REF!</v>
      </c>
      <c r="W81">
        <v>79</v>
      </c>
      <c r="AA81">
        <v>3</v>
      </c>
      <c r="AB81">
        <v>35</v>
      </c>
      <c r="AC81" t="s">
        <v>924</v>
      </c>
      <c r="AD81" s="12">
        <v>0</v>
      </c>
      <c r="AE81" s="12">
        <v>1</v>
      </c>
      <c r="AI81" t="s">
        <v>2312</v>
      </c>
      <c r="AJ81">
        <v>38</v>
      </c>
      <c r="AN81" s="12">
        <v>0</v>
      </c>
      <c r="AO81" s="12">
        <v>2</v>
      </c>
      <c r="AP81" s="12">
        <f t="shared" si="1"/>
        <v>2</v>
      </c>
    </row>
    <row r="82" spans="1:42" ht="16.25" customHeight="1" x14ac:dyDescent="0.2">
      <c r="A82" s="10" t="s">
        <v>403</v>
      </c>
      <c r="B82" s="18" t="s">
        <v>449</v>
      </c>
      <c r="C82" s="29" t="s">
        <v>1040</v>
      </c>
      <c r="D82" s="29" t="s">
        <v>404</v>
      </c>
      <c r="E82" s="10" t="s">
        <v>0</v>
      </c>
      <c r="F82" s="42"/>
      <c r="G82" s="10" t="s">
        <v>451</v>
      </c>
      <c r="H82" s="10"/>
      <c r="I82" s="30" t="s">
        <v>452</v>
      </c>
      <c r="J82" s="30" t="s">
        <v>453</v>
      </c>
      <c r="K82" s="30" t="s">
        <v>959</v>
      </c>
      <c r="L82" s="30" t="s">
        <v>455</v>
      </c>
      <c r="M82" s="18" t="s">
        <v>0</v>
      </c>
      <c r="N82" s="18">
        <v>0</v>
      </c>
      <c r="O82" s="18">
        <v>0</v>
      </c>
      <c r="P82" s="18">
        <v>0</v>
      </c>
      <c r="Q82" s="18">
        <v>1</v>
      </c>
      <c r="R82" s="62">
        <v>3</v>
      </c>
      <c r="S82" s="62">
        <v>41</v>
      </c>
      <c r="T82" t="e">
        <f>_xlfn.XLOOKUP(A82,Master!#REF!,Master!G:G)</f>
        <v>#REF!</v>
      </c>
      <c r="W82">
        <v>80</v>
      </c>
      <c r="AA82">
        <v>3</v>
      </c>
      <c r="AB82">
        <v>36</v>
      </c>
      <c r="AC82" t="s">
        <v>931</v>
      </c>
      <c r="AD82" s="12">
        <v>0</v>
      </c>
      <c r="AE82" s="12">
        <v>1</v>
      </c>
      <c r="AI82" t="s">
        <v>2312</v>
      </c>
      <c r="AJ82">
        <v>39</v>
      </c>
      <c r="AN82" s="12">
        <v>0</v>
      </c>
      <c r="AO82" s="12">
        <v>2</v>
      </c>
      <c r="AP82" s="12">
        <f t="shared" si="1"/>
        <v>2</v>
      </c>
    </row>
    <row r="83" spans="1:42" ht="16.25" customHeight="1" x14ac:dyDescent="0.2">
      <c r="A83" s="32" t="s">
        <v>1045</v>
      </c>
      <c r="B83" s="15" t="s">
        <v>449</v>
      </c>
      <c r="C83" s="33" t="s">
        <v>1046</v>
      </c>
      <c r="D83" s="33" t="s">
        <v>1065</v>
      </c>
      <c r="E83" s="32" t="s">
        <v>0</v>
      </c>
      <c r="F83" s="39"/>
      <c r="G83" s="32" t="s">
        <v>451</v>
      </c>
      <c r="H83" s="32"/>
      <c r="I83" s="30" t="s">
        <v>452</v>
      </c>
      <c r="J83" s="30" t="s">
        <v>453</v>
      </c>
      <c r="K83" s="30" t="s">
        <v>959</v>
      </c>
      <c r="L83" s="30" t="s">
        <v>455</v>
      </c>
      <c r="M83" s="15" t="s">
        <v>0</v>
      </c>
      <c r="N83" s="15">
        <v>0</v>
      </c>
      <c r="O83" s="15">
        <v>0</v>
      </c>
      <c r="P83" s="15">
        <v>0</v>
      </c>
      <c r="Q83" s="15">
        <v>1</v>
      </c>
      <c r="R83" s="62">
        <v>3</v>
      </c>
      <c r="S83" s="62">
        <v>41</v>
      </c>
      <c r="T83" t="e">
        <f>_xlfn.XLOOKUP(A83,Master!#REF!,Master!G:G)</f>
        <v>#REF!</v>
      </c>
      <c r="W83">
        <v>81</v>
      </c>
      <c r="AA83">
        <v>3</v>
      </c>
      <c r="AB83">
        <v>36</v>
      </c>
      <c r="AC83" t="s">
        <v>937</v>
      </c>
      <c r="AD83" s="12">
        <v>0</v>
      </c>
      <c r="AE83" s="12">
        <v>1</v>
      </c>
      <c r="AI83" t="s">
        <v>2312</v>
      </c>
      <c r="AJ83">
        <v>40</v>
      </c>
      <c r="AN83" s="12">
        <v>0</v>
      </c>
      <c r="AO83" s="12">
        <v>2</v>
      </c>
      <c r="AP83" s="12">
        <f t="shared" si="1"/>
        <v>2</v>
      </c>
    </row>
    <row r="84" spans="1:42" ht="16.25" customHeight="1" x14ac:dyDescent="0.2">
      <c r="A84" s="32" t="s">
        <v>1056</v>
      </c>
      <c r="B84" s="15" t="s">
        <v>449</v>
      </c>
      <c r="C84" s="33" t="s">
        <v>1057</v>
      </c>
      <c r="D84" s="33" t="s">
        <v>1074</v>
      </c>
      <c r="E84" s="32" t="s">
        <v>0</v>
      </c>
      <c r="F84" s="32"/>
      <c r="G84" s="32" t="s">
        <v>451</v>
      </c>
      <c r="H84" s="32"/>
      <c r="I84" s="30" t="s">
        <v>452</v>
      </c>
      <c r="J84" s="30" t="s">
        <v>453</v>
      </c>
      <c r="K84" s="30" t="s">
        <v>959</v>
      </c>
      <c r="L84" s="30" t="s">
        <v>455</v>
      </c>
      <c r="M84" s="15" t="s">
        <v>0</v>
      </c>
      <c r="N84" s="15">
        <v>0</v>
      </c>
      <c r="O84" s="15">
        <v>0</v>
      </c>
      <c r="P84" s="15">
        <v>0</v>
      </c>
      <c r="Q84" s="15">
        <v>1</v>
      </c>
      <c r="R84" s="62">
        <v>3</v>
      </c>
      <c r="S84" s="62">
        <v>42</v>
      </c>
      <c r="T84" t="e">
        <f>_xlfn.XLOOKUP(A84,Master!#REF!,Master!G:G)</f>
        <v>#REF!</v>
      </c>
      <c r="W84">
        <v>82</v>
      </c>
      <c r="AA84">
        <v>3</v>
      </c>
      <c r="AB84">
        <v>37</v>
      </c>
      <c r="AC84" t="s">
        <v>957</v>
      </c>
      <c r="AD84" s="12">
        <v>0</v>
      </c>
      <c r="AE84" s="12">
        <v>1</v>
      </c>
      <c r="AI84" t="s">
        <v>2312</v>
      </c>
      <c r="AJ84">
        <v>41</v>
      </c>
      <c r="AN84" s="12">
        <v>0</v>
      </c>
      <c r="AO84" s="12">
        <v>2</v>
      </c>
      <c r="AP84" s="12">
        <f t="shared" si="1"/>
        <v>2</v>
      </c>
    </row>
    <row r="85" spans="1:42" ht="16.25" customHeight="1" x14ac:dyDescent="0.2">
      <c r="A85" s="32" t="s">
        <v>1066</v>
      </c>
      <c r="B85" s="15" t="s">
        <v>449</v>
      </c>
      <c r="C85" s="33" t="s">
        <v>1067</v>
      </c>
      <c r="D85" s="33" t="s">
        <v>1080</v>
      </c>
      <c r="E85" s="32" t="s">
        <v>0</v>
      </c>
      <c r="F85" s="32"/>
      <c r="G85" s="32" t="s">
        <v>451</v>
      </c>
      <c r="H85" s="32"/>
      <c r="I85" s="30" t="s">
        <v>452</v>
      </c>
      <c r="J85" s="30" t="s">
        <v>453</v>
      </c>
      <c r="K85" s="30" t="s">
        <v>959</v>
      </c>
      <c r="L85" s="30" t="s">
        <v>455</v>
      </c>
      <c r="M85" s="15" t="s">
        <v>0</v>
      </c>
      <c r="N85" s="15">
        <v>0</v>
      </c>
      <c r="O85" s="15">
        <v>0</v>
      </c>
      <c r="P85" s="15">
        <v>0</v>
      </c>
      <c r="Q85" s="15">
        <v>1</v>
      </c>
      <c r="R85" s="62">
        <v>3</v>
      </c>
      <c r="S85" s="62">
        <v>42</v>
      </c>
      <c r="T85" t="e">
        <f>_xlfn.XLOOKUP(A85,Master!#REF!,Master!G:G)</f>
        <v>#REF!</v>
      </c>
      <c r="W85">
        <v>83</v>
      </c>
      <c r="AA85">
        <v>3</v>
      </c>
      <c r="AB85">
        <v>37</v>
      </c>
      <c r="AC85" t="s">
        <v>972</v>
      </c>
      <c r="AD85" s="12">
        <v>0</v>
      </c>
      <c r="AE85" s="12">
        <v>1</v>
      </c>
      <c r="AI85" t="s">
        <v>2312</v>
      </c>
      <c r="AJ85">
        <v>42</v>
      </c>
      <c r="AN85" s="12">
        <v>0</v>
      </c>
      <c r="AO85" s="12">
        <v>2</v>
      </c>
      <c r="AP85" s="12">
        <f t="shared" si="1"/>
        <v>2</v>
      </c>
    </row>
    <row r="86" spans="1:42" ht="16.25" customHeight="1" x14ac:dyDescent="0.2">
      <c r="A86" s="10" t="s">
        <v>1061</v>
      </c>
      <c r="B86" s="10" t="s">
        <v>449</v>
      </c>
      <c r="C86" s="29" t="s">
        <v>922</v>
      </c>
      <c r="D86" s="29" t="s">
        <v>923</v>
      </c>
      <c r="E86" s="10" t="s">
        <v>458</v>
      </c>
      <c r="F86" s="10" t="s">
        <v>171</v>
      </c>
      <c r="G86" s="10" t="s">
        <v>451</v>
      </c>
      <c r="H86" s="10"/>
      <c r="I86" s="30" t="s">
        <v>452</v>
      </c>
      <c r="J86" s="30" t="s">
        <v>453</v>
      </c>
      <c r="K86" s="30" t="s">
        <v>959</v>
      </c>
      <c r="L86" s="30" t="s">
        <v>455</v>
      </c>
      <c r="M86" s="18" t="s">
        <v>458</v>
      </c>
      <c r="N86" s="18">
        <v>0</v>
      </c>
      <c r="O86" s="18">
        <v>1</v>
      </c>
      <c r="P86" s="18">
        <v>1</v>
      </c>
      <c r="Q86" s="18">
        <v>2</v>
      </c>
      <c r="R86" s="62">
        <v>3</v>
      </c>
      <c r="S86" s="62">
        <v>43</v>
      </c>
      <c r="T86" t="e">
        <f>_xlfn.XLOOKUP(A86,Master!#REF!,Master!G:G)</f>
        <v>#REF!</v>
      </c>
      <c r="W86">
        <v>84</v>
      </c>
      <c r="AA86">
        <v>3</v>
      </c>
      <c r="AB86">
        <v>38</v>
      </c>
      <c r="AC86" t="s">
        <v>977</v>
      </c>
      <c r="AD86" s="12">
        <v>0</v>
      </c>
      <c r="AE86" s="12">
        <v>1</v>
      </c>
      <c r="AI86" t="s">
        <v>2312</v>
      </c>
      <c r="AJ86">
        <v>46</v>
      </c>
      <c r="AN86" s="12">
        <v>0</v>
      </c>
      <c r="AO86" s="12">
        <v>2</v>
      </c>
      <c r="AP86" s="12">
        <f t="shared" si="1"/>
        <v>2</v>
      </c>
    </row>
    <row r="87" spans="1:42" ht="16.25" customHeight="1" x14ac:dyDescent="0.2">
      <c r="A87" s="15" t="s">
        <v>917</v>
      </c>
      <c r="B87" s="15" t="s">
        <v>449</v>
      </c>
      <c r="C87" s="44" t="s">
        <v>918</v>
      </c>
      <c r="D87" s="44" t="s">
        <v>987</v>
      </c>
      <c r="E87" s="15" t="s">
        <v>0</v>
      </c>
      <c r="F87" s="15"/>
      <c r="G87" s="15" t="s">
        <v>451</v>
      </c>
      <c r="H87" s="15"/>
      <c r="I87" s="30" t="s">
        <v>452</v>
      </c>
      <c r="J87" s="30" t="s">
        <v>453</v>
      </c>
      <c r="K87" s="30" t="s">
        <v>919</v>
      </c>
      <c r="L87" s="30" t="s">
        <v>455</v>
      </c>
      <c r="M87" s="15" t="s">
        <v>0</v>
      </c>
      <c r="N87" s="15">
        <v>0</v>
      </c>
      <c r="O87" s="15">
        <v>0</v>
      </c>
      <c r="P87" s="15">
        <v>0</v>
      </c>
      <c r="Q87" s="15">
        <v>1</v>
      </c>
      <c r="R87" s="62">
        <v>3</v>
      </c>
      <c r="S87" s="62">
        <v>44</v>
      </c>
      <c r="T87" t="e">
        <f>_xlfn.XLOOKUP(A87,Master!#REF!,Master!G:G)</f>
        <v>#REF!</v>
      </c>
      <c r="W87">
        <v>85</v>
      </c>
      <c r="AA87">
        <v>3</v>
      </c>
      <c r="AB87">
        <v>38</v>
      </c>
      <c r="AC87" t="s">
        <v>982</v>
      </c>
      <c r="AD87" s="12">
        <v>0</v>
      </c>
      <c r="AE87" s="12">
        <v>1</v>
      </c>
      <c r="AI87" t="s">
        <v>2312</v>
      </c>
      <c r="AJ87">
        <v>47</v>
      </c>
      <c r="AN87" s="12">
        <v>0</v>
      </c>
      <c r="AO87" s="12">
        <v>2</v>
      </c>
      <c r="AP87" s="12">
        <f t="shared" si="1"/>
        <v>2</v>
      </c>
    </row>
    <row r="88" spans="1:42" ht="16.25" customHeight="1" x14ac:dyDescent="0.2">
      <c r="A88" s="10" t="s">
        <v>964</v>
      </c>
      <c r="B88" s="18" t="s">
        <v>449</v>
      </c>
      <c r="C88" s="29" t="s">
        <v>965</v>
      </c>
      <c r="D88" s="29" t="s">
        <v>1811</v>
      </c>
      <c r="E88" s="10" t="s">
        <v>0</v>
      </c>
      <c r="F88" s="10"/>
      <c r="G88" s="10" t="s">
        <v>451</v>
      </c>
      <c r="H88" s="10"/>
      <c r="I88" s="30" t="s">
        <v>452</v>
      </c>
      <c r="J88" s="30" t="s">
        <v>453</v>
      </c>
      <c r="K88" s="30" t="s">
        <v>959</v>
      </c>
      <c r="L88" s="30" t="s">
        <v>455</v>
      </c>
      <c r="M88" s="18" t="s">
        <v>0</v>
      </c>
      <c r="N88" s="18">
        <v>0</v>
      </c>
      <c r="O88" s="18">
        <v>0</v>
      </c>
      <c r="P88" s="18">
        <v>0</v>
      </c>
      <c r="Q88" s="18">
        <v>1</v>
      </c>
      <c r="R88" s="62">
        <v>3</v>
      </c>
      <c r="S88" s="62">
        <v>44</v>
      </c>
      <c r="T88" t="e">
        <f>_xlfn.XLOOKUP(A88,Master!#REF!,Master!G:G)</f>
        <v>#REF!</v>
      </c>
      <c r="W88">
        <v>86</v>
      </c>
      <c r="AA88">
        <v>3</v>
      </c>
      <c r="AB88">
        <v>39</v>
      </c>
      <c r="AC88" t="s">
        <v>1001</v>
      </c>
      <c r="AD88" s="12">
        <v>0</v>
      </c>
      <c r="AE88" s="12">
        <v>1</v>
      </c>
      <c r="AI88" t="s">
        <v>2312</v>
      </c>
      <c r="AJ88">
        <v>48</v>
      </c>
      <c r="AN88" s="12">
        <v>0</v>
      </c>
      <c r="AO88" s="12">
        <v>2</v>
      </c>
      <c r="AP88" s="12">
        <f t="shared" si="1"/>
        <v>2</v>
      </c>
    </row>
    <row r="89" spans="1:42" ht="16.25" customHeight="1" x14ac:dyDescent="0.2">
      <c r="A89" s="32" t="s">
        <v>988</v>
      </c>
      <c r="B89" s="15" t="s">
        <v>449</v>
      </c>
      <c r="C89" s="33" t="s">
        <v>907</v>
      </c>
      <c r="D89" s="33" t="s">
        <v>908</v>
      </c>
      <c r="E89" s="32" t="s">
        <v>0</v>
      </c>
      <c r="F89" s="32"/>
      <c r="G89" s="32" t="s">
        <v>451</v>
      </c>
      <c r="H89" s="32"/>
      <c r="I89" s="30" t="s">
        <v>452</v>
      </c>
      <c r="J89" s="30" t="s">
        <v>453</v>
      </c>
      <c r="K89" s="30" t="s">
        <v>959</v>
      </c>
      <c r="L89" s="30" t="s">
        <v>455</v>
      </c>
      <c r="M89" s="15" t="s">
        <v>0</v>
      </c>
      <c r="N89" s="15">
        <v>0</v>
      </c>
      <c r="O89" s="15">
        <v>0</v>
      </c>
      <c r="P89" s="15">
        <v>0</v>
      </c>
      <c r="Q89" s="15">
        <v>1</v>
      </c>
      <c r="R89" s="62">
        <v>3</v>
      </c>
      <c r="S89" s="62">
        <v>45</v>
      </c>
      <c r="T89" t="e">
        <f>_xlfn.XLOOKUP(A89,Master!#REF!,Master!G:G)</f>
        <v>#REF!</v>
      </c>
      <c r="W89">
        <v>87</v>
      </c>
      <c r="AA89">
        <v>3</v>
      </c>
      <c r="AB89">
        <v>39</v>
      </c>
      <c r="AC89" t="s">
        <v>994</v>
      </c>
      <c r="AD89" s="12">
        <v>0</v>
      </c>
      <c r="AE89" s="12">
        <v>1</v>
      </c>
      <c r="AI89" t="s">
        <v>2312</v>
      </c>
      <c r="AJ89">
        <v>50</v>
      </c>
      <c r="AN89" s="12">
        <v>0</v>
      </c>
      <c r="AO89" s="12">
        <v>2</v>
      </c>
      <c r="AP89" s="12">
        <f t="shared" si="1"/>
        <v>2</v>
      </c>
    </row>
    <row r="90" spans="1:42" ht="16.25" customHeight="1" x14ac:dyDescent="0.2">
      <c r="A90" s="10" t="s">
        <v>1006</v>
      </c>
      <c r="B90" s="18" t="s">
        <v>449</v>
      </c>
      <c r="C90" s="29" t="s">
        <v>992</v>
      </c>
      <c r="D90" s="29" t="s">
        <v>993</v>
      </c>
      <c r="E90" s="10" t="s">
        <v>0</v>
      </c>
      <c r="F90" s="10"/>
      <c r="G90" s="10" t="s">
        <v>451</v>
      </c>
      <c r="H90" s="10"/>
      <c r="I90" s="30" t="s">
        <v>452</v>
      </c>
      <c r="J90" s="30" t="s">
        <v>453</v>
      </c>
      <c r="K90" s="30" t="s">
        <v>959</v>
      </c>
      <c r="L90" s="30" t="s">
        <v>455</v>
      </c>
      <c r="M90" s="18" t="s">
        <v>0</v>
      </c>
      <c r="N90" s="18">
        <v>0</v>
      </c>
      <c r="O90" s="18">
        <v>0</v>
      </c>
      <c r="P90" s="18">
        <v>0</v>
      </c>
      <c r="Q90" s="18">
        <v>1</v>
      </c>
      <c r="R90" s="62">
        <v>3</v>
      </c>
      <c r="S90" s="62">
        <v>45</v>
      </c>
      <c r="T90" t="e">
        <f>_xlfn.XLOOKUP(A90,Master!#REF!,Master!G:G)</f>
        <v>#REF!</v>
      </c>
      <c r="W90">
        <v>88</v>
      </c>
      <c r="AA90">
        <v>3</v>
      </c>
      <c r="AB90">
        <v>40</v>
      </c>
      <c r="AC90" t="s">
        <v>1011</v>
      </c>
      <c r="AD90" s="12">
        <v>0</v>
      </c>
      <c r="AE90" s="12">
        <v>1</v>
      </c>
      <c r="AI90" t="s">
        <v>2312</v>
      </c>
      <c r="AJ90">
        <v>51</v>
      </c>
      <c r="AN90" s="12">
        <v>0</v>
      </c>
      <c r="AO90" s="12">
        <v>2</v>
      </c>
      <c r="AP90" s="12">
        <f t="shared" si="1"/>
        <v>2</v>
      </c>
    </row>
    <row r="91" spans="1:42" ht="16.25" customHeight="1" x14ac:dyDescent="0.2">
      <c r="A91" s="10" t="s">
        <v>1075</v>
      </c>
      <c r="B91" s="10" t="s">
        <v>449</v>
      </c>
      <c r="C91" s="29" t="s">
        <v>1076</v>
      </c>
      <c r="D91" s="29" t="s">
        <v>1199</v>
      </c>
      <c r="E91" s="10" t="s">
        <v>0</v>
      </c>
      <c r="F91" s="10"/>
      <c r="G91" s="10" t="s">
        <v>451</v>
      </c>
      <c r="H91" s="10"/>
      <c r="I91" s="30" t="s">
        <v>452</v>
      </c>
      <c r="J91" s="30" t="s">
        <v>453</v>
      </c>
      <c r="K91" s="30" t="s">
        <v>1077</v>
      </c>
      <c r="L91" s="30" t="s">
        <v>455</v>
      </c>
      <c r="M91" s="18" t="s">
        <v>0</v>
      </c>
      <c r="N91" s="18">
        <v>0</v>
      </c>
      <c r="O91" s="18">
        <v>0</v>
      </c>
      <c r="P91" s="18">
        <v>0</v>
      </c>
      <c r="Q91" s="18">
        <v>1</v>
      </c>
      <c r="R91" s="57">
        <v>4</v>
      </c>
      <c r="S91" s="57">
        <v>46</v>
      </c>
      <c r="T91" t="e">
        <f>_xlfn.XLOOKUP(A91,Master!#REF!,Master!G:G)</f>
        <v>#REF!</v>
      </c>
      <c r="W91">
        <v>89</v>
      </c>
      <c r="AA91">
        <v>3</v>
      </c>
      <c r="AB91">
        <v>40</v>
      </c>
      <c r="AC91" t="s">
        <v>1028</v>
      </c>
      <c r="AD91" s="12">
        <v>0</v>
      </c>
      <c r="AE91" s="12">
        <v>1</v>
      </c>
      <c r="AI91" t="s">
        <v>2312</v>
      </c>
      <c r="AJ91">
        <v>52</v>
      </c>
      <c r="AN91" s="12">
        <v>0</v>
      </c>
      <c r="AO91" s="12">
        <v>2</v>
      </c>
      <c r="AP91" s="12">
        <f t="shared" si="1"/>
        <v>2</v>
      </c>
    </row>
    <row r="92" spans="1:42" ht="16.25" customHeight="1" x14ac:dyDescent="0.2">
      <c r="A92" s="32" t="s">
        <v>1081</v>
      </c>
      <c r="B92" s="32" t="s">
        <v>449</v>
      </c>
      <c r="C92" s="33" t="s">
        <v>1082</v>
      </c>
      <c r="D92" s="33" t="s">
        <v>1195</v>
      </c>
      <c r="E92" s="32" t="s">
        <v>0</v>
      </c>
      <c r="F92" s="32"/>
      <c r="G92" s="32" t="s">
        <v>451</v>
      </c>
      <c r="H92" s="32"/>
      <c r="I92" s="30" t="s">
        <v>452</v>
      </c>
      <c r="J92" s="30" t="s">
        <v>453</v>
      </c>
      <c r="K92" s="30" t="s">
        <v>1077</v>
      </c>
      <c r="L92" s="30" t="s">
        <v>455</v>
      </c>
      <c r="M92" s="15" t="s">
        <v>0</v>
      </c>
      <c r="N92" s="15">
        <v>0</v>
      </c>
      <c r="O92" s="15">
        <v>0</v>
      </c>
      <c r="P92" s="15">
        <v>0</v>
      </c>
      <c r="Q92" s="15">
        <v>1</v>
      </c>
      <c r="R92" s="57">
        <v>4</v>
      </c>
      <c r="S92" s="57">
        <v>46</v>
      </c>
      <c r="T92" t="e">
        <f>_xlfn.XLOOKUP(A92,Master!#REF!,Master!G:G)</f>
        <v>#REF!</v>
      </c>
      <c r="W92">
        <v>90</v>
      </c>
      <c r="AA92">
        <v>3</v>
      </c>
      <c r="AB92">
        <v>41</v>
      </c>
      <c r="AC92" t="s">
        <v>1045</v>
      </c>
      <c r="AD92" s="12">
        <v>0</v>
      </c>
      <c r="AE92" s="12">
        <v>1</v>
      </c>
      <c r="AI92" t="s">
        <v>2312</v>
      </c>
      <c r="AJ92">
        <v>53</v>
      </c>
      <c r="AN92" s="12">
        <v>0</v>
      </c>
      <c r="AO92" s="12">
        <v>2</v>
      </c>
      <c r="AP92" s="12">
        <f t="shared" si="1"/>
        <v>2</v>
      </c>
    </row>
    <row r="93" spans="1:42" ht="16.25" customHeight="1" x14ac:dyDescent="0.2">
      <c r="A93" s="10" t="s">
        <v>1088</v>
      </c>
      <c r="B93" s="10" t="s">
        <v>449</v>
      </c>
      <c r="C93" s="29" t="s">
        <v>1089</v>
      </c>
      <c r="D93" s="29" t="s">
        <v>1209</v>
      </c>
      <c r="E93" s="10" t="s">
        <v>0</v>
      </c>
      <c r="F93" s="10"/>
      <c r="G93" s="10" t="s">
        <v>451</v>
      </c>
      <c r="H93" s="10"/>
      <c r="I93" s="30" t="s">
        <v>452</v>
      </c>
      <c r="J93" s="30" t="s">
        <v>453</v>
      </c>
      <c r="K93" s="30" t="s">
        <v>1077</v>
      </c>
      <c r="L93" s="30" t="s">
        <v>455</v>
      </c>
      <c r="M93" s="18" t="s">
        <v>0</v>
      </c>
      <c r="N93" s="18">
        <v>0</v>
      </c>
      <c r="O93" s="18">
        <v>0</v>
      </c>
      <c r="P93" s="18">
        <v>0</v>
      </c>
      <c r="Q93" s="18">
        <v>1</v>
      </c>
      <c r="R93" s="57">
        <v>4</v>
      </c>
      <c r="S93" s="57">
        <v>47</v>
      </c>
      <c r="T93" t="e">
        <f>_xlfn.XLOOKUP(A93,Master!#REF!,Master!G:G)</f>
        <v>#REF!</v>
      </c>
      <c r="W93">
        <v>92</v>
      </c>
      <c r="AA93">
        <v>3</v>
      </c>
      <c r="AB93">
        <v>41</v>
      </c>
      <c r="AC93" t="s">
        <v>403</v>
      </c>
      <c r="AD93" s="12">
        <v>0</v>
      </c>
      <c r="AE93" s="12">
        <v>1</v>
      </c>
      <c r="AI93" t="s">
        <v>2312</v>
      </c>
      <c r="AJ93">
        <v>54</v>
      </c>
      <c r="AN93" s="12">
        <v>0</v>
      </c>
      <c r="AO93" s="12">
        <v>2</v>
      </c>
      <c r="AP93" s="12">
        <f t="shared" si="1"/>
        <v>2</v>
      </c>
    </row>
    <row r="94" spans="1:42" ht="16.25" customHeight="1" x14ac:dyDescent="0.2">
      <c r="A94" s="32" t="s">
        <v>1093</v>
      </c>
      <c r="B94" s="32" t="s">
        <v>449</v>
      </c>
      <c r="C94" s="33" t="s">
        <v>1094</v>
      </c>
      <c r="D94" s="33" t="s">
        <v>1205</v>
      </c>
      <c r="E94" s="32" t="s">
        <v>0</v>
      </c>
      <c r="F94" s="32"/>
      <c r="G94" s="32" t="s">
        <v>451</v>
      </c>
      <c r="H94" s="32"/>
      <c r="I94" s="30" t="s">
        <v>452</v>
      </c>
      <c r="J94" s="30" t="s">
        <v>453</v>
      </c>
      <c r="K94" s="30" t="s">
        <v>1077</v>
      </c>
      <c r="L94" s="30" t="s">
        <v>455</v>
      </c>
      <c r="M94" s="15" t="s">
        <v>0</v>
      </c>
      <c r="N94" s="15">
        <v>0</v>
      </c>
      <c r="O94" s="15">
        <v>0</v>
      </c>
      <c r="P94" s="15">
        <v>0</v>
      </c>
      <c r="Q94" s="15">
        <v>1</v>
      </c>
      <c r="R94" s="57">
        <v>4</v>
      </c>
      <c r="S94" s="57">
        <v>47</v>
      </c>
      <c r="T94" t="e">
        <f>_xlfn.XLOOKUP(A94,Master!#REF!,Master!G:G)</f>
        <v>#REF!</v>
      </c>
      <c r="W94">
        <v>93</v>
      </c>
      <c r="AA94">
        <v>3</v>
      </c>
      <c r="AB94">
        <v>42</v>
      </c>
      <c r="AC94" t="s">
        <v>1056</v>
      </c>
      <c r="AD94" s="12">
        <v>0</v>
      </c>
      <c r="AE94" s="12">
        <v>1</v>
      </c>
      <c r="AI94" t="s">
        <v>2312</v>
      </c>
      <c r="AJ94">
        <v>55</v>
      </c>
      <c r="AN94" s="12">
        <v>0</v>
      </c>
      <c r="AO94" s="12">
        <v>2</v>
      </c>
      <c r="AP94" s="12">
        <f t="shared" si="1"/>
        <v>2</v>
      </c>
    </row>
    <row r="95" spans="1:42" ht="16.25" customHeight="1" x14ac:dyDescent="0.2">
      <c r="A95" s="10" t="s">
        <v>1099</v>
      </c>
      <c r="B95" s="10" t="s">
        <v>449</v>
      </c>
      <c r="C95" s="29" t="s">
        <v>1100</v>
      </c>
      <c r="D95" s="29" t="s">
        <v>1220</v>
      </c>
      <c r="E95" s="10" t="s">
        <v>0</v>
      </c>
      <c r="F95" s="10"/>
      <c r="G95" s="10" t="s">
        <v>451</v>
      </c>
      <c r="H95" s="10"/>
      <c r="I95" s="30" t="s">
        <v>452</v>
      </c>
      <c r="J95" s="30" t="s">
        <v>453</v>
      </c>
      <c r="K95" s="30" t="s">
        <v>1077</v>
      </c>
      <c r="L95" s="30" t="s">
        <v>455</v>
      </c>
      <c r="M95" s="18" t="s">
        <v>0</v>
      </c>
      <c r="N95" s="18">
        <v>0</v>
      </c>
      <c r="O95" s="18">
        <v>0</v>
      </c>
      <c r="P95" s="18">
        <v>0</v>
      </c>
      <c r="Q95" s="18">
        <v>1</v>
      </c>
      <c r="R95" s="57">
        <v>4</v>
      </c>
      <c r="S95" s="57">
        <v>48</v>
      </c>
      <c r="T95" t="e">
        <f>_xlfn.XLOOKUP(A95,Master!#REF!,Master!G:G)</f>
        <v>#REF!</v>
      </c>
      <c r="W95">
        <v>94</v>
      </c>
      <c r="AA95">
        <v>3</v>
      </c>
      <c r="AB95">
        <v>42</v>
      </c>
      <c r="AC95" t="s">
        <v>1066</v>
      </c>
      <c r="AD95" s="12">
        <v>0</v>
      </c>
      <c r="AE95" s="12">
        <v>1</v>
      </c>
      <c r="AI95" t="s">
        <v>2312</v>
      </c>
      <c r="AJ95">
        <v>56</v>
      </c>
      <c r="AN95" s="12">
        <v>0</v>
      </c>
      <c r="AO95" s="12">
        <v>2</v>
      </c>
      <c r="AP95" s="12">
        <f t="shared" si="1"/>
        <v>2</v>
      </c>
    </row>
    <row r="96" spans="1:42" ht="16.25" customHeight="1" x14ac:dyDescent="0.2">
      <c r="A96" s="32" t="s">
        <v>1104</v>
      </c>
      <c r="B96" s="32" t="s">
        <v>449</v>
      </c>
      <c r="C96" s="33" t="s">
        <v>1105</v>
      </c>
      <c r="D96" s="33" t="s">
        <v>1215</v>
      </c>
      <c r="E96" s="32" t="s">
        <v>0</v>
      </c>
      <c r="F96" s="32"/>
      <c r="G96" s="32" t="s">
        <v>451</v>
      </c>
      <c r="H96" s="32"/>
      <c r="I96" s="30" t="s">
        <v>452</v>
      </c>
      <c r="J96" s="30" t="s">
        <v>453</v>
      </c>
      <c r="K96" s="30" t="s">
        <v>1077</v>
      </c>
      <c r="L96" s="30" t="s">
        <v>455</v>
      </c>
      <c r="M96" s="15" t="s">
        <v>0</v>
      </c>
      <c r="N96" s="15">
        <v>0</v>
      </c>
      <c r="O96" s="15">
        <v>0</v>
      </c>
      <c r="P96" s="15">
        <v>0</v>
      </c>
      <c r="Q96" s="15">
        <v>1</v>
      </c>
      <c r="R96" s="57">
        <v>4</v>
      </c>
      <c r="S96" s="57">
        <v>48</v>
      </c>
      <c r="T96" t="e">
        <f>_xlfn.XLOOKUP(A96,Master!#REF!,Master!G:G)</f>
        <v>#REF!</v>
      </c>
      <c r="W96">
        <v>95</v>
      </c>
      <c r="AA96">
        <v>3</v>
      </c>
      <c r="AB96">
        <v>43</v>
      </c>
      <c r="AC96" t="s">
        <v>1061</v>
      </c>
      <c r="AD96" s="12">
        <v>1</v>
      </c>
      <c r="AE96" s="12">
        <v>2</v>
      </c>
      <c r="AI96" t="s">
        <v>2312</v>
      </c>
      <c r="AJ96">
        <v>57</v>
      </c>
      <c r="AN96" s="12">
        <v>0</v>
      </c>
      <c r="AO96" s="12">
        <v>2</v>
      </c>
      <c r="AP96" s="12">
        <f t="shared" si="1"/>
        <v>2</v>
      </c>
    </row>
    <row r="97" spans="1:42" ht="16.25" customHeight="1" x14ac:dyDescent="0.2">
      <c r="A97" s="18" t="s">
        <v>1246</v>
      </c>
      <c r="B97" s="18" t="s">
        <v>449</v>
      </c>
      <c r="C97" s="41" t="s">
        <v>1132</v>
      </c>
      <c r="D97" s="41" t="s">
        <v>1133</v>
      </c>
      <c r="E97" s="18" t="s">
        <v>458</v>
      </c>
      <c r="F97" s="46" t="s">
        <v>222</v>
      </c>
      <c r="G97" s="18" t="s">
        <v>451</v>
      </c>
      <c r="H97" s="18"/>
      <c r="I97" s="30" t="s">
        <v>452</v>
      </c>
      <c r="J97" s="30" t="s">
        <v>453</v>
      </c>
      <c r="K97" s="30" t="s">
        <v>1117</v>
      </c>
      <c r="L97" s="30" t="s">
        <v>455</v>
      </c>
      <c r="M97" s="18" t="s">
        <v>458</v>
      </c>
      <c r="N97" s="18">
        <v>0</v>
      </c>
      <c r="O97" s="18">
        <v>1</v>
      </c>
      <c r="P97" s="18">
        <v>1</v>
      </c>
      <c r="Q97" s="18">
        <v>2</v>
      </c>
      <c r="R97" s="57">
        <v>4</v>
      </c>
      <c r="S97" s="57">
        <v>49</v>
      </c>
      <c r="T97" t="e">
        <f>_xlfn.XLOOKUP(A97,Master!#REF!,Master!G:G)</f>
        <v>#REF!</v>
      </c>
      <c r="W97">
        <v>96</v>
      </c>
      <c r="AA97">
        <v>3</v>
      </c>
      <c r="AB97">
        <v>44</v>
      </c>
      <c r="AC97" t="s">
        <v>917</v>
      </c>
      <c r="AD97" s="12">
        <v>0</v>
      </c>
      <c r="AE97" s="12">
        <v>1</v>
      </c>
      <c r="AI97" t="s">
        <v>2312</v>
      </c>
      <c r="AJ97">
        <v>58</v>
      </c>
      <c r="AN97" s="12">
        <v>0</v>
      </c>
      <c r="AO97" s="12">
        <v>2</v>
      </c>
      <c r="AP97" s="12">
        <f t="shared" si="1"/>
        <v>2</v>
      </c>
    </row>
    <row r="98" spans="1:42" ht="16.25" customHeight="1" x14ac:dyDescent="0.2">
      <c r="A98" s="10" t="s">
        <v>1121</v>
      </c>
      <c r="B98" s="10" t="s">
        <v>449</v>
      </c>
      <c r="C98" s="29" t="s">
        <v>1122</v>
      </c>
      <c r="D98" s="29" t="s">
        <v>1226</v>
      </c>
      <c r="E98" s="10" t="s">
        <v>0</v>
      </c>
      <c r="F98" s="10"/>
      <c r="G98" s="10" t="s">
        <v>451</v>
      </c>
      <c r="H98" s="10"/>
      <c r="I98" s="30" t="s">
        <v>452</v>
      </c>
      <c r="J98" s="30" t="s">
        <v>453</v>
      </c>
      <c r="K98" s="30" t="s">
        <v>1123</v>
      </c>
      <c r="L98" s="30" t="s">
        <v>455</v>
      </c>
      <c r="M98" s="18" t="s">
        <v>0</v>
      </c>
      <c r="N98" s="18">
        <v>0</v>
      </c>
      <c r="O98" s="18">
        <v>0</v>
      </c>
      <c r="P98" s="18">
        <v>0</v>
      </c>
      <c r="Q98" s="18">
        <v>1</v>
      </c>
      <c r="R98" s="57">
        <v>4</v>
      </c>
      <c r="S98" s="57">
        <v>50</v>
      </c>
      <c r="T98" t="e">
        <f>_xlfn.XLOOKUP(A98,Master!#REF!,Master!G:G)</f>
        <v>#REF!</v>
      </c>
      <c r="W98">
        <v>97</v>
      </c>
      <c r="AA98">
        <v>3</v>
      </c>
      <c r="AB98">
        <v>44</v>
      </c>
      <c r="AC98" t="s">
        <v>964</v>
      </c>
      <c r="AD98" s="12">
        <v>0</v>
      </c>
      <c r="AE98" s="12">
        <v>1</v>
      </c>
      <c r="AI98" t="s">
        <v>2312</v>
      </c>
      <c r="AJ98">
        <v>59</v>
      </c>
      <c r="AN98" s="12">
        <v>0</v>
      </c>
      <c r="AO98" s="12">
        <v>2</v>
      </c>
      <c r="AP98" s="12">
        <f t="shared" si="1"/>
        <v>2</v>
      </c>
    </row>
    <row r="99" spans="1:42" ht="16.25" customHeight="1" x14ac:dyDescent="0.2">
      <c r="A99" s="32" t="s">
        <v>1127</v>
      </c>
      <c r="B99" s="32" t="s">
        <v>449</v>
      </c>
      <c r="C99" s="33" t="s">
        <v>1128</v>
      </c>
      <c r="D99" s="33" t="s">
        <v>1230</v>
      </c>
      <c r="E99" s="32" t="s">
        <v>0</v>
      </c>
      <c r="F99" s="32"/>
      <c r="G99" s="32" t="s">
        <v>451</v>
      </c>
      <c r="H99" s="32"/>
      <c r="I99" s="30" t="s">
        <v>452</v>
      </c>
      <c r="J99" s="30" t="s">
        <v>453</v>
      </c>
      <c r="K99" s="30" t="s">
        <v>1123</v>
      </c>
      <c r="L99" s="30" t="s">
        <v>455</v>
      </c>
      <c r="M99" s="15" t="s">
        <v>0</v>
      </c>
      <c r="N99" s="15">
        <v>0</v>
      </c>
      <c r="O99" s="15">
        <v>0</v>
      </c>
      <c r="P99" s="15">
        <v>0</v>
      </c>
      <c r="Q99" s="15">
        <v>1</v>
      </c>
      <c r="R99" s="57">
        <v>4</v>
      </c>
      <c r="S99" s="57">
        <v>50</v>
      </c>
      <c r="T99" t="e">
        <f>_xlfn.XLOOKUP(A99,Master!#REF!,Master!G:G)</f>
        <v>#REF!</v>
      </c>
      <c r="W99">
        <v>98</v>
      </c>
      <c r="AA99">
        <v>3</v>
      </c>
      <c r="AB99">
        <v>45</v>
      </c>
      <c r="AC99" t="s">
        <v>988</v>
      </c>
      <c r="AD99" s="12">
        <v>0</v>
      </c>
      <c r="AE99" s="12">
        <v>1</v>
      </c>
      <c r="AI99" t="s">
        <v>2312</v>
      </c>
      <c r="AJ99">
        <v>63</v>
      </c>
      <c r="AN99" s="12">
        <v>0</v>
      </c>
      <c r="AO99" s="12">
        <v>2</v>
      </c>
      <c r="AP99" s="12">
        <f t="shared" si="1"/>
        <v>2</v>
      </c>
    </row>
    <row r="100" spans="1:42" ht="16.25" customHeight="1" x14ac:dyDescent="0.2">
      <c r="A100" s="10" t="s">
        <v>1135</v>
      </c>
      <c r="B100" s="10" t="s">
        <v>449</v>
      </c>
      <c r="C100" s="29" t="s">
        <v>1136</v>
      </c>
      <c r="D100" s="29" t="s">
        <v>2237</v>
      </c>
      <c r="E100" s="10" t="s">
        <v>0</v>
      </c>
      <c r="F100" s="10"/>
      <c r="G100" s="10" t="s">
        <v>451</v>
      </c>
      <c r="H100" s="10"/>
      <c r="I100" s="30" t="s">
        <v>452</v>
      </c>
      <c r="J100" s="30" t="s">
        <v>453</v>
      </c>
      <c r="K100" s="30" t="s">
        <v>1123</v>
      </c>
      <c r="L100" s="30" t="s">
        <v>455</v>
      </c>
      <c r="M100" s="18" t="s">
        <v>0</v>
      </c>
      <c r="N100" s="18">
        <v>0</v>
      </c>
      <c r="O100" s="18">
        <v>0</v>
      </c>
      <c r="P100" s="18">
        <v>0</v>
      </c>
      <c r="Q100" s="18">
        <v>1</v>
      </c>
      <c r="R100" s="57">
        <v>4</v>
      </c>
      <c r="S100" s="57">
        <v>51</v>
      </c>
      <c r="T100" t="e">
        <f>_xlfn.XLOOKUP(A100,Master!#REF!,Master!G:G)</f>
        <v>#REF!</v>
      </c>
      <c r="W100">
        <v>99</v>
      </c>
      <c r="AA100">
        <v>3</v>
      </c>
      <c r="AB100">
        <v>45</v>
      </c>
      <c r="AC100" t="s">
        <v>1006</v>
      </c>
      <c r="AD100" s="12">
        <v>0</v>
      </c>
      <c r="AE100" s="12">
        <v>1</v>
      </c>
      <c r="AI100" t="s">
        <v>2312</v>
      </c>
      <c r="AJ100">
        <v>64</v>
      </c>
      <c r="AN100" s="12">
        <v>0</v>
      </c>
      <c r="AO100" s="12">
        <v>2</v>
      </c>
      <c r="AP100" s="12">
        <f t="shared" si="1"/>
        <v>2</v>
      </c>
    </row>
    <row r="101" spans="1:42" ht="16.25" customHeight="1" x14ac:dyDescent="0.2">
      <c r="A101" s="32" t="s">
        <v>1141</v>
      </c>
      <c r="B101" s="32" t="s">
        <v>449</v>
      </c>
      <c r="C101" s="33" t="s">
        <v>1142</v>
      </c>
      <c r="D101" s="33" t="s">
        <v>2241</v>
      </c>
      <c r="E101" s="32" t="s">
        <v>0</v>
      </c>
      <c r="F101" s="32"/>
      <c r="G101" s="32" t="s">
        <v>451</v>
      </c>
      <c r="H101" s="32"/>
      <c r="I101" s="30" t="s">
        <v>452</v>
      </c>
      <c r="J101" s="30" t="s">
        <v>453</v>
      </c>
      <c r="K101" s="30" t="s">
        <v>1123</v>
      </c>
      <c r="L101" s="30" t="s">
        <v>455</v>
      </c>
      <c r="M101" s="15" t="s">
        <v>0</v>
      </c>
      <c r="N101" s="15">
        <v>0</v>
      </c>
      <c r="O101" s="15">
        <v>0</v>
      </c>
      <c r="P101" s="15">
        <v>0</v>
      </c>
      <c r="Q101" s="15">
        <v>1</v>
      </c>
      <c r="R101" s="57">
        <v>4</v>
      </c>
      <c r="S101" s="57">
        <v>51</v>
      </c>
      <c r="T101" t="e">
        <f>_xlfn.XLOOKUP(A101,Master!#REF!,Master!G:G)</f>
        <v>#REF!</v>
      </c>
      <c r="W101">
        <v>100</v>
      </c>
      <c r="AA101">
        <v>3</v>
      </c>
      <c r="AB101">
        <v>86</v>
      </c>
      <c r="AC101" t="s">
        <v>909</v>
      </c>
      <c r="AD101" s="12">
        <v>0</v>
      </c>
      <c r="AE101" s="12">
        <v>1</v>
      </c>
      <c r="AI101" t="s">
        <v>2312</v>
      </c>
      <c r="AJ101">
        <v>65</v>
      </c>
      <c r="AN101" s="12">
        <v>0</v>
      </c>
      <c r="AO101" s="12">
        <v>2</v>
      </c>
      <c r="AP101" s="12">
        <f t="shared" si="1"/>
        <v>2</v>
      </c>
    </row>
    <row r="102" spans="1:42" ht="16.25" customHeight="1" x14ac:dyDescent="0.2">
      <c r="A102" s="32" t="s">
        <v>1155</v>
      </c>
      <c r="B102" s="32" t="s">
        <v>449</v>
      </c>
      <c r="C102" s="33" t="s">
        <v>1156</v>
      </c>
      <c r="D102" s="33" t="s">
        <v>1240</v>
      </c>
      <c r="E102" s="32" t="s">
        <v>0</v>
      </c>
      <c r="F102" s="32"/>
      <c r="G102" s="32" t="s">
        <v>451</v>
      </c>
      <c r="H102" s="32"/>
      <c r="I102" s="30" t="s">
        <v>452</v>
      </c>
      <c r="J102" s="30" t="s">
        <v>453</v>
      </c>
      <c r="K102" s="30" t="s">
        <v>1123</v>
      </c>
      <c r="L102" s="30" t="s">
        <v>455</v>
      </c>
      <c r="M102" s="15" t="s">
        <v>0</v>
      </c>
      <c r="N102" s="15">
        <v>0</v>
      </c>
      <c r="O102" s="15">
        <v>0</v>
      </c>
      <c r="P102" s="15">
        <v>0</v>
      </c>
      <c r="Q102" s="15">
        <v>1</v>
      </c>
      <c r="R102" s="57">
        <v>4</v>
      </c>
      <c r="S102" s="57">
        <v>52</v>
      </c>
      <c r="T102" t="e">
        <f>_xlfn.XLOOKUP(A102,Master!#REF!,Master!G:G)</f>
        <v>#REF!</v>
      </c>
      <c r="W102">
        <v>101</v>
      </c>
      <c r="AA102">
        <v>3</v>
      </c>
      <c r="AB102">
        <v>87</v>
      </c>
      <c r="AC102" t="s">
        <v>951</v>
      </c>
      <c r="AD102" s="12">
        <v>0</v>
      </c>
      <c r="AE102" s="12">
        <v>1</v>
      </c>
      <c r="AI102" t="s">
        <v>2312</v>
      </c>
      <c r="AJ102">
        <v>66</v>
      </c>
      <c r="AN102" s="12">
        <v>0</v>
      </c>
      <c r="AO102" s="12">
        <v>2</v>
      </c>
      <c r="AP102" s="12">
        <f t="shared" si="1"/>
        <v>2</v>
      </c>
    </row>
    <row r="103" spans="1:42" ht="16.25" customHeight="1" x14ac:dyDescent="0.2">
      <c r="A103" s="10" t="s">
        <v>1163</v>
      </c>
      <c r="B103" s="10" t="s">
        <v>449</v>
      </c>
      <c r="C103" s="29" t="s">
        <v>1164</v>
      </c>
      <c r="D103" s="29" t="s">
        <v>1235</v>
      </c>
      <c r="E103" s="10" t="s">
        <v>0</v>
      </c>
      <c r="F103" s="10"/>
      <c r="G103" s="10" t="s">
        <v>451</v>
      </c>
      <c r="H103" s="10"/>
      <c r="I103" s="30" t="s">
        <v>452</v>
      </c>
      <c r="J103" s="30" t="s">
        <v>453</v>
      </c>
      <c r="K103" s="30" t="s">
        <v>1123</v>
      </c>
      <c r="L103" s="30" t="s">
        <v>455</v>
      </c>
      <c r="M103" s="18" t="s">
        <v>0</v>
      </c>
      <c r="N103" s="18">
        <v>0</v>
      </c>
      <c r="O103" s="18">
        <v>0</v>
      </c>
      <c r="P103" s="18">
        <v>0</v>
      </c>
      <c r="Q103" s="18">
        <v>1</v>
      </c>
      <c r="R103" s="57">
        <v>4</v>
      </c>
      <c r="S103" s="57">
        <v>52</v>
      </c>
      <c r="T103" t="e">
        <f>_xlfn.XLOOKUP(A103,Master!#REF!,Master!G:G)</f>
        <v>#REF!</v>
      </c>
      <c r="W103">
        <v>102</v>
      </c>
      <c r="AA103">
        <v>3</v>
      </c>
      <c r="AB103">
        <v>71</v>
      </c>
      <c r="AC103" t="s">
        <v>1070</v>
      </c>
      <c r="AD103" s="12">
        <v>1</v>
      </c>
      <c r="AE103" s="12">
        <v>2</v>
      </c>
      <c r="AI103" t="s">
        <v>2312</v>
      </c>
      <c r="AJ103">
        <v>67</v>
      </c>
      <c r="AN103" s="12">
        <v>0</v>
      </c>
      <c r="AO103" s="12">
        <v>2</v>
      </c>
      <c r="AP103" s="12">
        <f t="shared" si="1"/>
        <v>2</v>
      </c>
    </row>
    <row r="104" spans="1:42" ht="16.25" customHeight="1" x14ac:dyDescent="0.2">
      <c r="A104" s="32" t="s">
        <v>1170</v>
      </c>
      <c r="B104" s="32" t="s">
        <v>449</v>
      </c>
      <c r="C104" s="33" t="s">
        <v>1171</v>
      </c>
      <c r="D104" s="33" t="s">
        <v>1245</v>
      </c>
      <c r="E104" s="32" t="s">
        <v>0</v>
      </c>
      <c r="F104" s="39"/>
      <c r="G104" s="32" t="s">
        <v>451</v>
      </c>
      <c r="H104" s="32"/>
      <c r="I104" s="30" t="s">
        <v>452</v>
      </c>
      <c r="J104" s="30" t="s">
        <v>453</v>
      </c>
      <c r="K104" s="30" t="s">
        <v>1123</v>
      </c>
      <c r="L104" s="30" t="s">
        <v>455</v>
      </c>
      <c r="M104" s="15" t="s">
        <v>0</v>
      </c>
      <c r="N104" s="15">
        <v>0</v>
      </c>
      <c r="O104" s="15">
        <v>0</v>
      </c>
      <c r="P104" s="15">
        <v>0</v>
      </c>
      <c r="Q104" s="15">
        <v>1</v>
      </c>
      <c r="R104" s="57">
        <v>4</v>
      </c>
      <c r="S104" s="57">
        <v>53</v>
      </c>
      <c r="T104" t="e">
        <f>_xlfn.XLOOKUP(A104,Master!#REF!,Master!G:G)</f>
        <v>#REF!</v>
      </c>
      <c r="W104">
        <v>103</v>
      </c>
      <c r="AA104">
        <v>3</v>
      </c>
      <c r="AB104">
        <v>72</v>
      </c>
      <c r="AC104" t="s">
        <v>1024</v>
      </c>
      <c r="AD104" s="12">
        <v>1</v>
      </c>
      <c r="AE104" s="12">
        <v>2</v>
      </c>
      <c r="AI104" t="s">
        <v>2312</v>
      </c>
      <c r="AJ104">
        <v>68</v>
      </c>
      <c r="AN104" s="12">
        <v>0</v>
      </c>
      <c r="AO104" s="12">
        <v>1</v>
      </c>
      <c r="AP104" s="12">
        <f t="shared" si="1"/>
        <v>1</v>
      </c>
    </row>
    <row r="105" spans="1:42" ht="16.25" customHeight="1" x14ac:dyDescent="0.2">
      <c r="A105" s="10" t="s">
        <v>1176</v>
      </c>
      <c r="B105" s="10" t="s">
        <v>449</v>
      </c>
      <c r="C105" s="29" t="s">
        <v>1177</v>
      </c>
      <c r="D105" s="29" t="s">
        <v>1249</v>
      </c>
      <c r="E105" s="10" t="s">
        <v>0</v>
      </c>
      <c r="F105" s="42"/>
      <c r="G105" s="10" t="s">
        <v>451</v>
      </c>
      <c r="H105" s="10"/>
      <c r="I105" s="30" t="s">
        <v>452</v>
      </c>
      <c r="J105" s="30" t="s">
        <v>453</v>
      </c>
      <c r="K105" s="30" t="s">
        <v>1123</v>
      </c>
      <c r="L105" s="30" t="s">
        <v>455</v>
      </c>
      <c r="M105" s="18" t="s">
        <v>0</v>
      </c>
      <c r="N105" s="18">
        <v>0</v>
      </c>
      <c r="O105" s="18">
        <v>0</v>
      </c>
      <c r="P105" s="18">
        <v>0</v>
      </c>
      <c r="Q105" s="18">
        <v>1</v>
      </c>
      <c r="R105" s="57">
        <v>4</v>
      </c>
      <c r="S105" s="57">
        <v>53</v>
      </c>
      <c r="T105" t="e">
        <f>_xlfn.XLOOKUP(A105,Master!#REF!,Master!G:G)</f>
        <v>#REF!</v>
      </c>
      <c r="W105">
        <v>104</v>
      </c>
      <c r="AA105">
        <v>3</v>
      </c>
      <c r="AB105">
        <v>74</v>
      </c>
      <c r="AC105" t="s">
        <v>1016</v>
      </c>
      <c r="AD105" s="12">
        <v>3</v>
      </c>
      <c r="AE105" s="12">
        <v>4</v>
      </c>
      <c r="AI105" t="s">
        <v>2312</v>
      </c>
      <c r="AJ105">
        <v>78</v>
      </c>
      <c r="AN105" s="12">
        <v>0</v>
      </c>
      <c r="AO105" s="12">
        <v>2</v>
      </c>
      <c r="AP105" s="12">
        <f t="shared" si="1"/>
        <v>2</v>
      </c>
    </row>
    <row r="106" spans="1:42" ht="16.25" customHeight="1" x14ac:dyDescent="0.2">
      <c r="A106" s="15" t="s">
        <v>1251</v>
      </c>
      <c r="B106" s="15" t="s">
        <v>449</v>
      </c>
      <c r="C106" s="44" t="s">
        <v>1252</v>
      </c>
      <c r="D106" s="44" t="s">
        <v>2359</v>
      </c>
      <c r="E106" s="15" t="s">
        <v>0</v>
      </c>
      <c r="F106" s="15"/>
      <c r="G106" s="15" t="s">
        <v>451</v>
      </c>
      <c r="H106" s="15"/>
      <c r="I106" s="30" t="s">
        <v>452</v>
      </c>
      <c r="J106" s="30" t="s">
        <v>453</v>
      </c>
      <c r="K106" s="30" t="s">
        <v>1117</v>
      </c>
      <c r="L106" s="30" t="s">
        <v>455</v>
      </c>
      <c r="M106" s="15" t="s">
        <v>0</v>
      </c>
      <c r="N106" s="15">
        <v>0</v>
      </c>
      <c r="O106" s="15">
        <v>0</v>
      </c>
      <c r="P106" s="15">
        <v>0</v>
      </c>
      <c r="Q106" s="15">
        <v>1</v>
      </c>
      <c r="R106" s="57">
        <v>4</v>
      </c>
      <c r="S106" s="57">
        <v>54</v>
      </c>
      <c r="T106" t="e">
        <f>_xlfn.XLOOKUP(A106,Master!#REF!,Master!G:G)</f>
        <v>#REF!</v>
      </c>
      <c r="W106">
        <v>105</v>
      </c>
      <c r="AA106">
        <v>3</v>
      </c>
      <c r="AB106">
        <v>75</v>
      </c>
      <c r="AC106" t="s">
        <v>1035</v>
      </c>
      <c r="AD106" s="12">
        <v>3</v>
      </c>
      <c r="AE106" s="12">
        <v>4</v>
      </c>
      <c r="AI106" t="s">
        <v>2312</v>
      </c>
      <c r="AJ106">
        <v>79</v>
      </c>
      <c r="AN106" s="12">
        <v>0</v>
      </c>
      <c r="AO106" s="12">
        <v>2</v>
      </c>
      <c r="AP106" s="12">
        <f t="shared" si="1"/>
        <v>2</v>
      </c>
    </row>
    <row r="107" spans="1:42" ht="16.25" customHeight="1" x14ac:dyDescent="0.2">
      <c r="A107" s="10" t="s">
        <v>1258</v>
      </c>
      <c r="B107" s="10" t="s">
        <v>449</v>
      </c>
      <c r="C107" s="29" t="s">
        <v>1255</v>
      </c>
      <c r="D107" s="29" t="s">
        <v>1256</v>
      </c>
      <c r="E107" s="10" t="s">
        <v>0</v>
      </c>
      <c r="F107" s="10"/>
      <c r="G107" s="10" t="s">
        <v>451</v>
      </c>
      <c r="H107" s="10"/>
      <c r="I107" s="30" t="s">
        <v>452</v>
      </c>
      <c r="J107" s="30" t="s">
        <v>453</v>
      </c>
      <c r="K107" s="30" t="s">
        <v>1117</v>
      </c>
      <c r="L107" s="30" t="s">
        <v>455</v>
      </c>
      <c r="M107" s="18" t="s">
        <v>0</v>
      </c>
      <c r="N107" s="18">
        <v>0</v>
      </c>
      <c r="O107" s="18">
        <v>0</v>
      </c>
      <c r="P107" s="18">
        <v>0</v>
      </c>
      <c r="Q107" s="18">
        <v>1</v>
      </c>
      <c r="R107" s="57">
        <v>4</v>
      </c>
      <c r="S107" s="57">
        <v>54</v>
      </c>
      <c r="T107" t="e">
        <f>_xlfn.XLOOKUP(A107,Master!#REF!,Master!G:G)</f>
        <v>#REF!</v>
      </c>
      <c r="W107">
        <v>106</v>
      </c>
      <c r="AA107">
        <v>3</v>
      </c>
      <c r="AB107">
        <v>76</v>
      </c>
      <c r="AC107" t="s">
        <v>1050</v>
      </c>
      <c r="AD107" s="12">
        <v>2</v>
      </c>
      <c r="AE107" s="12">
        <v>3</v>
      </c>
      <c r="AI107" t="s">
        <v>2312</v>
      </c>
      <c r="AJ107">
        <v>80</v>
      </c>
      <c r="AN107" s="12">
        <v>0</v>
      </c>
      <c r="AO107" s="12">
        <v>2</v>
      </c>
      <c r="AP107" s="12">
        <f t="shared" si="1"/>
        <v>2</v>
      </c>
    </row>
    <row r="108" spans="1:42" ht="16.25" customHeight="1" x14ac:dyDescent="0.2">
      <c r="A108" s="32" t="s">
        <v>1264</v>
      </c>
      <c r="B108" s="32" t="s">
        <v>449</v>
      </c>
      <c r="C108" s="33" t="s">
        <v>1265</v>
      </c>
      <c r="D108" s="33" t="s">
        <v>1273</v>
      </c>
      <c r="E108" s="32" t="s">
        <v>0</v>
      </c>
      <c r="F108" s="39"/>
      <c r="G108" s="32" t="s">
        <v>451</v>
      </c>
      <c r="H108" s="32"/>
      <c r="I108" s="30" t="s">
        <v>452</v>
      </c>
      <c r="J108" s="30" t="s">
        <v>453</v>
      </c>
      <c r="K108" s="30" t="s">
        <v>1117</v>
      </c>
      <c r="L108" s="30" t="s">
        <v>455</v>
      </c>
      <c r="M108" s="15" t="s">
        <v>0</v>
      </c>
      <c r="N108" s="15">
        <v>0</v>
      </c>
      <c r="O108" s="15">
        <v>0</v>
      </c>
      <c r="P108" s="15">
        <v>0</v>
      </c>
      <c r="Q108" s="15">
        <v>1</v>
      </c>
      <c r="R108" s="57">
        <v>4</v>
      </c>
      <c r="S108" s="57">
        <v>55</v>
      </c>
      <c r="T108" t="e">
        <f>_xlfn.XLOOKUP(A108,Master!#REF!,Master!G:G)</f>
        <v>#REF!</v>
      </c>
      <c r="W108">
        <v>107</v>
      </c>
      <c r="AA108" t="s">
        <v>2360</v>
      </c>
      <c r="AD108" s="12">
        <v>11</v>
      </c>
      <c r="AE108" s="12">
        <v>39</v>
      </c>
      <c r="AI108" t="s">
        <v>2312</v>
      </c>
      <c r="AJ108">
        <v>81</v>
      </c>
      <c r="AN108" s="12">
        <v>0</v>
      </c>
      <c r="AO108" s="12">
        <v>2</v>
      </c>
      <c r="AP108" s="12">
        <f t="shared" si="1"/>
        <v>2</v>
      </c>
    </row>
    <row r="109" spans="1:42" ht="16.25" customHeight="1" x14ac:dyDescent="0.2">
      <c r="A109" s="53" t="s">
        <v>2298</v>
      </c>
      <c r="B109" s="47" t="s">
        <v>449</v>
      </c>
      <c r="C109" s="54" t="s">
        <v>2245</v>
      </c>
      <c r="D109" s="54" t="s">
        <v>2246</v>
      </c>
      <c r="E109" s="53" t="s">
        <v>0</v>
      </c>
      <c r="F109" s="55"/>
      <c r="G109" s="53" t="s">
        <v>1137</v>
      </c>
      <c r="H109" s="53"/>
      <c r="I109" s="45" t="s">
        <v>452</v>
      </c>
      <c r="J109" s="45" t="s">
        <v>453</v>
      </c>
      <c r="K109" s="45" t="s">
        <v>959</v>
      </c>
      <c r="L109" s="45" t="s">
        <v>455</v>
      </c>
      <c r="M109" s="47" t="s">
        <v>0</v>
      </c>
      <c r="N109" s="47">
        <v>0</v>
      </c>
      <c r="O109" s="47">
        <v>0</v>
      </c>
      <c r="P109" s="47">
        <v>0</v>
      </c>
      <c r="Q109" s="47">
        <v>1</v>
      </c>
      <c r="R109" s="45" t="s">
        <v>2361</v>
      </c>
      <c r="S109" s="70">
        <v>55</v>
      </c>
      <c r="T109" t="e">
        <f>_xlfn.XLOOKUP(A109,Master!#REF!,Master!G:G)</f>
        <v>#REF!</v>
      </c>
      <c r="W109">
        <v>108</v>
      </c>
      <c r="AA109">
        <v>4</v>
      </c>
      <c r="AB109">
        <v>46</v>
      </c>
      <c r="AC109" t="s">
        <v>1081</v>
      </c>
      <c r="AD109" s="12">
        <v>0</v>
      </c>
      <c r="AE109" s="12">
        <v>1</v>
      </c>
      <c r="AI109" t="s">
        <v>2312</v>
      </c>
      <c r="AJ109">
        <v>90</v>
      </c>
      <c r="AN109" s="12">
        <v>0</v>
      </c>
      <c r="AO109" s="12">
        <v>2</v>
      </c>
      <c r="AP109" s="12">
        <f t="shared" si="1"/>
        <v>2</v>
      </c>
    </row>
    <row r="110" spans="1:42" ht="16.25" customHeight="1" x14ac:dyDescent="0.2">
      <c r="A110" s="32" t="s">
        <v>1181</v>
      </c>
      <c r="B110" s="32" t="s">
        <v>449</v>
      </c>
      <c r="C110" s="33" t="s">
        <v>2362</v>
      </c>
      <c r="D110" s="33" t="s">
        <v>1269</v>
      </c>
      <c r="E110" s="32" t="s">
        <v>0</v>
      </c>
      <c r="F110" s="39"/>
      <c r="G110" s="32" t="s">
        <v>451</v>
      </c>
      <c r="H110" s="32"/>
      <c r="I110" s="30" t="s">
        <v>452</v>
      </c>
      <c r="J110" s="30" t="s">
        <v>453</v>
      </c>
      <c r="K110" s="30" t="s">
        <v>1123</v>
      </c>
      <c r="L110" s="30" t="s">
        <v>455</v>
      </c>
      <c r="M110" s="15" t="s">
        <v>0</v>
      </c>
      <c r="N110" s="15">
        <v>0</v>
      </c>
      <c r="O110" s="15">
        <v>0</v>
      </c>
      <c r="P110" s="15">
        <v>0</v>
      </c>
      <c r="Q110" s="15">
        <v>1</v>
      </c>
      <c r="R110" s="57">
        <v>4</v>
      </c>
      <c r="S110" s="57">
        <v>56</v>
      </c>
      <c r="T110" t="e">
        <f>_xlfn.XLOOKUP(A110,Master!#REF!,Master!G:G)</f>
        <v>#REF!</v>
      </c>
      <c r="W110">
        <v>109</v>
      </c>
      <c r="AA110">
        <v>4</v>
      </c>
      <c r="AB110">
        <v>46</v>
      </c>
      <c r="AC110" t="s">
        <v>1075</v>
      </c>
      <c r="AD110" s="12">
        <v>0</v>
      </c>
      <c r="AE110" s="12">
        <v>1</v>
      </c>
      <c r="AI110" t="s">
        <v>2312</v>
      </c>
      <c r="AJ110">
        <v>92</v>
      </c>
      <c r="AN110" s="12">
        <v>0</v>
      </c>
      <c r="AO110" s="12">
        <v>2</v>
      </c>
      <c r="AP110" s="12">
        <f t="shared" si="1"/>
        <v>2</v>
      </c>
    </row>
    <row r="111" spans="1:42" ht="16.25" customHeight="1" x14ac:dyDescent="0.2">
      <c r="A111" s="32" t="s">
        <v>1190</v>
      </c>
      <c r="B111" s="15" t="s">
        <v>449</v>
      </c>
      <c r="C111" s="33" t="s">
        <v>1191</v>
      </c>
      <c r="D111" s="33" t="s">
        <v>1262</v>
      </c>
      <c r="E111" s="32" t="s">
        <v>0</v>
      </c>
      <c r="F111" s="32"/>
      <c r="G111" s="32" t="s">
        <v>451</v>
      </c>
      <c r="H111" s="32"/>
      <c r="I111" s="30" t="s">
        <v>452</v>
      </c>
      <c r="J111" s="30" t="s">
        <v>453</v>
      </c>
      <c r="K111" s="30" t="s">
        <v>959</v>
      </c>
      <c r="L111" s="30" t="s">
        <v>455</v>
      </c>
      <c r="M111" s="15" t="s">
        <v>0</v>
      </c>
      <c r="N111" s="15">
        <v>0</v>
      </c>
      <c r="O111" s="15">
        <v>0</v>
      </c>
      <c r="P111" s="15">
        <v>0</v>
      </c>
      <c r="Q111" s="15">
        <v>1</v>
      </c>
      <c r="R111" s="57">
        <v>4</v>
      </c>
      <c r="S111" s="57">
        <v>56</v>
      </c>
      <c r="T111" t="e">
        <f>_xlfn.XLOOKUP(A111,Master!#REF!,Master!G:G)</f>
        <v>#REF!</v>
      </c>
      <c r="W111">
        <v>110</v>
      </c>
      <c r="AA111">
        <v>4</v>
      </c>
      <c r="AB111">
        <v>47</v>
      </c>
      <c r="AC111" t="s">
        <v>1088</v>
      </c>
      <c r="AD111" s="12">
        <v>0</v>
      </c>
      <c r="AE111" s="12">
        <v>1</v>
      </c>
      <c r="AI111" t="s">
        <v>2312</v>
      </c>
      <c r="AJ111">
        <v>106</v>
      </c>
      <c r="AN111" s="12">
        <v>0</v>
      </c>
      <c r="AO111" s="12">
        <v>2</v>
      </c>
      <c r="AP111" s="12">
        <f t="shared" si="1"/>
        <v>2</v>
      </c>
    </row>
    <row r="112" spans="1:42" ht="16.25" customHeight="1" x14ac:dyDescent="0.2">
      <c r="A112" s="10" t="s">
        <v>1206</v>
      </c>
      <c r="B112" s="18" t="s">
        <v>449</v>
      </c>
      <c r="C112" s="29" t="s">
        <v>1054</v>
      </c>
      <c r="D112" s="29" t="s">
        <v>1055</v>
      </c>
      <c r="E112" s="10" t="s">
        <v>0</v>
      </c>
      <c r="F112" s="42"/>
      <c r="G112" s="10" t="s">
        <v>451</v>
      </c>
      <c r="H112" s="10"/>
      <c r="I112" s="30" t="s">
        <v>452</v>
      </c>
      <c r="J112" s="30" t="s">
        <v>453</v>
      </c>
      <c r="K112" s="30" t="s">
        <v>959</v>
      </c>
      <c r="L112" s="30" t="s">
        <v>455</v>
      </c>
      <c r="M112" s="18" t="s">
        <v>0</v>
      </c>
      <c r="N112" s="18">
        <v>0</v>
      </c>
      <c r="O112" s="18">
        <v>0</v>
      </c>
      <c r="P112" s="18">
        <v>0</v>
      </c>
      <c r="Q112" s="18">
        <v>1</v>
      </c>
      <c r="R112" s="57">
        <v>3</v>
      </c>
      <c r="S112" s="57">
        <v>40</v>
      </c>
      <c r="T112" t="e">
        <f>_xlfn.XLOOKUP(A112,Master!#REF!,Master!G:G)</f>
        <v>#REF!</v>
      </c>
      <c r="W112">
        <v>111</v>
      </c>
      <c r="AA112">
        <v>4</v>
      </c>
      <c r="AB112">
        <v>47</v>
      </c>
      <c r="AC112" t="s">
        <v>1093</v>
      </c>
      <c r="AD112" s="12">
        <v>0</v>
      </c>
      <c r="AE112" s="12">
        <v>1</v>
      </c>
      <c r="AI112" t="s">
        <v>2312</v>
      </c>
      <c r="AJ112">
        <v>107</v>
      </c>
      <c r="AN112" s="12">
        <v>0</v>
      </c>
      <c r="AO112" s="12">
        <v>2</v>
      </c>
      <c r="AP112" s="12">
        <f t="shared" si="1"/>
        <v>2</v>
      </c>
    </row>
    <row r="113" spans="1:42" ht="16.25" customHeight="1" x14ac:dyDescent="0.2">
      <c r="A113" s="32" t="s">
        <v>1210</v>
      </c>
      <c r="B113" s="15" t="s">
        <v>449</v>
      </c>
      <c r="C113" s="33" t="s">
        <v>1211</v>
      </c>
      <c r="D113" s="33" t="s">
        <v>1280</v>
      </c>
      <c r="E113" s="32" t="s">
        <v>0</v>
      </c>
      <c r="F113" s="39"/>
      <c r="G113" s="32" t="s">
        <v>451</v>
      </c>
      <c r="H113" s="32"/>
      <c r="I113" s="30" t="s">
        <v>452</v>
      </c>
      <c r="J113" s="30" t="s">
        <v>453</v>
      </c>
      <c r="K113" s="30" t="s">
        <v>959</v>
      </c>
      <c r="L113" s="30" t="s">
        <v>455</v>
      </c>
      <c r="M113" s="15" t="s">
        <v>0</v>
      </c>
      <c r="N113" s="15">
        <v>0</v>
      </c>
      <c r="O113" s="15">
        <v>0</v>
      </c>
      <c r="P113" s="15">
        <v>0</v>
      </c>
      <c r="Q113" s="15">
        <v>1</v>
      </c>
      <c r="R113" s="57">
        <v>4</v>
      </c>
      <c r="S113" s="57">
        <v>57</v>
      </c>
      <c r="T113" t="e">
        <f>_xlfn.XLOOKUP(A113,Master!#REF!,Master!G:G)</f>
        <v>#REF!</v>
      </c>
      <c r="W113">
        <v>112</v>
      </c>
      <c r="AA113">
        <v>4</v>
      </c>
      <c r="AB113">
        <v>48</v>
      </c>
      <c r="AC113" t="s">
        <v>1104</v>
      </c>
      <c r="AD113" s="12">
        <v>0</v>
      </c>
      <c r="AE113" s="12">
        <v>1</v>
      </c>
      <c r="AI113" t="s">
        <v>2312</v>
      </c>
      <c r="AJ113">
        <v>108</v>
      </c>
      <c r="AN113" s="12">
        <v>0</v>
      </c>
      <c r="AO113" s="12">
        <v>2</v>
      </c>
      <c r="AP113" s="12">
        <f t="shared" si="1"/>
        <v>2</v>
      </c>
    </row>
    <row r="114" spans="1:42" ht="16.25" customHeight="1" x14ac:dyDescent="0.2">
      <c r="A114" s="10" t="s">
        <v>1216</v>
      </c>
      <c r="B114" s="18" t="s">
        <v>449</v>
      </c>
      <c r="C114" s="29" t="s">
        <v>1217</v>
      </c>
      <c r="D114" s="29" t="s">
        <v>1297</v>
      </c>
      <c r="E114" s="10" t="s">
        <v>0</v>
      </c>
      <c r="F114" s="42"/>
      <c r="G114" s="10" t="s">
        <v>451</v>
      </c>
      <c r="H114" s="10"/>
      <c r="I114" s="30" t="s">
        <v>452</v>
      </c>
      <c r="J114" s="30" t="s">
        <v>453</v>
      </c>
      <c r="K114" s="30" t="s">
        <v>959</v>
      </c>
      <c r="L114" s="30" t="s">
        <v>455</v>
      </c>
      <c r="M114" s="18" t="s">
        <v>0</v>
      </c>
      <c r="N114" s="18">
        <v>0</v>
      </c>
      <c r="O114" s="18">
        <v>0</v>
      </c>
      <c r="P114" s="18">
        <v>0</v>
      </c>
      <c r="Q114" s="18">
        <v>1</v>
      </c>
      <c r="R114" s="57">
        <v>4</v>
      </c>
      <c r="S114" s="57">
        <v>58</v>
      </c>
      <c r="T114" t="e">
        <f>_xlfn.XLOOKUP(A114,Master!#REF!,Master!G:G)</f>
        <v>#REF!</v>
      </c>
      <c r="W114">
        <v>113</v>
      </c>
      <c r="AA114">
        <v>4</v>
      </c>
      <c r="AB114">
        <v>48</v>
      </c>
      <c r="AC114" t="s">
        <v>1099</v>
      </c>
      <c r="AD114" s="12">
        <v>0</v>
      </c>
      <c r="AE114" s="12">
        <v>1</v>
      </c>
      <c r="AI114" t="s">
        <v>2312</v>
      </c>
      <c r="AJ114">
        <v>109</v>
      </c>
      <c r="AN114" s="12">
        <v>0</v>
      </c>
      <c r="AO114" s="12">
        <v>2</v>
      </c>
      <c r="AP114" s="12">
        <f t="shared" si="1"/>
        <v>2</v>
      </c>
    </row>
    <row r="115" spans="1:42" ht="16.25" customHeight="1" x14ac:dyDescent="0.2">
      <c r="A115" s="32" t="s">
        <v>1221</v>
      </c>
      <c r="B115" s="15" t="s">
        <v>449</v>
      </c>
      <c r="C115" s="33" t="s">
        <v>1222</v>
      </c>
      <c r="D115" s="33" t="s">
        <v>1309</v>
      </c>
      <c r="E115" s="32" t="s">
        <v>0</v>
      </c>
      <c r="F115" s="39"/>
      <c r="G115" s="32" t="s">
        <v>451</v>
      </c>
      <c r="H115" s="32"/>
      <c r="I115" s="30" t="s">
        <v>452</v>
      </c>
      <c r="J115" s="30" t="s">
        <v>453</v>
      </c>
      <c r="K115" s="30" t="s">
        <v>959</v>
      </c>
      <c r="L115" s="30" t="s">
        <v>455</v>
      </c>
      <c r="M115" s="15" t="s">
        <v>0</v>
      </c>
      <c r="N115" s="15">
        <v>0</v>
      </c>
      <c r="O115" s="15">
        <v>0</v>
      </c>
      <c r="P115" s="15">
        <v>0</v>
      </c>
      <c r="Q115" s="15">
        <v>1</v>
      </c>
      <c r="R115" s="57">
        <v>4</v>
      </c>
      <c r="S115" s="57">
        <v>58</v>
      </c>
      <c r="T115" t="e">
        <f>_xlfn.XLOOKUP(A115,Master!#REF!,Master!G:G)</f>
        <v>#REF!</v>
      </c>
      <c r="W115">
        <v>114</v>
      </c>
      <c r="AA115">
        <v>4</v>
      </c>
      <c r="AB115">
        <v>49</v>
      </c>
      <c r="AC115" t="s">
        <v>1246</v>
      </c>
      <c r="AD115" s="12">
        <v>1</v>
      </c>
      <c r="AE115" s="12">
        <v>2</v>
      </c>
      <c r="AI115" t="s">
        <v>2312</v>
      </c>
      <c r="AJ115">
        <v>110</v>
      </c>
      <c r="AN115" s="12">
        <v>0</v>
      </c>
      <c r="AO115" s="12">
        <v>2</v>
      </c>
      <c r="AP115" s="12">
        <f t="shared" si="1"/>
        <v>2</v>
      </c>
    </row>
    <row r="116" spans="1:42" ht="16.25" customHeight="1" x14ac:dyDescent="0.2">
      <c r="A116" s="10" t="s">
        <v>1227</v>
      </c>
      <c r="B116" s="18" t="s">
        <v>449</v>
      </c>
      <c r="C116" s="29" t="s">
        <v>1022</v>
      </c>
      <c r="D116" s="29" t="s">
        <v>1023</v>
      </c>
      <c r="E116" s="10" t="s">
        <v>0</v>
      </c>
      <c r="F116" s="10"/>
      <c r="G116" s="10" t="s">
        <v>451</v>
      </c>
      <c r="H116" s="10"/>
      <c r="I116" s="30" t="s">
        <v>452</v>
      </c>
      <c r="J116" s="30" t="s">
        <v>453</v>
      </c>
      <c r="K116" s="30" t="s">
        <v>959</v>
      </c>
      <c r="L116" s="30" t="s">
        <v>455</v>
      </c>
      <c r="M116" s="18" t="s">
        <v>0</v>
      </c>
      <c r="N116" s="18">
        <v>0</v>
      </c>
      <c r="O116" s="18">
        <v>0</v>
      </c>
      <c r="P116" s="18">
        <v>0</v>
      </c>
      <c r="Q116" s="18">
        <v>1</v>
      </c>
      <c r="R116" s="57">
        <v>4</v>
      </c>
      <c r="S116" s="57">
        <v>59</v>
      </c>
      <c r="T116" t="e">
        <f>_xlfn.XLOOKUP(A116,Master!#REF!,Master!G:G)</f>
        <v>#REF!</v>
      </c>
      <c r="W116">
        <v>115</v>
      </c>
      <c r="AA116">
        <v>4</v>
      </c>
      <c r="AB116">
        <v>50</v>
      </c>
      <c r="AC116" t="s">
        <v>1121</v>
      </c>
      <c r="AD116" s="12">
        <v>0</v>
      </c>
      <c r="AE116" s="12">
        <v>1</v>
      </c>
      <c r="AI116" t="s">
        <v>2312</v>
      </c>
      <c r="AJ116">
        <v>111</v>
      </c>
      <c r="AN116" s="12">
        <v>0</v>
      </c>
      <c r="AO116" s="12">
        <v>2</v>
      </c>
      <c r="AP116" s="12">
        <f t="shared" si="1"/>
        <v>2</v>
      </c>
    </row>
    <row r="117" spans="1:42" ht="16.25" customHeight="1" x14ac:dyDescent="0.2">
      <c r="A117" s="17" t="s">
        <v>1236</v>
      </c>
      <c r="B117" s="18" t="s">
        <v>449</v>
      </c>
      <c r="C117" s="41" t="s">
        <v>1237</v>
      </c>
      <c r="D117" s="10" t="s">
        <v>2363</v>
      </c>
      <c r="E117" s="10" t="s">
        <v>0</v>
      </c>
      <c r="F117" s="10"/>
      <c r="G117" s="10" t="s">
        <v>451</v>
      </c>
      <c r="H117" s="10"/>
      <c r="I117" s="30" t="s">
        <v>452</v>
      </c>
      <c r="J117" s="30" t="s">
        <v>453</v>
      </c>
      <c r="K117" s="30" t="s">
        <v>959</v>
      </c>
      <c r="L117" s="30" t="s">
        <v>455</v>
      </c>
      <c r="M117" s="18" t="s">
        <v>0</v>
      </c>
      <c r="N117" s="18">
        <v>0</v>
      </c>
      <c r="O117" s="18">
        <v>0</v>
      </c>
      <c r="P117" s="18">
        <v>0</v>
      </c>
      <c r="Q117" s="18">
        <v>1</v>
      </c>
      <c r="R117" s="57">
        <v>4</v>
      </c>
      <c r="S117" s="57">
        <v>59</v>
      </c>
      <c r="T117" t="e">
        <f>_xlfn.XLOOKUP(A117,Master!#REF!,Master!G:G)</f>
        <v>#REF!</v>
      </c>
      <c r="W117">
        <v>116</v>
      </c>
      <c r="AA117">
        <v>4</v>
      </c>
      <c r="AB117">
        <v>50</v>
      </c>
      <c r="AC117" t="s">
        <v>1127</v>
      </c>
      <c r="AD117" s="12">
        <v>0</v>
      </c>
      <c r="AE117" s="12">
        <v>1</v>
      </c>
      <c r="AI117" t="s">
        <v>2312</v>
      </c>
      <c r="AJ117">
        <v>112</v>
      </c>
      <c r="AN117" s="12">
        <v>0</v>
      </c>
      <c r="AO117" s="12">
        <v>2</v>
      </c>
      <c r="AP117" s="12">
        <f t="shared" si="1"/>
        <v>2</v>
      </c>
    </row>
    <row r="118" spans="1:42" ht="16.25" customHeight="1" x14ac:dyDescent="0.2">
      <c r="A118" s="10" t="s">
        <v>1148</v>
      </c>
      <c r="B118" s="10" t="s">
        <v>449</v>
      </c>
      <c r="C118" s="29" t="s">
        <v>1149</v>
      </c>
      <c r="D118" s="29" t="s">
        <v>1834</v>
      </c>
      <c r="E118" s="10" t="s">
        <v>0</v>
      </c>
      <c r="F118" s="10"/>
      <c r="G118" s="10" t="s">
        <v>451</v>
      </c>
      <c r="H118" s="10"/>
      <c r="I118" s="30" t="s">
        <v>452</v>
      </c>
      <c r="J118" s="30" t="s">
        <v>453</v>
      </c>
      <c r="K118" s="30" t="s">
        <v>1123</v>
      </c>
      <c r="L118" s="30" t="s">
        <v>455</v>
      </c>
      <c r="M118" s="18" t="s">
        <v>0</v>
      </c>
      <c r="N118" s="18">
        <v>0</v>
      </c>
      <c r="O118" s="18">
        <v>0</v>
      </c>
      <c r="P118" s="18">
        <v>0</v>
      </c>
      <c r="Q118" s="18">
        <v>1</v>
      </c>
      <c r="R118" s="57">
        <v>7</v>
      </c>
      <c r="S118" s="57">
        <v>60</v>
      </c>
      <c r="T118" t="e">
        <f>_xlfn.XLOOKUP(A118,Master!#REF!,Master!G:G)</f>
        <v>#REF!</v>
      </c>
      <c r="W118">
        <v>117</v>
      </c>
      <c r="AA118">
        <v>4</v>
      </c>
      <c r="AB118">
        <v>51</v>
      </c>
      <c r="AC118" t="s">
        <v>1135</v>
      </c>
      <c r="AD118" s="12">
        <v>0</v>
      </c>
      <c r="AE118" s="12">
        <v>1</v>
      </c>
      <c r="AI118" t="s">
        <v>2312</v>
      </c>
      <c r="AJ118">
        <v>113</v>
      </c>
      <c r="AN118" s="12">
        <v>0</v>
      </c>
      <c r="AO118" s="12">
        <v>2</v>
      </c>
      <c r="AP118" s="12">
        <f t="shared" si="1"/>
        <v>2</v>
      </c>
    </row>
    <row r="119" spans="1:42" ht="16.25" customHeight="1" x14ac:dyDescent="0.2">
      <c r="A119" s="32" t="s">
        <v>1200</v>
      </c>
      <c r="B119" s="15" t="s">
        <v>449</v>
      </c>
      <c r="C119" s="33" t="s">
        <v>1146</v>
      </c>
      <c r="D119" s="33" t="s">
        <v>1147</v>
      </c>
      <c r="E119" s="32" t="s">
        <v>0</v>
      </c>
      <c r="F119" s="39"/>
      <c r="G119" s="32" t="s">
        <v>451</v>
      </c>
      <c r="H119" s="32"/>
      <c r="I119" s="30" t="s">
        <v>452</v>
      </c>
      <c r="J119" s="30" t="s">
        <v>453</v>
      </c>
      <c r="K119" s="30" t="s">
        <v>959</v>
      </c>
      <c r="L119" s="30" t="s">
        <v>455</v>
      </c>
      <c r="M119" s="15" t="s">
        <v>0</v>
      </c>
      <c r="N119" s="15">
        <v>0</v>
      </c>
      <c r="O119" s="15">
        <v>0</v>
      </c>
      <c r="P119" s="15">
        <v>0</v>
      </c>
      <c r="Q119" s="15">
        <v>1</v>
      </c>
      <c r="R119" s="57">
        <v>4</v>
      </c>
      <c r="S119" s="57">
        <v>62</v>
      </c>
      <c r="T119" t="e">
        <f>_xlfn.XLOOKUP(A119,Master!#REF!,Master!G:G)</f>
        <v>#REF!</v>
      </c>
      <c r="W119">
        <v>118</v>
      </c>
      <c r="AA119">
        <v>4</v>
      </c>
      <c r="AB119">
        <v>51</v>
      </c>
      <c r="AC119" t="s">
        <v>1141</v>
      </c>
      <c r="AD119" s="12">
        <v>0</v>
      </c>
      <c r="AE119" s="12">
        <v>1</v>
      </c>
      <c r="AI119" t="s">
        <v>2312</v>
      </c>
      <c r="AJ119">
        <v>114</v>
      </c>
      <c r="AN119" s="12">
        <v>0</v>
      </c>
      <c r="AO119" s="12">
        <v>2</v>
      </c>
      <c r="AP119" s="12">
        <f t="shared" si="1"/>
        <v>2</v>
      </c>
    </row>
    <row r="120" spans="1:42" ht="16.25" customHeight="1" x14ac:dyDescent="0.2">
      <c r="A120" s="43" t="s">
        <v>1231</v>
      </c>
      <c r="B120" s="15" t="s">
        <v>449</v>
      </c>
      <c r="C120" s="32" t="s">
        <v>929</v>
      </c>
      <c r="D120" s="32" t="s">
        <v>2364</v>
      </c>
      <c r="E120" s="32" t="s">
        <v>0</v>
      </c>
      <c r="F120" s="32"/>
      <c r="G120" s="32" t="s">
        <v>451</v>
      </c>
      <c r="H120" s="32" t="s">
        <v>557</v>
      </c>
      <c r="I120" s="30" t="s">
        <v>452</v>
      </c>
      <c r="J120" s="30" t="s">
        <v>453</v>
      </c>
      <c r="K120" s="30" t="s">
        <v>959</v>
      </c>
      <c r="L120" s="30" t="s">
        <v>455</v>
      </c>
      <c r="M120" s="15" t="s">
        <v>0</v>
      </c>
      <c r="N120" s="15">
        <v>0</v>
      </c>
      <c r="O120" s="15">
        <v>0</v>
      </c>
      <c r="P120" s="15">
        <v>0</v>
      </c>
      <c r="Q120" s="15">
        <v>1</v>
      </c>
      <c r="R120" s="57">
        <v>4</v>
      </c>
      <c r="S120" s="57">
        <v>61</v>
      </c>
      <c r="T120" t="e">
        <f>_xlfn.XLOOKUP(A120,Master!#REF!,Master!G:G)</f>
        <v>#REF!</v>
      </c>
      <c r="W120">
        <v>119</v>
      </c>
      <c r="AA120">
        <v>4</v>
      </c>
      <c r="AB120">
        <v>52</v>
      </c>
      <c r="AC120" t="s">
        <v>1163</v>
      </c>
      <c r="AD120" s="12">
        <v>0</v>
      </c>
      <c r="AE120" s="12">
        <v>1</v>
      </c>
      <c r="AI120" t="s">
        <v>2312</v>
      </c>
      <c r="AJ120">
        <v>115</v>
      </c>
      <c r="AN120" s="12">
        <v>0</v>
      </c>
      <c r="AO120" s="12">
        <v>2</v>
      </c>
      <c r="AP120" s="12">
        <f t="shared" si="1"/>
        <v>2</v>
      </c>
    </row>
    <row r="121" spans="1:42" ht="16.25" customHeight="1" x14ac:dyDescent="0.2">
      <c r="A121" s="17" t="s">
        <v>1241</v>
      </c>
      <c r="B121" s="15" t="s">
        <v>449</v>
      </c>
      <c r="C121" s="33" t="s">
        <v>1187</v>
      </c>
      <c r="D121" s="32" t="s">
        <v>2365</v>
      </c>
      <c r="E121" s="32" t="s">
        <v>0</v>
      </c>
      <c r="F121" s="32"/>
      <c r="G121" s="32" t="s">
        <v>451</v>
      </c>
      <c r="H121" s="32"/>
      <c r="I121" s="30" t="s">
        <v>452</v>
      </c>
      <c r="J121" s="30" t="s">
        <v>453</v>
      </c>
      <c r="K121" s="30" t="s">
        <v>959</v>
      </c>
      <c r="L121" s="30" t="s">
        <v>455</v>
      </c>
      <c r="M121" s="15" t="s">
        <v>0</v>
      </c>
      <c r="N121" s="15">
        <v>0</v>
      </c>
      <c r="O121" s="15">
        <v>0</v>
      </c>
      <c r="P121" s="15">
        <v>0</v>
      </c>
      <c r="Q121" s="15">
        <v>1</v>
      </c>
      <c r="R121" s="57">
        <v>4</v>
      </c>
      <c r="S121" s="57">
        <v>69</v>
      </c>
      <c r="T121" t="e">
        <f>_xlfn.XLOOKUP(A121,Master!#REF!,Master!G:G)</f>
        <v>#REF!</v>
      </c>
      <c r="W121">
        <v>120</v>
      </c>
      <c r="AA121">
        <v>4</v>
      </c>
      <c r="AB121">
        <v>52</v>
      </c>
      <c r="AC121" t="s">
        <v>1155</v>
      </c>
      <c r="AD121" s="12">
        <v>0</v>
      </c>
      <c r="AE121" s="12">
        <v>1</v>
      </c>
      <c r="AI121" t="s">
        <v>2312</v>
      </c>
      <c r="AJ121">
        <v>132</v>
      </c>
      <c r="AN121" s="12">
        <v>0</v>
      </c>
      <c r="AO121" s="12">
        <v>2</v>
      </c>
      <c r="AP121" s="12">
        <f t="shared" si="1"/>
        <v>2</v>
      </c>
    </row>
    <row r="122" spans="1:42" ht="16.25" customHeight="1" x14ac:dyDescent="0.2">
      <c r="A122" s="32" t="s">
        <v>1736</v>
      </c>
      <c r="B122" s="15" t="s">
        <v>449</v>
      </c>
      <c r="C122" s="33" t="s">
        <v>1737</v>
      </c>
      <c r="D122" s="33" t="s">
        <v>1807</v>
      </c>
      <c r="E122" s="32" t="s">
        <v>0</v>
      </c>
      <c r="F122" s="32"/>
      <c r="G122" s="32" t="s">
        <v>451</v>
      </c>
      <c r="H122" s="32"/>
      <c r="I122" s="30" t="s">
        <v>452</v>
      </c>
      <c r="J122" s="30" t="s">
        <v>453</v>
      </c>
      <c r="K122" s="30" t="s">
        <v>959</v>
      </c>
      <c r="L122" s="30" t="s">
        <v>455</v>
      </c>
      <c r="M122" s="15" t="s">
        <v>0</v>
      </c>
      <c r="N122" s="15">
        <v>0</v>
      </c>
      <c r="O122" s="15">
        <v>0</v>
      </c>
      <c r="P122" s="15">
        <v>0</v>
      </c>
      <c r="Q122" s="15">
        <v>1</v>
      </c>
      <c r="R122" s="65">
        <v>7</v>
      </c>
      <c r="S122" s="65">
        <v>62</v>
      </c>
      <c r="T122" t="e">
        <f>_xlfn.XLOOKUP(A122,Master!#REF!,Master!G:G)</f>
        <v>#REF!</v>
      </c>
      <c r="W122">
        <v>121</v>
      </c>
      <c r="AA122">
        <v>4</v>
      </c>
      <c r="AB122">
        <v>53</v>
      </c>
      <c r="AC122" t="s">
        <v>1170</v>
      </c>
      <c r="AD122" s="12">
        <v>0</v>
      </c>
      <c r="AE122" s="12">
        <v>1</v>
      </c>
      <c r="AI122" t="s">
        <v>2312</v>
      </c>
      <c r="AJ122">
        <v>133</v>
      </c>
      <c r="AN122" s="12">
        <v>0</v>
      </c>
      <c r="AO122" s="12">
        <v>2</v>
      </c>
      <c r="AP122" s="12">
        <f t="shared" si="1"/>
        <v>2</v>
      </c>
    </row>
    <row r="123" spans="1:42" ht="16.25" customHeight="1" x14ac:dyDescent="0.2">
      <c r="A123" s="32" t="s">
        <v>1873</v>
      </c>
      <c r="B123" s="32" t="s">
        <v>449</v>
      </c>
      <c r="C123" s="33" t="s">
        <v>1826</v>
      </c>
      <c r="D123" s="33" t="s">
        <v>1827</v>
      </c>
      <c r="E123" s="32" t="s">
        <v>0</v>
      </c>
      <c r="F123" s="32"/>
      <c r="G123" s="32" t="s">
        <v>451</v>
      </c>
      <c r="H123" s="32" t="s">
        <v>1828</v>
      </c>
      <c r="I123" s="30" t="s">
        <v>452</v>
      </c>
      <c r="J123" s="30" t="s">
        <v>453</v>
      </c>
      <c r="K123" s="30" t="s">
        <v>492</v>
      </c>
      <c r="L123" s="30" t="s">
        <v>455</v>
      </c>
      <c r="M123" s="15" t="s">
        <v>0</v>
      </c>
      <c r="N123" s="15">
        <v>0</v>
      </c>
      <c r="O123" s="15">
        <v>0</v>
      </c>
      <c r="P123" s="15">
        <v>0</v>
      </c>
      <c r="Q123" s="15">
        <v>1</v>
      </c>
      <c r="R123" s="65">
        <v>7</v>
      </c>
      <c r="S123" s="65">
        <v>60</v>
      </c>
      <c r="T123" t="e">
        <f>_xlfn.XLOOKUP(A123,Master!#REF!,Master!G:G)</f>
        <v>#REF!</v>
      </c>
      <c r="W123">
        <v>122</v>
      </c>
      <c r="AA123">
        <v>4</v>
      </c>
      <c r="AB123">
        <v>53</v>
      </c>
      <c r="AC123" t="s">
        <v>1176</v>
      </c>
      <c r="AD123" s="12">
        <v>0</v>
      </c>
      <c r="AE123" s="12">
        <v>1</v>
      </c>
      <c r="AI123" t="s">
        <v>2312</v>
      </c>
      <c r="AJ123">
        <v>134</v>
      </c>
      <c r="AN123" s="12">
        <v>0</v>
      </c>
      <c r="AO123" s="12">
        <v>2</v>
      </c>
      <c r="AP123" s="12">
        <f t="shared" si="1"/>
        <v>2</v>
      </c>
    </row>
    <row r="124" spans="1:42" ht="16.25" customHeight="1" x14ac:dyDescent="0.2">
      <c r="A124" s="10" t="s">
        <v>1867</v>
      </c>
      <c r="B124" s="10" t="s">
        <v>449</v>
      </c>
      <c r="C124" s="29" t="s">
        <v>1868</v>
      </c>
      <c r="D124" s="29" t="s">
        <v>1894</v>
      </c>
      <c r="E124" s="10" t="s">
        <v>0</v>
      </c>
      <c r="F124" s="10"/>
      <c r="G124" s="10" t="s">
        <v>451</v>
      </c>
      <c r="H124" s="10"/>
      <c r="I124" s="30" t="s">
        <v>452</v>
      </c>
      <c r="J124" s="30" t="s">
        <v>453</v>
      </c>
      <c r="K124" s="30" t="s">
        <v>492</v>
      </c>
      <c r="L124" s="30" t="s">
        <v>455</v>
      </c>
      <c r="M124" s="18" t="s">
        <v>0</v>
      </c>
      <c r="N124" s="18">
        <v>0</v>
      </c>
      <c r="O124" s="18">
        <v>0</v>
      </c>
      <c r="P124" s="18">
        <v>0</v>
      </c>
      <c r="Q124" s="18">
        <v>1</v>
      </c>
      <c r="R124" s="65">
        <v>7</v>
      </c>
      <c r="S124" s="65">
        <v>63</v>
      </c>
      <c r="T124" t="e">
        <f>_xlfn.XLOOKUP(A124,Master!#REF!,Master!G:G)</f>
        <v>#REF!</v>
      </c>
      <c r="W124">
        <v>123</v>
      </c>
      <c r="AA124">
        <v>4</v>
      </c>
      <c r="AB124">
        <v>54</v>
      </c>
      <c r="AC124" t="s">
        <v>1251</v>
      </c>
      <c r="AD124" s="12">
        <v>0</v>
      </c>
      <c r="AE124" s="12">
        <v>1</v>
      </c>
      <c r="AI124" t="s">
        <v>2312</v>
      </c>
      <c r="AJ124">
        <v>135</v>
      </c>
      <c r="AN124" s="12">
        <v>0</v>
      </c>
      <c r="AO124" s="12">
        <v>2</v>
      </c>
      <c r="AP124" s="12">
        <f t="shared" si="1"/>
        <v>2</v>
      </c>
    </row>
    <row r="125" spans="1:42" ht="16.25" customHeight="1" x14ac:dyDescent="0.2">
      <c r="A125" s="10" t="s">
        <v>1877</v>
      </c>
      <c r="B125" s="10" t="s">
        <v>449</v>
      </c>
      <c r="C125" s="29" t="s">
        <v>1878</v>
      </c>
      <c r="D125" s="29" t="s">
        <v>1900</v>
      </c>
      <c r="E125" s="10" t="s">
        <v>0</v>
      </c>
      <c r="F125" s="10"/>
      <c r="G125" s="10" t="s">
        <v>451</v>
      </c>
      <c r="H125" s="10"/>
      <c r="I125" s="30" t="s">
        <v>452</v>
      </c>
      <c r="J125" s="30" t="s">
        <v>453</v>
      </c>
      <c r="K125" s="30" t="s">
        <v>492</v>
      </c>
      <c r="L125" s="30" t="s">
        <v>455</v>
      </c>
      <c r="M125" s="18" t="s">
        <v>0</v>
      </c>
      <c r="N125" s="18">
        <v>0</v>
      </c>
      <c r="O125" s="18">
        <v>0</v>
      </c>
      <c r="P125" s="18">
        <v>0</v>
      </c>
      <c r="Q125" s="18">
        <v>1</v>
      </c>
      <c r="R125" s="65">
        <v>7</v>
      </c>
      <c r="S125" s="65">
        <v>63</v>
      </c>
      <c r="T125" t="e">
        <f>_xlfn.XLOOKUP(A125,Master!#REF!,Master!G:G)</f>
        <v>#REF!</v>
      </c>
      <c r="W125">
        <v>124</v>
      </c>
      <c r="AA125">
        <v>4</v>
      </c>
      <c r="AB125">
        <v>54</v>
      </c>
      <c r="AC125" t="s">
        <v>1258</v>
      </c>
      <c r="AD125" s="12">
        <v>0</v>
      </c>
      <c r="AE125" s="12">
        <v>1</v>
      </c>
      <c r="AI125" t="s">
        <v>2312</v>
      </c>
      <c r="AJ125">
        <v>136</v>
      </c>
      <c r="AN125" s="12">
        <v>0</v>
      </c>
      <c r="AO125" s="12">
        <v>2</v>
      </c>
      <c r="AP125" s="12">
        <f t="shared" si="1"/>
        <v>2</v>
      </c>
    </row>
    <row r="126" spans="1:42" ht="16.25" customHeight="1" x14ac:dyDescent="0.2">
      <c r="A126" s="32" t="s">
        <v>1855</v>
      </c>
      <c r="B126" s="32" t="s">
        <v>449</v>
      </c>
      <c r="C126" s="33" t="s">
        <v>1856</v>
      </c>
      <c r="D126" s="33" t="s">
        <v>1907</v>
      </c>
      <c r="E126" s="32" t="s">
        <v>0</v>
      </c>
      <c r="F126" s="32"/>
      <c r="G126" s="32" t="s">
        <v>451</v>
      </c>
      <c r="H126" s="32"/>
      <c r="I126" s="30" t="s">
        <v>452</v>
      </c>
      <c r="J126" s="30" t="s">
        <v>453</v>
      </c>
      <c r="K126" s="30" t="s">
        <v>492</v>
      </c>
      <c r="L126" s="30" t="s">
        <v>455</v>
      </c>
      <c r="M126" s="15" t="s">
        <v>0</v>
      </c>
      <c r="N126" s="15">
        <v>0</v>
      </c>
      <c r="O126" s="15">
        <v>0</v>
      </c>
      <c r="P126" s="15">
        <v>0</v>
      </c>
      <c r="Q126" s="15">
        <v>1</v>
      </c>
      <c r="R126" s="65">
        <v>7</v>
      </c>
      <c r="S126" s="65">
        <v>64</v>
      </c>
      <c r="T126" t="e">
        <f>_xlfn.XLOOKUP(A126,Master!#REF!,Master!G:G)</f>
        <v>#REF!</v>
      </c>
      <c r="W126">
        <v>125</v>
      </c>
      <c r="AA126">
        <v>4</v>
      </c>
      <c r="AB126">
        <v>55</v>
      </c>
      <c r="AC126" t="s">
        <v>1264</v>
      </c>
      <c r="AD126" s="12">
        <v>0</v>
      </c>
      <c r="AE126" s="12">
        <v>1</v>
      </c>
      <c r="AI126" t="s">
        <v>2312</v>
      </c>
      <c r="AJ126">
        <v>137</v>
      </c>
      <c r="AN126" s="12">
        <v>0</v>
      </c>
      <c r="AO126" s="12">
        <v>2</v>
      </c>
      <c r="AP126" s="12">
        <f t="shared" si="1"/>
        <v>2</v>
      </c>
    </row>
    <row r="127" spans="1:42" ht="16.25" customHeight="1" x14ac:dyDescent="0.2">
      <c r="A127" s="32" t="s">
        <v>1862</v>
      </c>
      <c r="B127" s="32" t="s">
        <v>449</v>
      </c>
      <c r="C127" s="33" t="s">
        <v>1863</v>
      </c>
      <c r="D127" s="33" t="s">
        <v>1914</v>
      </c>
      <c r="E127" s="32" t="s">
        <v>0</v>
      </c>
      <c r="F127" s="39"/>
      <c r="G127" s="32" t="s">
        <v>451</v>
      </c>
      <c r="H127" s="32"/>
      <c r="I127" s="30" t="s">
        <v>452</v>
      </c>
      <c r="J127" s="30" t="s">
        <v>453</v>
      </c>
      <c r="K127" s="30" t="s">
        <v>492</v>
      </c>
      <c r="L127" s="30" t="s">
        <v>455</v>
      </c>
      <c r="M127" s="15" t="s">
        <v>0</v>
      </c>
      <c r="N127" s="15">
        <v>0</v>
      </c>
      <c r="O127" s="15">
        <v>0</v>
      </c>
      <c r="P127" s="15">
        <v>0</v>
      </c>
      <c r="Q127" s="15">
        <v>1</v>
      </c>
      <c r="R127" s="65">
        <v>7</v>
      </c>
      <c r="S127" s="65">
        <v>64</v>
      </c>
      <c r="T127" t="e">
        <f>_xlfn.XLOOKUP(A127,Master!#REF!,Master!G:G)</f>
        <v>#REF!</v>
      </c>
      <c r="W127">
        <v>126</v>
      </c>
      <c r="AA127">
        <v>4</v>
      </c>
      <c r="AB127">
        <v>56</v>
      </c>
      <c r="AC127" t="s">
        <v>1181</v>
      </c>
      <c r="AD127" s="12">
        <v>0</v>
      </c>
      <c r="AE127" s="12">
        <v>1</v>
      </c>
      <c r="AI127" t="s">
        <v>2312</v>
      </c>
      <c r="AJ127">
        <v>138</v>
      </c>
      <c r="AN127" s="12">
        <v>0</v>
      </c>
      <c r="AO127" s="12">
        <v>2</v>
      </c>
      <c r="AP127" s="12">
        <f t="shared" si="1"/>
        <v>2</v>
      </c>
    </row>
    <row r="128" spans="1:42" ht="16.25" customHeight="1" x14ac:dyDescent="0.2">
      <c r="A128" s="32" t="s">
        <v>1808</v>
      </c>
      <c r="B128" s="32" t="s">
        <v>449</v>
      </c>
      <c r="C128" s="33" t="s">
        <v>768</v>
      </c>
      <c r="D128" s="33" t="s">
        <v>769</v>
      </c>
      <c r="E128" s="32" t="s">
        <v>0</v>
      </c>
      <c r="F128" s="39"/>
      <c r="G128" s="32" t="s">
        <v>451</v>
      </c>
      <c r="H128" s="32"/>
      <c r="I128" s="30" t="s">
        <v>452</v>
      </c>
      <c r="J128" s="30" t="s">
        <v>453</v>
      </c>
      <c r="K128" s="30" t="s">
        <v>751</v>
      </c>
      <c r="L128" s="30" t="s">
        <v>455</v>
      </c>
      <c r="M128" s="15" t="s">
        <v>0</v>
      </c>
      <c r="N128" s="15">
        <v>0</v>
      </c>
      <c r="O128" s="15">
        <v>0</v>
      </c>
      <c r="P128" s="15">
        <v>0</v>
      </c>
      <c r="Q128" s="15">
        <v>1</v>
      </c>
      <c r="R128" s="65">
        <v>2</v>
      </c>
      <c r="S128" s="65">
        <v>65</v>
      </c>
      <c r="T128" t="e">
        <f>_xlfn.XLOOKUP(A128,Master!#REF!,Master!G:G)</f>
        <v>#REF!</v>
      </c>
      <c r="W128">
        <v>127</v>
      </c>
      <c r="AA128">
        <v>4</v>
      </c>
      <c r="AB128">
        <v>56</v>
      </c>
      <c r="AC128" t="s">
        <v>1190</v>
      </c>
      <c r="AD128" s="12">
        <v>0</v>
      </c>
      <c r="AE128" s="12">
        <v>1</v>
      </c>
      <c r="AI128" t="s">
        <v>2312</v>
      </c>
      <c r="AJ128">
        <v>139</v>
      </c>
      <c r="AN128" s="12">
        <v>0</v>
      </c>
      <c r="AO128" s="12">
        <v>2</v>
      </c>
      <c r="AP128" s="12">
        <f t="shared" si="1"/>
        <v>2</v>
      </c>
    </row>
    <row r="129" spans="1:42" ht="16.25" customHeight="1" x14ac:dyDescent="0.2">
      <c r="A129" s="10" t="s">
        <v>1850</v>
      </c>
      <c r="B129" s="10" t="s">
        <v>449</v>
      </c>
      <c r="C129" s="29" t="s">
        <v>1851</v>
      </c>
      <c r="D129" s="29" t="s">
        <v>1956</v>
      </c>
      <c r="E129" s="10" t="s">
        <v>0</v>
      </c>
      <c r="F129" s="10"/>
      <c r="G129" s="10" t="s">
        <v>451</v>
      </c>
      <c r="H129" s="10"/>
      <c r="I129" s="30" t="s">
        <v>452</v>
      </c>
      <c r="J129" s="30" t="s">
        <v>453</v>
      </c>
      <c r="K129" s="30" t="s">
        <v>492</v>
      </c>
      <c r="L129" s="30" t="s">
        <v>455</v>
      </c>
      <c r="M129" s="18" t="s">
        <v>0</v>
      </c>
      <c r="N129" s="18">
        <v>0</v>
      </c>
      <c r="O129" s="18">
        <v>0</v>
      </c>
      <c r="P129" s="18">
        <v>0</v>
      </c>
      <c r="Q129" s="18">
        <v>1</v>
      </c>
      <c r="R129" s="65">
        <v>7</v>
      </c>
      <c r="S129" s="65">
        <v>65</v>
      </c>
      <c r="T129" t="e">
        <f>_xlfn.XLOOKUP(A129,Master!#REF!,Master!G:G)</f>
        <v>#REF!</v>
      </c>
      <c r="W129">
        <v>128</v>
      </c>
      <c r="AA129">
        <v>4</v>
      </c>
      <c r="AB129">
        <v>57</v>
      </c>
      <c r="AC129" t="s">
        <v>1206</v>
      </c>
      <c r="AD129" s="12">
        <v>0</v>
      </c>
      <c r="AE129" s="12">
        <v>1</v>
      </c>
      <c r="AI129" t="s">
        <v>2312</v>
      </c>
      <c r="AJ129">
        <v>140</v>
      </c>
      <c r="AN129" s="12">
        <v>0</v>
      </c>
      <c r="AO129" s="12">
        <v>2</v>
      </c>
      <c r="AP129" s="12">
        <f t="shared" si="1"/>
        <v>2</v>
      </c>
    </row>
    <row r="130" spans="1:42" ht="16.25" customHeight="1" x14ac:dyDescent="0.2">
      <c r="A130" s="32" t="s">
        <v>1799</v>
      </c>
      <c r="B130" s="32" t="s">
        <v>449</v>
      </c>
      <c r="C130" s="33" t="s">
        <v>775</v>
      </c>
      <c r="D130" s="33" t="s">
        <v>776</v>
      </c>
      <c r="E130" s="32" t="s">
        <v>0</v>
      </c>
      <c r="F130" s="32"/>
      <c r="G130" s="32" t="s">
        <v>451</v>
      </c>
      <c r="H130" s="32"/>
      <c r="I130" s="30" t="s">
        <v>452</v>
      </c>
      <c r="J130" s="30" t="s">
        <v>453</v>
      </c>
      <c r="K130" s="30" t="s">
        <v>751</v>
      </c>
      <c r="L130" s="30" t="s">
        <v>455</v>
      </c>
      <c r="M130" s="15" t="s">
        <v>0</v>
      </c>
      <c r="N130" s="15">
        <v>0</v>
      </c>
      <c r="O130" s="15">
        <v>0</v>
      </c>
      <c r="P130" s="15">
        <v>0</v>
      </c>
      <c r="Q130" s="15">
        <v>1</v>
      </c>
      <c r="R130" s="65">
        <v>2</v>
      </c>
      <c r="S130" s="65">
        <v>66</v>
      </c>
      <c r="T130" t="e">
        <f>_xlfn.XLOOKUP(A130,Master!#REF!,Master!G:G)</f>
        <v>#REF!</v>
      </c>
      <c r="W130">
        <v>129</v>
      </c>
      <c r="AA130">
        <v>4</v>
      </c>
      <c r="AB130">
        <v>57</v>
      </c>
      <c r="AC130" t="s">
        <v>1210</v>
      </c>
      <c r="AD130" s="12">
        <v>0</v>
      </c>
      <c r="AE130" s="12">
        <v>1</v>
      </c>
      <c r="AI130" t="s">
        <v>2312</v>
      </c>
      <c r="AJ130">
        <v>141</v>
      </c>
      <c r="AN130" s="12">
        <v>0</v>
      </c>
      <c r="AO130" s="12">
        <v>2</v>
      </c>
      <c r="AP130" s="12">
        <f t="shared" si="1"/>
        <v>2</v>
      </c>
    </row>
    <row r="131" spans="1:42" ht="16.25" customHeight="1" x14ac:dyDescent="0.2">
      <c r="A131" s="10" t="s">
        <v>1803</v>
      </c>
      <c r="B131" s="10" t="s">
        <v>449</v>
      </c>
      <c r="C131" s="29" t="s">
        <v>780</v>
      </c>
      <c r="D131" s="29" t="s">
        <v>781</v>
      </c>
      <c r="E131" s="10" t="s">
        <v>0</v>
      </c>
      <c r="F131" s="10"/>
      <c r="G131" s="10" t="s">
        <v>451</v>
      </c>
      <c r="H131" s="10"/>
      <c r="I131" s="30" t="s">
        <v>452</v>
      </c>
      <c r="J131" s="30" t="s">
        <v>453</v>
      </c>
      <c r="K131" s="30" t="s">
        <v>751</v>
      </c>
      <c r="L131" s="30" t="s">
        <v>455</v>
      </c>
      <c r="M131" s="18" t="s">
        <v>0</v>
      </c>
      <c r="N131" s="18">
        <v>0</v>
      </c>
      <c r="O131" s="18">
        <v>0</v>
      </c>
      <c r="P131" s="18">
        <v>0</v>
      </c>
      <c r="Q131" s="18">
        <v>1</v>
      </c>
      <c r="R131" s="65">
        <v>2</v>
      </c>
      <c r="S131" s="65">
        <v>66</v>
      </c>
      <c r="T131" t="e">
        <f>_xlfn.XLOOKUP(A131,Master!#REF!,Master!G:G)</f>
        <v>#REF!</v>
      </c>
      <c r="W131">
        <v>130</v>
      </c>
      <c r="AA131">
        <v>4</v>
      </c>
      <c r="AB131">
        <v>58</v>
      </c>
      <c r="AC131" t="s">
        <v>1221</v>
      </c>
      <c r="AD131" s="12">
        <v>0</v>
      </c>
      <c r="AE131" s="12">
        <v>1</v>
      </c>
      <c r="AI131" t="s">
        <v>2312</v>
      </c>
      <c r="AJ131">
        <v>142</v>
      </c>
      <c r="AN131" s="12">
        <v>0</v>
      </c>
      <c r="AO131" s="12">
        <v>2</v>
      </c>
      <c r="AP131" s="12">
        <f t="shared" si="1"/>
        <v>2</v>
      </c>
    </row>
    <row r="132" spans="1:42" ht="16.25" customHeight="1" x14ac:dyDescent="0.2">
      <c r="A132" s="32" t="s">
        <v>1786</v>
      </c>
      <c r="B132" s="32" t="s">
        <v>449</v>
      </c>
      <c r="C132" s="33" t="s">
        <v>787</v>
      </c>
      <c r="D132" s="33" t="s">
        <v>788</v>
      </c>
      <c r="E132" s="32" t="s">
        <v>0</v>
      </c>
      <c r="F132" s="32"/>
      <c r="G132" s="32" t="s">
        <v>451</v>
      </c>
      <c r="H132" s="32"/>
      <c r="I132" s="30" t="s">
        <v>452</v>
      </c>
      <c r="J132" s="30" t="s">
        <v>453</v>
      </c>
      <c r="K132" s="30" t="s">
        <v>751</v>
      </c>
      <c r="L132" s="30" t="s">
        <v>455</v>
      </c>
      <c r="M132" s="15" t="s">
        <v>0</v>
      </c>
      <c r="N132" s="15">
        <v>0</v>
      </c>
      <c r="O132" s="15">
        <v>0</v>
      </c>
      <c r="P132" s="15">
        <v>0</v>
      </c>
      <c r="Q132" s="15">
        <v>1</v>
      </c>
      <c r="R132" s="65">
        <v>2</v>
      </c>
      <c r="S132" s="65">
        <v>67</v>
      </c>
      <c r="T132" t="e">
        <f>_xlfn.XLOOKUP(A132,Master!#REF!,Master!G:G)</f>
        <v>#REF!</v>
      </c>
      <c r="W132">
        <v>131</v>
      </c>
      <c r="AA132">
        <v>4</v>
      </c>
      <c r="AB132">
        <v>58</v>
      </c>
      <c r="AC132" t="s">
        <v>1216</v>
      </c>
      <c r="AD132" s="12">
        <v>0</v>
      </c>
      <c r="AE132" s="12">
        <v>1</v>
      </c>
      <c r="AI132" t="s">
        <v>2312</v>
      </c>
      <c r="AJ132">
        <v>144</v>
      </c>
      <c r="AN132" s="12">
        <v>0</v>
      </c>
      <c r="AO132" s="12">
        <v>1</v>
      </c>
      <c r="AP132" s="12">
        <f t="shared" si="1"/>
        <v>1</v>
      </c>
    </row>
    <row r="133" spans="1:42" ht="16.25" customHeight="1" x14ac:dyDescent="0.2">
      <c r="A133" s="10" t="s">
        <v>1791</v>
      </c>
      <c r="B133" s="10" t="s">
        <v>449</v>
      </c>
      <c r="C133" s="29" t="s">
        <v>793</v>
      </c>
      <c r="D133" s="29" t="s">
        <v>794</v>
      </c>
      <c r="E133" s="10" t="s">
        <v>0</v>
      </c>
      <c r="F133" s="10"/>
      <c r="G133" s="10" t="s">
        <v>451</v>
      </c>
      <c r="H133" s="10" t="s">
        <v>1792</v>
      </c>
      <c r="I133" s="30" t="s">
        <v>452</v>
      </c>
      <c r="J133" s="30" t="s">
        <v>453</v>
      </c>
      <c r="K133" s="30" t="s">
        <v>751</v>
      </c>
      <c r="L133" s="30" t="s">
        <v>455</v>
      </c>
      <c r="M133" s="18" t="s">
        <v>0</v>
      </c>
      <c r="N133" s="18">
        <v>0</v>
      </c>
      <c r="O133" s="18">
        <v>0</v>
      </c>
      <c r="P133" s="18">
        <v>0</v>
      </c>
      <c r="Q133" s="18">
        <v>1</v>
      </c>
      <c r="R133" s="65">
        <v>2</v>
      </c>
      <c r="S133" s="65">
        <v>67</v>
      </c>
      <c r="T133" t="e">
        <f>_xlfn.XLOOKUP(A133,Master!#REF!,Master!G:G)</f>
        <v>#REF!</v>
      </c>
      <c r="W133">
        <v>132</v>
      </c>
      <c r="AA133">
        <v>4</v>
      </c>
      <c r="AB133">
        <v>59</v>
      </c>
      <c r="AC133" t="s">
        <v>1227</v>
      </c>
      <c r="AD133" s="12">
        <v>0</v>
      </c>
      <c r="AE133" s="12">
        <v>1</v>
      </c>
      <c r="AI133" t="s">
        <v>2366</v>
      </c>
      <c r="AJ133" t="s">
        <v>2366</v>
      </c>
      <c r="AN133" s="12"/>
      <c r="AO133" s="12"/>
    </row>
    <row r="134" spans="1:42" ht="16.25" customHeight="1" x14ac:dyDescent="0.2">
      <c r="A134" s="38" t="s">
        <v>1270</v>
      </c>
      <c r="B134" s="32" t="s">
        <v>449</v>
      </c>
      <c r="C134" s="33" t="s">
        <v>1160</v>
      </c>
      <c r="D134" s="33" t="s">
        <v>1161</v>
      </c>
      <c r="E134" s="32" t="s">
        <v>0</v>
      </c>
      <c r="F134" s="60"/>
      <c r="G134" s="38" t="s">
        <v>451</v>
      </c>
      <c r="H134" s="38"/>
      <c r="I134" s="35" t="s">
        <v>452</v>
      </c>
      <c r="J134" s="30" t="s">
        <v>491</v>
      </c>
      <c r="K134" s="35" t="s">
        <v>911</v>
      </c>
      <c r="L134" s="30" t="s">
        <v>455</v>
      </c>
      <c r="M134" s="15" t="s">
        <v>0</v>
      </c>
      <c r="N134" s="15">
        <v>0</v>
      </c>
      <c r="O134" s="15">
        <v>0</v>
      </c>
      <c r="P134" s="15">
        <v>0</v>
      </c>
      <c r="Q134" s="40">
        <v>1</v>
      </c>
      <c r="R134" s="59">
        <v>4</v>
      </c>
      <c r="S134" s="59">
        <v>68</v>
      </c>
      <c r="T134" s="25" t="e">
        <f>_xlfn.XLOOKUP(A134,Master!#REF!,Master!G:G)</f>
        <v>#REF!</v>
      </c>
      <c r="W134">
        <v>133</v>
      </c>
      <c r="AA134">
        <v>4</v>
      </c>
      <c r="AB134">
        <v>59</v>
      </c>
      <c r="AC134" t="s">
        <v>1236</v>
      </c>
      <c r="AD134" s="12">
        <v>0</v>
      </c>
      <c r="AE134" s="12">
        <v>1</v>
      </c>
      <c r="AI134" t="s">
        <v>2367</v>
      </c>
      <c r="AN134" s="12">
        <v>0</v>
      </c>
      <c r="AO134" s="12">
        <v>256</v>
      </c>
    </row>
    <row r="135" spans="1:42" ht="16.25" customHeight="1" x14ac:dyDescent="0.2">
      <c r="A135" s="38" t="s">
        <v>1882</v>
      </c>
      <c r="B135" s="32" t="s">
        <v>449</v>
      </c>
      <c r="C135" s="33" t="s">
        <v>1840</v>
      </c>
      <c r="D135" s="33" t="s">
        <v>1841</v>
      </c>
      <c r="E135" s="32" t="s">
        <v>0</v>
      </c>
      <c r="F135" s="38"/>
      <c r="G135" s="38" t="s">
        <v>451</v>
      </c>
      <c r="H135" s="38"/>
      <c r="I135" s="35" t="s">
        <v>452</v>
      </c>
      <c r="J135" s="35" t="s">
        <v>491</v>
      </c>
      <c r="K135" s="35" t="s">
        <v>911</v>
      </c>
      <c r="L135" s="30" t="s">
        <v>455</v>
      </c>
      <c r="M135" s="15" t="s">
        <v>0</v>
      </c>
      <c r="N135" s="15">
        <v>0</v>
      </c>
      <c r="O135" s="15">
        <v>0</v>
      </c>
      <c r="P135" s="15">
        <v>0</v>
      </c>
      <c r="Q135" s="40">
        <v>1</v>
      </c>
      <c r="R135" s="66">
        <v>7</v>
      </c>
      <c r="S135" s="66">
        <v>68</v>
      </c>
      <c r="T135" s="25" t="e">
        <f>_xlfn.XLOOKUP(A135,Master!#REF!,Master!G:G)</f>
        <v>#REF!</v>
      </c>
      <c r="W135">
        <v>134</v>
      </c>
      <c r="AA135">
        <v>4</v>
      </c>
      <c r="AB135">
        <v>60</v>
      </c>
      <c r="AC135" t="s">
        <v>1200</v>
      </c>
      <c r="AD135" s="12">
        <v>0</v>
      </c>
      <c r="AE135" s="12">
        <v>1</v>
      </c>
    </row>
    <row r="136" spans="1:42" ht="16.25" customHeight="1" x14ac:dyDescent="0.2">
      <c r="A136" s="32" t="s">
        <v>1717</v>
      </c>
      <c r="B136" s="15" t="s">
        <v>449</v>
      </c>
      <c r="C136" s="33" t="s">
        <v>1320</v>
      </c>
      <c r="D136" s="33" t="s">
        <v>1321</v>
      </c>
      <c r="E136" s="32" t="s">
        <v>0</v>
      </c>
      <c r="F136" s="32"/>
      <c r="G136" s="32" t="s">
        <v>451</v>
      </c>
      <c r="H136" s="32"/>
      <c r="I136" s="30" t="s">
        <v>452</v>
      </c>
      <c r="J136" s="30" t="s">
        <v>453</v>
      </c>
      <c r="K136" s="30" t="s">
        <v>959</v>
      </c>
      <c r="L136" s="30" t="s">
        <v>455</v>
      </c>
      <c r="M136" s="15" t="s">
        <v>0</v>
      </c>
      <c r="N136" s="15">
        <v>0</v>
      </c>
      <c r="O136" s="15">
        <v>0</v>
      </c>
      <c r="P136" s="15">
        <v>0</v>
      </c>
      <c r="Q136" s="15">
        <v>1</v>
      </c>
      <c r="R136" s="65">
        <v>4</v>
      </c>
      <c r="S136" s="65">
        <v>69</v>
      </c>
      <c r="T136" t="e">
        <f>_xlfn.XLOOKUP(A136,Master!#REF!,Master!G:G)</f>
        <v>#REF!</v>
      </c>
      <c r="V136">
        <v>17</v>
      </c>
      <c r="W136">
        <v>135</v>
      </c>
      <c r="AA136">
        <v>4</v>
      </c>
      <c r="AB136">
        <v>60</v>
      </c>
      <c r="AC136" t="s">
        <v>1148</v>
      </c>
      <c r="AD136" s="12">
        <v>0</v>
      </c>
      <c r="AE136" s="12">
        <v>1</v>
      </c>
    </row>
    <row r="137" spans="1:42" ht="16.25" customHeight="1" x14ac:dyDescent="0.2">
      <c r="A137" s="32" t="s">
        <v>1726</v>
      </c>
      <c r="B137" s="15" t="s">
        <v>449</v>
      </c>
      <c r="C137" s="33" t="s">
        <v>1153</v>
      </c>
      <c r="D137" s="33" t="s">
        <v>1154</v>
      </c>
      <c r="E137" s="32" t="s">
        <v>0</v>
      </c>
      <c r="F137" s="32"/>
      <c r="G137" s="32" t="s">
        <v>451</v>
      </c>
      <c r="H137" s="32"/>
      <c r="I137" s="30" t="s">
        <v>452</v>
      </c>
      <c r="J137" s="30" t="s">
        <v>453</v>
      </c>
      <c r="K137" s="30" t="s">
        <v>959</v>
      </c>
      <c r="L137" s="30" t="s">
        <v>455</v>
      </c>
      <c r="M137" s="15" t="s">
        <v>0</v>
      </c>
      <c r="N137" s="15">
        <v>0</v>
      </c>
      <c r="O137" s="15">
        <v>0</v>
      </c>
      <c r="P137" s="15">
        <v>0</v>
      </c>
      <c r="Q137" s="15">
        <v>1</v>
      </c>
      <c r="R137" s="65">
        <v>4</v>
      </c>
      <c r="S137" s="65">
        <v>62</v>
      </c>
      <c r="T137" t="e">
        <f>_xlfn.XLOOKUP(A137,Master!#REF!,Master!G:G)</f>
        <v>#REF!</v>
      </c>
      <c r="V137">
        <v>18</v>
      </c>
      <c r="W137">
        <v>136</v>
      </c>
      <c r="AA137">
        <v>4</v>
      </c>
      <c r="AB137">
        <v>61</v>
      </c>
      <c r="AC137" t="s">
        <v>1241</v>
      </c>
      <c r="AD137" s="12">
        <v>0</v>
      </c>
      <c r="AE137" s="12">
        <v>1</v>
      </c>
    </row>
    <row r="138" spans="1:42" ht="16.25" customHeight="1" x14ac:dyDescent="0.2">
      <c r="A138" s="10" t="s">
        <v>1196</v>
      </c>
      <c r="B138" s="10" t="s">
        <v>449</v>
      </c>
      <c r="C138" s="29" t="s">
        <v>1174</v>
      </c>
      <c r="D138" s="29" t="s">
        <v>1175</v>
      </c>
      <c r="E138" s="10" t="s">
        <v>458</v>
      </c>
      <c r="F138" s="10" t="s">
        <v>208</v>
      </c>
      <c r="G138" s="10" t="s">
        <v>451</v>
      </c>
      <c r="H138" s="10"/>
      <c r="I138" s="30" t="s">
        <v>452</v>
      </c>
      <c r="J138" s="30" t="s">
        <v>453</v>
      </c>
      <c r="K138" s="30" t="s">
        <v>959</v>
      </c>
      <c r="L138" s="30" t="s">
        <v>455</v>
      </c>
      <c r="M138" s="18" t="s">
        <v>458</v>
      </c>
      <c r="N138" s="18">
        <v>0</v>
      </c>
      <c r="O138" s="18">
        <v>1</v>
      </c>
      <c r="P138" s="18">
        <v>1</v>
      </c>
      <c r="Q138" s="18">
        <v>2</v>
      </c>
      <c r="R138" s="57">
        <v>4</v>
      </c>
      <c r="S138" s="57">
        <v>70</v>
      </c>
      <c r="T138" t="e">
        <f>_xlfn.XLOOKUP(A138,Master!#REF!,Master!G:G)</f>
        <v>#REF!</v>
      </c>
      <c r="V138">
        <v>18</v>
      </c>
      <c r="W138">
        <v>137</v>
      </c>
      <c r="AA138">
        <v>4</v>
      </c>
      <c r="AB138">
        <v>61</v>
      </c>
      <c r="AC138" t="s">
        <v>1231</v>
      </c>
      <c r="AD138" s="12">
        <v>0</v>
      </c>
      <c r="AE138" s="12">
        <v>1</v>
      </c>
    </row>
    <row r="139" spans="1:42" ht="16.25" customHeight="1" x14ac:dyDescent="0.2">
      <c r="A139" s="10" t="s">
        <v>1070</v>
      </c>
      <c r="B139" s="10" t="s">
        <v>449</v>
      </c>
      <c r="C139" s="29" t="s">
        <v>949</v>
      </c>
      <c r="D139" s="29" t="s">
        <v>950</v>
      </c>
      <c r="E139" s="10" t="s">
        <v>458</v>
      </c>
      <c r="F139" s="10" t="s">
        <v>175</v>
      </c>
      <c r="G139" s="10" t="s">
        <v>451</v>
      </c>
      <c r="H139" s="10"/>
      <c r="I139" s="30" t="s">
        <v>452</v>
      </c>
      <c r="J139" s="30" t="s">
        <v>453</v>
      </c>
      <c r="K139" s="30" t="s">
        <v>959</v>
      </c>
      <c r="L139" s="30" t="s">
        <v>455</v>
      </c>
      <c r="M139" s="18" t="s">
        <v>458</v>
      </c>
      <c r="N139" s="18">
        <v>0</v>
      </c>
      <c r="O139" s="18">
        <v>1</v>
      </c>
      <c r="P139" s="18">
        <v>1</v>
      </c>
      <c r="Q139" s="18">
        <v>2</v>
      </c>
      <c r="R139" s="62">
        <v>3</v>
      </c>
      <c r="S139" s="62">
        <v>71</v>
      </c>
      <c r="T139" t="e">
        <f>_xlfn.XLOOKUP(A139,Master!#REF!,Master!G:G)</f>
        <v>#REF!</v>
      </c>
      <c r="V139">
        <v>19</v>
      </c>
      <c r="W139">
        <v>138</v>
      </c>
      <c r="AA139">
        <v>4</v>
      </c>
      <c r="AB139">
        <v>68</v>
      </c>
      <c r="AC139" t="s">
        <v>1270</v>
      </c>
      <c r="AD139" s="12">
        <v>0</v>
      </c>
      <c r="AE139" s="12">
        <v>1</v>
      </c>
    </row>
    <row r="140" spans="1:42" ht="16.25" customHeight="1" x14ac:dyDescent="0.2">
      <c r="A140" s="32" t="s">
        <v>1024</v>
      </c>
      <c r="B140" s="32" t="s">
        <v>449</v>
      </c>
      <c r="C140" s="33" t="s">
        <v>962</v>
      </c>
      <c r="D140" s="33" t="s">
        <v>963</v>
      </c>
      <c r="E140" s="32" t="s">
        <v>458</v>
      </c>
      <c r="F140" s="32" t="s">
        <v>155</v>
      </c>
      <c r="G140" s="32" t="s">
        <v>451</v>
      </c>
      <c r="H140" s="32"/>
      <c r="I140" s="30" t="s">
        <v>452</v>
      </c>
      <c r="J140" s="30" t="s">
        <v>453</v>
      </c>
      <c r="K140" s="30" t="s">
        <v>959</v>
      </c>
      <c r="L140" s="30" t="s">
        <v>455</v>
      </c>
      <c r="M140" s="15" t="s">
        <v>458</v>
      </c>
      <c r="N140" s="15">
        <v>0</v>
      </c>
      <c r="O140" s="15">
        <v>1</v>
      </c>
      <c r="P140" s="15">
        <v>1</v>
      </c>
      <c r="Q140" s="15">
        <v>2</v>
      </c>
      <c r="R140" s="62">
        <v>3</v>
      </c>
      <c r="S140" s="62">
        <v>72</v>
      </c>
      <c r="T140" t="e">
        <f>_xlfn.XLOOKUP(A140,Master!#REF!,Master!G:G)</f>
        <v>#REF!</v>
      </c>
      <c r="V140">
        <v>19</v>
      </c>
      <c r="W140">
        <v>139</v>
      </c>
      <c r="AA140">
        <v>4</v>
      </c>
      <c r="AB140">
        <v>70</v>
      </c>
      <c r="AC140" t="s">
        <v>1196</v>
      </c>
      <c r="AD140" s="12">
        <v>1</v>
      </c>
      <c r="AE140" s="12">
        <v>2</v>
      </c>
    </row>
    <row r="141" spans="1:42" ht="16.25" customHeight="1" x14ac:dyDescent="0.2">
      <c r="A141" s="32" t="s">
        <v>641</v>
      </c>
      <c r="B141" s="32" t="s">
        <v>449</v>
      </c>
      <c r="C141" s="33" t="s">
        <v>523</v>
      </c>
      <c r="D141" s="33" t="s">
        <v>524</v>
      </c>
      <c r="E141" s="32" t="s">
        <v>458</v>
      </c>
      <c r="F141" s="39" t="s">
        <v>57</v>
      </c>
      <c r="G141" s="32" t="s">
        <v>451</v>
      </c>
      <c r="H141" s="32"/>
      <c r="I141" s="30" t="s">
        <v>452</v>
      </c>
      <c r="J141" s="30" t="s">
        <v>453</v>
      </c>
      <c r="K141" s="30" t="s">
        <v>468</v>
      </c>
      <c r="L141" s="30" t="s">
        <v>455</v>
      </c>
      <c r="M141" s="15" t="s">
        <v>458</v>
      </c>
      <c r="N141" s="15">
        <v>1</v>
      </c>
      <c r="O141" s="15">
        <v>1</v>
      </c>
      <c r="P141" s="15">
        <v>2</v>
      </c>
      <c r="Q141" s="15">
        <v>3</v>
      </c>
      <c r="R141" s="31">
        <v>1</v>
      </c>
      <c r="S141" s="31">
        <v>73</v>
      </c>
      <c r="T141" t="e">
        <f>_xlfn.XLOOKUP(A141,Master!#REF!,Master!G:G)</f>
        <v>#REF!</v>
      </c>
      <c r="W141">
        <v>140</v>
      </c>
      <c r="AA141">
        <v>4</v>
      </c>
      <c r="AB141">
        <v>88</v>
      </c>
      <c r="AC141" t="s">
        <v>405</v>
      </c>
      <c r="AD141" s="12">
        <v>0</v>
      </c>
      <c r="AE141" s="12">
        <v>1</v>
      </c>
    </row>
    <row r="142" spans="1:42" ht="16.25" customHeight="1" x14ac:dyDescent="0.2">
      <c r="A142" s="10" t="s">
        <v>1016</v>
      </c>
      <c r="B142" s="10" t="s">
        <v>449</v>
      </c>
      <c r="C142" s="29" t="s">
        <v>1017</v>
      </c>
      <c r="D142" s="29" t="s">
        <v>1086</v>
      </c>
      <c r="E142" s="10" t="s">
        <v>458</v>
      </c>
      <c r="F142" s="42" t="s">
        <v>1018</v>
      </c>
      <c r="G142" s="10" t="s">
        <v>451</v>
      </c>
      <c r="H142" s="10"/>
      <c r="I142" s="30" t="s">
        <v>452</v>
      </c>
      <c r="J142" s="30" t="s">
        <v>453</v>
      </c>
      <c r="K142" s="30" t="s">
        <v>959</v>
      </c>
      <c r="L142" s="30" t="s">
        <v>455</v>
      </c>
      <c r="M142" s="18" t="s">
        <v>458</v>
      </c>
      <c r="N142" s="18">
        <v>2</v>
      </c>
      <c r="O142" s="18">
        <v>1</v>
      </c>
      <c r="P142" s="18">
        <v>3</v>
      </c>
      <c r="Q142" s="18">
        <v>4</v>
      </c>
      <c r="R142" s="62">
        <v>3</v>
      </c>
      <c r="S142" s="62">
        <v>74</v>
      </c>
      <c r="T142" t="e">
        <f>_xlfn.XLOOKUP(A142,Master!#REF!,Master!G:G)</f>
        <v>#REF!</v>
      </c>
      <c r="W142">
        <v>141</v>
      </c>
      <c r="AA142">
        <v>4</v>
      </c>
      <c r="AB142">
        <v>89</v>
      </c>
      <c r="AC142" t="s">
        <v>1111</v>
      </c>
      <c r="AD142" s="12">
        <v>0</v>
      </c>
      <c r="AE142" s="12">
        <v>1</v>
      </c>
    </row>
    <row r="143" spans="1:42" ht="16.25" customHeight="1" x14ac:dyDescent="0.2">
      <c r="A143" s="32" t="s">
        <v>1035</v>
      </c>
      <c r="B143" s="32" t="s">
        <v>449</v>
      </c>
      <c r="C143" s="33" t="s">
        <v>1029</v>
      </c>
      <c r="D143" s="33" t="s">
        <v>1115</v>
      </c>
      <c r="E143" s="32" t="s">
        <v>458</v>
      </c>
      <c r="F143" s="39" t="s">
        <v>160</v>
      </c>
      <c r="G143" s="32" t="s">
        <v>451</v>
      </c>
      <c r="H143" s="32"/>
      <c r="I143" s="30" t="s">
        <v>452</v>
      </c>
      <c r="J143" s="30" t="s">
        <v>453</v>
      </c>
      <c r="K143" s="30" t="s">
        <v>959</v>
      </c>
      <c r="L143" s="30" t="s">
        <v>455</v>
      </c>
      <c r="M143" s="15" t="s">
        <v>458</v>
      </c>
      <c r="N143" s="15">
        <v>2</v>
      </c>
      <c r="O143" s="15">
        <v>1</v>
      </c>
      <c r="P143" s="15">
        <v>3</v>
      </c>
      <c r="Q143" s="15">
        <v>4</v>
      </c>
      <c r="R143" s="62">
        <v>3</v>
      </c>
      <c r="S143" s="62">
        <v>75</v>
      </c>
      <c r="T143" t="e">
        <f>_xlfn.XLOOKUP(A143,Master!#REF!,Master!G:G)</f>
        <v>#REF!</v>
      </c>
      <c r="W143">
        <v>142</v>
      </c>
      <c r="AA143" t="s">
        <v>2368</v>
      </c>
      <c r="AD143" s="12">
        <v>2</v>
      </c>
      <c r="AE143" s="12">
        <v>36</v>
      </c>
    </row>
    <row r="144" spans="1:42" ht="16.25" customHeight="1" x14ac:dyDescent="0.2">
      <c r="A144" s="10" t="s">
        <v>1050</v>
      </c>
      <c r="B144" s="10" t="s">
        <v>449</v>
      </c>
      <c r="C144" s="29" t="s">
        <v>969</v>
      </c>
      <c r="D144" s="29" t="s">
        <v>970</v>
      </c>
      <c r="E144" s="10" t="s">
        <v>458</v>
      </c>
      <c r="F144" s="42" t="s">
        <v>166</v>
      </c>
      <c r="G144" s="10" t="s">
        <v>451</v>
      </c>
      <c r="H144" s="10"/>
      <c r="I144" s="30" t="s">
        <v>452</v>
      </c>
      <c r="J144" s="30" t="s">
        <v>453</v>
      </c>
      <c r="K144" s="30" t="s">
        <v>959</v>
      </c>
      <c r="L144" s="30" t="s">
        <v>455</v>
      </c>
      <c r="M144" s="18" t="s">
        <v>458</v>
      </c>
      <c r="N144" s="18">
        <v>1</v>
      </c>
      <c r="O144" s="18">
        <v>1</v>
      </c>
      <c r="P144" s="18">
        <v>2</v>
      </c>
      <c r="Q144" s="18">
        <v>3</v>
      </c>
      <c r="R144" s="62">
        <v>3</v>
      </c>
      <c r="S144" s="62">
        <v>76</v>
      </c>
      <c r="T144" t="e">
        <f>_xlfn.XLOOKUP(A144,Master!#REF!,Master!G:G)</f>
        <v>#REF!</v>
      </c>
      <c r="W144">
        <v>143</v>
      </c>
      <c r="AA144">
        <v>5</v>
      </c>
      <c r="AB144">
        <v>94</v>
      </c>
      <c r="AC144" t="s">
        <v>1454</v>
      </c>
      <c r="AD144" s="12">
        <v>0</v>
      </c>
      <c r="AE144" s="12">
        <v>1</v>
      </c>
    </row>
    <row r="145" spans="1:31" ht="16.25" customHeight="1" x14ac:dyDescent="0.2">
      <c r="A145" s="51" t="s">
        <v>2183</v>
      </c>
      <c r="B145" s="51" t="s">
        <v>449</v>
      </c>
      <c r="C145" s="52" t="s">
        <v>2184</v>
      </c>
      <c r="D145" s="52" t="s">
        <v>2204</v>
      </c>
      <c r="E145" s="51" t="s">
        <v>458</v>
      </c>
      <c r="F145" s="51" t="s">
        <v>2185</v>
      </c>
      <c r="G145" s="51" t="s">
        <v>1137</v>
      </c>
      <c r="H145" s="51"/>
      <c r="I145" s="45" t="s">
        <v>452</v>
      </c>
      <c r="J145" s="45" t="s">
        <v>453</v>
      </c>
      <c r="K145" s="45" t="s">
        <v>959</v>
      </c>
      <c r="L145" s="45" t="s">
        <v>455</v>
      </c>
      <c r="M145" s="45" t="s">
        <v>458</v>
      </c>
      <c r="N145" s="45">
        <v>0</v>
      </c>
      <c r="O145" s="45">
        <v>1</v>
      </c>
      <c r="P145" s="45">
        <v>1</v>
      </c>
      <c r="Q145" s="45">
        <v>2</v>
      </c>
      <c r="R145" s="45" t="s">
        <v>2361</v>
      </c>
      <c r="S145" s="45">
        <v>77</v>
      </c>
      <c r="T145" t="e">
        <f>_xlfn.XLOOKUP(A145,Master!#REF!,Master!G:G)</f>
        <v>#REF!</v>
      </c>
      <c r="W145">
        <v>144</v>
      </c>
      <c r="AA145">
        <v>5</v>
      </c>
      <c r="AB145">
        <v>94</v>
      </c>
      <c r="AC145" t="s">
        <v>1469</v>
      </c>
      <c r="AD145" s="12">
        <v>0</v>
      </c>
      <c r="AE145" s="12">
        <v>1</v>
      </c>
    </row>
    <row r="146" spans="1:31" ht="16.25" customHeight="1" x14ac:dyDescent="0.2">
      <c r="A146" s="51" t="s">
        <v>2152</v>
      </c>
      <c r="B146" s="51" t="s">
        <v>449</v>
      </c>
      <c r="C146" s="52" t="s">
        <v>2153</v>
      </c>
      <c r="D146" s="52" t="s">
        <v>2250</v>
      </c>
      <c r="E146" s="51" t="s">
        <v>0</v>
      </c>
      <c r="F146" s="51"/>
      <c r="G146" s="51" t="s">
        <v>1137</v>
      </c>
      <c r="H146" s="51"/>
      <c r="I146" s="45" t="s">
        <v>452</v>
      </c>
      <c r="J146" s="45" t="s">
        <v>453</v>
      </c>
      <c r="K146" s="45" t="s">
        <v>692</v>
      </c>
      <c r="L146" s="45" t="s">
        <v>455</v>
      </c>
      <c r="M146" s="45" t="s">
        <v>0</v>
      </c>
      <c r="N146" s="45">
        <v>0</v>
      </c>
      <c r="O146" s="45">
        <v>0</v>
      </c>
      <c r="P146" s="45">
        <v>0</v>
      </c>
      <c r="Q146" s="45">
        <v>1</v>
      </c>
      <c r="R146" s="45" t="s">
        <v>2361</v>
      </c>
      <c r="S146" s="45">
        <v>78</v>
      </c>
      <c r="T146" t="e">
        <f>_xlfn.XLOOKUP(A146,Master!#REF!,Master!G:G)</f>
        <v>#REF!</v>
      </c>
      <c r="AA146">
        <v>5</v>
      </c>
      <c r="AB146">
        <v>95</v>
      </c>
      <c r="AC146" t="s">
        <v>1436</v>
      </c>
      <c r="AD146" s="12">
        <v>0</v>
      </c>
      <c r="AE146" s="12">
        <v>1</v>
      </c>
    </row>
    <row r="147" spans="1:31" ht="16.25" customHeight="1" x14ac:dyDescent="0.2">
      <c r="A147" s="53" t="s">
        <v>2313</v>
      </c>
      <c r="B147" s="53" t="s">
        <v>449</v>
      </c>
      <c r="C147" s="54" t="s">
        <v>2254</v>
      </c>
      <c r="D147" s="54" t="s">
        <v>2255</v>
      </c>
      <c r="E147" s="53" t="s">
        <v>0</v>
      </c>
      <c r="F147" s="53"/>
      <c r="G147" s="53" t="s">
        <v>1137</v>
      </c>
      <c r="H147" s="53"/>
      <c r="I147" s="45" t="s">
        <v>452</v>
      </c>
      <c r="J147" s="45" t="s">
        <v>453</v>
      </c>
      <c r="K147" s="45" t="s">
        <v>751</v>
      </c>
      <c r="L147" s="45" t="s">
        <v>455</v>
      </c>
      <c r="M147" s="47" t="s">
        <v>0</v>
      </c>
      <c r="N147" s="47">
        <v>0</v>
      </c>
      <c r="O147" s="47">
        <v>0</v>
      </c>
      <c r="P147" s="47">
        <v>0</v>
      </c>
      <c r="Q147" s="47">
        <v>1</v>
      </c>
      <c r="R147" s="45" t="s">
        <v>2361</v>
      </c>
      <c r="S147" s="47">
        <v>78</v>
      </c>
      <c r="T147" t="e">
        <f>_xlfn.XLOOKUP(A147,Master!#REF!,Master!G:G)</f>
        <v>#REF!</v>
      </c>
      <c r="AA147">
        <v>5</v>
      </c>
      <c r="AB147">
        <v>95</v>
      </c>
      <c r="AC147" t="s">
        <v>1412</v>
      </c>
      <c r="AD147" s="12">
        <v>0</v>
      </c>
      <c r="AE147" s="12">
        <v>1</v>
      </c>
    </row>
    <row r="148" spans="1:31" ht="16.25" customHeight="1" x14ac:dyDescent="0.2">
      <c r="A148" s="10" t="s">
        <v>413</v>
      </c>
      <c r="B148" s="18" t="s">
        <v>449</v>
      </c>
      <c r="C148" s="29" t="s">
        <v>1722</v>
      </c>
      <c r="D148" s="29" t="s">
        <v>414</v>
      </c>
      <c r="E148" s="10" t="s">
        <v>0</v>
      </c>
      <c r="F148" s="10"/>
      <c r="G148" s="10" t="s">
        <v>451</v>
      </c>
      <c r="H148" s="10"/>
      <c r="I148" s="30" t="s">
        <v>452</v>
      </c>
      <c r="J148" s="30" t="s">
        <v>453</v>
      </c>
      <c r="K148" s="30" t="s">
        <v>959</v>
      </c>
      <c r="L148" s="30" t="s">
        <v>455</v>
      </c>
      <c r="M148" s="18" t="s">
        <v>0</v>
      </c>
      <c r="N148" s="18">
        <v>0</v>
      </c>
      <c r="O148" s="18">
        <v>0</v>
      </c>
      <c r="P148" s="18">
        <v>0</v>
      </c>
      <c r="Q148" s="18">
        <v>1</v>
      </c>
      <c r="R148" s="65">
        <v>7</v>
      </c>
      <c r="S148" s="65">
        <v>79</v>
      </c>
      <c r="T148" t="e">
        <f>_xlfn.XLOOKUP(A148,Master!#REF!,Master!G:G)</f>
        <v>#REF!</v>
      </c>
      <c r="AA148">
        <v>5</v>
      </c>
      <c r="AB148">
        <v>96</v>
      </c>
      <c r="AC148" t="s">
        <v>1388</v>
      </c>
      <c r="AD148" s="12">
        <v>0</v>
      </c>
      <c r="AE148" s="12">
        <v>1</v>
      </c>
    </row>
    <row r="149" spans="1:31" ht="16.25" customHeight="1" x14ac:dyDescent="0.2">
      <c r="A149" s="10" t="s">
        <v>1731</v>
      </c>
      <c r="B149" s="18" t="s">
        <v>449</v>
      </c>
      <c r="C149" s="29" t="s">
        <v>1732</v>
      </c>
      <c r="D149" s="29" t="s">
        <v>1962</v>
      </c>
      <c r="E149" s="10" t="s">
        <v>0</v>
      </c>
      <c r="F149" s="10"/>
      <c r="G149" s="10" t="s">
        <v>451</v>
      </c>
      <c r="H149" s="10"/>
      <c r="I149" s="30" t="s">
        <v>452</v>
      </c>
      <c r="J149" s="30" t="s">
        <v>453</v>
      </c>
      <c r="K149" s="30" t="s">
        <v>959</v>
      </c>
      <c r="L149" s="30" t="s">
        <v>455</v>
      </c>
      <c r="M149" s="18" t="s">
        <v>0</v>
      </c>
      <c r="N149" s="18">
        <v>0</v>
      </c>
      <c r="O149" s="18">
        <v>0</v>
      </c>
      <c r="P149" s="18">
        <v>0</v>
      </c>
      <c r="Q149" s="18">
        <v>1</v>
      </c>
      <c r="R149" s="65">
        <v>7</v>
      </c>
      <c r="S149" s="65">
        <v>79</v>
      </c>
      <c r="T149" t="e">
        <f>_xlfn.XLOOKUP(A149,Master!#REF!,Master!G:G)</f>
        <v>#REF!</v>
      </c>
      <c r="AA149">
        <v>5</v>
      </c>
      <c r="AB149">
        <v>96</v>
      </c>
      <c r="AC149" t="s">
        <v>1323</v>
      </c>
      <c r="AD149" s="12">
        <v>0</v>
      </c>
      <c r="AE149" s="12">
        <v>1</v>
      </c>
    </row>
    <row r="150" spans="1:31" ht="16.25" customHeight="1" x14ac:dyDescent="0.2">
      <c r="A150" s="15" t="s">
        <v>1752</v>
      </c>
      <c r="B150" s="15" t="s">
        <v>449</v>
      </c>
      <c r="C150" s="44" t="s">
        <v>1753</v>
      </c>
      <c r="D150" s="44" t="s">
        <v>1975</v>
      </c>
      <c r="E150" s="15" t="s">
        <v>0</v>
      </c>
      <c r="F150" s="15"/>
      <c r="G150" s="15" t="s">
        <v>451</v>
      </c>
      <c r="H150" s="15"/>
      <c r="I150" s="30" t="s">
        <v>1745</v>
      </c>
      <c r="J150" s="30" t="s">
        <v>1746</v>
      </c>
      <c r="K150" s="30" t="s">
        <v>1747</v>
      </c>
      <c r="L150" s="30" t="s">
        <v>455</v>
      </c>
      <c r="M150" s="15" t="s">
        <v>0</v>
      </c>
      <c r="N150" s="15">
        <v>0</v>
      </c>
      <c r="O150" s="15">
        <v>0</v>
      </c>
      <c r="P150" s="15">
        <v>0</v>
      </c>
      <c r="Q150" s="15">
        <v>1</v>
      </c>
      <c r="R150" s="65">
        <v>7</v>
      </c>
      <c r="S150" s="65">
        <v>80</v>
      </c>
      <c r="T150" t="e">
        <f>_xlfn.XLOOKUP(A150,Master!#REF!,Master!G:G)</f>
        <v>#REF!</v>
      </c>
      <c r="AA150">
        <v>5</v>
      </c>
      <c r="AB150">
        <v>97</v>
      </c>
      <c r="AC150" t="s">
        <v>1315</v>
      </c>
      <c r="AD150" s="12">
        <v>0</v>
      </c>
      <c r="AE150" s="12">
        <v>1</v>
      </c>
    </row>
    <row r="151" spans="1:31" ht="16.25" customHeight="1" x14ac:dyDescent="0.2">
      <c r="A151" s="32" t="s">
        <v>1758</v>
      </c>
      <c r="B151" s="32" t="s">
        <v>449</v>
      </c>
      <c r="C151" s="33" t="s">
        <v>1759</v>
      </c>
      <c r="D151" s="33" t="s">
        <v>1971</v>
      </c>
      <c r="E151" s="32" t="s">
        <v>0</v>
      </c>
      <c r="F151" s="32"/>
      <c r="G151" s="32" t="s">
        <v>451</v>
      </c>
      <c r="H151" s="32"/>
      <c r="I151" s="30" t="s">
        <v>1745</v>
      </c>
      <c r="J151" s="30" t="s">
        <v>1746</v>
      </c>
      <c r="K151" s="30" t="s">
        <v>1747</v>
      </c>
      <c r="L151" s="30" t="s">
        <v>455</v>
      </c>
      <c r="M151" s="15" t="s">
        <v>0</v>
      </c>
      <c r="N151" s="15">
        <v>0</v>
      </c>
      <c r="O151" s="15">
        <v>0</v>
      </c>
      <c r="P151" s="15">
        <v>0</v>
      </c>
      <c r="Q151" s="15">
        <v>1</v>
      </c>
      <c r="R151" s="65">
        <v>7</v>
      </c>
      <c r="S151" s="65">
        <v>80</v>
      </c>
      <c r="T151" t="e">
        <f>_xlfn.XLOOKUP(A151,Master!#REF!,Master!G:G)</f>
        <v>#REF!</v>
      </c>
      <c r="AA151">
        <v>5</v>
      </c>
      <c r="AB151">
        <v>97</v>
      </c>
      <c r="AC151" t="s">
        <v>1310</v>
      </c>
      <c r="AD151" s="12">
        <v>0</v>
      </c>
      <c r="AE151" s="12">
        <v>1</v>
      </c>
    </row>
    <row r="152" spans="1:31" ht="16.25" customHeight="1" x14ac:dyDescent="0.2">
      <c r="A152" s="10" t="s">
        <v>1763</v>
      </c>
      <c r="B152" s="10" t="s">
        <v>449</v>
      </c>
      <c r="C152" s="29" t="s">
        <v>1764</v>
      </c>
      <c r="D152" s="29" t="s">
        <v>1986</v>
      </c>
      <c r="E152" s="10" t="s">
        <v>0</v>
      </c>
      <c r="F152" s="42"/>
      <c r="G152" s="10" t="s">
        <v>451</v>
      </c>
      <c r="H152" s="10"/>
      <c r="I152" s="30" t="s">
        <v>1745</v>
      </c>
      <c r="J152" s="30" t="s">
        <v>1746</v>
      </c>
      <c r="K152" s="30" t="s">
        <v>1747</v>
      </c>
      <c r="L152" s="30" t="s">
        <v>455</v>
      </c>
      <c r="M152" s="18" t="s">
        <v>0</v>
      </c>
      <c r="N152" s="18">
        <v>0</v>
      </c>
      <c r="O152" s="18">
        <v>0</v>
      </c>
      <c r="P152" s="18">
        <v>0</v>
      </c>
      <c r="Q152" s="18">
        <v>1</v>
      </c>
      <c r="R152" s="65">
        <v>7</v>
      </c>
      <c r="S152" s="65">
        <v>81</v>
      </c>
      <c r="T152" t="e">
        <f>_xlfn.XLOOKUP(A152,Master!#REF!,Master!G:G)</f>
        <v>#REF!</v>
      </c>
      <c r="AA152">
        <v>5</v>
      </c>
      <c r="AB152">
        <v>98</v>
      </c>
      <c r="AC152" t="s">
        <v>1304</v>
      </c>
      <c r="AD152" s="12">
        <v>0</v>
      </c>
      <c r="AE152" s="12">
        <v>1</v>
      </c>
    </row>
    <row r="153" spans="1:31" ht="16.25" customHeight="1" x14ac:dyDescent="0.2">
      <c r="A153" s="32" t="s">
        <v>1770</v>
      </c>
      <c r="B153" s="32" t="s">
        <v>449</v>
      </c>
      <c r="C153" s="33" t="s">
        <v>1771</v>
      </c>
      <c r="D153" s="33" t="s">
        <v>1980</v>
      </c>
      <c r="E153" s="32" t="s">
        <v>0</v>
      </c>
      <c r="F153" s="39"/>
      <c r="G153" s="32" t="s">
        <v>451</v>
      </c>
      <c r="H153" s="32" t="s">
        <v>1772</v>
      </c>
      <c r="I153" s="30" t="s">
        <v>1745</v>
      </c>
      <c r="J153" s="30" t="s">
        <v>1773</v>
      </c>
      <c r="K153" s="30" t="s">
        <v>1774</v>
      </c>
      <c r="L153" s="30" t="s">
        <v>455</v>
      </c>
      <c r="M153" s="15" t="s">
        <v>0</v>
      </c>
      <c r="N153" s="15">
        <v>0</v>
      </c>
      <c r="O153" s="15">
        <v>0</v>
      </c>
      <c r="P153" s="15">
        <v>0</v>
      </c>
      <c r="Q153" s="15">
        <v>1</v>
      </c>
      <c r="R153" s="65">
        <v>7</v>
      </c>
      <c r="S153" s="65">
        <v>81</v>
      </c>
      <c r="T153" t="e">
        <f>_xlfn.XLOOKUP(A153,Master!#REF!,Master!G:G)</f>
        <v>#REF!</v>
      </c>
      <c r="AA153">
        <v>5</v>
      </c>
      <c r="AB153">
        <v>98</v>
      </c>
      <c r="AC153" t="s">
        <v>1290</v>
      </c>
      <c r="AD153" s="12">
        <v>0</v>
      </c>
      <c r="AE153" s="12">
        <v>1</v>
      </c>
    </row>
    <row r="154" spans="1:31" ht="16.25" customHeight="1" x14ac:dyDescent="0.2">
      <c r="A154" s="10" t="s">
        <v>1778</v>
      </c>
      <c r="B154" s="10" t="s">
        <v>449</v>
      </c>
      <c r="C154" s="29" t="s">
        <v>1779</v>
      </c>
      <c r="D154" s="29" t="s">
        <v>1849</v>
      </c>
      <c r="E154" s="10" t="s">
        <v>0</v>
      </c>
      <c r="F154" s="10"/>
      <c r="G154" s="10" t="s">
        <v>451</v>
      </c>
      <c r="H154" s="10" t="s">
        <v>1780</v>
      </c>
      <c r="I154" s="30" t="s">
        <v>1745</v>
      </c>
      <c r="J154" s="30" t="s">
        <v>1781</v>
      </c>
      <c r="K154" s="30" t="s">
        <v>1782</v>
      </c>
      <c r="L154" s="30" t="s">
        <v>455</v>
      </c>
      <c r="M154" s="18" t="s">
        <v>0</v>
      </c>
      <c r="N154" s="18">
        <v>0</v>
      </c>
      <c r="O154" s="18">
        <v>0</v>
      </c>
      <c r="P154" s="18">
        <v>0</v>
      </c>
      <c r="Q154" s="18">
        <v>1</v>
      </c>
      <c r="R154" s="65">
        <v>7</v>
      </c>
      <c r="S154" s="65">
        <v>82</v>
      </c>
      <c r="T154" t="e">
        <f>_xlfn.XLOOKUP(A154,Master!#REF!,Master!G:G)</f>
        <v>#REF!</v>
      </c>
      <c r="AA154">
        <v>5</v>
      </c>
      <c r="AB154">
        <v>99</v>
      </c>
      <c r="AC154" t="s">
        <v>1338</v>
      </c>
      <c r="AD154" s="12">
        <v>0</v>
      </c>
      <c r="AE154" s="12">
        <v>1</v>
      </c>
    </row>
    <row r="155" spans="1:31" ht="16.25" customHeight="1" x14ac:dyDescent="0.2">
      <c r="A155" s="15" t="s">
        <v>1829</v>
      </c>
      <c r="B155" s="15" t="s">
        <v>449</v>
      </c>
      <c r="C155" s="44" t="s">
        <v>1830</v>
      </c>
      <c r="D155" s="44" t="s">
        <v>1854</v>
      </c>
      <c r="E155" s="15" t="s">
        <v>0</v>
      </c>
      <c r="F155" s="15"/>
      <c r="G155" s="15" t="s">
        <v>451</v>
      </c>
      <c r="H155" s="15"/>
      <c r="I155" s="30" t="s">
        <v>1745</v>
      </c>
      <c r="J155" s="30" t="s">
        <v>1773</v>
      </c>
      <c r="K155" s="30" t="s">
        <v>1831</v>
      </c>
      <c r="L155" s="30" t="s">
        <v>455</v>
      </c>
      <c r="M155" s="15" t="s">
        <v>0</v>
      </c>
      <c r="N155" s="15">
        <v>0</v>
      </c>
      <c r="O155" s="15">
        <v>0</v>
      </c>
      <c r="P155" s="15">
        <v>0</v>
      </c>
      <c r="Q155" s="15">
        <v>1</v>
      </c>
      <c r="R155" s="65">
        <v>7</v>
      </c>
      <c r="S155" s="65">
        <v>82</v>
      </c>
      <c r="T155" t="e">
        <f>_xlfn.XLOOKUP(A155,Master!#REF!,Master!G:G)</f>
        <v>#REF!</v>
      </c>
      <c r="AA155">
        <v>5</v>
      </c>
      <c r="AB155">
        <v>99</v>
      </c>
      <c r="AC155" t="s">
        <v>1344</v>
      </c>
      <c r="AD155" s="12">
        <v>0</v>
      </c>
      <c r="AE155" s="12">
        <v>1</v>
      </c>
    </row>
    <row r="156" spans="1:31" ht="16.25" customHeight="1" x14ac:dyDescent="0.2">
      <c r="A156" s="18" t="s">
        <v>1743</v>
      </c>
      <c r="B156" s="18" t="s">
        <v>449</v>
      </c>
      <c r="C156" s="41" t="s">
        <v>1744</v>
      </c>
      <c r="D156" s="41" t="s">
        <v>1861</v>
      </c>
      <c r="E156" s="18" t="s">
        <v>0</v>
      </c>
      <c r="F156" s="18"/>
      <c r="G156" s="18" t="s">
        <v>451</v>
      </c>
      <c r="H156" s="18"/>
      <c r="I156" s="30" t="s">
        <v>1745</v>
      </c>
      <c r="J156" s="30" t="s">
        <v>1746</v>
      </c>
      <c r="K156" s="30" t="s">
        <v>1747</v>
      </c>
      <c r="L156" s="30" t="s">
        <v>455</v>
      </c>
      <c r="M156" s="18" t="s">
        <v>0</v>
      </c>
      <c r="N156" s="18">
        <v>0</v>
      </c>
      <c r="O156" s="18">
        <v>0</v>
      </c>
      <c r="P156" s="18">
        <v>0</v>
      </c>
      <c r="Q156" s="18">
        <v>1</v>
      </c>
      <c r="R156" s="65">
        <v>7</v>
      </c>
      <c r="S156" s="65">
        <v>83</v>
      </c>
      <c r="T156" t="e">
        <f>_xlfn.XLOOKUP(A156,Master!#REF!,Master!G:G)</f>
        <v>#REF!</v>
      </c>
      <c r="AA156">
        <v>5</v>
      </c>
      <c r="AB156">
        <v>100</v>
      </c>
      <c r="AC156" t="s">
        <v>1281</v>
      </c>
      <c r="AD156" s="12">
        <v>0</v>
      </c>
      <c r="AE156" s="12">
        <v>1</v>
      </c>
    </row>
    <row r="157" spans="1:31" ht="16.25" customHeight="1" x14ac:dyDescent="0.2">
      <c r="A157" s="10" t="s">
        <v>1835</v>
      </c>
      <c r="B157" s="10" t="s">
        <v>449</v>
      </c>
      <c r="C157" s="29" t="s">
        <v>2369</v>
      </c>
      <c r="D157" s="29" t="s">
        <v>2370</v>
      </c>
      <c r="E157" s="10" t="s">
        <v>0</v>
      </c>
      <c r="F157" s="10"/>
      <c r="G157" s="10" t="s">
        <v>451</v>
      </c>
      <c r="H157" s="10" t="s">
        <v>1837</v>
      </c>
      <c r="I157" s="30" t="s">
        <v>1745</v>
      </c>
      <c r="J157" s="30" t="s">
        <v>1773</v>
      </c>
      <c r="K157" s="30" t="s">
        <v>1831</v>
      </c>
      <c r="L157" s="30" t="s">
        <v>455</v>
      </c>
      <c r="M157" s="18" t="s">
        <v>0</v>
      </c>
      <c r="N157" s="18">
        <v>0</v>
      </c>
      <c r="O157" s="18">
        <v>0</v>
      </c>
      <c r="P157" s="18">
        <v>0</v>
      </c>
      <c r="Q157" s="18">
        <v>1</v>
      </c>
      <c r="R157" s="65">
        <v>7</v>
      </c>
      <c r="S157" s="65">
        <v>83</v>
      </c>
      <c r="T157" t="e">
        <f>_xlfn.XLOOKUP(A157,Master!#REF!,Master!G:G)</f>
        <v>#REF!</v>
      </c>
      <c r="AA157">
        <v>5</v>
      </c>
      <c r="AB157">
        <v>100</v>
      </c>
      <c r="AC157" t="s">
        <v>1430</v>
      </c>
      <c r="AD157" s="12">
        <v>0</v>
      </c>
      <c r="AE157" s="12">
        <v>1</v>
      </c>
    </row>
    <row r="158" spans="1:31" ht="16.25" customHeight="1" x14ac:dyDescent="0.2">
      <c r="A158" s="10" t="s">
        <v>1819</v>
      </c>
      <c r="B158" s="10" t="s">
        <v>449</v>
      </c>
      <c r="C158" s="29" t="s">
        <v>1820</v>
      </c>
      <c r="D158" s="29" t="s">
        <v>1876</v>
      </c>
      <c r="E158" s="10" t="s">
        <v>0</v>
      </c>
      <c r="F158" s="10"/>
      <c r="G158" s="10" t="s">
        <v>451</v>
      </c>
      <c r="H158" s="10"/>
      <c r="I158" s="30" t="s">
        <v>1745</v>
      </c>
      <c r="J158" s="30" t="s">
        <v>1821</v>
      </c>
      <c r="K158" s="30" t="s">
        <v>1822</v>
      </c>
      <c r="L158" s="30" t="s">
        <v>455</v>
      </c>
      <c r="M158" s="18" t="s">
        <v>0</v>
      </c>
      <c r="N158" s="18">
        <v>0</v>
      </c>
      <c r="O158" s="18">
        <v>0</v>
      </c>
      <c r="P158" s="18">
        <v>0</v>
      </c>
      <c r="Q158" s="18">
        <v>1</v>
      </c>
      <c r="R158" s="65">
        <v>7</v>
      </c>
      <c r="S158" s="65">
        <v>84</v>
      </c>
      <c r="T158" t="e">
        <f>_xlfn.XLOOKUP(A158,Master!#REF!,Master!G:G)</f>
        <v>#REF!</v>
      </c>
      <c r="AA158">
        <v>5</v>
      </c>
      <c r="AB158">
        <v>101</v>
      </c>
      <c r="AC158" t="s">
        <v>1407</v>
      </c>
      <c r="AD158" s="12">
        <v>0</v>
      </c>
      <c r="AE158" s="12">
        <v>1</v>
      </c>
    </row>
    <row r="159" spans="1:31" ht="16.25" customHeight="1" x14ac:dyDescent="0.2">
      <c r="A159" s="32" t="s">
        <v>1842</v>
      </c>
      <c r="B159" s="32" t="s">
        <v>449</v>
      </c>
      <c r="C159" s="33" t="s">
        <v>1843</v>
      </c>
      <c r="D159" s="33" t="s">
        <v>2371</v>
      </c>
      <c r="E159" s="32" t="s">
        <v>0</v>
      </c>
      <c r="F159" s="32"/>
      <c r="G159" s="32" t="s">
        <v>451</v>
      </c>
      <c r="H159" s="32" t="s">
        <v>1844</v>
      </c>
      <c r="I159" s="30" t="s">
        <v>1745</v>
      </c>
      <c r="J159" s="30" t="s">
        <v>1773</v>
      </c>
      <c r="K159" s="30" t="s">
        <v>1845</v>
      </c>
      <c r="L159" s="30" t="s">
        <v>455</v>
      </c>
      <c r="M159" s="15" t="s">
        <v>0</v>
      </c>
      <c r="N159" s="15">
        <v>0</v>
      </c>
      <c r="O159" s="15">
        <v>0</v>
      </c>
      <c r="P159" s="15">
        <v>0</v>
      </c>
      <c r="Q159" s="15">
        <v>1</v>
      </c>
      <c r="R159" s="65">
        <v>7</v>
      </c>
      <c r="S159" s="65">
        <v>84</v>
      </c>
      <c r="T159" t="e">
        <f>_xlfn.XLOOKUP(A159,Master!#REF!,Master!G:G)</f>
        <v>#REF!</v>
      </c>
      <c r="AA159">
        <v>5</v>
      </c>
      <c r="AB159">
        <v>101</v>
      </c>
      <c r="AC159" t="s">
        <v>1465</v>
      </c>
      <c r="AD159" s="12">
        <v>0</v>
      </c>
      <c r="AE159" s="12">
        <v>1</v>
      </c>
    </row>
    <row r="160" spans="1:31" ht="16.25" customHeight="1" x14ac:dyDescent="0.2">
      <c r="A160" s="34" t="s">
        <v>489</v>
      </c>
      <c r="B160" s="10" t="s">
        <v>449</v>
      </c>
      <c r="C160" s="29" t="s">
        <v>490</v>
      </c>
      <c r="D160" s="29" t="s">
        <v>536</v>
      </c>
      <c r="E160" s="10" t="s">
        <v>0</v>
      </c>
      <c r="F160" s="10"/>
      <c r="G160" s="10" t="s">
        <v>451</v>
      </c>
      <c r="H160" s="10"/>
      <c r="I160" s="35" t="s">
        <v>452</v>
      </c>
      <c r="J160" s="35" t="s">
        <v>491</v>
      </c>
      <c r="K160" s="35" t="s">
        <v>492</v>
      </c>
      <c r="L160" s="30" t="s">
        <v>455</v>
      </c>
      <c r="M160" s="18" t="s">
        <v>0</v>
      </c>
      <c r="N160" s="18">
        <v>0</v>
      </c>
      <c r="O160" s="18">
        <v>0</v>
      </c>
      <c r="P160" s="18">
        <v>0</v>
      </c>
      <c r="Q160" s="36">
        <v>1</v>
      </c>
      <c r="R160" s="37">
        <v>1</v>
      </c>
      <c r="S160" s="37">
        <v>85</v>
      </c>
      <c r="T160" s="25" t="e">
        <f>_xlfn.XLOOKUP(A160,Master!#REF!,Master!G:G)</f>
        <v>#REF!</v>
      </c>
      <c r="AA160">
        <v>5</v>
      </c>
      <c r="AB160">
        <v>102</v>
      </c>
      <c r="AC160" t="s">
        <v>1483</v>
      </c>
      <c r="AD160" s="12">
        <v>0</v>
      </c>
      <c r="AE160" s="12">
        <v>1</v>
      </c>
    </row>
    <row r="161" spans="1:31" ht="16.25" customHeight="1" x14ac:dyDescent="0.2">
      <c r="A161" s="38" t="s">
        <v>497</v>
      </c>
      <c r="B161" s="32" t="s">
        <v>449</v>
      </c>
      <c r="C161" s="33" t="s">
        <v>498</v>
      </c>
      <c r="D161" s="33" t="s">
        <v>548</v>
      </c>
      <c r="E161" s="32" t="s">
        <v>0</v>
      </c>
      <c r="F161" s="39"/>
      <c r="G161" s="32" t="s">
        <v>451</v>
      </c>
      <c r="H161" s="32"/>
      <c r="I161" s="35" t="s">
        <v>452</v>
      </c>
      <c r="J161" s="35" t="s">
        <v>491</v>
      </c>
      <c r="K161" s="35" t="s">
        <v>492</v>
      </c>
      <c r="L161" s="30" t="s">
        <v>455</v>
      </c>
      <c r="M161" s="15" t="s">
        <v>0</v>
      </c>
      <c r="N161" s="15">
        <v>0</v>
      </c>
      <c r="O161" s="15">
        <v>0</v>
      </c>
      <c r="P161" s="15">
        <v>0</v>
      </c>
      <c r="Q161" s="40">
        <v>1</v>
      </c>
      <c r="R161" s="37">
        <v>1</v>
      </c>
      <c r="S161" s="37">
        <v>85</v>
      </c>
      <c r="T161" s="25" t="e">
        <f>_xlfn.XLOOKUP(A161,Master!#REF!,Master!G:G)</f>
        <v>#REF!</v>
      </c>
      <c r="AA161">
        <v>5</v>
      </c>
      <c r="AB161">
        <v>102</v>
      </c>
      <c r="AC161" t="s">
        <v>1459</v>
      </c>
      <c r="AD161" s="12">
        <v>0</v>
      </c>
      <c r="AE161" s="12">
        <v>1</v>
      </c>
    </row>
    <row r="162" spans="1:31" ht="16.25" customHeight="1" x14ac:dyDescent="0.2">
      <c r="A162" s="34" t="s">
        <v>504</v>
      </c>
      <c r="B162" s="10" t="s">
        <v>449</v>
      </c>
      <c r="C162" s="29" t="s">
        <v>505</v>
      </c>
      <c r="D162" s="29" t="s">
        <v>542</v>
      </c>
      <c r="E162" s="10" t="s">
        <v>0</v>
      </c>
      <c r="F162" s="10"/>
      <c r="G162" s="10" t="s">
        <v>451</v>
      </c>
      <c r="H162" s="10"/>
      <c r="I162" s="35" t="s">
        <v>452</v>
      </c>
      <c r="J162" s="35" t="s">
        <v>506</v>
      </c>
      <c r="K162" s="35" t="s">
        <v>507</v>
      </c>
      <c r="L162" s="30" t="s">
        <v>455</v>
      </c>
      <c r="M162" s="18" t="s">
        <v>0</v>
      </c>
      <c r="N162" s="18">
        <v>0</v>
      </c>
      <c r="O162" s="18">
        <v>0</v>
      </c>
      <c r="P162" s="18">
        <v>0</v>
      </c>
      <c r="Q162" s="36">
        <v>1</v>
      </c>
      <c r="R162" s="37">
        <v>1</v>
      </c>
      <c r="S162" s="37">
        <v>86</v>
      </c>
      <c r="T162" s="25" t="e">
        <f>_xlfn.XLOOKUP(A162,Master!#REF!,Master!G:G)</f>
        <v>#REF!</v>
      </c>
      <c r="AA162">
        <v>5</v>
      </c>
      <c r="AB162">
        <v>103</v>
      </c>
      <c r="AC162" t="s">
        <v>1400</v>
      </c>
      <c r="AD162" s="12">
        <v>0</v>
      </c>
      <c r="AE162" s="12">
        <v>1</v>
      </c>
    </row>
    <row r="163" spans="1:31" ht="16.25" customHeight="1" x14ac:dyDescent="0.2">
      <c r="A163" s="40" t="s">
        <v>909</v>
      </c>
      <c r="B163" s="15" t="s">
        <v>449</v>
      </c>
      <c r="C163" s="44" t="s">
        <v>910</v>
      </c>
      <c r="D163" s="44" t="s">
        <v>1817</v>
      </c>
      <c r="E163" s="15" t="s">
        <v>0</v>
      </c>
      <c r="F163" s="15"/>
      <c r="G163" s="40" t="s">
        <v>451</v>
      </c>
      <c r="H163" s="40"/>
      <c r="I163" s="35" t="s">
        <v>452</v>
      </c>
      <c r="J163" s="30" t="s">
        <v>904</v>
      </c>
      <c r="K163" s="35" t="s">
        <v>911</v>
      </c>
      <c r="L163" s="30" t="s">
        <v>455</v>
      </c>
      <c r="M163" s="15" t="s">
        <v>0</v>
      </c>
      <c r="N163" s="15">
        <v>0</v>
      </c>
      <c r="O163" s="15">
        <v>0</v>
      </c>
      <c r="P163" s="15">
        <v>0</v>
      </c>
      <c r="Q163" s="40">
        <v>1</v>
      </c>
      <c r="R163" s="63">
        <v>3</v>
      </c>
      <c r="S163" s="63">
        <v>86</v>
      </c>
      <c r="T163" s="25" t="e">
        <f>_xlfn.XLOOKUP(A163,Master!#REF!,Master!G:G)</f>
        <v>#REF!</v>
      </c>
      <c r="AA163">
        <v>5</v>
      </c>
      <c r="AB163">
        <v>103</v>
      </c>
      <c r="AC163" t="s">
        <v>1446</v>
      </c>
      <c r="AD163" s="12">
        <v>0</v>
      </c>
      <c r="AE163" s="12">
        <v>1</v>
      </c>
    </row>
    <row r="164" spans="1:31" ht="16.25" customHeight="1" x14ac:dyDescent="0.2">
      <c r="A164" s="34" t="s">
        <v>401</v>
      </c>
      <c r="B164" s="10" t="s">
        <v>449</v>
      </c>
      <c r="C164" s="29" t="s">
        <v>755</v>
      </c>
      <c r="D164" s="29" t="s">
        <v>756</v>
      </c>
      <c r="E164" s="10" t="s">
        <v>0</v>
      </c>
      <c r="F164" s="42"/>
      <c r="G164" s="34" t="s">
        <v>451</v>
      </c>
      <c r="H164" s="34"/>
      <c r="I164" s="35" t="s">
        <v>452</v>
      </c>
      <c r="J164" s="30" t="s">
        <v>904</v>
      </c>
      <c r="K164" s="35" t="s">
        <v>900</v>
      </c>
      <c r="L164" s="30" t="s">
        <v>455</v>
      </c>
      <c r="M164" s="18" t="s">
        <v>0</v>
      </c>
      <c r="N164" s="18">
        <v>0</v>
      </c>
      <c r="O164" s="18">
        <v>0</v>
      </c>
      <c r="P164" s="18">
        <v>0</v>
      </c>
      <c r="Q164" s="36">
        <v>1</v>
      </c>
      <c r="R164" s="58">
        <v>2</v>
      </c>
      <c r="S164" s="58">
        <v>87</v>
      </c>
      <c r="T164" s="25" t="e">
        <f>_xlfn.XLOOKUP(A164,Master!#REF!,Master!G:G)</f>
        <v>#REF!</v>
      </c>
      <c r="AA164">
        <v>5</v>
      </c>
      <c r="AB164">
        <v>104</v>
      </c>
      <c r="AC164" t="s">
        <v>1421</v>
      </c>
      <c r="AD164" s="12">
        <v>0</v>
      </c>
      <c r="AE164" s="12">
        <v>1</v>
      </c>
    </row>
    <row r="165" spans="1:31" ht="16.25" customHeight="1" x14ac:dyDescent="0.2">
      <c r="A165" s="34" t="s">
        <v>951</v>
      </c>
      <c r="B165" s="10" t="s">
        <v>449</v>
      </c>
      <c r="C165" s="29" t="s">
        <v>935</v>
      </c>
      <c r="D165" s="29" t="s">
        <v>936</v>
      </c>
      <c r="E165" s="10" t="s">
        <v>0</v>
      </c>
      <c r="F165" s="34"/>
      <c r="G165" s="34" t="s">
        <v>451</v>
      </c>
      <c r="H165" s="34"/>
      <c r="I165" s="35" t="s">
        <v>452</v>
      </c>
      <c r="J165" s="30" t="s">
        <v>904</v>
      </c>
      <c r="K165" s="35" t="s">
        <v>900</v>
      </c>
      <c r="L165" s="30" t="s">
        <v>455</v>
      </c>
      <c r="M165" s="18" t="s">
        <v>0</v>
      </c>
      <c r="N165" s="18">
        <v>0</v>
      </c>
      <c r="O165" s="18">
        <v>0</v>
      </c>
      <c r="P165" s="18">
        <v>0</v>
      </c>
      <c r="Q165" s="36">
        <v>1</v>
      </c>
      <c r="R165" s="63">
        <v>3</v>
      </c>
      <c r="S165" s="63">
        <v>45</v>
      </c>
      <c r="T165" s="25" t="e">
        <f>_xlfn.XLOOKUP(A165,Master!#REF!,Master!G:G)</f>
        <v>#REF!</v>
      </c>
      <c r="AA165">
        <v>5</v>
      </c>
      <c r="AB165">
        <v>104</v>
      </c>
      <c r="AC165" t="s">
        <v>1365</v>
      </c>
      <c r="AD165" s="12">
        <v>0</v>
      </c>
      <c r="AE165" s="12">
        <v>1</v>
      </c>
    </row>
    <row r="166" spans="1:31" ht="16.25" customHeight="1" x14ac:dyDescent="0.2">
      <c r="A166" s="38" t="s">
        <v>405</v>
      </c>
      <c r="B166" s="32" t="s">
        <v>449</v>
      </c>
      <c r="C166" s="33" t="s">
        <v>1116</v>
      </c>
      <c r="D166" s="33" t="s">
        <v>1180</v>
      </c>
      <c r="E166" s="32" t="s">
        <v>0</v>
      </c>
      <c r="F166" s="60"/>
      <c r="G166" s="38" t="s">
        <v>451</v>
      </c>
      <c r="H166" s="38"/>
      <c r="I166" s="35">
        <v>76777</v>
      </c>
      <c r="J166" s="30" t="s">
        <v>491</v>
      </c>
      <c r="K166" s="35" t="s">
        <v>1117</v>
      </c>
      <c r="L166" s="30" t="s">
        <v>455</v>
      </c>
      <c r="M166" s="15" t="s">
        <v>0</v>
      </c>
      <c r="N166" s="15">
        <v>0</v>
      </c>
      <c r="O166" s="15">
        <v>0</v>
      </c>
      <c r="P166" s="15">
        <v>0</v>
      </c>
      <c r="Q166" s="40">
        <v>1</v>
      </c>
      <c r="R166" s="59">
        <v>4</v>
      </c>
      <c r="S166" s="59">
        <v>88</v>
      </c>
      <c r="T166" s="25" t="e">
        <f>_xlfn.XLOOKUP(A166,Master!#REF!,Master!G:G)</f>
        <v>#REF!</v>
      </c>
      <c r="AA166">
        <v>5</v>
      </c>
      <c r="AB166">
        <v>105</v>
      </c>
      <c r="AC166" t="s">
        <v>1394</v>
      </c>
      <c r="AD166" s="12">
        <v>1</v>
      </c>
      <c r="AE166" s="12">
        <v>2</v>
      </c>
    </row>
    <row r="167" spans="1:31" ht="16.25" customHeight="1" x14ac:dyDescent="0.2">
      <c r="A167" s="38" t="s">
        <v>1812</v>
      </c>
      <c r="B167" s="32" t="s">
        <v>449</v>
      </c>
      <c r="C167" s="33" t="s">
        <v>1813</v>
      </c>
      <c r="D167" s="33" t="s">
        <v>1881</v>
      </c>
      <c r="E167" s="32" t="s">
        <v>0</v>
      </c>
      <c r="F167" s="60"/>
      <c r="G167" s="38" t="s">
        <v>451</v>
      </c>
      <c r="H167" s="38"/>
      <c r="I167" s="35" t="s">
        <v>452</v>
      </c>
      <c r="J167" s="35" t="s">
        <v>491</v>
      </c>
      <c r="K167" s="35" t="s">
        <v>1117</v>
      </c>
      <c r="L167" s="30" t="s">
        <v>455</v>
      </c>
      <c r="M167" s="15" t="s">
        <v>0</v>
      </c>
      <c r="N167" s="15">
        <v>0</v>
      </c>
      <c r="O167" s="15">
        <v>0</v>
      </c>
      <c r="P167" s="15">
        <v>0</v>
      </c>
      <c r="Q167" s="40">
        <v>1</v>
      </c>
      <c r="R167" s="66">
        <v>7</v>
      </c>
      <c r="S167" s="66">
        <v>88</v>
      </c>
      <c r="T167" s="25" t="e">
        <f>_xlfn.XLOOKUP(A167,Master!#REF!,Master!G:G)</f>
        <v>#REF!</v>
      </c>
      <c r="AA167">
        <v>5</v>
      </c>
      <c r="AB167">
        <v>106</v>
      </c>
      <c r="AC167" t="s">
        <v>1329</v>
      </c>
      <c r="AD167" s="12">
        <v>0</v>
      </c>
      <c r="AE167" s="12">
        <v>1</v>
      </c>
    </row>
    <row r="168" spans="1:31" ht="16.25" customHeight="1" x14ac:dyDescent="0.2">
      <c r="A168" s="10" t="s">
        <v>1111</v>
      </c>
      <c r="B168" s="10" t="s">
        <v>449</v>
      </c>
      <c r="C168" s="29" t="s">
        <v>1112</v>
      </c>
      <c r="D168" s="29" t="s">
        <v>1328</v>
      </c>
      <c r="E168" s="10" t="s">
        <v>0</v>
      </c>
      <c r="F168" s="10"/>
      <c r="G168" s="10" t="s">
        <v>451</v>
      </c>
      <c r="H168" s="10"/>
      <c r="I168" s="30" t="s">
        <v>452</v>
      </c>
      <c r="J168" s="30" t="s">
        <v>453</v>
      </c>
      <c r="K168" s="30" t="s">
        <v>1077</v>
      </c>
      <c r="L168" s="30" t="s">
        <v>455</v>
      </c>
      <c r="M168" s="18" t="s">
        <v>0</v>
      </c>
      <c r="N168" s="18">
        <v>0</v>
      </c>
      <c r="O168" s="18">
        <v>0</v>
      </c>
      <c r="P168" s="18">
        <v>0</v>
      </c>
      <c r="Q168" s="18">
        <v>1</v>
      </c>
      <c r="R168" s="57">
        <v>4</v>
      </c>
      <c r="S168" s="57">
        <v>89</v>
      </c>
      <c r="T168" t="e">
        <f>_xlfn.XLOOKUP(A168,Master!#REF!,Master!G:G)</f>
        <v>#REF!</v>
      </c>
      <c r="AA168">
        <v>5</v>
      </c>
      <c r="AB168">
        <v>106</v>
      </c>
      <c r="AC168" t="s">
        <v>1475</v>
      </c>
      <c r="AD168" s="12">
        <v>0</v>
      </c>
      <c r="AE168" s="12">
        <v>1</v>
      </c>
    </row>
    <row r="169" spans="1:31" ht="16.25" customHeight="1" x14ac:dyDescent="0.2">
      <c r="A169" s="32" t="s">
        <v>2092</v>
      </c>
      <c r="B169" s="32" t="s">
        <v>449</v>
      </c>
      <c r="C169" s="33" t="s">
        <v>2093</v>
      </c>
      <c r="D169" s="33" t="s">
        <v>2372</v>
      </c>
      <c r="E169" s="32" t="s">
        <v>0</v>
      </c>
      <c r="F169" s="32"/>
      <c r="G169" s="32" t="s">
        <v>451</v>
      </c>
      <c r="H169" s="32"/>
      <c r="I169" s="30" t="s">
        <v>452</v>
      </c>
      <c r="J169" s="30" t="s">
        <v>2026</v>
      </c>
      <c r="K169" s="30" t="s">
        <v>2094</v>
      </c>
      <c r="L169" s="30" t="s">
        <v>455</v>
      </c>
      <c r="M169" s="15" t="s">
        <v>0</v>
      </c>
      <c r="N169" s="15">
        <v>0</v>
      </c>
      <c r="O169" s="15">
        <v>0</v>
      </c>
      <c r="P169" s="15">
        <v>0</v>
      </c>
      <c r="Q169" s="15">
        <v>1</v>
      </c>
      <c r="R169" s="67">
        <v>8</v>
      </c>
      <c r="S169" s="67">
        <v>89</v>
      </c>
      <c r="T169" t="e">
        <f>_xlfn.XLOOKUP(A169,Master!#REF!,Master!G:G)</f>
        <v>#REF!</v>
      </c>
      <c r="AA169">
        <v>5</v>
      </c>
      <c r="AB169">
        <v>107</v>
      </c>
      <c r="AC169" t="s">
        <v>1427</v>
      </c>
      <c r="AD169" s="12">
        <v>0</v>
      </c>
      <c r="AE169" s="12">
        <v>1</v>
      </c>
    </row>
    <row r="170" spans="1:31" ht="16.25" customHeight="1" x14ac:dyDescent="0.2">
      <c r="A170" s="38" t="s">
        <v>665</v>
      </c>
      <c r="B170" s="32" t="s">
        <v>449</v>
      </c>
      <c r="C170" s="33" t="s">
        <v>666</v>
      </c>
      <c r="D170" s="33" t="s">
        <v>2188</v>
      </c>
      <c r="E170" s="32" t="s">
        <v>0</v>
      </c>
      <c r="F170" s="32"/>
      <c r="G170" s="32" t="s">
        <v>451</v>
      </c>
      <c r="H170" s="32"/>
      <c r="I170" s="35" t="s">
        <v>452</v>
      </c>
      <c r="J170" s="35" t="s">
        <v>491</v>
      </c>
      <c r="K170" s="35" t="s">
        <v>492</v>
      </c>
      <c r="L170" s="30" t="s">
        <v>455</v>
      </c>
      <c r="M170" s="15" t="s">
        <v>0</v>
      </c>
      <c r="N170" s="15">
        <v>0</v>
      </c>
      <c r="O170" s="15">
        <v>0</v>
      </c>
      <c r="P170" s="15">
        <v>0</v>
      </c>
      <c r="Q170" s="40">
        <v>1</v>
      </c>
      <c r="R170" s="37">
        <v>1</v>
      </c>
      <c r="S170" s="37">
        <v>90</v>
      </c>
      <c r="T170" t="e">
        <f>_xlfn.XLOOKUP(A170,Master!#REF!,Master!G:G)</f>
        <v>#REF!</v>
      </c>
      <c r="AA170">
        <v>5</v>
      </c>
      <c r="AB170">
        <v>107</v>
      </c>
      <c r="AC170" t="s">
        <v>409</v>
      </c>
      <c r="AD170" s="12">
        <v>0</v>
      </c>
      <c r="AE170" s="12">
        <v>1</v>
      </c>
    </row>
    <row r="171" spans="1:31" ht="16.25" customHeight="1" x14ac:dyDescent="0.2">
      <c r="A171" s="34" t="s">
        <v>2017</v>
      </c>
      <c r="B171" s="10" t="s">
        <v>449</v>
      </c>
      <c r="C171" s="29" t="s">
        <v>2018</v>
      </c>
      <c r="D171" s="29" t="s">
        <v>2178</v>
      </c>
      <c r="E171" s="10" t="s">
        <v>0</v>
      </c>
      <c r="F171" s="34"/>
      <c r="G171" s="34" t="s">
        <v>451</v>
      </c>
      <c r="H171" s="34"/>
      <c r="I171" s="35" t="s">
        <v>452</v>
      </c>
      <c r="J171" s="35" t="s">
        <v>904</v>
      </c>
      <c r="K171" s="35" t="s">
        <v>2019</v>
      </c>
      <c r="L171" s="30" t="s">
        <v>455</v>
      </c>
      <c r="M171" s="18" t="s">
        <v>0</v>
      </c>
      <c r="N171" s="18">
        <v>0</v>
      </c>
      <c r="O171" s="18">
        <v>0</v>
      </c>
      <c r="P171" s="18">
        <v>0</v>
      </c>
      <c r="Q171" s="36">
        <v>1</v>
      </c>
      <c r="R171" s="68">
        <v>8</v>
      </c>
      <c r="S171" s="68">
        <v>90</v>
      </c>
      <c r="T171" t="e">
        <f>_xlfn.XLOOKUP(A171,Master!#REF!,Master!G:G)</f>
        <v>#REF!</v>
      </c>
      <c r="AA171">
        <v>5</v>
      </c>
      <c r="AB171">
        <v>108</v>
      </c>
      <c r="AC171" t="s">
        <v>1381</v>
      </c>
      <c r="AD171" s="12">
        <v>0</v>
      </c>
      <c r="AE171" s="12">
        <v>1</v>
      </c>
    </row>
    <row r="172" spans="1:31" ht="16.25" customHeight="1" x14ac:dyDescent="0.2">
      <c r="A172" s="47" t="s">
        <v>2118</v>
      </c>
      <c r="B172" s="47" t="s">
        <v>449</v>
      </c>
      <c r="C172" s="48" t="s">
        <v>2119</v>
      </c>
      <c r="D172" s="48" t="s">
        <v>2222</v>
      </c>
      <c r="E172" s="47" t="s">
        <v>0</v>
      </c>
      <c r="F172" s="47"/>
      <c r="G172" s="47" t="s">
        <v>1137</v>
      </c>
      <c r="H172" s="47"/>
      <c r="I172" s="45" t="s">
        <v>1498</v>
      </c>
      <c r="J172" s="45" t="s">
        <v>1951</v>
      </c>
      <c r="K172" s="45" t="s">
        <v>1952</v>
      </c>
      <c r="L172" s="45" t="s">
        <v>455</v>
      </c>
      <c r="M172" s="47" t="s">
        <v>0</v>
      </c>
      <c r="N172" s="47">
        <v>0</v>
      </c>
      <c r="O172" s="47">
        <v>0</v>
      </c>
      <c r="P172" s="47">
        <v>0</v>
      </c>
      <c r="Q172" s="47">
        <v>1</v>
      </c>
      <c r="R172" s="45" t="s">
        <v>2361</v>
      </c>
      <c r="S172" s="47">
        <v>92</v>
      </c>
      <c r="T172" t="e">
        <f>_xlfn.XLOOKUP(A172,Master!#REF!,Master!G:G)</f>
        <v>#REF!</v>
      </c>
      <c r="AA172">
        <v>5</v>
      </c>
      <c r="AB172">
        <v>108</v>
      </c>
      <c r="AC172" t="s">
        <v>1488</v>
      </c>
      <c r="AD172" s="12">
        <v>0</v>
      </c>
      <c r="AE172" s="12">
        <v>1</v>
      </c>
    </row>
    <row r="173" spans="1:31" ht="16.25" customHeight="1" x14ac:dyDescent="0.2">
      <c r="A173" s="45" t="s">
        <v>2129</v>
      </c>
      <c r="B173" s="45" t="s">
        <v>449</v>
      </c>
      <c r="C173" s="49" t="s">
        <v>2130</v>
      </c>
      <c r="D173" s="49" t="s">
        <v>2264</v>
      </c>
      <c r="E173" s="45" t="s">
        <v>0</v>
      </c>
      <c r="F173" s="45"/>
      <c r="G173" s="45" t="s">
        <v>1137</v>
      </c>
      <c r="H173" s="45"/>
      <c r="I173" s="45" t="s">
        <v>1498</v>
      </c>
      <c r="J173" s="45" t="s">
        <v>1938</v>
      </c>
      <c r="K173" s="45" t="s">
        <v>2131</v>
      </c>
      <c r="L173" s="45" t="s">
        <v>455</v>
      </c>
      <c r="M173" s="45" t="s">
        <v>0</v>
      </c>
      <c r="N173" s="45">
        <v>0</v>
      </c>
      <c r="O173" s="45">
        <v>0</v>
      </c>
      <c r="P173" s="45">
        <v>0</v>
      </c>
      <c r="Q173" s="45">
        <v>1</v>
      </c>
      <c r="R173" s="45" t="s">
        <v>2361</v>
      </c>
      <c r="S173" s="45">
        <v>92</v>
      </c>
      <c r="T173" t="e">
        <f>_xlfn.XLOOKUP(A173,Master!#REF!,Master!G:G)</f>
        <v>#REF!</v>
      </c>
      <c r="AA173">
        <v>5</v>
      </c>
      <c r="AB173">
        <v>109</v>
      </c>
      <c r="AC173" t="s">
        <v>1351</v>
      </c>
      <c r="AD173" s="12">
        <v>0</v>
      </c>
      <c r="AE173" s="12">
        <v>1</v>
      </c>
    </row>
    <row r="174" spans="1:31" ht="16.25" customHeight="1" x14ac:dyDescent="0.2">
      <c r="A174" s="45" t="s">
        <v>2147</v>
      </c>
      <c r="B174" s="45" t="s">
        <v>449</v>
      </c>
      <c r="C174" s="49" t="s">
        <v>2148</v>
      </c>
      <c r="D174" s="49" t="s">
        <v>2209</v>
      </c>
      <c r="E174" s="45" t="s">
        <v>458</v>
      </c>
      <c r="F174" s="50" t="s">
        <v>375</v>
      </c>
      <c r="G174" s="45" t="s">
        <v>1137</v>
      </c>
      <c r="H174" s="45"/>
      <c r="I174" s="45" t="s">
        <v>1498</v>
      </c>
      <c r="J174" s="45" t="s">
        <v>1515</v>
      </c>
      <c r="K174" s="45" t="s">
        <v>1508</v>
      </c>
      <c r="L174" s="45" t="s">
        <v>455</v>
      </c>
      <c r="M174" s="45" t="s">
        <v>458</v>
      </c>
      <c r="N174" s="45">
        <v>1</v>
      </c>
      <c r="O174" s="45">
        <v>1</v>
      </c>
      <c r="P174" s="45">
        <v>2</v>
      </c>
      <c r="Q174" s="45">
        <v>3</v>
      </c>
      <c r="R174" s="45" t="s">
        <v>2361</v>
      </c>
      <c r="S174" s="45">
        <v>93</v>
      </c>
      <c r="T174" t="e">
        <f>_xlfn.XLOOKUP(A174,Master!#REF!,Master!G:G)</f>
        <v>#REF!</v>
      </c>
      <c r="AA174">
        <v>5</v>
      </c>
      <c r="AB174">
        <v>109</v>
      </c>
      <c r="AC174" t="s">
        <v>1298</v>
      </c>
      <c r="AD174" s="12">
        <v>0</v>
      </c>
      <c r="AE174" s="12">
        <v>1</v>
      </c>
    </row>
    <row r="175" spans="1:31" ht="16.25" customHeight="1" x14ac:dyDescent="0.2">
      <c r="A175" s="32" t="s">
        <v>1454</v>
      </c>
      <c r="B175" s="32" t="s">
        <v>449</v>
      </c>
      <c r="C175" s="33" t="s">
        <v>1349</v>
      </c>
      <c r="D175" s="33" t="s">
        <v>1350</v>
      </c>
      <c r="E175" s="32" t="s">
        <v>0</v>
      </c>
      <c r="F175" s="32"/>
      <c r="G175" s="32" t="s">
        <v>451</v>
      </c>
      <c r="H175" s="32"/>
      <c r="I175" s="30" t="s">
        <v>1283</v>
      </c>
      <c r="J175" s="30" t="s">
        <v>1284</v>
      </c>
      <c r="K175" s="30" t="s">
        <v>1448</v>
      </c>
      <c r="L175" s="30" t="s">
        <v>455</v>
      </c>
      <c r="M175" s="15" t="s">
        <v>0</v>
      </c>
      <c r="N175" s="15">
        <v>0</v>
      </c>
      <c r="O175" s="15">
        <v>0</v>
      </c>
      <c r="P175" s="15">
        <v>0</v>
      </c>
      <c r="Q175" s="15">
        <v>1</v>
      </c>
      <c r="R175" s="61">
        <v>5</v>
      </c>
      <c r="S175" s="61">
        <v>94</v>
      </c>
      <c r="T175" t="e">
        <f>_xlfn.XLOOKUP(A175,Master!#REF!,Master!G:G)</f>
        <v>#REF!</v>
      </c>
      <c r="AA175">
        <v>5</v>
      </c>
      <c r="AB175">
        <v>110</v>
      </c>
      <c r="AC175" t="s">
        <v>1373</v>
      </c>
      <c r="AD175" s="12">
        <v>0</v>
      </c>
      <c r="AE175" s="12">
        <v>1</v>
      </c>
    </row>
    <row r="176" spans="1:31" ht="16.25" customHeight="1" x14ac:dyDescent="0.2">
      <c r="A176" s="10" t="s">
        <v>1469</v>
      </c>
      <c r="B176" s="10" t="s">
        <v>449</v>
      </c>
      <c r="C176" s="29" t="s">
        <v>1356</v>
      </c>
      <c r="D176" s="29" t="s">
        <v>1357</v>
      </c>
      <c r="E176" s="10" t="s">
        <v>0</v>
      </c>
      <c r="F176" s="10"/>
      <c r="G176" s="10" t="s">
        <v>451</v>
      </c>
      <c r="H176" s="10"/>
      <c r="I176" s="30" t="s">
        <v>1283</v>
      </c>
      <c r="J176" s="30" t="s">
        <v>1284</v>
      </c>
      <c r="K176" s="30" t="s">
        <v>1460</v>
      </c>
      <c r="L176" s="30" t="s">
        <v>455</v>
      </c>
      <c r="M176" s="18" t="s">
        <v>0</v>
      </c>
      <c r="N176" s="18">
        <v>0</v>
      </c>
      <c r="O176" s="18">
        <v>0</v>
      </c>
      <c r="P176" s="18">
        <v>0</v>
      </c>
      <c r="Q176" s="18">
        <v>1</v>
      </c>
      <c r="R176" s="61">
        <v>5</v>
      </c>
      <c r="S176" s="61">
        <v>94</v>
      </c>
      <c r="T176" t="e">
        <f>_xlfn.XLOOKUP(A176,Master!#REF!,Master!G:G)</f>
        <v>#REF!</v>
      </c>
      <c r="AA176" t="s">
        <v>2373</v>
      </c>
      <c r="AD176" s="12">
        <v>1</v>
      </c>
      <c r="AE176" s="12">
        <v>33</v>
      </c>
    </row>
    <row r="177" spans="1:31" ht="16.25" customHeight="1" x14ac:dyDescent="0.2">
      <c r="A177" s="15" t="s">
        <v>1412</v>
      </c>
      <c r="B177" s="15" t="s">
        <v>449</v>
      </c>
      <c r="C177" s="44" t="s">
        <v>1413</v>
      </c>
      <c r="D177" s="44" t="s">
        <v>2146</v>
      </c>
      <c r="E177" s="15" t="s">
        <v>0</v>
      </c>
      <c r="F177" s="15"/>
      <c r="G177" s="15" t="s">
        <v>451</v>
      </c>
      <c r="H177" s="15"/>
      <c r="I177" s="30" t="s">
        <v>1414</v>
      </c>
      <c r="J177" s="30" t="s">
        <v>1415</v>
      </c>
      <c r="K177" s="30" t="s">
        <v>900</v>
      </c>
      <c r="L177" s="30" t="s">
        <v>455</v>
      </c>
      <c r="M177" s="15" t="s">
        <v>0</v>
      </c>
      <c r="N177" s="15">
        <v>0</v>
      </c>
      <c r="O177" s="15">
        <v>0</v>
      </c>
      <c r="P177" s="15">
        <v>0</v>
      </c>
      <c r="Q177" s="15">
        <v>1</v>
      </c>
      <c r="R177" s="61">
        <v>5</v>
      </c>
      <c r="S177" s="61">
        <v>95</v>
      </c>
      <c r="T177" t="e">
        <f>_xlfn.XLOOKUP(A177,Master!#REF!,Master!G:G)</f>
        <v>#REF!</v>
      </c>
      <c r="AA177">
        <v>6</v>
      </c>
      <c r="AB177">
        <v>127</v>
      </c>
      <c r="AC177" t="s">
        <v>1688</v>
      </c>
      <c r="AD177" s="12">
        <v>0</v>
      </c>
      <c r="AE177" s="12">
        <v>1</v>
      </c>
    </row>
    <row r="178" spans="1:31" ht="16.25" customHeight="1" x14ac:dyDescent="0.2">
      <c r="A178" s="10" t="s">
        <v>1436</v>
      </c>
      <c r="B178" s="10" t="s">
        <v>449</v>
      </c>
      <c r="C178" s="29" t="s">
        <v>1371</v>
      </c>
      <c r="D178" s="29" t="s">
        <v>1372</v>
      </c>
      <c r="E178" s="10" t="s">
        <v>0</v>
      </c>
      <c r="F178" s="10"/>
      <c r="G178" s="10" t="s">
        <v>451</v>
      </c>
      <c r="H178" s="10"/>
      <c r="I178" s="30" t="s">
        <v>1283</v>
      </c>
      <c r="J178" s="30" t="s">
        <v>1429</v>
      </c>
      <c r="K178" s="30" t="s">
        <v>1430</v>
      </c>
      <c r="L178" s="30" t="s">
        <v>455</v>
      </c>
      <c r="M178" s="18" t="s">
        <v>0</v>
      </c>
      <c r="N178" s="18">
        <v>0</v>
      </c>
      <c r="O178" s="18">
        <v>0</v>
      </c>
      <c r="P178" s="18">
        <v>0</v>
      </c>
      <c r="Q178" s="18">
        <v>1</v>
      </c>
      <c r="R178" s="61">
        <v>5</v>
      </c>
      <c r="S178" s="61">
        <v>95</v>
      </c>
      <c r="T178" t="e">
        <f>_xlfn.XLOOKUP(A178,Master!#REF!,Master!G:G)</f>
        <v>#REF!</v>
      </c>
      <c r="AA178">
        <v>6</v>
      </c>
      <c r="AB178">
        <v>128</v>
      </c>
      <c r="AC178" t="s">
        <v>1702</v>
      </c>
      <c r="AD178" s="12">
        <v>0</v>
      </c>
      <c r="AE178" s="12">
        <v>1</v>
      </c>
    </row>
    <row r="179" spans="1:31" ht="16.25" customHeight="1" x14ac:dyDescent="0.2">
      <c r="A179" s="10" t="s">
        <v>1323</v>
      </c>
      <c r="B179" s="10" t="s">
        <v>449</v>
      </c>
      <c r="C179" s="29" t="s">
        <v>1324</v>
      </c>
      <c r="D179" s="29" t="s">
        <v>1380</v>
      </c>
      <c r="E179" s="10" t="s">
        <v>0</v>
      </c>
      <c r="F179" s="10"/>
      <c r="G179" s="10" t="s">
        <v>451</v>
      </c>
      <c r="H179" s="10" t="s">
        <v>1325</v>
      </c>
      <c r="I179" s="30" t="s">
        <v>1283</v>
      </c>
      <c r="J179" s="30" t="s">
        <v>1284</v>
      </c>
      <c r="K179" s="30" t="s">
        <v>1292</v>
      </c>
      <c r="L179" s="30" t="s">
        <v>455</v>
      </c>
      <c r="M179" s="18" t="s">
        <v>0</v>
      </c>
      <c r="N179" s="18">
        <v>0</v>
      </c>
      <c r="O179" s="18">
        <v>0</v>
      </c>
      <c r="P179" s="18">
        <v>0</v>
      </c>
      <c r="Q179" s="18">
        <v>1</v>
      </c>
      <c r="R179" s="61">
        <v>5</v>
      </c>
      <c r="S179" s="61">
        <v>96</v>
      </c>
      <c r="T179" t="e">
        <f>_xlfn.XLOOKUP(A179,Master!#REF!,Master!G:G)</f>
        <v>#REF!</v>
      </c>
      <c r="AA179">
        <v>6</v>
      </c>
      <c r="AB179">
        <v>128</v>
      </c>
      <c r="AC179" t="s">
        <v>1696</v>
      </c>
      <c r="AD179" s="12">
        <v>0</v>
      </c>
      <c r="AE179" s="12">
        <v>1</v>
      </c>
    </row>
    <row r="180" spans="1:31" ht="16.25" customHeight="1" x14ac:dyDescent="0.2">
      <c r="A180" s="32" t="s">
        <v>1388</v>
      </c>
      <c r="B180" s="32" t="s">
        <v>449</v>
      </c>
      <c r="C180" s="33" t="s">
        <v>1386</v>
      </c>
      <c r="D180" s="33" t="s">
        <v>1387</v>
      </c>
      <c r="E180" s="32" t="s">
        <v>0</v>
      </c>
      <c r="F180" s="32"/>
      <c r="G180" s="32" t="s">
        <v>451</v>
      </c>
      <c r="H180" s="32"/>
      <c r="I180" s="30" t="s">
        <v>1283</v>
      </c>
      <c r="J180" s="30" t="s">
        <v>1375</v>
      </c>
      <c r="K180" s="30" t="s">
        <v>1389</v>
      </c>
      <c r="L180" s="30" t="s">
        <v>455</v>
      </c>
      <c r="M180" s="15" t="s">
        <v>0</v>
      </c>
      <c r="N180" s="15">
        <v>0</v>
      </c>
      <c r="O180" s="15">
        <v>0</v>
      </c>
      <c r="P180" s="15">
        <v>0</v>
      </c>
      <c r="Q180" s="15">
        <v>1</v>
      </c>
      <c r="R180" s="61">
        <v>5</v>
      </c>
      <c r="S180" s="61">
        <v>96</v>
      </c>
      <c r="T180" t="e">
        <f>_xlfn.XLOOKUP(A180,Master!#REF!,Master!G:G)</f>
        <v>#REF!</v>
      </c>
      <c r="AA180">
        <v>6</v>
      </c>
      <c r="AB180">
        <v>129</v>
      </c>
      <c r="AC180" t="s">
        <v>1667</v>
      </c>
      <c r="AD180" s="12">
        <v>0</v>
      </c>
      <c r="AE180" s="12">
        <v>1</v>
      </c>
    </row>
    <row r="181" spans="1:31" ht="16.25" customHeight="1" x14ac:dyDescent="0.2">
      <c r="A181" s="10" t="s">
        <v>1310</v>
      </c>
      <c r="B181" s="10" t="s">
        <v>449</v>
      </c>
      <c r="C181" s="29" t="s">
        <v>1311</v>
      </c>
      <c r="D181" s="29" t="s">
        <v>1399</v>
      </c>
      <c r="E181" s="10" t="s">
        <v>0</v>
      </c>
      <c r="F181" s="10"/>
      <c r="G181" s="10" t="s">
        <v>451</v>
      </c>
      <c r="H181" s="10"/>
      <c r="I181" s="30" t="s">
        <v>1283</v>
      </c>
      <c r="J181" s="30" t="s">
        <v>1284</v>
      </c>
      <c r="K181" s="30" t="s">
        <v>1292</v>
      </c>
      <c r="L181" s="30" t="s">
        <v>455</v>
      </c>
      <c r="M181" s="18" t="s">
        <v>0</v>
      </c>
      <c r="N181" s="18">
        <v>0</v>
      </c>
      <c r="O181" s="18">
        <v>0</v>
      </c>
      <c r="P181" s="18">
        <v>0</v>
      </c>
      <c r="Q181" s="18">
        <v>1</v>
      </c>
      <c r="R181" s="61">
        <v>5</v>
      </c>
      <c r="S181" s="61">
        <v>97</v>
      </c>
      <c r="T181" t="e">
        <f>_xlfn.XLOOKUP(A181,Master!#REF!,Master!G:G)</f>
        <v>#REF!</v>
      </c>
      <c r="AA181">
        <v>6</v>
      </c>
      <c r="AB181">
        <v>129</v>
      </c>
      <c r="AC181" t="s">
        <v>1633</v>
      </c>
      <c r="AD181" s="12">
        <v>0</v>
      </c>
      <c r="AE181" s="12">
        <v>1</v>
      </c>
    </row>
    <row r="182" spans="1:31" ht="16.25" customHeight="1" x14ac:dyDescent="0.2">
      <c r="A182" s="32" t="s">
        <v>1315</v>
      </c>
      <c r="B182" s="32" t="s">
        <v>449</v>
      </c>
      <c r="C182" s="33" t="s">
        <v>1316</v>
      </c>
      <c r="D182" s="33" t="s">
        <v>1393</v>
      </c>
      <c r="E182" s="32" t="s">
        <v>0</v>
      </c>
      <c r="F182" s="32"/>
      <c r="G182" s="32" t="s">
        <v>451</v>
      </c>
      <c r="H182" s="32"/>
      <c r="I182" s="30" t="s">
        <v>1283</v>
      </c>
      <c r="J182" s="30" t="s">
        <v>1284</v>
      </c>
      <c r="K182" s="30" t="s">
        <v>1292</v>
      </c>
      <c r="L182" s="30" t="s">
        <v>455</v>
      </c>
      <c r="M182" s="15" t="s">
        <v>0</v>
      </c>
      <c r="N182" s="15">
        <v>0</v>
      </c>
      <c r="O182" s="15">
        <v>0</v>
      </c>
      <c r="P182" s="15">
        <v>0</v>
      </c>
      <c r="Q182" s="15">
        <v>1</v>
      </c>
      <c r="R182" s="61">
        <v>5</v>
      </c>
      <c r="S182" s="61">
        <v>97</v>
      </c>
      <c r="T182" t="e">
        <f>_xlfn.XLOOKUP(A182,Master!#REF!,Master!G:G)</f>
        <v>#REF!</v>
      </c>
      <c r="AA182">
        <v>6</v>
      </c>
      <c r="AB182">
        <v>130</v>
      </c>
      <c r="AC182" t="s">
        <v>1563</v>
      </c>
      <c r="AD182" s="12">
        <v>0</v>
      </c>
      <c r="AE182" s="12">
        <v>1</v>
      </c>
    </row>
    <row r="183" spans="1:31" ht="16.25" customHeight="1" x14ac:dyDescent="0.2">
      <c r="A183" s="32" t="s">
        <v>1290</v>
      </c>
      <c r="B183" s="32" t="s">
        <v>449</v>
      </c>
      <c r="C183" s="33" t="s">
        <v>1291</v>
      </c>
      <c r="D183" s="33" t="s">
        <v>1411</v>
      </c>
      <c r="E183" s="32" t="s">
        <v>0</v>
      </c>
      <c r="F183" s="32"/>
      <c r="G183" s="32" t="s">
        <v>451</v>
      </c>
      <c r="H183" s="32"/>
      <c r="I183" s="30" t="s">
        <v>1283</v>
      </c>
      <c r="J183" s="30" t="s">
        <v>1284</v>
      </c>
      <c r="K183" s="30" t="s">
        <v>1292</v>
      </c>
      <c r="L183" s="30" t="s">
        <v>455</v>
      </c>
      <c r="M183" s="15" t="s">
        <v>0</v>
      </c>
      <c r="N183" s="15">
        <v>0</v>
      </c>
      <c r="O183" s="15">
        <v>0</v>
      </c>
      <c r="P183" s="15">
        <v>0</v>
      </c>
      <c r="Q183" s="15">
        <v>1</v>
      </c>
      <c r="R183" s="61">
        <v>5</v>
      </c>
      <c r="S183" s="61">
        <v>98</v>
      </c>
      <c r="T183" t="e">
        <f>_xlfn.XLOOKUP(A183,Master!#REF!,Master!G:G)</f>
        <v>#REF!</v>
      </c>
      <c r="AA183">
        <v>6</v>
      </c>
      <c r="AB183">
        <v>130</v>
      </c>
      <c r="AC183" t="s">
        <v>1532</v>
      </c>
      <c r="AD183" s="12">
        <v>0</v>
      </c>
      <c r="AE183" s="12">
        <v>1</v>
      </c>
    </row>
    <row r="184" spans="1:31" ht="16.25" customHeight="1" x14ac:dyDescent="0.2">
      <c r="A184" s="32" t="s">
        <v>1304</v>
      </c>
      <c r="B184" s="32" t="s">
        <v>449</v>
      </c>
      <c r="C184" s="33" t="s">
        <v>1305</v>
      </c>
      <c r="D184" s="33" t="s">
        <v>1406</v>
      </c>
      <c r="E184" s="32" t="s">
        <v>0</v>
      </c>
      <c r="F184" s="32"/>
      <c r="G184" s="32" t="s">
        <v>451</v>
      </c>
      <c r="H184" s="32"/>
      <c r="I184" s="30" t="s">
        <v>1283</v>
      </c>
      <c r="J184" s="30" t="s">
        <v>1284</v>
      </c>
      <c r="K184" s="30" t="s">
        <v>1292</v>
      </c>
      <c r="L184" s="30" t="s">
        <v>455</v>
      </c>
      <c r="M184" s="15" t="s">
        <v>0</v>
      </c>
      <c r="N184" s="15">
        <v>0</v>
      </c>
      <c r="O184" s="15">
        <v>0</v>
      </c>
      <c r="P184" s="15">
        <v>0</v>
      </c>
      <c r="Q184" s="15">
        <v>1</v>
      </c>
      <c r="R184" s="61">
        <v>5</v>
      </c>
      <c r="S184" s="61">
        <v>98</v>
      </c>
      <c r="T184" t="e">
        <f>_xlfn.XLOOKUP(A184,Master!#REF!,Master!G:G)</f>
        <v>#REF!</v>
      </c>
      <c r="AA184">
        <v>6</v>
      </c>
      <c r="AB184">
        <v>131</v>
      </c>
      <c r="AC184" t="s">
        <v>1505</v>
      </c>
      <c r="AD184" s="12">
        <v>0</v>
      </c>
      <c r="AE184" s="12">
        <v>1</v>
      </c>
    </row>
    <row r="185" spans="1:31" ht="16.25" customHeight="1" x14ac:dyDescent="0.2">
      <c r="A185" s="10" t="s">
        <v>1338</v>
      </c>
      <c r="B185" s="10" t="s">
        <v>449</v>
      </c>
      <c r="C185" s="29" t="s">
        <v>1339</v>
      </c>
      <c r="D185" s="29" t="s">
        <v>1420</v>
      </c>
      <c r="E185" s="10" t="s">
        <v>0</v>
      </c>
      <c r="F185" s="10"/>
      <c r="G185" s="10" t="s">
        <v>451</v>
      </c>
      <c r="H185" s="10"/>
      <c r="I185" s="30" t="s">
        <v>1283</v>
      </c>
      <c r="J185" s="30" t="s">
        <v>1331</v>
      </c>
      <c r="K185" s="30" t="s">
        <v>1332</v>
      </c>
      <c r="L185" s="30" t="s">
        <v>455</v>
      </c>
      <c r="M185" s="18" t="s">
        <v>0</v>
      </c>
      <c r="N185" s="18">
        <v>0</v>
      </c>
      <c r="O185" s="18">
        <v>0</v>
      </c>
      <c r="P185" s="18">
        <v>0</v>
      </c>
      <c r="Q185" s="18">
        <v>1</v>
      </c>
      <c r="R185" s="61">
        <v>5</v>
      </c>
      <c r="S185" s="61">
        <v>99</v>
      </c>
      <c r="T185" t="e">
        <f>_xlfn.XLOOKUP(A185,Master!#REF!,Master!G:G)</f>
        <v>#REF!</v>
      </c>
      <c r="AA185">
        <v>6</v>
      </c>
      <c r="AB185">
        <v>131</v>
      </c>
      <c r="AC185" t="s">
        <v>1523</v>
      </c>
      <c r="AD185" s="12">
        <v>0</v>
      </c>
      <c r="AE185" s="12">
        <v>1</v>
      </c>
    </row>
    <row r="186" spans="1:31" ht="16.25" customHeight="1" x14ac:dyDescent="0.2">
      <c r="A186" s="32" t="s">
        <v>1344</v>
      </c>
      <c r="B186" s="32" t="s">
        <v>449</v>
      </c>
      <c r="C186" s="33" t="s">
        <v>1345</v>
      </c>
      <c r="D186" s="33" t="s">
        <v>1426</v>
      </c>
      <c r="E186" s="32" t="s">
        <v>0</v>
      </c>
      <c r="F186" s="39"/>
      <c r="G186" s="32" t="s">
        <v>451</v>
      </c>
      <c r="H186" s="32"/>
      <c r="I186" s="30" t="s">
        <v>1283</v>
      </c>
      <c r="J186" s="30" t="s">
        <v>1331</v>
      </c>
      <c r="K186" s="30" t="s">
        <v>1332</v>
      </c>
      <c r="L186" s="30" t="s">
        <v>455</v>
      </c>
      <c r="M186" s="15" t="s">
        <v>0</v>
      </c>
      <c r="N186" s="15">
        <v>0</v>
      </c>
      <c r="O186" s="15">
        <v>0</v>
      </c>
      <c r="P186" s="15">
        <v>0</v>
      </c>
      <c r="Q186" s="15">
        <v>1</v>
      </c>
      <c r="R186" s="61">
        <v>5</v>
      </c>
      <c r="S186" s="61">
        <v>99</v>
      </c>
      <c r="T186" t="e">
        <f>_xlfn.XLOOKUP(A186,Master!#REF!,Master!G:G)</f>
        <v>#REF!</v>
      </c>
      <c r="AA186">
        <v>6</v>
      </c>
      <c r="AB186">
        <v>132</v>
      </c>
      <c r="AC186" t="s">
        <v>1677</v>
      </c>
      <c r="AD186" s="12">
        <v>0</v>
      </c>
      <c r="AE186" s="12">
        <v>1</v>
      </c>
    </row>
    <row r="187" spans="1:31" ht="16.25" customHeight="1" x14ac:dyDescent="0.2">
      <c r="A187" s="18" t="s">
        <v>1281</v>
      </c>
      <c r="B187" s="18" t="s">
        <v>449</v>
      </c>
      <c r="C187" s="41" t="s">
        <v>1282</v>
      </c>
      <c r="D187" s="41" t="s">
        <v>1445</v>
      </c>
      <c r="E187" s="18" t="s">
        <v>0</v>
      </c>
      <c r="F187" s="18"/>
      <c r="G187" s="18" t="s">
        <v>451</v>
      </c>
      <c r="H187" s="18"/>
      <c r="I187" s="30" t="s">
        <v>1283</v>
      </c>
      <c r="J187" s="30" t="s">
        <v>1284</v>
      </c>
      <c r="K187" s="30" t="s">
        <v>1285</v>
      </c>
      <c r="L187" s="30" t="s">
        <v>455</v>
      </c>
      <c r="M187" s="18" t="s">
        <v>0</v>
      </c>
      <c r="N187" s="18">
        <v>0</v>
      </c>
      <c r="O187" s="18">
        <v>0</v>
      </c>
      <c r="P187" s="18">
        <v>0</v>
      </c>
      <c r="Q187" s="18">
        <v>1</v>
      </c>
      <c r="R187" s="61">
        <v>5</v>
      </c>
      <c r="S187" s="61">
        <v>100</v>
      </c>
      <c r="T187" t="e">
        <f>_xlfn.XLOOKUP(A187,Master!#REF!,Master!G:G)</f>
        <v>#REF!</v>
      </c>
      <c r="AA187">
        <v>6</v>
      </c>
      <c r="AB187">
        <v>132</v>
      </c>
      <c r="AC187" t="s">
        <v>1682</v>
      </c>
      <c r="AD187" s="12">
        <v>0</v>
      </c>
      <c r="AE187" s="12">
        <v>1</v>
      </c>
    </row>
    <row r="188" spans="1:31" ht="16.25" customHeight="1" x14ac:dyDescent="0.2">
      <c r="A188" s="32" t="s">
        <v>1430</v>
      </c>
      <c r="B188" s="32" t="s">
        <v>449</v>
      </c>
      <c r="C188" s="32" t="s">
        <v>1439</v>
      </c>
      <c r="D188" s="32" t="s">
        <v>1440</v>
      </c>
      <c r="E188" s="32" t="s">
        <v>0</v>
      </c>
      <c r="F188" s="32"/>
      <c r="G188" s="32" t="s">
        <v>451</v>
      </c>
      <c r="H188" s="32"/>
      <c r="I188" s="30" t="s">
        <v>1283</v>
      </c>
      <c r="J188" s="30" t="s">
        <v>1429</v>
      </c>
      <c r="K188" s="30" t="s">
        <v>1441</v>
      </c>
      <c r="L188" s="30" t="s">
        <v>455</v>
      </c>
      <c r="M188" s="15" t="s">
        <v>0</v>
      </c>
      <c r="N188" s="15">
        <v>0</v>
      </c>
      <c r="O188" s="15">
        <v>0</v>
      </c>
      <c r="P188" s="15">
        <v>0</v>
      </c>
      <c r="Q188" s="15">
        <v>1</v>
      </c>
      <c r="R188" s="61">
        <v>5</v>
      </c>
      <c r="S188" s="61">
        <v>100</v>
      </c>
      <c r="T188" t="e">
        <f>_xlfn.XLOOKUP(A188,Master!#REF!,Master!G:G)</f>
        <v>#REF!</v>
      </c>
      <c r="AA188">
        <v>6</v>
      </c>
      <c r="AB188">
        <v>133</v>
      </c>
      <c r="AC188" t="s">
        <v>1660</v>
      </c>
      <c r="AD188" s="12">
        <v>0</v>
      </c>
      <c r="AE188" s="12">
        <v>1</v>
      </c>
    </row>
    <row r="189" spans="1:31" ht="16.25" customHeight="1" x14ac:dyDescent="0.2">
      <c r="A189" s="10" t="s">
        <v>1407</v>
      </c>
      <c r="B189" s="10" t="s">
        <v>449</v>
      </c>
      <c r="C189" s="29" t="s">
        <v>1408</v>
      </c>
      <c r="D189" s="29" t="s">
        <v>1494</v>
      </c>
      <c r="E189" s="10" t="s">
        <v>0</v>
      </c>
      <c r="F189" s="10"/>
      <c r="G189" s="10" t="s">
        <v>451</v>
      </c>
      <c r="H189" s="10"/>
      <c r="I189" s="30" t="s">
        <v>1283</v>
      </c>
      <c r="J189" s="30" t="s">
        <v>1284</v>
      </c>
      <c r="K189" s="30" t="s">
        <v>1402</v>
      </c>
      <c r="L189" s="30" t="s">
        <v>455</v>
      </c>
      <c r="M189" s="18" t="s">
        <v>0</v>
      </c>
      <c r="N189" s="18">
        <v>0</v>
      </c>
      <c r="O189" s="18">
        <v>0</v>
      </c>
      <c r="P189" s="18">
        <v>0</v>
      </c>
      <c r="Q189" s="18">
        <v>1</v>
      </c>
      <c r="R189" s="61">
        <v>5</v>
      </c>
      <c r="S189" s="61">
        <v>101</v>
      </c>
      <c r="T189" t="e">
        <f>_xlfn.XLOOKUP(A189,Master!#REF!,Master!G:G)</f>
        <v>#REF!</v>
      </c>
      <c r="AA189">
        <v>6</v>
      </c>
      <c r="AB189">
        <v>133</v>
      </c>
      <c r="AC189" t="s">
        <v>1672</v>
      </c>
      <c r="AD189" s="12">
        <v>0</v>
      </c>
      <c r="AE189" s="12">
        <v>1</v>
      </c>
    </row>
    <row r="190" spans="1:31" ht="16.25" customHeight="1" x14ac:dyDescent="0.2">
      <c r="A190" s="32" t="s">
        <v>1465</v>
      </c>
      <c r="B190" s="32" t="s">
        <v>449</v>
      </c>
      <c r="C190" s="33" t="s">
        <v>1363</v>
      </c>
      <c r="D190" s="33" t="s">
        <v>1364</v>
      </c>
      <c r="E190" s="32" t="s">
        <v>0</v>
      </c>
      <c r="F190" s="32"/>
      <c r="G190" s="32" t="s">
        <v>451</v>
      </c>
      <c r="H190" s="32"/>
      <c r="I190" s="30" t="s">
        <v>1283</v>
      </c>
      <c r="J190" s="30" t="s">
        <v>1284</v>
      </c>
      <c r="K190" s="30" t="s">
        <v>1460</v>
      </c>
      <c r="L190" s="30" t="s">
        <v>455</v>
      </c>
      <c r="M190" s="15" t="s">
        <v>0</v>
      </c>
      <c r="N190" s="15">
        <v>0</v>
      </c>
      <c r="O190" s="15">
        <v>0</v>
      </c>
      <c r="P190" s="15">
        <v>0</v>
      </c>
      <c r="Q190" s="15">
        <v>1</v>
      </c>
      <c r="R190" s="61">
        <v>5</v>
      </c>
      <c r="S190" s="61">
        <v>101</v>
      </c>
      <c r="T190" t="e">
        <f>_xlfn.XLOOKUP(A190,Master!#REF!,Master!G:G)</f>
        <v>#REF!</v>
      </c>
      <c r="AA190">
        <v>6</v>
      </c>
      <c r="AB190">
        <v>134</v>
      </c>
      <c r="AC190" t="s">
        <v>1646</v>
      </c>
      <c r="AD190" s="12">
        <v>0</v>
      </c>
      <c r="AE190" s="12">
        <v>1</v>
      </c>
    </row>
    <row r="191" spans="1:31" ht="16.25" customHeight="1" x14ac:dyDescent="0.2">
      <c r="A191" s="10" t="s">
        <v>1459</v>
      </c>
      <c r="B191" s="10" t="s">
        <v>449</v>
      </c>
      <c r="C191" s="29" t="s">
        <v>1457</v>
      </c>
      <c r="D191" s="29" t="s">
        <v>1458</v>
      </c>
      <c r="E191" s="10" t="s">
        <v>0</v>
      </c>
      <c r="F191" s="10"/>
      <c r="G191" s="10" t="s">
        <v>451</v>
      </c>
      <c r="H191" s="10"/>
      <c r="I191" s="30" t="s">
        <v>1283</v>
      </c>
      <c r="J191" s="30" t="s">
        <v>1284</v>
      </c>
      <c r="K191" s="30" t="s">
        <v>1460</v>
      </c>
      <c r="L191" s="30" t="s">
        <v>455</v>
      </c>
      <c r="M191" s="18" t="s">
        <v>0</v>
      </c>
      <c r="N191" s="18">
        <v>0</v>
      </c>
      <c r="O191" s="18">
        <v>0</v>
      </c>
      <c r="P191" s="18">
        <v>0</v>
      </c>
      <c r="Q191" s="18">
        <v>1</v>
      </c>
      <c r="R191" s="61">
        <v>5</v>
      </c>
      <c r="S191" s="61">
        <v>102</v>
      </c>
      <c r="T191" t="e">
        <f>_xlfn.XLOOKUP(A191,Master!#REF!,Master!G:G)</f>
        <v>#REF!</v>
      </c>
      <c r="AA191">
        <v>6</v>
      </c>
      <c r="AB191">
        <v>134</v>
      </c>
      <c r="AC191" t="s">
        <v>1654</v>
      </c>
      <c r="AD191" s="12">
        <v>0</v>
      </c>
      <c r="AE191" s="12">
        <v>1</v>
      </c>
    </row>
    <row r="192" spans="1:31" ht="16.25" customHeight="1" x14ac:dyDescent="0.2">
      <c r="A192" s="10" t="s">
        <v>1483</v>
      </c>
      <c r="B192" s="10" t="s">
        <v>449</v>
      </c>
      <c r="C192" s="29" t="s">
        <v>1452</v>
      </c>
      <c r="D192" s="29" t="s">
        <v>1453</v>
      </c>
      <c r="E192" s="10" t="s">
        <v>0</v>
      </c>
      <c r="F192" s="10"/>
      <c r="G192" s="10" t="s">
        <v>451</v>
      </c>
      <c r="H192" s="10"/>
      <c r="I192" s="30" t="s">
        <v>1283</v>
      </c>
      <c r="J192" s="30" t="s">
        <v>1284</v>
      </c>
      <c r="K192" s="30" t="s">
        <v>1484</v>
      </c>
      <c r="L192" s="30" t="s">
        <v>455</v>
      </c>
      <c r="M192" s="18" t="s">
        <v>0</v>
      </c>
      <c r="N192" s="18">
        <v>0</v>
      </c>
      <c r="O192" s="18">
        <v>0</v>
      </c>
      <c r="P192" s="18">
        <v>0</v>
      </c>
      <c r="Q192" s="18">
        <v>1</v>
      </c>
      <c r="R192" s="61">
        <v>5</v>
      </c>
      <c r="S192" s="61">
        <v>102</v>
      </c>
      <c r="T192" t="e">
        <f>_xlfn.XLOOKUP(A192,Master!#REF!,Master!G:G)</f>
        <v>#REF!</v>
      </c>
      <c r="AA192">
        <v>6</v>
      </c>
      <c r="AB192">
        <v>135</v>
      </c>
      <c r="AC192" t="s">
        <v>1617</v>
      </c>
      <c r="AD192" s="12">
        <v>0</v>
      </c>
      <c r="AE192" s="12">
        <v>1</v>
      </c>
    </row>
    <row r="193" spans="1:31" ht="16.25" customHeight="1" x14ac:dyDescent="0.2">
      <c r="A193" s="32" t="s">
        <v>1400</v>
      </c>
      <c r="B193" s="32" t="s">
        <v>449</v>
      </c>
      <c r="C193" s="33" t="s">
        <v>1401</v>
      </c>
      <c r="D193" s="33" t="s">
        <v>1464</v>
      </c>
      <c r="E193" s="32" t="s">
        <v>0</v>
      </c>
      <c r="F193" s="32"/>
      <c r="G193" s="32" t="s">
        <v>451</v>
      </c>
      <c r="H193" s="32"/>
      <c r="I193" s="30" t="s">
        <v>1283</v>
      </c>
      <c r="J193" s="30" t="s">
        <v>1284</v>
      </c>
      <c r="K193" s="30" t="s">
        <v>1402</v>
      </c>
      <c r="L193" s="30" t="s">
        <v>455</v>
      </c>
      <c r="M193" s="15" t="s">
        <v>0</v>
      </c>
      <c r="N193" s="15">
        <v>0</v>
      </c>
      <c r="O193" s="15">
        <v>0</v>
      </c>
      <c r="P193" s="15">
        <v>0</v>
      </c>
      <c r="Q193" s="15">
        <v>1</v>
      </c>
      <c r="R193" s="61">
        <v>5</v>
      </c>
      <c r="S193" s="61">
        <v>103</v>
      </c>
      <c r="T193" t="e">
        <f>_xlfn.XLOOKUP(A193,Master!#REF!,Master!G:G)</f>
        <v>#REF!</v>
      </c>
      <c r="AA193">
        <v>6</v>
      </c>
      <c r="AB193">
        <v>136</v>
      </c>
      <c r="AC193" t="s">
        <v>1611</v>
      </c>
      <c r="AD193" s="12">
        <v>0</v>
      </c>
      <c r="AE193" s="12">
        <v>1</v>
      </c>
    </row>
    <row r="194" spans="1:31" ht="16.25" customHeight="1" x14ac:dyDescent="0.2">
      <c r="A194" s="10" t="s">
        <v>1446</v>
      </c>
      <c r="B194" s="10" t="s">
        <v>449</v>
      </c>
      <c r="C194" s="29" t="s">
        <v>1447</v>
      </c>
      <c r="D194" s="29" t="s">
        <v>1468</v>
      </c>
      <c r="E194" s="10" t="s">
        <v>0</v>
      </c>
      <c r="F194" s="10"/>
      <c r="G194" s="10" t="s">
        <v>451</v>
      </c>
      <c r="H194" s="10"/>
      <c r="I194" s="30" t="s">
        <v>1283</v>
      </c>
      <c r="J194" s="30" t="s">
        <v>1284</v>
      </c>
      <c r="K194" s="30" t="s">
        <v>1448</v>
      </c>
      <c r="L194" s="30" t="s">
        <v>455</v>
      </c>
      <c r="M194" s="18" t="s">
        <v>0</v>
      </c>
      <c r="N194" s="18">
        <v>0</v>
      </c>
      <c r="O194" s="18">
        <v>0</v>
      </c>
      <c r="P194" s="18">
        <v>0</v>
      </c>
      <c r="Q194" s="18">
        <v>1</v>
      </c>
      <c r="R194" s="61">
        <v>5</v>
      </c>
      <c r="S194" s="61">
        <v>103</v>
      </c>
      <c r="T194" t="e">
        <f>_xlfn.XLOOKUP(A194,Master!#REF!,Master!G:G)</f>
        <v>#REF!</v>
      </c>
      <c r="AA194">
        <v>6</v>
      </c>
      <c r="AB194">
        <v>136</v>
      </c>
      <c r="AC194" t="s">
        <v>1604</v>
      </c>
      <c r="AD194" s="12">
        <v>0</v>
      </c>
      <c r="AE194" s="12">
        <v>1</v>
      </c>
    </row>
    <row r="195" spans="1:31" ht="16.25" customHeight="1" x14ac:dyDescent="0.2">
      <c r="A195" s="10" t="s">
        <v>1365</v>
      </c>
      <c r="B195" s="10" t="s">
        <v>449</v>
      </c>
      <c r="C195" s="29" t="s">
        <v>1366</v>
      </c>
      <c r="D195" s="29" t="s">
        <v>1473</v>
      </c>
      <c r="E195" s="10" t="s">
        <v>0</v>
      </c>
      <c r="F195" s="10"/>
      <c r="G195" s="10" t="s">
        <v>451</v>
      </c>
      <c r="H195" s="10"/>
      <c r="I195" s="30" t="s">
        <v>1283</v>
      </c>
      <c r="J195" s="30" t="s">
        <v>1284</v>
      </c>
      <c r="K195" s="30" t="s">
        <v>1367</v>
      </c>
      <c r="L195" s="30" t="s">
        <v>455</v>
      </c>
      <c r="M195" s="18" t="s">
        <v>0</v>
      </c>
      <c r="N195" s="18">
        <v>0</v>
      </c>
      <c r="O195" s="18">
        <v>0</v>
      </c>
      <c r="P195" s="18">
        <v>0</v>
      </c>
      <c r="Q195" s="18">
        <v>1</v>
      </c>
      <c r="R195" s="61">
        <v>5</v>
      </c>
      <c r="S195" s="61">
        <v>104</v>
      </c>
      <c r="T195" t="e">
        <f>_xlfn.XLOOKUP(A195,Master!#REF!,Master!G:G)</f>
        <v>#REF!</v>
      </c>
      <c r="AA195">
        <v>6</v>
      </c>
      <c r="AB195">
        <v>137</v>
      </c>
      <c r="AC195" t="s">
        <v>1590</v>
      </c>
      <c r="AD195" s="12">
        <v>0</v>
      </c>
      <c r="AE195" s="12">
        <v>1</v>
      </c>
    </row>
    <row r="196" spans="1:31" ht="16.25" customHeight="1" x14ac:dyDescent="0.2">
      <c r="A196" s="10" t="s">
        <v>1421</v>
      </c>
      <c r="B196" s="10" t="s">
        <v>449</v>
      </c>
      <c r="C196" s="29" t="s">
        <v>1422</v>
      </c>
      <c r="D196" s="29" t="s">
        <v>1504</v>
      </c>
      <c r="E196" s="10" t="s">
        <v>0</v>
      </c>
      <c r="F196" s="42"/>
      <c r="G196" s="10" t="s">
        <v>451</v>
      </c>
      <c r="H196" s="10" t="s">
        <v>1423</v>
      </c>
      <c r="I196" s="30" t="s">
        <v>1283</v>
      </c>
      <c r="J196" s="30" t="s">
        <v>1284</v>
      </c>
      <c r="K196" s="30" t="s">
        <v>1424</v>
      </c>
      <c r="L196" s="30" t="s">
        <v>455</v>
      </c>
      <c r="M196" s="18" t="s">
        <v>0</v>
      </c>
      <c r="N196" s="18">
        <v>0</v>
      </c>
      <c r="O196" s="18">
        <v>0</v>
      </c>
      <c r="P196" s="18">
        <v>0</v>
      </c>
      <c r="Q196" s="18">
        <v>1</v>
      </c>
      <c r="R196" s="61">
        <v>5</v>
      </c>
      <c r="S196" s="61">
        <v>104</v>
      </c>
      <c r="T196" t="e">
        <f>_xlfn.XLOOKUP(A196,Master!#REF!,Master!G:G)</f>
        <v>#REF!</v>
      </c>
      <c r="AA196">
        <v>6</v>
      </c>
      <c r="AB196">
        <v>137</v>
      </c>
      <c r="AC196" t="s">
        <v>1596</v>
      </c>
      <c r="AD196" s="12">
        <v>0</v>
      </c>
      <c r="AE196" s="12">
        <v>1</v>
      </c>
    </row>
    <row r="197" spans="1:31" ht="16.25" customHeight="1" x14ac:dyDescent="0.2">
      <c r="A197" s="10" t="s">
        <v>1394</v>
      </c>
      <c r="B197" s="10" t="s">
        <v>449</v>
      </c>
      <c r="C197" s="29" t="s">
        <v>1395</v>
      </c>
      <c r="D197" s="29" t="s">
        <v>1481</v>
      </c>
      <c r="E197" s="10" t="s">
        <v>458</v>
      </c>
      <c r="F197" s="10" t="s">
        <v>248</v>
      </c>
      <c r="G197" s="10" t="s">
        <v>451</v>
      </c>
      <c r="H197" s="10"/>
      <c r="I197" s="30" t="s">
        <v>1283</v>
      </c>
      <c r="J197" s="30" t="s">
        <v>1284</v>
      </c>
      <c r="K197" s="30" t="s">
        <v>1396</v>
      </c>
      <c r="L197" s="30" t="s">
        <v>455</v>
      </c>
      <c r="M197" s="18" t="s">
        <v>458</v>
      </c>
      <c r="N197" s="18">
        <v>0</v>
      </c>
      <c r="O197" s="18">
        <v>1</v>
      </c>
      <c r="P197" s="18">
        <v>1</v>
      </c>
      <c r="Q197" s="18">
        <v>2</v>
      </c>
      <c r="R197" s="61">
        <v>5</v>
      </c>
      <c r="S197" s="61">
        <v>105</v>
      </c>
      <c r="T197" t="e">
        <f>_xlfn.XLOOKUP(A197,Master!#REF!,Master!G:G)</f>
        <v>#REF!</v>
      </c>
      <c r="AA197">
        <v>6</v>
      </c>
      <c r="AB197">
        <v>138</v>
      </c>
      <c r="AC197" t="s">
        <v>1495</v>
      </c>
      <c r="AD197" s="12">
        <v>0</v>
      </c>
      <c r="AE197" s="12">
        <v>1</v>
      </c>
    </row>
    <row r="198" spans="1:31" ht="16.25" customHeight="1" x14ac:dyDescent="0.2">
      <c r="A198" s="15" t="s">
        <v>1329</v>
      </c>
      <c r="B198" s="15" t="s">
        <v>449</v>
      </c>
      <c r="C198" s="44" t="s">
        <v>1330</v>
      </c>
      <c r="D198" s="44" t="s">
        <v>1512</v>
      </c>
      <c r="E198" s="15" t="s">
        <v>0</v>
      </c>
      <c r="F198" s="15"/>
      <c r="G198" s="15" t="s">
        <v>451</v>
      </c>
      <c r="H198" s="15"/>
      <c r="I198" s="30" t="s">
        <v>1283</v>
      </c>
      <c r="J198" s="30" t="s">
        <v>1331</v>
      </c>
      <c r="K198" s="30" t="s">
        <v>1332</v>
      </c>
      <c r="L198" s="30" t="s">
        <v>455</v>
      </c>
      <c r="M198" s="15" t="s">
        <v>0</v>
      </c>
      <c r="N198" s="15">
        <v>0</v>
      </c>
      <c r="O198" s="15">
        <v>0</v>
      </c>
      <c r="P198" s="15">
        <v>0</v>
      </c>
      <c r="Q198" s="15">
        <v>1</v>
      </c>
      <c r="R198" s="61">
        <v>5</v>
      </c>
      <c r="S198" s="61">
        <v>106</v>
      </c>
      <c r="T198" t="e">
        <f>_xlfn.XLOOKUP(A198,Master!#REF!,Master!G:G)</f>
        <v>#REF!</v>
      </c>
      <c r="AA198">
        <v>6</v>
      </c>
      <c r="AB198">
        <v>138</v>
      </c>
      <c r="AC198" t="s">
        <v>1513</v>
      </c>
      <c r="AD198" s="12">
        <v>0</v>
      </c>
      <c r="AE198" s="12">
        <v>1</v>
      </c>
    </row>
    <row r="199" spans="1:31" ht="16.25" customHeight="1" x14ac:dyDescent="0.2">
      <c r="A199" s="15" t="s">
        <v>1475</v>
      </c>
      <c r="B199" s="15" t="s">
        <v>449</v>
      </c>
      <c r="C199" s="44" t="s">
        <v>1476</v>
      </c>
      <c r="D199" s="44" t="s">
        <v>1517</v>
      </c>
      <c r="E199" s="15" t="s">
        <v>0</v>
      </c>
      <c r="F199" s="15"/>
      <c r="G199" s="15" t="s">
        <v>451</v>
      </c>
      <c r="H199" s="15"/>
      <c r="I199" s="30" t="s">
        <v>1283</v>
      </c>
      <c r="J199" s="30" t="s">
        <v>1383</v>
      </c>
      <c r="K199" s="30" t="s">
        <v>1477</v>
      </c>
      <c r="L199" s="30" t="s">
        <v>455</v>
      </c>
      <c r="M199" s="15" t="s">
        <v>0</v>
      </c>
      <c r="N199" s="15">
        <v>0</v>
      </c>
      <c r="O199" s="15">
        <v>0</v>
      </c>
      <c r="P199" s="15">
        <v>0</v>
      </c>
      <c r="Q199" s="15">
        <v>1</v>
      </c>
      <c r="R199" s="61">
        <v>5</v>
      </c>
      <c r="S199" s="61">
        <v>106</v>
      </c>
      <c r="T199" t="e">
        <f>_xlfn.XLOOKUP(A199,Master!#REF!,Master!G:G)</f>
        <v>#REF!</v>
      </c>
      <c r="AA199">
        <v>6</v>
      </c>
      <c r="AB199">
        <v>139</v>
      </c>
      <c r="AC199" t="s">
        <v>1538</v>
      </c>
      <c r="AD199" s="12">
        <v>0</v>
      </c>
      <c r="AE199" s="12">
        <v>1</v>
      </c>
    </row>
    <row r="200" spans="1:31" ht="16.25" customHeight="1" x14ac:dyDescent="0.2">
      <c r="A200" s="32" t="s">
        <v>409</v>
      </c>
      <c r="B200" s="32" t="s">
        <v>449</v>
      </c>
      <c r="C200" s="33" t="s">
        <v>1358</v>
      </c>
      <c r="D200" s="33" t="s">
        <v>410</v>
      </c>
      <c r="E200" s="32" t="s">
        <v>0</v>
      </c>
      <c r="F200" s="32"/>
      <c r="G200" s="32" t="s">
        <v>451</v>
      </c>
      <c r="H200" s="32"/>
      <c r="I200" s="30" t="s">
        <v>1283</v>
      </c>
      <c r="J200" s="30" t="s">
        <v>1331</v>
      </c>
      <c r="K200" s="30" t="s">
        <v>1359</v>
      </c>
      <c r="L200" s="30" t="s">
        <v>455</v>
      </c>
      <c r="M200" s="15" t="s">
        <v>0</v>
      </c>
      <c r="N200" s="15">
        <v>0</v>
      </c>
      <c r="O200" s="15">
        <v>0</v>
      </c>
      <c r="P200" s="15">
        <v>0</v>
      </c>
      <c r="Q200" s="15">
        <v>1</v>
      </c>
      <c r="R200" s="61">
        <v>5</v>
      </c>
      <c r="S200" s="61">
        <v>107</v>
      </c>
      <c r="T200" t="e">
        <f>_xlfn.XLOOKUP(A200,Master!#REF!,Master!G:G)</f>
        <v>#REF!</v>
      </c>
      <c r="AA200">
        <v>6</v>
      </c>
      <c r="AB200">
        <v>139</v>
      </c>
      <c r="AC200" t="s">
        <v>1518</v>
      </c>
      <c r="AD200" s="12">
        <v>0</v>
      </c>
      <c r="AE200" s="12">
        <v>1</v>
      </c>
    </row>
    <row r="201" spans="1:31" ht="16.25" customHeight="1" x14ac:dyDescent="0.2">
      <c r="A201" s="32" t="s">
        <v>1427</v>
      </c>
      <c r="B201" s="32" t="s">
        <v>449</v>
      </c>
      <c r="C201" s="33" t="s">
        <v>1428</v>
      </c>
      <c r="D201" s="33" t="s">
        <v>1531</v>
      </c>
      <c r="E201" s="32" t="s">
        <v>0</v>
      </c>
      <c r="F201" s="32"/>
      <c r="G201" s="32" t="s">
        <v>451</v>
      </c>
      <c r="H201" s="32"/>
      <c r="I201" s="30" t="s">
        <v>1283</v>
      </c>
      <c r="J201" s="30" t="s">
        <v>1429</v>
      </c>
      <c r="K201" s="30" t="s">
        <v>1430</v>
      </c>
      <c r="L201" s="30" t="s">
        <v>455</v>
      </c>
      <c r="M201" s="15" t="s">
        <v>0</v>
      </c>
      <c r="N201" s="15">
        <v>0</v>
      </c>
      <c r="O201" s="15">
        <v>0</v>
      </c>
      <c r="P201" s="15">
        <v>0</v>
      </c>
      <c r="Q201" s="15">
        <v>1</v>
      </c>
      <c r="R201" s="61">
        <v>5</v>
      </c>
      <c r="S201" s="61">
        <v>107</v>
      </c>
      <c r="T201" t="e">
        <f>_xlfn.XLOOKUP(A201,Master!#REF!,Master!G:G)</f>
        <v>#REF!</v>
      </c>
      <c r="AA201">
        <v>6</v>
      </c>
      <c r="AB201">
        <v>140</v>
      </c>
      <c r="AC201" t="s">
        <v>1550</v>
      </c>
      <c r="AD201" s="12">
        <v>0</v>
      </c>
      <c r="AE201" s="12">
        <v>1</v>
      </c>
    </row>
    <row r="202" spans="1:31" ht="16.25" customHeight="1" x14ac:dyDescent="0.2">
      <c r="A202" s="10" t="s">
        <v>1381</v>
      </c>
      <c r="B202" s="10" t="s">
        <v>449</v>
      </c>
      <c r="C202" s="29" t="s">
        <v>1382</v>
      </c>
      <c r="D202" s="29" t="s">
        <v>1542</v>
      </c>
      <c r="E202" s="10" t="s">
        <v>0</v>
      </c>
      <c r="F202" s="10"/>
      <c r="G202" s="10" t="s">
        <v>451</v>
      </c>
      <c r="H202" s="10"/>
      <c r="I202" s="30" t="s">
        <v>1283</v>
      </c>
      <c r="J202" s="30" t="s">
        <v>1383</v>
      </c>
      <c r="K202" s="30" t="s">
        <v>1376</v>
      </c>
      <c r="L202" s="30" t="s">
        <v>455</v>
      </c>
      <c r="M202" s="18" t="s">
        <v>0</v>
      </c>
      <c r="N202" s="18">
        <v>0</v>
      </c>
      <c r="O202" s="18">
        <v>0</v>
      </c>
      <c r="P202" s="18">
        <v>0</v>
      </c>
      <c r="Q202" s="18">
        <v>1</v>
      </c>
      <c r="R202" s="61">
        <v>5</v>
      </c>
      <c r="S202" s="61">
        <v>108</v>
      </c>
      <c r="T202" t="e">
        <f>_xlfn.XLOOKUP(A202,Master!#REF!,Master!G:G)</f>
        <v>#REF!</v>
      </c>
      <c r="AA202">
        <v>6</v>
      </c>
      <c r="AB202">
        <v>140</v>
      </c>
      <c r="AC202" t="s">
        <v>1543</v>
      </c>
      <c r="AD202" s="12">
        <v>0</v>
      </c>
      <c r="AE202" s="12">
        <v>1</v>
      </c>
    </row>
    <row r="203" spans="1:31" ht="16.25" customHeight="1" x14ac:dyDescent="0.2">
      <c r="A203" s="32" t="s">
        <v>1488</v>
      </c>
      <c r="B203" s="32" t="s">
        <v>449</v>
      </c>
      <c r="C203" s="33" t="s">
        <v>1489</v>
      </c>
      <c r="D203" s="33" t="s">
        <v>1537</v>
      </c>
      <c r="E203" s="32" t="s">
        <v>0</v>
      </c>
      <c r="F203" s="39"/>
      <c r="G203" s="32" t="s">
        <v>451</v>
      </c>
      <c r="H203" s="32"/>
      <c r="I203" s="30" t="s">
        <v>1283</v>
      </c>
      <c r="J203" s="30" t="s">
        <v>1383</v>
      </c>
      <c r="K203" s="30" t="s">
        <v>1490</v>
      </c>
      <c r="L203" s="30" t="s">
        <v>455</v>
      </c>
      <c r="M203" s="15" t="s">
        <v>0</v>
      </c>
      <c r="N203" s="15">
        <v>0</v>
      </c>
      <c r="O203" s="15">
        <v>0</v>
      </c>
      <c r="P203" s="15">
        <v>0</v>
      </c>
      <c r="Q203" s="15">
        <v>1</v>
      </c>
      <c r="R203" s="61">
        <v>5</v>
      </c>
      <c r="S203" s="61">
        <v>108</v>
      </c>
      <c r="T203" t="e">
        <f>_xlfn.XLOOKUP(A203,Master!#REF!,Master!G:G)</f>
        <v>#REF!</v>
      </c>
      <c r="AA203">
        <v>6</v>
      </c>
      <c r="AB203">
        <v>141</v>
      </c>
      <c r="AC203" t="s">
        <v>1569</v>
      </c>
      <c r="AD203" s="12">
        <v>0</v>
      </c>
      <c r="AE203" s="12">
        <v>1</v>
      </c>
    </row>
    <row r="204" spans="1:31" ht="16.25" customHeight="1" x14ac:dyDescent="0.2">
      <c r="A204" s="10" t="s">
        <v>1298</v>
      </c>
      <c r="B204" s="10" t="s">
        <v>449</v>
      </c>
      <c r="C204" s="29" t="s">
        <v>1299</v>
      </c>
      <c r="D204" s="29" t="s">
        <v>1554</v>
      </c>
      <c r="E204" s="10" t="s">
        <v>0</v>
      </c>
      <c r="F204" s="10"/>
      <c r="G204" s="10" t="s">
        <v>451</v>
      </c>
      <c r="H204" s="10" t="s">
        <v>1300</v>
      </c>
      <c r="I204" s="30" t="s">
        <v>1283</v>
      </c>
      <c r="J204" s="30" t="s">
        <v>1284</v>
      </c>
      <c r="K204" s="30" t="s">
        <v>1292</v>
      </c>
      <c r="L204" s="30" t="s">
        <v>455</v>
      </c>
      <c r="M204" s="18" t="s">
        <v>0</v>
      </c>
      <c r="N204" s="18">
        <v>0</v>
      </c>
      <c r="O204" s="18">
        <v>0</v>
      </c>
      <c r="P204" s="18">
        <v>0</v>
      </c>
      <c r="Q204" s="18">
        <v>1</v>
      </c>
      <c r="R204" s="61">
        <v>5</v>
      </c>
      <c r="S204" s="61">
        <v>109</v>
      </c>
      <c r="T204" t="e">
        <f>_xlfn.XLOOKUP(A204,Master!#REF!,Master!G:G)</f>
        <v>#REF!</v>
      </c>
      <c r="AA204">
        <v>6</v>
      </c>
      <c r="AB204">
        <v>141</v>
      </c>
      <c r="AC204" t="s">
        <v>1555</v>
      </c>
      <c r="AD204" s="12">
        <v>0</v>
      </c>
      <c r="AE204" s="12">
        <v>1</v>
      </c>
    </row>
    <row r="205" spans="1:31" ht="16.25" customHeight="1" x14ac:dyDescent="0.2">
      <c r="A205" s="10" t="s">
        <v>1351</v>
      </c>
      <c r="B205" s="10" t="s">
        <v>449</v>
      </c>
      <c r="C205" s="29" t="s">
        <v>2374</v>
      </c>
      <c r="D205" s="29" t="s">
        <v>2375</v>
      </c>
      <c r="E205" s="10" t="s">
        <v>0</v>
      </c>
      <c r="F205" s="42"/>
      <c r="G205" s="10" t="s">
        <v>451</v>
      </c>
      <c r="H205" s="10"/>
      <c r="I205" s="30" t="s">
        <v>1283</v>
      </c>
      <c r="J205" s="30" t="s">
        <v>1284</v>
      </c>
      <c r="K205" s="30" t="s">
        <v>1332</v>
      </c>
      <c r="L205" s="30" t="s">
        <v>455</v>
      </c>
      <c r="M205" s="18" t="s">
        <v>0</v>
      </c>
      <c r="N205" s="18">
        <v>0</v>
      </c>
      <c r="O205" s="18">
        <v>0</v>
      </c>
      <c r="P205" s="18">
        <v>0</v>
      </c>
      <c r="Q205" s="18">
        <v>1</v>
      </c>
      <c r="R205" s="61">
        <v>5</v>
      </c>
      <c r="S205" s="61">
        <v>109</v>
      </c>
      <c r="T205" t="e">
        <f>_xlfn.XLOOKUP(A205,Master!#REF!,Master!G:G)</f>
        <v>#REF!</v>
      </c>
      <c r="AA205">
        <v>6</v>
      </c>
      <c r="AB205">
        <v>142</v>
      </c>
      <c r="AC205" t="s">
        <v>1582</v>
      </c>
      <c r="AD205" s="12">
        <v>0</v>
      </c>
      <c r="AE205" s="12">
        <v>1</v>
      </c>
    </row>
    <row r="206" spans="1:31" ht="16.25" customHeight="1" x14ac:dyDescent="0.2">
      <c r="A206" s="32" t="s">
        <v>1373</v>
      </c>
      <c r="B206" s="32" t="s">
        <v>449</v>
      </c>
      <c r="C206" s="33" t="s">
        <v>1374</v>
      </c>
      <c r="D206" s="33" t="s">
        <v>2182</v>
      </c>
      <c r="E206" s="32" t="s">
        <v>0</v>
      </c>
      <c r="F206" s="32"/>
      <c r="G206" s="32" t="s">
        <v>451</v>
      </c>
      <c r="H206" s="32"/>
      <c r="I206" s="30" t="s">
        <v>1283</v>
      </c>
      <c r="J206" s="30" t="s">
        <v>1375</v>
      </c>
      <c r="K206" s="30" t="s">
        <v>1376</v>
      </c>
      <c r="L206" s="30" t="s">
        <v>455</v>
      </c>
      <c r="M206" s="15" t="s">
        <v>0</v>
      </c>
      <c r="N206" s="15">
        <v>0</v>
      </c>
      <c r="O206" s="15">
        <v>0</v>
      </c>
      <c r="P206" s="15">
        <v>0</v>
      </c>
      <c r="Q206" s="15">
        <v>1</v>
      </c>
      <c r="R206" s="61">
        <v>5</v>
      </c>
      <c r="S206" s="61">
        <v>110</v>
      </c>
      <c r="T206" t="e">
        <f>_xlfn.XLOOKUP(A206,Master!#REF!,Master!G:G)</f>
        <v>#REF!</v>
      </c>
      <c r="AA206">
        <v>6</v>
      </c>
      <c r="AB206">
        <v>142</v>
      </c>
      <c r="AC206" t="s">
        <v>1576</v>
      </c>
      <c r="AD206" s="12">
        <v>0</v>
      </c>
      <c r="AE206" s="12">
        <v>1</v>
      </c>
    </row>
    <row r="207" spans="1:31" ht="16.25" customHeight="1" x14ac:dyDescent="0.2">
      <c r="A207" s="38" t="s">
        <v>2040</v>
      </c>
      <c r="B207" s="32" t="s">
        <v>449</v>
      </c>
      <c r="C207" s="32" t="s">
        <v>2041</v>
      </c>
      <c r="D207" s="33" t="s">
        <v>2174</v>
      </c>
      <c r="E207" s="32" t="s">
        <v>0</v>
      </c>
      <c r="F207" s="38"/>
      <c r="G207" s="38" t="s">
        <v>451</v>
      </c>
      <c r="H207" s="38"/>
      <c r="I207" s="35" t="s">
        <v>452</v>
      </c>
      <c r="J207" s="35" t="s">
        <v>1705</v>
      </c>
      <c r="K207" s="35" t="s">
        <v>2042</v>
      </c>
      <c r="L207" s="30" t="s">
        <v>455</v>
      </c>
      <c r="M207" s="15" t="s">
        <v>0</v>
      </c>
      <c r="N207" s="15">
        <v>0</v>
      </c>
      <c r="O207" s="15">
        <v>0</v>
      </c>
      <c r="P207" s="15">
        <v>0</v>
      </c>
      <c r="Q207" s="40">
        <v>1</v>
      </c>
      <c r="R207" s="68">
        <v>8</v>
      </c>
      <c r="S207" s="68">
        <v>110</v>
      </c>
      <c r="T207" t="e">
        <f>_xlfn.XLOOKUP(A207,Master!#REF!,Master!G:G)</f>
        <v>#REF!</v>
      </c>
      <c r="AA207">
        <v>6</v>
      </c>
      <c r="AB207">
        <v>143</v>
      </c>
      <c r="AC207" t="s">
        <v>1625</v>
      </c>
      <c r="AD207" s="12">
        <v>2</v>
      </c>
      <c r="AE207" s="12">
        <v>3</v>
      </c>
    </row>
    <row r="208" spans="1:31" ht="16.25" customHeight="1" x14ac:dyDescent="0.2">
      <c r="A208" s="10" t="s">
        <v>1982</v>
      </c>
      <c r="B208" s="10" t="s">
        <v>449</v>
      </c>
      <c r="C208" s="29" t="s">
        <v>1983</v>
      </c>
      <c r="D208" s="29" t="s">
        <v>2376</v>
      </c>
      <c r="E208" s="10" t="s">
        <v>0</v>
      </c>
      <c r="F208" s="10"/>
      <c r="G208" s="10" t="s">
        <v>451</v>
      </c>
      <c r="H208" s="10"/>
      <c r="I208" s="30" t="s">
        <v>1498</v>
      </c>
      <c r="J208" s="30" t="s">
        <v>1697</v>
      </c>
      <c r="K208" s="30" t="s">
        <v>1620</v>
      </c>
      <c r="L208" s="30" t="s">
        <v>455</v>
      </c>
      <c r="M208" s="18" t="s">
        <v>0</v>
      </c>
      <c r="N208" s="18">
        <v>0</v>
      </c>
      <c r="O208" s="18">
        <v>0</v>
      </c>
      <c r="P208" s="18">
        <v>0</v>
      </c>
      <c r="Q208" s="18">
        <v>1</v>
      </c>
      <c r="R208" s="67">
        <v>8</v>
      </c>
      <c r="S208" s="67">
        <v>111</v>
      </c>
      <c r="T208" t="e">
        <f>_xlfn.XLOOKUP(A208,Master!#REF!,Master!G:G)</f>
        <v>#REF!</v>
      </c>
      <c r="AA208">
        <v>6</v>
      </c>
      <c r="AB208">
        <v>144</v>
      </c>
      <c r="AC208" t="s">
        <v>1640</v>
      </c>
      <c r="AD208" s="12">
        <v>0</v>
      </c>
      <c r="AE208" s="12">
        <v>1</v>
      </c>
    </row>
    <row r="209" spans="1:31" ht="16.25" customHeight="1" x14ac:dyDescent="0.2">
      <c r="A209" s="32" t="s">
        <v>2079</v>
      </c>
      <c r="B209" s="32" t="s">
        <v>449</v>
      </c>
      <c r="C209" s="33" t="s">
        <v>2080</v>
      </c>
      <c r="D209" s="33" t="s">
        <v>2193</v>
      </c>
      <c r="E209" s="32" t="s">
        <v>0</v>
      </c>
      <c r="F209" s="32"/>
      <c r="G209" s="32" t="s">
        <v>451</v>
      </c>
      <c r="H209" s="32" t="s">
        <v>2081</v>
      </c>
      <c r="I209" s="30" t="s">
        <v>452</v>
      </c>
      <c r="J209" s="30" t="s">
        <v>2026</v>
      </c>
      <c r="K209" s="30" t="s">
        <v>2075</v>
      </c>
      <c r="L209" s="30" t="s">
        <v>455</v>
      </c>
      <c r="M209" s="15" t="s">
        <v>0</v>
      </c>
      <c r="N209" s="15">
        <v>0</v>
      </c>
      <c r="O209" s="15">
        <v>0</v>
      </c>
      <c r="P209" s="15">
        <v>0</v>
      </c>
      <c r="Q209" s="15">
        <v>1</v>
      </c>
      <c r="R209" s="67">
        <v>8</v>
      </c>
      <c r="S209" s="67">
        <v>111</v>
      </c>
      <c r="T209" t="e">
        <f>_xlfn.XLOOKUP(A209,Master!#REF!,Master!G:G)</f>
        <v>#REF!</v>
      </c>
      <c r="AA209" t="s">
        <v>2377</v>
      </c>
      <c r="AD209" s="12">
        <v>2</v>
      </c>
      <c r="AE209" s="12">
        <v>34</v>
      </c>
    </row>
    <row r="210" spans="1:31" ht="16.25" customHeight="1" x14ac:dyDescent="0.2">
      <c r="A210" s="15" t="s">
        <v>1958</v>
      </c>
      <c r="B210" s="15" t="s">
        <v>449</v>
      </c>
      <c r="C210" s="44" t="s">
        <v>1567</v>
      </c>
      <c r="D210" s="44" t="s">
        <v>1568</v>
      </c>
      <c r="E210" s="15" t="s">
        <v>0</v>
      </c>
      <c r="F210" s="15"/>
      <c r="G210" s="15" t="s">
        <v>451</v>
      </c>
      <c r="H210" s="15"/>
      <c r="I210" s="30" t="s">
        <v>1498</v>
      </c>
      <c r="J210" s="30" t="s">
        <v>1697</v>
      </c>
      <c r="K210" s="30" t="s">
        <v>1508</v>
      </c>
      <c r="L210" s="30" t="s">
        <v>455</v>
      </c>
      <c r="M210" s="15" t="s">
        <v>0</v>
      </c>
      <c r="N210" s="15">
        <v>0</v>
      </c>
      <c r="O210" s="15">
        <v>0</v>
      </c>
      <c r="P210" s="15">
        <v>0</v>
      </c>
      <c r="Q210" s="15">
        <v>1</v>
      </c>
      <c r="R210" s="67">
        <v>8</v>
      </c>
      <c r="S210" s="67">
        <v>112</v>
      </c>
      <c r="T210" t="e">
        <f>_xlfn.XLOOKUP(A210,Master!#REF!,Master!G:G)</f>
        <v>#REF!</v>
      </c>
      <c r="AA210">
        <v>7</v>
      </c>
      <c r="AB210">
        <v>62</v>
      </c>
      <c r="AC210" t="s">
        <v>1873</v>
      </c>
      <c r="AD210" s="12">
        <v>0</v>
      </c>
      <c r="AE210" s="12">
        <v>1</v>
      </c>
    </row>
    <row r="211" spans="1:31" ht="16.25" customHeight="1" x14ac:dyDescent="0.2">
      <c r="A211" s="32" t="s">
        <v>1976</v>
      </c>
      <c r="B211" s="32" t="s">
        <v>449</v>
      </c>
      <c r="C211" s="33" t="s">
        <v>1560</v>
      </c>
      <c r="D211" s="33" t="s">
        <v>1561</v>
      </c>
      <c r="E211" s="32" t="s">
        <v>0</v>
      </c>
      <c r="F211" s="32"/>
      <c r="G211" s="32" t="s">
        <v>451</v>
      </c>
      <c r="H211" s="32"/>
      <c r="I211" s="30" t="s">
        <v>1498</v>
      </c>
      <c r="J211" s="30" t="s">
        <v>1697</v>
      </c>
      <c r="K211" s="30" t="s">
        <v>1620</v>
      </c>
      <c r="L211" s="30" t="s">
        <v>455</v>
      </c>
      <c r="M211" s="15" t="s">
        <v>0</v>
      </c>
      <c r="N211" s="15">
        <v>0</v>
      </c>
      <c r="O211" s="15">
        <v>0</v>
      </c>
      <c r="P211" s="15">
        <v>0</v>
      </c>
      <c r="Q211" s="15">
        <v>1</v>
      </c>
      <c r="R211" s="67">
        <v>8</v>
      </c>
      <c r="S211" s="67">
        <v>112</v>
      </c>
      <c r="T211" t="e">
        <f>_xlfn.XLOOKUP(A211,Master!#REF!,Master!G:G)</f>
        <v>#REF!</v>
      </c>
      <c r="AA211">
        <v>7</v>
      </c>
      <c r="AB211">
        <v>62</v>
      </c>
      <c r="AC211" t="s">
        <v>1736</v>
      </c>
      <c r="AD211" s="12">
        <v>0</v>
      </c>
      <c r="AE211" s="12">
        <v>1</v>
      </c>
    </row>
    <row r="212" spans="1:31" ht="16.25" customHeight="1" x14ac:dyDescent="0.2">
      <c r="A212" s="32" t="s">
        <v>1915</v>
      </c>
      <c r="B212" s="32" t="s">
        <v>449</v>
      </c>
      <c r="C212" s="33" t="s">
        <v>1916</v>
      </c>
      <c r="D212" s="33" t="s">
        <v>2016</v>
      </c>
      <c r="E212" s="32" t="s">
        <v>0</v>
      </c>
      <c r="F212" s="32"/>
      <c r="G212" s="32" t="s">
        <v>451</v>
      </c>
      <c r="H212" s="32"/>
      <c r="I212" s="30" t="s">
        <v>1498</v>
      </c>
      <c r="J212" s="30" t="s">
        <v>1910</v>
      </c>
      <c r="K212" s="30" t="s">
        <v>1911</v>
      </c>
      <c r="L212" s="30" t="s">
        <v>455</v>
      </c>
      <c r="M212" s="15" t="s">
        <v>0</v>
      </c>
      <c r="N212" s="15">
        <v>0</v>
      </c>
      <c r="O212" s="15">
        <v>0</v>
      </c>
      <c r="P212" s="15">
        <v>0</v>
      </c>
      <c r="Q212" s="15">
        <v>1</v>
      </c>
      <c r="R212" s="67">
        <v>8</v>
      </c>
      <c r="S212" s="67">
        <v>113</v>
      </c>
      <c r="T212" t="e">
        <f>_xlfn.XLOOKUP(A212,Master!#REF!,Master!G:G)</f>
        <v>#REF!</v>
      </c>
      <c r="AA212">
        <v>7</v>
      </c>
      <c r="AB212">
        <v>63</v>
      </c>
      <c r="AC212" t="s">
        <v>1867</v>
      </c>
      <c r="AD212" s="12">
        <v>0</v>
      </c>
      <c r="AE212" s="12">
        <v>1</v>
      </c>
    </row>
    <row r="213" spans="1:31" ht="16.25" customHeight="1" x14ac:dyDescent="0.2">
      <c r="A213" s="10" t="s">
        <v>1949</v>
      </c>
      <c r="B213" s="10" t="s">
        <v>449</v>
      </c>
      <c r="C213" s="29" t="s">
        <v>1950</v>
      </c>
      <c r="D213" s="29" t="s">
        <v>416</v>
      </c>
      <c r="E213" s="10" t="s">
        <v>0</v>
      </c>
      <c r="F213" s="42"/>
      <c r="G213" s="10" t="s">
        <v>451</v>
      </c>
      <c r="H213" s="10"/>
      <c r="I213" s="30" t="s">
        <v>1498</v>
      </c>
      <c r="J213" s="30" t="s">
        <v>1951</v>
      </c>
      <c r="K213" s="30" t="s">
        <v>1952</v>
      </c>
      <c r="L213" s="30" t="s">
        <v>455</v>
      </c>
      <c r="M213" s="18" t="s">
        <v>0</v>
      </c>
      <c r="N213" s="18">
        <v>0</v>
      </c>
      <c r="O213" s="18">
        <v>0</v>
      </c>
      <c r="P213" s="18">
        <v>0</v>
      </c>
      <c r="Q213" s="18">
        <v>1</v>
      </c>
      <c r="R213" s="67">
        <v>8</v>
      </c>
      <c r="S213" s="67">
        <v>113</v>
      </c>
      <c r="T213" t="e">
        <f>_xlfn.XLOOKUP(A213,Master!#REF!,Master!G:G)</f>
        <v>#REF!</v>
      </c>
      <c r="AA213">
        <v>7</v>
      </c>
      <c r="AB213">
        <v>63</v>
      </c>
      <c r="AC213" t="s">
        <v>1877</v>
      </c>
      <c r="AD213" s="12">
        <v>0</v>
      </c>
      <c r="AE213" s="12">
        <v>1</v>
      </c>
    </row>
    <row r="214" spans="1:31" ht="16.25" customHeight="1" x14ac:dyDescent="0.2">
      <c r="A214" s="10" t="s">
        <v>1936</v>
      </c>
      <c r="B214" s="10" t="s">
        <v>449</v>
      </c>
      <c r="C214" s="29" t="s">
        <v>1937</v>
      </c>
      <c r="D214" s="29" t="s">
        <v>2023</v>
      </c>
      <c r="E214" s="10" t="s">
        <v>0</v>
      </c>
      <c r="F214" s="10"/>
      <c r="G214" s="10" t="s">
        <v>451</v>
      </c>
      <c r="H214" s="10"/>
      <c r="I214" s="30" t="s">
        <v>1498</v>
      </c>
      <c r="J214" s="30" t="s">
        <v>1938</v>
      </c>
      <c r="K214" s="30" t="s">
        <v>1939</v>
      </c>
      <c r="L214" s="30" t="s">
        <v>455</v>
      </c>
      <c r="M214" s="18" t="s">
        <v>0</v>
      </c>
      <c r="N214" s="18">
        <v>0</v>
      </c>
      <c r="O214" s="18">
        <v>0</v>
      </c>
      <c r="P214" s="18">
        <v>0</v>
      </c>
      <c r="Q214" s="18">
        <v>1</v>
      </c>
      <c r="R214" s="67">
        <v>8</v>
      </c>
      <c r="S214" s="67">
        <v>114</v>
      </c>
      <c r="T214" t="e">
        <f>_xlfn.XLOOKUP(A214,Master!#REF!,Master!G:G)</f>
        <v>#REF!</v>
      </c>
      <c r="AA214">
        <v>7</v>
      </c>
      <c r="AB214">
        <v>64</v>
      </c>
      <c r="AC214" t="s">
        <v>1855</v>
      </c>
      <c r="AD214" s="12">
        <v>0</v>
      </c>
      <c r="AE214" s="12">
        <v>1</v>
      </c>
    </row>
    <row r="215" spans="1:31" ht="16.25" customHeight="1" x14ac:dyDescent="0.2">
      <c r="A215" s="32" t="s">
        <v>1944</v>
      </c>
      <c r="B215" s="32" t="s">
        <v>449</v>
      </c>
      <c r="C215" s="33" t="s">
        <v>1945</v>
      </c>
      <c r="D215" s="33" t="s">
        <v>2378</v>
      </c>
      <c r="E215" s="32" t="s">
        <v>0</v>
      </c>
      <c r="F215" s="32"/>
      <c r="G215" s="32" t="s">
        <v>451</v>
      </c>
      <c r="H215" s="32"/>
      <c r="I215" s="30" t="s">
        <v>1498</v>
      </c>
      <c r="J215" s="30" t="s">
        <v>1938</v>
      </c>
      <c r="K215" s="30" t="s">
        <v>1939</v>
      </c>
      <c r="L215" s="30" t="s">
        <v>455</v>
      </c>
      <c r="M215" s="15" t="s">
        <v>0</v>
      </c>
      <c r="N215" s="15">
        <v>0</v>
      </c>
      <c r="O215" s="15">
        <v>0</v>
      </c>
      <c r="P215" s="15">
        <v>0</v>
      </c>
      <c r="Q215" s="15">
        <v>1</v>
      </c>
      <c r="R215" s="67">
        <v>8</v>
      </c>
      <c r="S215" s="67">
        <v>114</v>
      </c>
      <c r="T215" t="e">
        <f>_xlfn.XLOOKUP(A215,Master!#REF!,Master!G:G)</f>
        <v>#REF!</v>
      </c>
      <c r="AA215">
        <v>7</v>
      </c>
      <c r="AB215">
        <v>64</v>
      </c>
      <c r="AC215" t="s">
        <v>1862</v>
      </c>
      <c r="AD215" s="12">
        <v>0</v>
      </c>
      <c r="AE215" s="12">
        <v>1</v>
      </c>
    </row>
    <row r="216" spans="1:31" ht="16.25" customHeight="1" x14ac:dyDescent="0.2">
      <c r="A216" s="18" t="s">
        <v>1888</v>
      </c>
      <c r="B216" s="18" t="s">
        <v>449</v>
      </c>
      <c r="C216" s="41" t="s">
        <v>1889</v>
      </c>
      <c r="D216" s="41" t="s">
        <v>2166</v>
      </c>
      <c r="E216" s="18" t="s">
        <v>0</v>
      </c>
      <c r="F216" s="18"/>
      <c r="G216" s="18" t="s">
        <v>451</v>
      </c>
      <c r="H216" s="18"/>
      <c r="I216" s="30" t="s">
        <v>452</v>
      </c>
      <c r="J216" s="30" t="s">
        <v>904</v>
      </c>
      <c r="K216" s="30" t="s">
        <v>1890</v>
      </c>
      <c r="L216" s="30" t="s">
        <v>455</v>
      </c>
      <c r="M216" s="18" t="s">
        <v>0</v>
      </c>
      <c r="N216" s="18">
        <v>0</v>
      </c>
      <c r="O216" s="18">
        <v>0</v>
      </c>
      <c r="P216" s="18">
        <v>0</v>
      </c>
      <c r="Q216" s="18">
        <v>1</v>
      </c>
      <c r="R216" s="67">
        <v>8</v>
      </c>
      <c r="S216" s="67">
        <v>115</v>
      </c>
      <c r="T216" t="e">
        <f>_xlfn.XLOOKUP(A216,Master!#REF!,Master!G:G)</f>
        <v>#REF!</v>
      </c>
      <c r="AA216">
        <v>7</v>
      </c>
      <c r="AB216">
        <v>65</v>
      </c>
      <c r="AC216" t="s">
        <v>1850</v>
      </c>
      <c r="AD216" s="12">
        <v>0</v>
      </c>
      <c r="AE216" s="12">
        <v>1</v>
      </c>
    </row>
    <row r="217" spans="1:31" ht="16.25" customHeight="1" x14ac:dyDescent="0.2">
      <c r="A217" s="32" t="s">
        <v>1931</v>
      </c>
      <c r="B217" s="32" t="s">
        <v>449</v>
      </c>
      <c r="C217" s="33" t="s">
        <v>1932</v>
      </c>
      <c r="D217" s="33" t="s">
        <v>2379</v>
      </c>
      <c r="E217" s="32" t="s">
        <v>0</v>
      </c>
      <c r="F217" s="32"/>
      <c r="G217" s="32" t="s">
        <v>451</v>
      </c>
      <c r="H217" s="32"/>
      <c r="I217" s="30" t="s">
        <v>2380</v>
      </c>
      <c r="J217" s="30" t="s">
        <v>1924</v>
      </c>
      <c r="K217" s="30" t="s">
        <v>1925</v>
      </c>
      <c r="L217" s="30" t="s">
        <v>455</v>
      </c>
      <c r="M217" s="15" t="s">
        <v>0</v>
      </c>
      <c r="N217" s="15">
        <v>0</v>
      </c>
      <c r="O217" s="15">
        <v>0</v>
      </c>
      <c r="P217" s="15">
        <v>0</v>
      </c>
      <c r="Q217" s="15">
        <v>1</v>
      </c>
      <c r="R217" s="67">
        <v>8</v>
      </c>
      <c r="S217" s="67">
        <v>115</v>
      </c>
      <c r="T217" t="e">
        <f>_xlfn.XLOOKUP(A217,Master!#REF!,Master!G:G)</f>
        <v>#REF!</v>
      </c>
      <c r="AA217">
        <v>7</v>
      </c>
      <c r="AB217">
        <v>65</v>
      </c>
      <c r="AC217" t="s">
        <v>1808</v>
      </c>
      <c r="AD217" s="12">
        <v>0</v>
      </c>
      <c r="AE217" s="12">
        <v>1</v>
      </c>
    </row>
    <row r="218" spans="1:31" ht="16.25" customHeight="1" x14ac:dyDescent="0.2">
      <c r="A218" s="15" t="s">
        <v>2106</v>
      </c>
      <c r="B218" s="15" t="s">
        <v>449</v>
      </c>
      <c r="C218" s="44" t="s">
        <v>2031</v>
      </c>
      <c r="D218" s="44" t="s">
        <v>2032</v>
      </c>
      <c r="E218" s="15" t="s">
        <v>0</v>
      </c>
      <c r="F218" s="15"/>
      <c r="G218" s="15" t="s">
        <v>451</v>
      </c>
      <c r="H218" s="15"/>
      <c r="I218" s="30" t="s">
        <v>2107</v>
      </c>
      <c r="J218" s="30" t="s">
        <v>2108</v>
      </c>
      <c r="K218" s="30" t="s">
        <v>2109</v>
      </c>
      <c r="L218" s="30" t="s">
        <v>455</v>
      </c>
      <c r="M218" s="15" t="s">
        <v>0</v>
      </c>
      <c r="N218" s="15">
        <v>0</v>
      </c>
      <c r="O218" s="15">
        <v>0</v>
      </c>
      <c r="P218" s="15">
        <v>0</v>
      </c>
      <c r="Q218" s="15">
        <v>1</v>
      </c>
      <c r="R218" s="67">
        <v>8</v>
      </c>
      <c r="S218" s="67">
        <v>116</v>
      </c>
      <c r="T218" t="e">
        <f>_xlfn.XLOOKUP(A218,Master!#REF!,Master!G:G)</f>
        <v>#REF!</v>
      </c>
      <c r="AA218">
        <v>7</v>
      </c>
      <c r="AB218">
        <v>66</v>
      </c>
      <c r="AC218" t="s">
        <v>1799</v>
      </c>
      <c r="AD218" s="12">
        <v>0</v>
      </c>
      <c r="AE218" s="12">
        <v>1</v>
      </c>
    </row>
    <row r="219" spans="1:31" ht="16.25" customHeight="1" x14ac:dyDescent="0.2">
      <c r="A219" s="10" t="s">
        <v>2114</v>
      </c>
      <c r="B219" s="10" t="s">
        <v>449</v>
      </c>
      <c r="C219" s="29" t="s">
        <v>2038</v>
      </c>
      <c r="D219" s="29" t="s">
        <v>2039</v>
      </c>
      <c r="E219" s="10" t="s">
        <v>0</v>
      </c>
      <c r="F219" s="10"/>
      <c r="G219" s="10" t="s">
        <v>451</v>
      </c>
      <c r="H219" s="10"/>
      <c r="I219" s="30" t="s">
        <v>2107</v>
      </c>
      <c r="J219" s="30" t="s">
        <v>2108</v>
      </c>
      <c r="K219" s="30" t="s">
        <v>2109</v>
      </c>
      <c r="L219" s="30" t="s">
        <v>455</v>
      </c>
      <c r="M219" s="18" t="s">
        <v>0</v>
      </c>
      <c r="N219" s="18">
        <v>0</v>
      </c>
      <c r="O219" s="18">
        <v>0</v>
      </c>
      <c r="P219" s="18">
        <v>0</v>
      </c>
      <c r="Q219" s="18">
        <v>1</v>
      </c>
      <c r="R219" s="67">
        <v>8</v>
      </c>
      <c r="S219" s="67">
        <v>116</v>
      </c>
      <c r="T219" t="e">
        <f>_xlfn.XLOOKUP(A219,Master!#REF!,Master!G:G)</f>
        <v>#REF!</v>
      </c>
      <c r="AA219">
        <v>7</v>
      </c>
      <c r="AB219">
        <v>66</v>
      </c>
      <c r="AC219" t="s">
        <v>1803</v>
      </c>
      <c r="AD219" s="12">
        <v>0</v>
      </c>
      <c r="AE219" s="12">
        <v>1</v>
      </c>
    </row>
    <row r="220" spans="1:31" ht="16.25" customHeight="1" x14ac:dyDescent="0.2">
      <c r="A220" s="18" t="s">
        <v>2074</v>
      </c>
      <c r="B220" s="18" t="s">
        <v>449</v>
      </c>
      <c r="C220" s="18" t="s">
        <v>2381</v>
      </c>
      <c r="D220" s="18" t="s">
        <v>2382</v>
      </c>
      <c r="E220" s="18" t="s">
        <v>0</v>
      </c>
      <c r="F220" s="18"/>
      <c r="G220" s="18" t="s">
        <v>451</v>
      </c>
      <c r="H220" s="18"/>
      <c r="I220" s="30" t="s">
        <v>452</v>
      </c>
      <c r="J220" s="30" t="s">
        <v>2026</v>
      </c>
      <c r="K220" s="30" t="s">
        <v>2075</v>
      </c>
      <c r="L220" s="30" t="s">
        <v>455</v>
      </c>
      <c r="M220" s="18" t="s">
        <v>0</v>
      </c>
      <c r="N220" s="18">
        <v>0</v>
      </c>
      <c r="O220" s="18">
        <v>0</v>
      </c>
      <c r="P220" s="18">
        <v>0</v>
      </c>
      <c r="Q220" s="18">
        <v>1</v>
      </c>
      <c r="R220" s="67">
        <v>8</v>
      </c>
      <c r="S220" s="67">
        <v>117</v>
      </c>
      <c r="T220" t="e">
        <f>_xlfn.XLOOKUP(A220,Master!#REF!,Master!G:G)</f>
        <v>#REF!</v>
      </c>
      <c r="AA220">
        <v>7</v>
      </c>
      <c r="AB220">
        <v>67</v>
      </c>
      <c r="AC220" t="s">
        <v>1786</v>
      </c>
      <c r="AD220" s="12">
        <v>0</v>
      </c>
      <c r="AE220" s="12">
        <v>1</v>
      </c>
    </row>
    <row r="221" spans="1:31" ht="16.25" customHeight="1" x14ac:dyDescent="0.2">
      <c r="A221" s="10" t="s">
        <v>2087</v>
      </c>
      <c r="B221" s="10" t="s">
        <v>449</v>
      </c>
      <c r="C221" s="29" t="s">
        <v>2053</v>
      </c>
      <c r="D221" s="29" t="s">
        <v>2054</v>
      </c>
      <c r="E221" s="10" t="s">
        <v>0</v>
      </c>
      <c r="F221" s="42"/>
      <c r="G221" s="10" t="s">
        <v>451</v>
      </c>
      <c r="H221" s="10"/>
      <c r="I221" s="30" t="s">
        <v>452</v>
      </c>
      <c r="J221" s="30" t="s">
        <v>2026</v>
      </c>
      <c r="K221" s="30" t="s">
        <v>2075</v>
      </c>
      <c r="L221" s="30" t="s">
        <v>455</v>
      </c>
      <c r="M221" s="18" t="s">
        <v>0</v>
      </c>
      <c r="N221" s="18">
        <v>0</v>
      </c>
      <c r="O221" s="18">
        <v>0</v>
      </c>
      <c r="P221" s="18">
        <v>0</v>
      </c>
      <c r="Q221" s="18">
        <v>1</v>
      </c>
      <c r="R221" s="67">
        <v>8</v>
      </c>
      <c r="S221" s="67">
        <v>117</v>
      </c>
      <c r="T221" t="e">
        <f>_xlfn.XLOOKUP(A221,Master!#REF!,Master!G:G)</f>
        <v>#REF!</v>
      </c>
      <c r="AA221">
        <v>7</v>
      </c>
      <c r="AB221">
        <v>67</v>
      </c>
      <c r="AC221" t="s">
        <v>1791</v>
      </c>
      <c r="AD221" s="12">
        <v>0</v>
      </c>
      <c r="AE221" s="12">
        <v>1</v>
      </c>
    </row>
    <row r="222" spans="1:31" ht="16.25" customHeight="1" x14ac:dyDescent="0.2">
      <c r="A222" s="32" t="s">
        <v>2025</v>
      </c>
      <c r="B222" s="32" t="s">
        <v>449</v>
      </c>
      <c r="C222" s="33" t="s">
        <v>1994</v>
      </c>
      <c r="D222" s="33" t="s">
        <v>1995</v>
      </c>
      <c r="E222" s="32" t="s">
        <v>0</v>
      </c>
      <c r="F222" s="32"/>
      <c r="G222" s="32" t="s">
        <v>451</v>
      </c>
      <c r="H222" s="32"/>
      <c r="I222" s="30" t="s">
        <v>452</v>
      </c>
      <c r="J222" s="30" t="s">
        <v>2026</v>
      </c>
      <c r="K222" s="30" t="s">
        <v>2027</v>
      </c>
      <c r="L222" s="30" t="s">
        <v>455</v>
      </c>
      <c r="M222" s="15" t="s">
        <v>0</v>
      </c>
      <c r="N222" s="15">
        <v>0</v>
      </c>
      <c r="O222" s="15">
        <v>0</v>
      </c>
      <c r="P222" s="15">
        <v>0</v>
      </c>
      <c r="Q222" s="15">
        <v>1</v>
      </c>
      <c r="R222" s="67">
        <v>8</v>
      </c>
      <c r="S222" s="67">
        <v>118</v>
      </c>
      <c r="T222" t="e">
        <f>_xlfn.XLOOKUP(A222,Master!#REF!,Master!G:G)</f>
        <v>#REF!</v>
      </c>
      <c r="AA222">
        <v>7</v>
      </c>
      <c r="AB222">
        <v>68</v>
      </c>
      <c r="AC222" t="s">
        <v>1882</v>
      </c>
      <c r="AD222" s="12">
        <v>0</v>
      </c>
      <c r="AE222" s="12">
        <v>1</v>
      </c>
    </row>
    <row r="223" spans="1:31" ht="16.25" customHeight="1" x14ac:dyDescent="0.2">
      <c r="A223" s="15" t="s">
        <v>2055</v>
      </c>
      <c r="B223" s="15" t="s">
        <v>449</v>
      </c>
      <c r="C223" s="44" t="s">
        <v>2056</v>
      </c>
      <c r="D223" s="44" t="s">
        <v>2060</v>
      </c>
      <c r="E223" s="15" t="s">
        <v>0</v>
      </c>
      <c r="F223" s="15"/>
      <c r="G223" s="15" t="s">
        <v>451</v>
      </c>
      <c r="H223" s="15"/>
      <c r="I223" s="30" t="s">
        <v>452</v>
      </c>
      <c r="J223" s="30" t="s">
        <v>2026</v>
      </c>
      <c r="K223" s="30" t="s">
        <v>2050</v>
      </c>
      <c r="L223" s="30" t="s">
        <v>455</v>
      </c>
      <c r="M223" s="15" t="s">
        <v>0</v>
      </c>
      <c r="N223" s="15">
        <v>0</v>
      </c>
      <c r="O223" s="15">
        <v>0</v>
      </c>
      <c r="P223" s="15">
        <v>0</v>
      </c>
      <c r="Q223" s="15">
        <v>1</v>
      </c>
      <c r="R223" s="67">
        <v>8</v>
      </c>
      <c r="S223" s="67">
        <v>118</v>
      </c>
      <c r="T223" t="e">
        <f>_xlfn.XLOOKUP(A223,Master!#REF!,Master!G:G)</f>
        <v>#REF!</v>
      </c>
      <c r="AA223">
        <v>7</v>
      </c>
      <c r="AB223">
        <v>69</v>
      </c>
      <c r="AC223" t="s">
        <v>1726</v>
      </c>
      <c r="AD223" s="12">
        <v>0</v>
      </c>
      <c r="AE223" s="12">
        <v>1</v>
      </c>
    </row>
    <row r="224" spans="1:31" ht="16.25" customHeight="1" x14ac:dyDescent="0.2">
      <c r="A224" s="10" t="s">
        <v>2033</v>
      </c>
      <c r="B224" s="10" t="s">
        <v>449</v>
      </c>
      <c r="C224" s="29" t="s">
        <v>2034</v>
      </c>
      <c r="D224" s="29" t="s">
        <v>2078</v>
      </c>
      <c r="E224" s="10" t="s">
        <v>0</v>
      </c>
      <c r="F224" s="42"/>
      <c r="G224" s="10" t="s">
        <v>451</v>
      </c>
      <c r="H224" s="10"/>
      <c r="I224" s="30" t="s">
        <v>452</v>
      </c>
      <c r="J224" s="30" t="s">
        <v>2026</v>
      </c>
      <c r="K224" s="30" t="s">
        <v>2035</v>
      </c>
      <c r="L224" s="30" t="s">
        <v>455</v>
      </c>
      <c r="M224" s="18" t="s">
        <v>0</v>
      </c>
      <c r="N224" s="18">
        <v>0</v>
      </c>
      <c r="O224" s="18">
        <v>0</v>
      </c>
      <c r="P224" s="18">
        <v>0</v>
      </c>
      <c r="Q224" s="18">
        <v>1</v>
      </c>
      <c r="R224" s="67">
        <v>8</v>
      </c>
      <c r="S224" s="67">
        <v>119</v>
      </c>
      <c r="T224" t="e">
        <f>_xlfn.XLOOKUP(A224,Master!#REF!,Master!G:G)</f>
        <v>#REF!</v>
      </c>
      <c r="AA224">
        <v>7</v>
      </c>
      <c r="AB224">
        <v>69</v>
      </c>
      <c r="AC224" t="s">
        <v>1717</v>
      </c>
      <c r="AD224" s="12">
        <v>0</v>
      </c>
      <c r="AE224" s="12">
        <v>1</v>
      </c>
    </row>
    <row r="225" spans="1:31" ht="16.25" customHeight="1" x14ac:dyDescent="0.2">
      <c r="A225" s="18" t="s">
        <v>2061</v>
      </c>
      <c r="B225" s="18" t="s">
        <v>449</v>
      </c>
      <c r="C225" s="41" t="s">
        <v>2062</v>
      </c>
      <c r="D225" s="41" t="s">
        <v>2073</v>
      </c>
      <c r="E225" s="18" t="s">
        <v>0</v>
      </c>
      <c r="F225" s="18"/>
      <c r="G225" s="18" t="s">
        <v>451</v>
      </c>
      <c r="H225" s="18"/>
      <c r="I225" s="30" t="s">
        <v>452</v>
      </c>
      <c r="J225" s="30" t="s">
        <v>2026</v>
      </c>
      <c r="K225" s="30" t="s">
        <v>2050</v>
      </c>
      <c r="L225" s="30" t="s">
        <v>455</v>
      </c>
      <c r="M225" s="18" t="s">
        <v>0</v>
      </c>
      <c r="N225" s="18">
        <v>0</v>
      </c>
      <c r="O225" s="18">
        <v>0</v>
      </c>
      <c r="P225" s="18">
        <v>0</v>
      </c>
      <c r="Q225" s="18">
        <v>1</v>
      </c>
      <c r="R225" s="67">
        <v>8</v>
      </c>
      <c r="S225" s="67">
        <v>119</v>
      </c>
      <c r="T225" t="e">
        <f>_xlfn.XLOOKUP(A225,Master!#REF!,Master!G:G)</f>
        <v>#REF!</v>
      </c>
      <c r="AA225">
        <v>7</v>
      </c>
      <c r="AB225">
        <v>79</v>
      </c>
      <c r="AC225" t="s">
        <v>413</v>
      </c>
      <c r="AD225" s="12">
        <v>0</v>
      </c>
      <c r="AE225" s="12">
        <v>1</v>
      </c>
    </row>
    <row r="226" spans="1:31" ht="16.25" customHeight="1" x14ac:dyDescent="0.2">
      <c r="A226" s="32" t="s">
        <v>2068</v>
      </c>
      <c r="B226" s="32" t="s">
        <v>449</v>
      </c>
      <c r="C226" s="33" t="s">
        <v>2069</v>
      </c>
      <c r="D226" s="33" t="s">
        <v>2090</v>
      </c>
      <c r="E226" s="32" t="s">
        <v>458</v>
      </c>
      <c r="F226" s="32" t="s">
        <v>365</v>
      </c>
      <c r="G226" s="32" t="s">
        <v>451</v>
      </c>
      <c r="H226" s="32"/>
      <c r="I226" s="30" t="s">
        <v>452</v>
      </c>
      <c r="J226" s="30" t="s">
        <v>2026</v>
      </c>
      <c r="K226" s="30" t="s">
        <v>2050</v>
      </c>
      <c r="L226" s="30" t="s">
        <v>455</v>
      </c>
      <c r="M226" s="15" t="s">
        <v>458</v>
      </c>
      <c r="N226" s="15">
        <v>0</v>
      </c>
      <c r="O226" s="15">
        <v>1</v>
      </c>
      <c r="P226" s="15">
        <v>1</v>
      </c>
      <c r="Q226" s="15">
        <v>2</v>
      </c>
      <c r="R226" s="67">
        <v>8</v>
      </c>
      <c r="S226" s="67">
        <v>120</v>
      </c>
      <c r="T226" t="e">
        <f>_xlfn.XLOOKUP(A226,Master!#REF!,Master!G:G)</f>
        <v>#REF!</v>
      </c>
      <c r="AA226">
        <v>7</v>
      </c>
      <c r="AB226">
        <v>79</v>
      </c>
      <c r="AC226" t="s">
        <v>1731</v>
      </c>
      <c r="AD226" s="12">
        <v>0</v>
      </c>
      <c r="AE226" s="12">
        <v>1</v>
      </c>
    </row>
    <row r="227" spans="1:31" ht="16.25" customHeight="1" x14ac:dyDescent="0.2">
      <c r="A227" s="18" t="s">
        <v>2048</v>
      </c>
      <c r="B227" s="18" t="s">
        <v>449</v>
      </c>
      <c r="C227" s="41" t="s">
        <v>2049</v>
      </c>
      <c r="D227" s="41" t="s">
        <v>2098</v>
      </c>
      <c r="E227" s="18" t="s">
        <v>458</v>
      </c>
      <c r="F227" s="18" t="s">
        <v>361</v>
      </c>
      <c r="G227" s="18" t="s">
        <v>451</v>
      </c>
      <c r="H227" s="18"/>
      <c r="I227" s="30" t="s">
        <v>452</v>
      </c>
      <c r="J227" s="30" t="s">
        <v>2026</v>
      </c>
      <c r="K227" s="30" t="s">
        <v>2050</v>
      </c>
      <c r="L227" s="30" t="s">
        <v>455</v>
      </c>
      <c r="M227" s="18" t="s">
        <v>458</v>
      </c>
      <c r="N227" s="18">
        <v>0</v>
      </c>
      <c r="O227" s="18">
        <v>1</v>
      </c>
      <c r="P227" s="18">
        <v>1</v>
      </c>
      <c r="Q227" s="18">
        <v>2</v>
      </c>
      <c r="R227" s="67">
        <v>8</v>
      </c>
      <c r="S227" s="67">
        <v>121</v>
      </c>
      <c r="T227" t="e">
        <f>_xlfn.XLOOKUP(A227,Master!#REF!,Master!G:G)</f>
        <v>#REF!</v>
      </c>
      <c r="AA227">
        <v>7</v>
      </c>
      <c r="AB227">
        <v>80</v>
      </c>
      <c r="AC227" t="s">
        <v>1752</v>
      </c>
      <c r="AD227" s="12">
        <v>0</v>
      </c>
      <c r="AE227" s="12">
        <v>1</v>
      </c>
    </row>
    <row r="228" spans="1:31" ht="16.25" customHeight="1" x14ac:dyDescent="0.2">
      <c r="A228" s="32" t="s">
        <v>2009</v>
      </c>
      <c r="B228" s="32" t="s">
        <v>449</v>
      </c>
      <c r="C228" s="33" t="s">
        <v>2010</v>
      </c>
      <c r="D228" s="33" t="s">
        <v>2383</v>
      </c>
      <c r="E228" s="32" t="s">
        <v>0</v>
      </c>
      <c r="F228" s="32"/>
      <c r="G228" s="32" t="s">
        <v>451</v>
      </c>
      <c r="H228" s="32"/>
      <c r="I228" s="30" t="s">
        <v>2011</v>
      </c>
      <c r="J228" s="30" t="s">
        <v>2012</v>
      </c>
      <c r="K228" s="30" t="s">
        <v>2013</v>
      </c>
      <c r="L228" s="30" t="s">
        <v>455</v>
      </c>
      <c r="M228" s="15" t="s">
        <v>0</v>
      </c>
      <c r="N228" s="15">
        <v>0</v>
      </c>
      <c r="O228" s="15">
        <v>0</v>
      </c>
      <c r="P228" s="15">
        <v>0</v>
      </c>
      <c r="Q228" s="15">
        <v>1</v>
      </c>
      <c r="R228" s="67">
        <v>8</v>
      </c>
      <c r="S228" s="67">
        <v>122</v>
      </c>
      <c r="T228" t="e">
        <f>_xlfn.XLOOKUP(A228,Master!#REF!,Master!G:G)</f>
        <v>#REF!</v>
      </c>
      <c r="AA228">
        <v>7</v>
      </c>
      <c r="AB228">
        <v>80</v>
      </c>
      <c r="AC228" t="s">
        <v>1758</v>
      </c>
      <c r="AD228" s="12">
        <v>0</v>
      </c>
      <c r="AE228" s="12">
        <v>1</v>
      </c>
    </row>
    <row r="229" spans="1:31" ht="16.25" customHeight="1" x14ac:dyDescent="0.2">
      <c r="A229" s="18" t="s">
        <v>2100</v>
      </c>
      <c r="B229" s="18" t="s">
        <v>449</v>
      </c>
      <c r="C229" s="41" t="s">
        <v>2101</v>
      </c>
      <c r="D229" s="41" t="s">
        <v>2113</v>
      </c>
      <c r="E229" s="18" t="s">
        <v>0</v>
      </c>
      <c r="F229" s="18"/>
      <c r="G229" s="18" t="s">
        <v>451</v>
      </c>
      <c r="H229" s="18"/>
      <c r="I229" s="30" t="s">
        <v>2011</v>
      </c>
      <c r="J229" s="30" t="s">
        <v>2012</v>
      </c>
      <c r="K229" s="30" t="s">
        <v>2102</v>
      </c>
      <c r="L229" s="30" t="s">
        <v>455</v>
      </c>
      <c r="M229" s="18" t="s">
        <v>0</v>
      </c>
      <c r="N229" s="18">
        <v>0</v>
      </c>
      <c r="O229" s="18">
        <v>0</v>
      </c>
      <c r="P229" s="18">
        <v>0</v>
      </c>
      <c r="Q229" s="18">
        <v>1</v>
      </c>
      <c r="R229" s="67">
        <v>8</v>
      </c>
      <c r="S229" s="67">
        <v>122</v>
      </c>
      <c r="T229" t="e">
        <f>_xlfn.XLOOKUP(A229,Master!#REF!,Master!G:G)</f>
        <v>#REF!</v>
      </c>
      <c r="AA229">
        <v>7</v>
      </c>
      <c r="AB229">
        <v>81</v>
      </c>
      <c r="AC229" t="s">
        <v>1770</v>
      </c>
      <c r="AD229" s="12">
        <v>0</v>
      </c>
      <c r="AE229" s="12">
        <v>1</v>
      </c>
    </row>
    <row r="230" spans="1:31" ht="16.25" customHeight="1" x14ac:dyDescent="0.2">
      <c r="A230" s="15" t="s">
        <v>1987</v>
      </c>
      <c r="B230" s="15" t="s">
        <v>449</v>
      </c>
      <c r="C230" s="44" t="s">
        <v>1988</v>
      </c>
      <c r="D230" s="44" t="s">
        <v>2001</v>
      </c>
      <c r="E230" s="15" t="s">
        <v>0</v>
      </c>
      <c r="F230" s="15"/>
      <c r="G230" s="15" t="s">
        <v>451</v>
      </c>
      <c r="H230" s="15"/>
      <c r="I230" s="30" t="s">
        <v>1989</v>
      </c>
      <c r="J230" s="30" t="s">
        <v>1990</v>
      </c>
      <c r="K230" s="30" t="s">
        <v>1991</v>
      </c>
      <c r="L230" s="30" t="s">
        <v>455</v>
      </c>
      <c r="M230" s="15" t="s">
        <v>0</v>
      </c>
      <c r="N230" s="15">
        <v>0</v>
      </c>
      <c r="O230" s="15">
        <v>0</v>
      </c>
      <c r="P230" s="15">
        <v>0</v>
      </c>
      <c r="Q230" s="15">
        <v>1</v>
      </c>
      <c r="R230" s="67">
        <v>8</v>
      </c>
      <c r="S230" s="67">
        <v>123</v>
      </c>
      <c r="T230" t="e">
        <f>_xlfn.XLOOKUP(A230,Master!#REF!,Master!G:G)</f>
        <v>#REF!</v>
      </c>
      <c r="AA230">
        <v>7</v>
      </c>
      <c r="AB230">
        <v>81</v>
      </c>
      <c r="AC230" t="s">
        <v>1763</v>
      </c>
      <c r="AD230" s="12">
        <v>0</v>
      </c>
      <c r="AE230" s="12">
        <v>1</v>
      </c>
    </row>
    <row r="231" spans="1:31" ht="16.25" customHeight="1" x14ac:dyDescent="0.2">
      <c r="A231" s="10" t="s">
        <v>1997</v>
      </c>
      <c r="B231" s="10" t="s">
        <v>449</v>
      </c>
      <c r="C231" s="29" t="s">
        <v>1998</v>
      </c>
      <c r="D231" s="29" t="s">
        <v>2128</v>
      </c>
      <c r="E231" s="10" t="s">
        <v>0</v>
      </c>
      <c r="F231" s="10"/>
      <c r="G231" s="10" t="s">
        <v>451</v>
      </c>
      <c r="H231" s="10"/>
      <c r="I231" s="30" t="s">
        <v>1989</v>
      </c>
      <c r="J231" s="30" t="s">
        <v>1990</v>
      </c>
      <c r="K231" s="30" t="s">
        <v>1991</v>
      </c>
      <c r="L231" s="30" t="s">
        <v>455</v>
      </c>
      <c r="M231" s="18" t="s">
        <v>0</v>
      </c>
      <c r="N231" s="18">
        <v>0</v>
      </c>
      <c r="O231" s="18">
        <v>0</v>
      </c>
      <c r="P231" s="18">
        <v>0</v>
      </c>
      <c r="Q231" s="18">
        <v>1</v>
      </c>
      <c r="R231" s="67">
        <v>8</v>
      </c>
      <c r="S231" s="67">
        <v>123</v>
      </c>
      <c r="T231" t="e">
        <f>_xlfn.XLOOKUP(A231,Master!#REF!,Master!G:G)</f>
        <v>#REF!</v>
      </c>
      <c r="AA231">
        <v>7</v>
      </c>
      <c r="AB231">
        <v>82</v>
      </c>
      <c r="AC231" t="s">
        <v>1829</v>
      </c>
      <c r="AD231" s="12">
        <v>0</v>
      </c>
      <c r="AE231" s="12">
        <v>1</v>
      </c>
    </row>
    <row r="232" spans="1:31" ht="16.25" customHeight="1" x14ac:dyDescent="0.2">
      <c r="A232" s="32" t="s">
        <v>2003</v>
      </c>
      <c r="B232" s="32" t="s">
        <v>449</v>
      </c>
      <c r="C232" s="33" t="s">
        <v>2004</v>
      </c>
      <c r="D232" s="33" t="s">
        <v>2123</v>
      </c>
      <c r="E232" s="32" t="s">
        <v>0</v>
      </c>
      <c r="F232" s="32"/>
      <c r="G232" s="32" t="s">
        <v>451</v>
      </c>
      <c r="H232" s="32" t="s">
        <v>2005</v>
      </c>
      <c r="I232" s="30" t="s">
        <v>1989</v>
      </c>
      <c r="J232" s="30" t="s">
        <v>1990</v>
      </c>
      <c r="K232" s="30" t="s">
        <v>1991</v>
      </c>
      <c r="L232" s="30" t="s">
        <v>455</v>
      </c>
      <c r="M232" s="15" t="s">
        <v>0</v>
      </c>
      <c r="N232" s="15">
        <v>0</v>
      </c>
      <c r="O232" s="15">
        <v>0</v>
      </c>
      <c r="P232" s="15">
        <v>0</v>
      </c>
      <c r="Q232" s="15">
        <v>1</v>
      </c>
      <c r="R232" s="67">
        <v>8</v>
      </c>
      <c r="S232" s="67">
        <v>123</v>
      </c>
      <c r="T232" t="e">
        <f>_xlfn.XLOOKUP(A232,Master!#REF!,Master!G:G)</f>
        <v>#REF!</v>
      </c>
      <c r="AA232">
        <v>7</v>
      </c>
      <c r="AB232">
        <v>82</v>
      </c>
      <c r="AC232" t="s">
        <v>1778</v>
      </c>
      <c r="AD232" s="12">
        <v>0</v>
      </c>
      <c r="AE232" s="12">
        <v>1</v>
      </c>
    </row>
    <row r="233" spans="1:31" ht="16.25" customHeight="1" x14ac:dyDescent="0.2">
      <c r="A233" s="18" t="s">
        <v>1908</v>
      </c>
      <c r="B233" s="18" t="s">
        <v>449</v>
      </c>
      <c r="C233" s="41" t="s">
        <v>1909</v>
      </c>
      <c r="D233" s="41" t="s">
        <v>406</v>
      </c>
      <c r="E233" s="18" t="s">
        <v>0</v>
      </c>
      <c r="F233" s="18"/>
      <c r="G233" s="18" t="s">
        <v>451</v>
      </c>
      <c r="H233" s="18"/>
      <c r="I233" s="30" t="s">
        <v>1498</v>
      </c>
      <c r="J233" s="30" t="s">
        <v>1910</v>
      </c>
      <c r="K233" s="30" t="s">
        <v>1911</v>
      </c>
      <c r="L233" s="30" t="s">
        <v>455</v>
      </c>
      <c r="M233" s="18" t="s">
        <v>0</v>
      </c>
      <c r="N233" s="18">
        <v>0</v>
      </c>
      <c r="O233" s="18">
        <v>0</v>
      </c>
      <c r="P233" s="18">
        <v>0</v>
      </c>
      <c r="Q233" s="18">
        <v>1</v>
      </c>
      <c r="R233" s="67">
        <v>8</v>
      </c>
      <c r="S233" s="67">
        <v>124</v>
      </c>
      <c r="T233" t="e">
        <f>_xlfn.XLOOKUP(A233,Master!#REF!,Master!G:G)</f>
        <v>#REF!</v>
      </c>
      <c r="AA233">
        <v>7</v>
      </c>
      <c r="AB233">
        <v>83</v>
      </c>
      <c r="AC233" t="s">
        <v>1835</v>
      </c>
      <c r="AD233" s="12">
        <v>0</v>
      </c>
      <c r="AE233" s="12">
        <v>1</v>
      </c>
    </row>
    <row r="234" spans="1:31" ht="16.25" customHeight="1" x14ac:dyDescent="0.2">
      <c r="A234" s="10" t="s">
        <v>1922</v>
      </c>
      <c r="B234" s="10" t="s">
        <v>449</v>
      </c>
      <c r="C234" s="29" t="s">
        <v>1923</v>
      </c>
      <c r="D234" s="29" t="s">
        <v>2384</v>
      </c>
      <c r="E234" s="10" t="s">
        <v>0</v>
      </c>
      <c r="F234" s="10"/>
      <c r="G234" s="10" t="s">
        <v>451</v>
      </c>
      <c r="H234" s="10"/>
      <c r="I234" s="30" t="s">
        <v>2380</v>
      </c>
      <c r="J234" s="30" t="s">
        <v>1924</v>
      </c>
      <c r="K234" s="30" t="s">
        <v>1925</v>
      </c>
      <c r="L234" s="30" t="s">
        <v>455</v>
      </c>
      <c r="M234" s="18" t="s">
        <v>0</v>
      </c>
      <c r="N234" s="18">
        <v>0</v>
      </c>
      <c r="O234" s="18">
        <v>0</v>
      </c>
      <c r="P234" s="18">
        <v>0</v>
      </c>
      <c r="Q234" s="18">
        <v>1</v>
      </c>
      <c r="R234" s="67">
        <v>8</v>
      </c>
      <c r="S234" s="67">
        <v>124</v>
      </c>
      <c r="T234" t="e">
        <f>_xlfn.XLOOKUP(A234,Master!#REF!,Master!G:G)</f>
        <v>#REF!</v>
      </c>
      <c r="AA234">
        <v>7</v>
      </c>
      <c r="AB234">
        <v>83</v>
      </c>
      <c r="AC234" t="s">
        <v>1743</v>
      </c>
      <c r="AD234" s="12">
        <v>0</v>
      </c>
      <c r="AE234" s="12">
        <v>1</v>
      </c>
    </row>
    <row r="235" spans="1:31" ht="16.25" customHeight="1" x14ac:dyDescent="0.2">
      <c r="A235" s="10" t="s">
        <v>1895</v>
      </c>
      <c r="B235" s="10" t="s">
        <v>449</v>
      </c>
      <c r="C235" s="29" t="s">
        <v>1896</v>
      </c>
      <c r="D235" s="29" t="s">
        <v>2139</v>
      </c>
      <c r="E235" s="10" t="s">
        <v>0</v>
      </c>
      <c r="F235" s="10"/>
      <c r="G235" s="10" t="s">
        <v>451</v>
      </c>
      <c r="H235" s="10"/>
      <c r="I235" s="30" t="s">
        <v>452</v>
      </c>
      <c r="J235" s="30" t="s">
        <v>453</v>
      </c>
      <c r="K235" s="30" t="s">
        <v>1897</v>
      </c>
      <c r="L235" s="30" t="s">
        <v>455</v>
      </c>
      <c r="M235" s="18" t="s">
        <v>0</v>
      </c>
      <c r="N235" s="18">
        <v>0</v>
      </c>
      <c r="O235" s="18">
        <v>0</v>
      </c>
      <c r="P235" s="18">
        <v>0</v>
      </c>
      <c r="Q235" s="18">
        <v>1</v>
      </c>
      <c r="R235" s="67">
        <v>8</v>
      </c>
      <c r="S235" s="67">
        <v>125</v>
      </c>
      <c r="T235" t="e">
        <f>_xlfn.XLOOKUP(A235,Master!#REF!,Master!G:G)</f>
        <v>#REF!</v>
      </c>
      <c r="AA235">
        <v>7</v>
      </c>
      <c r="AB235">
        <v>84</v>
      </c>
      <c r="AC235" t="s">
        <v>1842</v>
      </c>
      <c r="AD235" s="12">
        <v>0</v>
      </c>
      <c r="AE235" s="12">
        <v>1</v>
      </c>
    </row>
    <row r="236" spans="1:31" ht="16.25" customHeight="1" x14ac:dyDescent="0.2">
      <c r="A236" s="32" t="s">
        <v>1901</v>
      </c>
      <c r="B236" s="32" t="s">
        <v>449</v>
      </c>
      <c r="C236" s="33" t="s">
        <v>1902</v>
      </c>
      <c r="D236" s="33" t="s">
        <v>2151</v>
      </c>
      <c r="E236" s="32" t="s">
        <v>0</v>
      </c>
      <c r="F236" s="32"/>
      <c r="G236" s="32" t="s">
        <v>451</v>
      </c>
      <c r="H236" s="32"/>
      <c r="I236" s="30" t="s">
        <v>1498</v>
      </c>
      <c r="J236" s="30" t="s">
        <v>1903</v>
      </c>
      <c r="K236" s="30" t="s">
        <v>1620</v>
      </c>
      <c r="L236" s="30" t="s">
        <v>455</v>
      </c>
      <c r="M236" s="15" t="s">
        <v>0</v>
      </c>
      <c r="N236" s="15">
        <v>0</v>
      </c>
      <c r="O236" s="15">
        <v>0</v>
      </c>
      <c r="P236" s="15">
        <v>0</v>
      </c>
      <c r="Q236" s="15">
        <v>1</v>
      </c>
      <c r="R236" s="67">
        <v>8</v>
      </c>
      <c r="S236" s="67">
        <v>125</v>
      </c>
      <c r="T236" t="e">
        <f>_xlfn.XLOOKUP(A236,Master!#REF!,Master!G:G)</f>
        <v>#REF!</v>
      </c>
      <c r="AA236">
        <v>7</v>
      </c>
      <c r="AB236">
        <v>84</v>
      </c>
      <c r="AC236" t="s">
        <v>1819</v>
      </c>
      <c r="AD236" s="12">
        <v>0</v>
      </c>
      <c r="AE236" s="12">
        <v>1</v>
      </c>
    </row>
    <row r="237" spans="1:31" ht="16.25" customHeight="1" x14ac:dyDescent="0.2">
      <c r="A237" s="10" t="s">
        <v>1963</v>
      </c>
      <c r="B237" s="10" t="s">
        <v>449</v>
      </c>
      <c r="C237" s="29" t="s">
        <v>1580</v>
      </c>
      <c r="D237" s="29" t="s">
        <v>1581</v>
      </c>
      <c r="E237" s="10" t="s">
        <v>0</v>
      </c>
      <c r="F237" s="42"/>
      <c r="G237" s="10" t="s">
        <v>451</v>
      </c>
      <c r="H237" s="10"/>
      <c r="I237" s="30" t="s">
        <v>1498</v>
      </c>
      <c r="J237" s="30" t="s">
        <v>1697</v>
      </c>
      <c r="K237" s="30" t="s">
        <v>1508</v>
      </c>
      <c r="L237" s="30" t="s">
        <v>455</v>
      </c>
      <c r="M237" s="18" t="s">
        <v>0</v>
      </c>
      <c r="N237" s="18">
        <v>0</v>
      </c>
      <c r="O237" s="18">
        <v>0</v>
      </c>
      <c r="P237" s="18">
        <v>0</v>
      </c>
      <c r="Q237" s="18">
        <v>1</v>
      </c>
      <c r="R237" s="67">
        <v>8</v>
      </c>
      <c r="S237" s="67">
        <v>126</v>
      </c>
      <c r="T237" t="e">
        <f>_xlfn.XLOOKUP(A237,Master!#REF!,Master!G:G)</f>
        <v>#REF!</v>
      </c>
      <c r="AA237">
        <v>7</v>
      </c>
      <c r="AB237">
        <v>88</v>
      </c>
      <c r="AC237" t="s">
        <v>1812</v>
      </c>
      <c r="AD237" s="12">
        <v>0</v>
      </c>
      <c r="AE237" s="12">
        <v>1</v>
      </c>
    </row>
    <row r="238" spans="1:31" ht="16.25" customHeight="1" x14ac:dyDescent="0.2">
      <c r="A238" s="10" t="s">
        <v>1972</v>
      </c>
      <c r="B238" s="10" t="s">
        <v>449</v>
      </c>
      <c r="C238" s="29" t="s">
        <v>1574</v>
      </c>
      <c r="D238" s="29" t="s">
        <v>1575</v>
      </c>
      <c r="E238" s="10" t="s">
        <v>0</v>
      </c>
      <c r="F238" s="10"/>
      <c r="G238" s="10" t="s">
        <v>451</v>
      </c>
      <c r="H238" s="10"/>
      <c r="I238" s="30" t="s">
        <v>1498</v>
      </c>
      <c r="J238" s="30" t="s">
        <v>1697</v>
      </c>
      <c r="K238" s="30" t="s">
        <v>1527</v>
      </c>
      <c r="L238" s="30" t="s">
        <v>455</v>
      </c>
      <c r="M238" s="18" t="s">
        <v>0</v>
      </c>
      <c r="N238" s="18">
        <v>0</v>
      </c>
      <c r="O238" s="18">
        <v>0</v>
      </c>
      <c r="P238" s="18">
        <v>0</v>
      </c>
      <c r="Q238" s="18">
        <v>1</v>
      </c>
      <c r="R238" s="67">
        <v>8</v>
      </c>
      <c r="S238" s="67">
        <v>126</v>
      </c>
      <c r="T238" t="e">
        <f>_xlfn.XLOOKUP(A238,Master!#REF!,Master!G:G)</f>
        <v>#REF!</v>
      </c>
      <c r="AA238" t="s">
        <v>2385</v>
      </c>
      <c r="AD238" s="12">
        <v>0</v>
      </c>
      <c r="AE238" s="12">
        <v>28</v>
      </c>
    </row>
    <row r="239" spans="1:31" ht="16.25" customHeight="1" x14ac:dyDescent="0.2">
      <c r="A239" s="32" t="s">
        <v>1688</v>
      </c>
      <c r="B239" s="32" t="s">
        <v>449</v>
      </c>
      <c r="C239" s="33" t="s">
        <v>1587</v>
      </c>
      <c r="D239" s="33" t="s">
        <v>1588</v>
      </c>
      <c r="E239" s="32" t="s">
        <v>0</v>
      </c>
      <c r="F239" s="32"/>
      <c r="G239" s="32" t="s">
        <v>451</v>
      </c>
      <c r="H239" s="32" t="s">
        <v>1689</v>
      </c>
      <c r="I239" s="30" t="s">
        <v>1498</v>
      </c>
      <c r="J239" s="30" t="s">
        <v>1507</v>
      </c>
      <c r="K239" s="30" t="s">
        <v>1690</v>
      </c>
      <c r="L239" s="30" t="s">
        <v>455</v>
      </c>
      <c r="M239" s="15" t="s">
        <v>0</v>
      </c>
      <c r="N239" s="15">
        <v>0</v>
      </c>
      <c r="O239" s="15">
        <v>0</v>
      </c>
      <c r="P239" s="15">
        <v>0</v>
      </c>
      <c r="Q239" s="15">
        <v>1</v>
      </c>
      <c r="R239" s="64">
        <v>6</v>
      </c>
      <c r="S239" s="64">
        <v>127</v>
      </c>
      <c r="T239" t="e">
        <f>_xlfn.XLOOKUP(A239,Master!#REF!,Master!G:G)</f>
        <v>#REF!</v>
      </c>
      <c r="AA239">
        <v>8</v>
      </c>
      <c r="AB239">
        <v>89</v>
      </c>
      <c r="AC239" t="s">
        <v>2092</v>
      </c>
      <c r="AD239" s="12">
        <v>0</v>
      </c>
      <c r="AE239" s="12">
        <v>1</v>
      </c>
    </row>
    <row r="240" spans="1:31" ht="16.25" customHeight="1" x14ac:dyDescent="0.2">
      <c r="A240" s="32" t="s">
        <v>1967</v>
      </c>
      <c r="B240" s="32" t="s">
        <v>449</v>
      </c>
      <c r="C240" s="33" t="s">
        <v>1594</v>
      </c>
      <c r="D240" s="33" t="s">
        <v>1595</v>
      </c>
      <c r="E240" s="32" t="s">
        <v>0</v>
      </c>
      <c r="F240" s="32"/>
      <c r="G240" s="32" t="s">
        <v>451</v>
      </c>
      <c r="H240" s="32"/>
      <c r="I240" s="30" t="s">
        <v>1498</v>
      </c>
      <c r="J240" s="30" t="s">
        <v>1697</v>
      </c>
      <c r="K240" s="30" t="s">
        <v>1527</v>
      </c>
      <c r="L240" s="30" t="s">
        <v>455</v>
      </c>
      <c r="M240" s="15" t="s">
        <v>0</v>
      </c>
      <c r="N240" s="15">
        <v>0</v>
      </c>
      <c r="O240" s="15">
        <v>0</v>
      </c>
      <c r="P240" s="15">
        <v>0</v>
      </c>
      <c r="Q240" s="15">
        <v>1</v>
      </c>
      <c r="R240" s="67">
        <v>8</v>
      </c>
      <c r="S240" s="67">
        <v>127</v>
      </c>
      <c r="T240" t="e">
        <f>_xlfn.XLOOKUP(A240,Master!#REF!,Master!G:G)</f>
        <v>#REF!</v>
      </c>
      <c r="AA240">
        <v>8</v>
      </c>
      <c r="AB240">
        <v>90</v>
      </c>
      <c r="AC240" t="s">
        <v>2017</v>
      </c>
      <c r="AD240" s="12">
        <v>0</v>
      </c>
      <c r="AE240" s="12">
        <v>1</v>
      </c>
    </row>
    <row r="241" spans="1:31" ht="16.25" customHeight="1" x14ac:dyDescent="0.2">
      <c r="A241" s="10" t="s">
        <v>1696</v>
      </c>
      <c r="B241" s="10" t="s">
        <v>449</v>
      </c>
      <c r="C241" s="29" t="s">
        <v>1602</v>
      </c>
      <c r="D241" s="29" t="s">
        <v>412</v>
      </c>
      <c r="E241" s="10" t="s">
        <v>0</v>
      </c>
      <c r="F241" s="10"/>
      <c r="G241" s="10" t="s">
        <v>451</v>
      </c>
      <c r="H241" s="10"/>
      <c r="I241" s="30" t="s">
        <v>1498</v>
      </c>
      <c r="J241" s="30" t="s">
        <v>1697</v>
      </c>
      <c r="K241" s="30" t="s">
        <v>1634</v>
      </c>
      <c r="L241" s="30" t="s">
        <v>455</v>
      </c>
      <c r="M241" s="18" t="s">
        <v>0</v>
      </c>
      <c r="N241" s="18">
        <v>0</v>
      </c>
      <c r="O241" s="18">
        <v>0</v>
      </c>
      <c r="P241" s="18">
        <v>0</v>
      </c>
      <c r="Q241" s="18">
        <v>1</v>
      </c>
      <c r="R241" s="64">
        <v>6</v>
      </c>
      <c r="S241" s="64">
        <v>128</v>
      </c>
      <c r="T241" t="e">
        <f>_xlfn.XLOOKUP(A241,Master!#REF!,Master!G:G)</f>
        <v>#REF!</v>
      </c>
      <c r="AA241">
        <v>8</v>
      </c>
      <c r="AB241">
        <v>110</v>
      </c>
      <c r="AC241" t="s">
        <v>2040</v>
      </c>
      <c r="AD241" s="12">
        <v>0</v>
      </c>
      <c r="AE241" s="12">
        <v>1</v>
      </c>
    </row>
    <row r="242" spans="1:31" ht="16.25" customHeight="1" x14ac:dyDescent="0.2">
      <c r="A242" s="43" t="s">
        <v>1702</v>
      </c>
      <c r="B242" s="10" t="s">
        <v>449</v>
      </c>
      <c r="C242" s="29" t="s">
        <v>1703</v>
      </c>
      <c r="D242" s="29" t="s">
        <v>2156</v>
      </c>
      <c r="E242" s="10" t="s">
        <v>0</v>
      </c>
      <c r="F242" s="42"/>
      <c r="G242" s="10" t="s">
        <v>451</v>
      </c>
      <c r="H242" s="43" t="s">
        <v>1704</v>
      </c>
      <c r="I242" s="30" t="s">
        <v>452</v>
      </c>
      <c r="J242" s="30" t="s">
        <v>1705</v>
      </c>
      <c r="K242" s="30" t="s">
        <v>1706</v>
      </c>
      <c r="L242" s="30" t="s">
        <v>455</v>
      </c>
      <c r="M242" s="18" t="s">
        <v>0</v>
      </c>
      <c r="N242" s="18">
        <v>0</v>
      </c>
      <c r="O242" s="18">
        <v>0</v>
      </c>
      <c r="P242" s="18">
        <v>0</v>
      </c>
      <c r="Q242" s="18">
        <v>1</v>
      </c>
      <c r="R242" s="64">
        <v>6</v>
      </c>
      <c r="S242" s="64">
        <v>128</v>
      </c>
      <c r="T242" t="e">
        <f>_xlfn.XLOOKUP(A242,Master!#REF!,Master!G:G)</f>
        <v>#REF!</v>
      </c>
      <c r="AA242">
        <v>8</v>
      </c>
      <c r="AB242">
        <v>111</v>
      </c>
      <c r="AC242" t="s">
        <v>2079</v>
      </c>
      <c r="AD242" s="12">
        <v>0</v>
      </c>
      <c r="AE242" s="12">
        <v>1</v>
      </c>
    </row>
    <row r="243" spans="1:31" ht="16.25" customHeight="1" x14ac:dyDescent="0.2">
      <c r="A243" s="10" t="s">
        <v>1633</v>
      </c>
      <c r="B243" s="10" t="s">
        <v>449</v>
      </c>
      <c r="C243" s="29" t="s">
        <v>1615</v>
      </c>
      <c r="D243" s="29" t="s">
        <v>1616</v>
      </c>
      <c r="E243" s="10" t="s">
        <v>0</v>
      </c>
      <c r="F243" s="10"/>
      <c r="G243" s="10" t="s">
        <v>451</v>
      </c>
      <c r="H243" s="10"/>
      <c r="I243" s="30" t="s">
        <v>1498</v>
      </c>
      <c r="J243" s="30" t="s">
        <v>1507</v>
      </c>
      <c r="K243" s="30" t="s">
        <v>1634</v>
      </c>
      <c r="L243" s="30" t="s">
        <v>455</v>
      </c>
      <c r="M243" s="18" t="s">
        <v>0</v>
      </c>
      <c r="N243" s="18">
        <v>0</v>
      </c>
      <c r="O243" s="18">
        <v>0</v>
      </c>
      <c r="P243" s="18">
        <v>0</v>
      </c>
      <c r="Q243" s="18">
        <v>1</v>
      </c>
      <c r="R243" s="64">
        <v>6</v>
      </c>
      <c r="S243" s="64">
        <v>129</v>
      </c>
      <c r="T243" t="e">
        <f>_xlfn.XLOOKUP(A243,Master!#REF!,Master!G:G)</f>
        <v>#REF!</v>
      </c>
      <c r="AA243">
        <v>8</v>
      </c>
      <c r="AB243">
        <v>111</v>
      </c>
      <c r="AC243" t="s">
        <v>1982</v>
      </c>
      <c r="AD243" s="12">
        <v>0</v>
      </c>
      <c r="AE243" s="12">
        <v>1</v>
      </c>
    </row>
    <row r="244" spans="1:31" ht="16.25" customHeight="1" x14ac:dyDescent="0.2">
      <c r="A244" s="32" t="s">
        <v>1667</v>
      </c>
      <c r="B244" s="32" t="s">
        <v>449</v>
      </c>
      <c r="C244" s="33" t="s">
        <v>1609</v>
      </c>
      <c r="D244" s="33" t="s">
        <v>1610</v>
      </c>
      <c r="E244" s="32" t="s">
        <v>0</v>
      </c>
      <c r="F244" s="32"/>
      <c r="G244" s="32" t="s">
        <v>451</v>
      </c>
      <c r="H244" s="32" t="s">
        <v>1668</v>
      </c>
      <c r="I244" s="30" t="s">
        <v>1498</v>
      </c>
      <c r="J244" s="30" t="s">
        <v>1515</v>
      </c>
      <c r="K244" s="30" t="s">
        <v>1648</v>
      </c>
      <c r="L244" s="30" t="s">
        <v>455</v>
      </c>
      <c r="M244" s="15" t="s">
        <v>0</v>
      </c>
      <c r="N244" s="15">
        <v>0</v>
      </c>
      <c r="O244" s="15">
        <v>0</v>
      </c>
      <c r="P244" s="15">
        <v>0</v>
      </c>
      <c r="Q244" s="15">
        <v>1</v>
      </c>
      <c r="R244" s="64">
        <v>6</v>
      </c>
      <c r="S244" s="64">
        <v>129</v>
      </c>
      <c r="T244" t="e">
        <f>_xlfn.XLOOKUP(A244,Master!#REF!,Master!G:G)</f>
        <v>#REF!</v>
      </c>
      <c r="AA244">
        <v>8</v>
      </c>
      <c r="AB244">
        <v>112</v>
      </c>
      <c r="AC244" t="s">
        <v>1958</v>
      </c>
      <c r="AD244" s="12">
        <v>0</v>
      </c>
      <c r="AE244" s="12">
        <v>1</v>
      </c>
    </row>
    <row r="245" spans="1:31" ht="16.25" customHeight="1" x14ac:dyDescent="0.2">
      <c r="A245" s="32" t="s">
        <v>1532</v>
      </c>
      <c r="B245" s="32" t="s">
        <v>449</v>
      </c>
      <c r="C245" s="33" t="s">
        <v>1533</v>
      </c>
      <c r="D245" s="33" t="s">
        <v>1624</v>
      </c>
      <c r="E245" s="32" t="s">
        <v>0</v>
      </c>
      <c r="F245" s="32"/>
      <c r="G245" s="32" t="s">
        <v>451</v>
      </c>
      <c r="H245" s="32"/>
      <c r="I245" s="30" t="s">
        <v>1498</v>
      </c>
      <c r="J245" s="30" t="s">
        <v>1507</v>
      </c>
      <c r="K245" s="30" t="s">
        <v>1527</v>
      </c>
      <c r="L245" s="30" t="s">
        <v>455</v>
      </c>
      <c r="M245" s="15" t="s">
        <v>0</v>
      </c>
      <c r="N245" s="15">
        <v>0</v>
      </c>
      <c r="O245" s="15">
        <v>0</v>
      </c>
      <c r="P245" s="15">
        <v>0</v>
      </c>
      <c r="Q245" s="15">
        <v>1</v>
      </c>
      <c r="R245" s="64">
        <v>6</v>
      </c>
      <c r="S245" s="64">
        <v>130</v>
      </c>
      <c r="T245" t="e">
        <f>_xlfn.XLOOKUP(A245,Master!#REF!,Master!G:G)</f>
        <v>#REF!</v>
      </c>
      <c r="AA245">
        <v>8</v>
      </c>
      <c r="AB245">
        <v>112</v>
      </c>
      <c r="AC245" t="s">
        <v>1976</v>
      </c>
      <c r="AD245" s="12">
        <v>0</v>
      </c>
      <c r="AE245" s="12">
        <v>1</v>
      </c>
    </row>
    <row r="246" spans="1:31" ht="16.25" customHeight="1" x14ac:dyDescent="0.2">
      <c r="A246" s="10" t="s">
        <v>1563</v>
      </c>
      <c r="B246" s="10" t="s">
        <v>449</v>
      </c>
      <c r="C246" s="29" t="s">
        <v>1564</v>
      </c>
      <c r="D246" s="29" t="s">
        <v>1632</v>
      </c>
      <c r="E246" s="10" t="s">
        <v>0</v>
      </c>
      <c r="F246" s="10"/>
      <c r="G246" s="10" t="s">
        <v>451</v>
      </c>
      <c r="H246" s="10"/>
      <c r="I246" s="30" t="s">
        <v>1498</v>
      </c>
      <c r="J246" s="30" t="s">
        <v>1515</v>
      </c>
      <c r="K246" s="30" t="s">
        <v>1545</v>
      </c>
      <c r="L246" s="30" t="s">
        <v>455</v>
      </c>
      <c r="M246" s="18" t="s">
        <v>0</v>
      </c>
      <c r="N246" s="18">
        <v>0</v>
      </c>
      <c r="O246" s="18">
        <v>0</v>
      </c>
      <c r="P246" s="18">
        <v>0</v>
      </c>
      <c r="Q246" s="18">
        <v>1</v>
      </c>
      <c r="R246" s="64">
        <v>6</v>
      </c>
      <c r="S246" s="64">
        <v>130</v>
      </c>
      <c r="T246" t="e">
        <f>_xlfn.XLOOKUP(A246,Master!#REF!,Master!G:G)</f>
        <v>#REF!</v>
      </c>
      <c r="AA246">
        <v>8</v>
      </c>
      <c r="AB246">
        <v>113</v>
      </c>
      <c r="AC246" t="s">
        <v>1949</v>
      </c>
      <c r="AD246" s="12">
        <v>0</v>
      </c>
      <c r="AE246" s="12">
        <v>1</v>
      </c>
    </row>
    <row r="247" spans="1:31" ht="16.25" customHeight="1" x14ac:dyDescent="0.2">
      <c r="A247" s="32" t="s">
        <v>1505</v>
      </c>
      <c r="B247" s="32" t="s">
        <v>449</v>
      </c>
      <c r="C247" s="33" t="s">
        <v>1506</v>
      </c>
      <c r="D247" s="33" t="s">
        <v>1639</v>
      </c>
      <c r="E247" s="32" t="s">
        <v>0</v>
      </c>
      <c r="F247" s="32"/>
      <c r="G247" s="32" t="s">
        <v>451</v>
      </c>
      <c r="H247" s="32"/>
      <c r="I247" s="30" t="s">
        <v>1498</v>
      </c>
      <c r="J247" s="30" t="s">
        <v>1507</v>
      </c>
      <c r="K247" s="30" t="s">
        <v>1508</v>
      </c>
      <c r="L247" s="30" t="s">
        <v>455</v>
      </c>
      <c r="M247" s="15" t="s">
        <v>0</v>
      </c>
      <c r="N247" s="15">
        <v>0</v>
      </c>
      <c r="O247" s="15">
        <v>0</v>
      </c>
      <c r="P247" s="15">
        <v>0</v>
      </c>
      <c r="Q247" s="15">
        <v>1</v>
      </c>
      <c r="R247" s="64">
        <v>6</v>
      </c>
      <c r="S247" s="64">
        <v>131</v>
      </c>
      <c r="T247" t="e">
        <f>_xlfn.XLOOKUP(A247,Master!#REF!,Master!G:G)</f>
        <v>#REF!</v>
      </c>
      <c r="AA247">
        <v>8</v>
      </c>
      <c r="AB247">
        <v>113</v>
      </c>
      <c r="AC247" t="s">
        <v>1915</v>
      </c>
      <c r="AD247" s="12">
        <v>0</v>
      </c>
      <c r="AE247" s="12">
        <v>1</v>
      </c>
    </row>
    <row r="248" spans="1:31" ht="16.25" customHeight="1" x14ac:dyDescent="0.2">
      <c r="A248" s="18" t="s">
        <v>1523</v>
      </c>
      <c r="B248" s="18" t="s">
        <v>449</v>
      </c>
      <c r="C248" s="41" t="s">
        <v>1524</v>
      </c>
      <c r="D248" s="41" t="s">
        <v>1645</v>
      </c>
      <c r="E248" s="18" t="s">
        <v>0</v>
      </c>
      <c r="F248" s="18"/>
      <c r="G248" s="18" t="s">
        <v>451</v>
      </c>
      <c r="H248" s="18" t="s">
        <v>1525</v>
      </c>
      <c r="I248" s="30" t="s">
        <v>1498</v>
      </c>
      <c r="J248" s="30" t="s">
        <v>1526</v>
      </c>
      <c r="K248" s="30" t="s">
        <v>1527</v>
      </c>
      <c r="L248" s="30" t="s">
        <v>455</v>
      </c>
      <c r="M248" s="18" t="s">
        <v>0</v>
      </c>
      <c r="N248" s="18">
        <v>0</v>
      </c>
      <c r="O248" s="18">
        <v>0</v>
      </c>
      <c r="P248" s="18">
        <v>0</v>
      </c>
      <c r="Q248" s="18">
        <v>1</v>
      </c>
      <c r="R248" s="64">
        <v>6</v>
      </c>
      <c r="S248" s="64">
        <v>131</v>
      </c>
      <c r="T248" t="e">
        <f>_xlfn.XLOOKUP(A248,Master!#REF!,Master!G:G)</f>
        <v>#REF!</v>
      </c>
      <c r="AA248">
        <v>8</v>
      </c>
      <c r="AB248">
        <v>114</v>
      </c>
      <c r="AC248" t="s">
        <v>1936</v>
      </c>
      <c r="AD248" s="12">
        <v>0</v>
      </c>
      <c r="AE248" s="12">
        <v>1</v>
      </c>
    </row>
    <row r="249" spans="1:31" ht="16.25" customHeight="1" x14ac:dyDescent="0.2">
      <c r="A249" s="15" t="s">
        <v>1677</v>
      </c>
      <c r="B249" s="15" t="s">
        <v>449</v>
      </c>
      <c r="C249" s="44" t="s">
        <v>1658</v>
      </c>
      <c r="D249" s="44" t="s">
        <v>1659</v>
      </c>
      <c r="E249" s="15" t="s">
        <v>0</v>
      </c>
      <c r="F249" s="15"/>
      <c r="G249" s="15" t="s">
        <v>451</v>
      </c>
      <c r="H249" s="15"/>
      <c r="I249" s="30" t="s">
        <v>1498</v>
      </c>
      <c r="J249" s="30" t="s">
        <v>1515</v>
      </c>
      <c r="K249" s="30" t="s">
        <v>1678</v>
      </c>
      <c r="L249" s="30" t="s">
        <v>455</v>
      </c>
      <c r="M249" s="15" t="s">
        <v>0</v>
      </c>
      <c r="N249" s="15">
        <v>0</v>
      </c>
      <c r="O249" s="15">
        <v>0</v>
      </c>
      <c r="P249" s="15">
        <v>0</v>
      </c>
      <c r="Q249" s="15">
        <v>1</v>
      </c>
      <c r="R249" s="64">
        <v>6</v>
      </c>
      <c r="S249" s="64">
        <v>132</v>
      </c>
      <c r="T249" t="e">
        <f>_xlfn.XLOOKUP(A249,Master!#REF!,Master!G:G)</f>
        <v>#REF!</v>
      </c>
      <c r="AA249">
        <v>8</v>
      </c>
      <c r="AB249">
        <v>114</v>
      </c>
      <c r="AC249" t="s">
        <v>1944</v>
      </c>
      <c r="AD249" s="12">
        <v>0</v>
      </c>
      <c r="AE249" s="12">
        <v>1</v>
      </c>
    </row>
    <row r="250" spans="1:31" ht="16.25" customHeight="1" x14ac:dyDescent="0.2">
      <c r="A250" s="10" t="s">
        <v>1682</v>
      </c>
      <c r="B250" s="10" t="s">
        <v>449</v>
      </c>
      <c r="C250" s="29" t="s">
        <v>1652</v>
      </c>
      <c r="D250" s="29" t="s">
        <v>1653</v>
      </c>
      <c r="E250" s="10" t="s">
        <v>0</v>
      </c>
      <c r="F250" s="10"/>
      <c r="G250" s="10" t="s">
        <v>451</v>
      </c>
      <c r="H250" s="10"/>
      <c r="I250" s="30" t="s">
        <v>1498</v>
      </c>
      <c r="J250" s="30" t="s">
        <v>1515</v>
      </c>
      <c r="K250" s="30" t="s">
        <v>1678</v>
      </c>
      <c r="L250" s="30" t="s">
        <v>455</v>
      </c>
      <c r="M250" s="18" t="s">
        <v>0</v>
      </c>
      <c r="N250" s="18">
        <v>0</v>
      </c>
      <c r="O250" s="18">
        <v>0</v>
      </c>
      <c r="P250" s="18">
        <v>0</v>
      </c>
      <c r="Q250" s="18">
        <v>1</v>
      </c>
      <c r="R250" s="64">
        <v>6</v>
      </c>
      <c r="S250" s="64">
        <v>132</v>
      </c>
      <c r="T250" t="e">
        <f>_xlfn.XLOOKUP(A250,Master!#REF!,Master!G:G)</f>
        <v>#REF!</v>
      </c>
      <c r="AA250">
        <v>8</v>
      </c>
      <c r="AB250">
        <v>115</v>
      </c>
      <c r="AC250" t="s">
        <v>1931</v>
      </c>
      <c r="AD250" s="12">
        <v>0</v>
      </c>
      <c r="AE250" s="12">
        <v>1</v>
      </c>
    </row>
    <row r="251" spans="1:31" ht="16.25" customHeight="1" x14ac:dyDescent="0.2">
      <c r="A251" s="10" t="s">
        <v>1660</v>
      </c>
      <c r="B251" s="10" t="s">
        <v>449</v>
      </c>
      <c r="C251" s="29" t="s">
        <v>1661</v>
      </c>
      <c r="D251" s="29" t="s">
        <v>1671</v>
      </c>
      <c r="E251" s="10" t="s">
        <v>0</v>
      </c>
      <c r="F251" s="10"/>
      <c r="G251" s="10" t="s">
        <v>451</v>
      </c>
      <c r="H251" s="10"/>
      <c r="I251" s="30" t="s">
        <v>1498</v>
      </c>
      <c r="J251" s="30" t="s">
        <v>1515</v>
      </c>
      <c r="K251" s="30" t="s">
        <v>1648</v>
      </c>
      <c r="L251" s="30" t="s">
        <v>455</v>
      </c>
      <c r="M251" s="18" t="s">
        <v>0</v>
      </c>
      <c r="N251" s="18">
        <v>0</v>
      </c>
      <c r="O251" s="18">
        <v>0</v>
      </c>
      <c r="P251" s="18">
        <v>0</v>
      </c>
      <c r="Q251" s="18">
        <v>1</v>
      </c>
      <c r="R251" s="64">
        <v>6</v>
      </c>
      <c r="S251" s="64">
        <v>133</v>
      </c>
      <c r="T251" t="e">
        <f>_xlfn.XLOOKUP(A251,Master!#REF!,Master!G:G)</f>
        <v>#REF!</v>
      </c>
      <c r="AA251">
        <v>8</v>
      </c>
      <c r="AB251">
        <v>115</v>
      </c>
      <c r="AC251" t="s">
        <v>1888</v>
      </c>
      <c r="AD251" s="12">
        <v>0</v>
      </c>
      <c r="AE251" s="12">
        <v>1</v>
      </c>
    </row>
    <row r="252" spans="1:31" ht="16.25" customHeight="1" x14ac:dyDescent="0.2">
      <c r="A252" s="10" t="s">
        <v>1672</v>
      </c>
      <c r="B252" s="10" t="s">
        <v>449</v>
      </c>
      <c r="C252" s="29" t="s">
        <v>1665</v>
      </c>
      <c r="D252" s="29" t="s">
        <v>1666</v>
      </c>
      <c r="E252" s="10" t="s">
        <v>0</v>
      </c>
      <c r="F252" s="10"/>
      <c r="G252" s="10" t="s">
        <v>451</v>
      </c>
      <c r="H252" s="10"/>
      <c r="I252" s="30" t="s">
        <v>1498</v>
      </c>
      <c r="J252" s="30" t="s">
        <v>1515</v>
      </c>
      <c r="K252" s="30" t="s">
        <v>1648</v>
      </c>
      <c r="L252" s="30" t="s">
        <v>455</v>
      </c>
      <c r="M252" s="18" t="s">
        <v>0</v>
      </c>
      <c r="N252" s="18">
        <v>0</v>
      </c>
      <c r="O252" s="18">
        <v>0</v>
      </c>
      <c r="P252" s="18">
        <v>0</v>
      </c>
      <c r="Q252" s="18">
        <v>1</v>
      </c>
      <c r="R252" s="64">
        <v>6</v>
      </c>
      <c r="S252" s="64">
        <v>133</v>
      </c>
      <c r="T252" t="e">
        <f>_xlfn.XLOOKUP(A252,Master!#REF!,Master!G:G)</f>
        <v>#REF!</v>
      </c>
      <c r="AA252">
        <v>8</v>
      </c>
      <c r="AB252">
        <v>116</v>
      </c>
      <c r="AC252" t="s">
        <v>2106</v>
      </c>
      <c r="AD252" s="12">
        <v>0</v>
      </c>
      <c r="AE252" s="12">
        <v>1</v>
      </c>
    </row>
    <row r="253" spans="1:31" ht="16.25" customHeight="1" x14ac:dyDescent="0.2">
      <c r="A253" s="18" t="s">
        <v>1646</v>
      </c>
      <c r="B253" s="18" t="s">
        <v>449</v>
      </c>
      <c r="C253" s="41" t="s">
        <v>1647</v>
      </c>
      <c r="D253" s="41" t="s">
        <v>1681</v>
      </c>
      <c r="E253" s="18" t="s">
        <v>0</v>
      </c>
      <c r="F253" s="18"/>
      <c r="G253" s="18" t="s">
        <v>451</v>
      </c>
      <c r="H253" s="18"/>
      <c r="I253" s="30" t="s">
        <v>1498</v>
      </c>
      <c r="J253" s="30" t="s">
        <v>1515</v>
      </c>
      <c r="K253" s="30" t="s">
        <v>1648</v>
      </c>
      <c r="L253" s="30" t="s">
        <v>455</v>
      </c>
      <c r="M253" s="18" t="s">
        <v>0</v>
      </c>
      <c r="N253" s="18">
        <v>0</v>
      </c>
      <c r="O253" s="18">
        <v>0</v>
      </c>
      <c r="P253" s="18">
        <v>0</v>
      </c>
      <c r="Q253" s="18">
        <v>1</v>
      </c>
      <c r="R253" s="64">
        <v>6</v>
      </c>
      <c r="S253" s="64">
        <v>134</v>
      </c>
      <c r="T253" t="e">
        <f>_xlfn.XLOOKUP(A253,Master!#REF!,Master!G:G)</f>
        <v>#REF!</v>
      </c>
      <c r="AA253">
        <v>8</v>
      </c>
      <c r="AB253">
        <v>116</v>
      </c>
      <c r="AC253" t="s">
        <v>2114</v>
      </c>
      <c r="AD253" s="12">
        <v>0</v>
      </c>
      <c r="AE253" s="12">
        <v>1</v>
      </c>
    </row>
    <row r="254" spans="1:31" ht="16.25" customHeight="1" x14ac:dyDescent="0.2">
      <c r="A254" s="32" t="s">
        <v>1654</v>
      </c>
      <c r="B254" s="32" t="s">
        <v>449</v>
      </c>
      <c r="C254" s="33" t="s">
        <v>1655</v>
      </c>
      <c r="D254" s="33" t="s">
        <v>2386</v>
      </c>
      <c r="E254" s="32" t="s">
        <v>0</v>
      </c>
      <c r="F254" s="32"/>
      <c r="G254" s="32" t="s">
        <v>451</v>
      </c>
      <c r="H254" s="32"/>
      <c r="I254" s="30" t="s">
        <v>1498</v>
      </c>
      <c r="J254" s="30" t="s">
        <v>1515</v>
      </c>
      <c r="K254" s="30" t="s">
        <v>1648</v>
      </c>
      <c r="L254" s="30" t="s">
        <v>455</v>
      </c>
      <c r="M254" s="15" t="s">
        <v>0</v>
      </c>
      <c r="N254" s="15">
        <v>0</v>
      </c>
      <c r="O254" s="15">
        <v>0</v>
      </c>
      <c r="P254" s="15">
        <v>0</v>
      </c>
      <c r="Q254" s="15">
        <v>1</v>
      </c>
      <c r="R254" s="64">
        <v>6</v>
      </c>
      <c r="S254" s="64">
        <v>134</v>
      </c>
      <c r="T254" t="e">
        <f>_xlfn.XLOOKUP(A254,Master!#REF!,Master!G:G)</f>
        <v>#REF!</v>
      </c>
      <c r="AA254">
        <v>8</v>
      </c>
      <c r="AB254">
        <v>117</v>
      </c>
      <c r="AC254" t="s">
        <v>2074</v>
      </c>
      <c r="AD254" s="12">
        <v>0</v>
      </c>
      <c r="AE254" s="12">
        <v>1</v>
      </c>
    </row>
    <row r="255" spans="1:31" ht="16.25" customHeight="1" x14ac:dyDescent="0.2">
      <c r="A255" s="10" t="s">
        <v>1617</v>
      </c>
      <c r="B255" s="10" t="s">
        <v>449</v>
      </c>
      <c r="C255" s="29" t="s">
        <v>1618</v>
      </c>
      <c r="D255" s="29" t="s">
        <v>1686</v>
      </c>
      <c r="E255" s="10" t="s">
        <v>0</v>
      </c>
      <c r="F255" s="10"/>
      <c r="G255" s="10" t="s">
        <v>451</v>
      </c>
      <c r="H255" s="42" t="s">
        <v>1619</v>
      </c>
      <c r="I255" s="30" t="s">
        <v>1498</v>
      </c>
      <c r="J255" s="30" t="s">
        <v>1526</v>
      </c>
      <c r="K255" s="30" t="s">
        <v>1620</v>
      </c>
      <c r="L255" s="30" t="s">
        <v>455</v>
      </c>
      <c r="M255" s="18" t="s">
        <v>0</v>
      </c>
      <c r="N255" s="18">
        <v>0</v>
      </c>
      <c r="O255" s="18">
        <v>0</v>
      </c>
      <c r="P255" s="18">
        <v>0</v>
      </c>
      <c r="Q255" s="18">
        <v>1</v>
      </c>
      <c r="R255" s="64">
        <v>6</v>
      </c>
      <c r="S255" s="64">
        <v>135</v>
      </c>
      <c r="T255" t="e">
        <f>_xlfn.XLOOKUP(A255,Master!#REF!,Master!G:G)</f>
        <v>#REF!</v>
      </c>
      <c r="AA255">
        <v>8</v>
      </c>
      <c r="AB255">
        <v>117</v>
      </c>
      <c r="AC255" t="s">
        <v>2087</v>
      </c>
      <c r="AD255" s="12">
        <v>0</v>
      </c>
      <c r="AE255" s="12">
        <v>1</v>
      </c>
    </row>
    <row r="256" spans="1:31" ht="16.25" customHeight="1" x14ac:dyDescent="0.2">
      <c r="A256" s="53" t="s">
        <v>2290</v>
      </c>
      <c r="B256" s="53" t="s">
        <v>449</v>
      </c>
      <c r="C256" s="54" t="s">
        <v>2226</v>
      </c>
      <c r="D256" s="54" t="s">
        <v>2227</v>
      </c>
      <c r="E256" s="53" t="s">
        <v>0</v>
      </c>
      <c r="F256" s="55"/>
      <c r="G256" s="53" t="s">
        <v>1137</v>
      </c>
      <c r="H256" s="53"/>
      <c r="I256" s="45" t="s">
        <v>1498</v>
      </c>
      <c r="J256" s="45" t="s">
        <v>1627</v>
      </c>
      <c r="K256" s="45" t="s">
        <v>1628</v>
      </c>
      <c r="L256" s="45" t="s">
        <v>455</v>
      </c>
      <c r="M256" s="47" t="s">
        <v>0</v>
      </c>
      <c r="N256" s="47">
        <v>0</v>
      </c>
      <c r="O256" s="47">
        <v>0</v>
      </c>
      <c r="P256" s="47">
        <v>0</v>
      </c>
      <c r="Q256" s="47">
        <v>1</v>
      </c>
      <c r="R256" s="45" t="s">
        <v>2361</v>
      </c>
      <c r="S256" s="47">
        <v>135</v>
      </c>
      <c r="T256" t="e">
        <f>_xlfn.XLOOKUP(A256,Master!#REF!,Master!G:G)</f>
        <v>#REF!</v>
      </c>
      <c r="AA256">
        <v>8</v>
      </c>
      <c r="AB256">
        <v>118</v>
      </c>
      <c r="AC256" t="s">
        <v>2055</v>
      </c>
      <c r="AD256" s="12">
        <v>0</v>
      </c>
      <c r="AE256" s="12">
        <v>1</v>
      </c>
    </row>
    <row r="257" spans="1:31" ht="16.25" customHeight="1" x14ac:dyDescent="0.2">
      <c r="A257" s="10" t="s">
        <v>1604</v>
      </c>
      <c r="B257" s="10" t="s">
        <v>449</v>
      </c>
      <c r="C257" s="29" t="s">
        <v>1605</v>
      </c>
      <c r="D257" s="29" t="s">
        <v>1694</v>
      </c>
      <c r="E257" s="10" t="s">
        <v>0</v>
      </c>
      <c r="F257" s="10"/>
      <c r="G257" s="10" t="s">
        <v>451</v>
      </c>
      <c r="H257" s="10"/>
      <c r="I257" s="30" t="s">
        <v>1498</v>
      </c>
      <c r="J257" s="30" t="s">
        <v>1515</v>
      </c>
      <c r="K257" s="30" t="s">
        <v>1598</v>
      </c>
      <c r="L257" s="30" t="s">
        <v>455</v>
      </c>
      <c r="M257" s="18" t="s">
        <v>0</v>
      </c>
      <c r="N257" s="18">
        <v>0</v>
      </c>
      <c r="O257" s="18">
        <v>0</v>
      </c>
      <c r="P257" s="18">
        <v>0</v>
      </c>
      <c r="Q257" s="18">
        <v>1</v>
      </c>
      <c r="R257" s="64">
        <v>6</v>
      </c>
      <c r="S257" s="64">
        <v>136</v>
      </c>
      <c r="T257" t="e">
        <f>_xlfn.XLOOKUP(A257,Master!#REF!,Master!G:G)</f>
        <v>#REF!</v>
      </c>
      <c r="AA257">
        <v>8</v>
      </c>
      <c r="AB257">
        <v>118</v>
      </c>
      <c r="AC257" t="s">
        <v>2025</v>
      </c>
      <c r="AD257" s="12">
        <v>0</v>
      </c>
      <c r="AE257" s="12">
        <v>1</v>
      </c>
    </row>
    <row r="258" spans="1:31" ht="16.25" customHeight="1" x14ac:dyDescent="0.2">
      <c r="A258" s="32" t="s">
        <v>1611</v>
      </c>
      <c r="B258" s="32" t="s">
        <v>449</v>
      </c>
      <c r="C258" s="33" t="s">
        <v>1612</v>
      </c>
      <c r="D258" s="33" t="s">
        <v>2232</v>
      </c>
      <c r="E258" s="32" t="s">
        <v>0</v>
      </c>
      <c r="F258" s="39"/>
      <c r="G258" s="32" t="s">
        <v>451</v>
      </c>
      <c r="H258" s="32"/>
      <c r="I258" s="30" t="s">
        <v>1498</v>
      </c>
      <c r="J258" s="30" t="s">
        <v>1515</v>
      </c>
      <c r="K258" s="30" t="s">
        <v>1598</v>
      </c>
      <c r="L258" s="30" t="s">
        <v>455</v>
      </c>
      <c r="M258" s="15" t="s">
        <v>0</v>
      </c>
      <c r="N258" s="15">
        <v>0</v>
      </c>
      <c r="O258" s="15">
        <v>0</v>
      </c>
      <c r="P258" s="15">
        <v>0</v>
      </c>
      <c r="Q258" s="15">
        <v>1</v>
      </c>
      <c r="R258" s="64">
        <v>6</v>
      </c>
      <c r="S258" s="64">
        <v>136</v>
      </c>
      <c r="T258" t="e">
        <f>_xlfn.XLOOKUP(A258,Master!#REF!,Master!G:G)</f>
        <v>#REF!</v>
      </c>
      <c r="AA258">
        <v>8</v>
      </c>
      <c r="AB258">
        <v>119</v>
      </c>
      <c r="AC258" t="s">
        <v>2061</v>
      </c>
      <c r="AD258" s="12">
        <v>0</v>
      </c>
      <c r="AE258" s="12">
        <v>1</v>
      </c>
    </row>
    <row r="259" spans="1:31" ht="16.25" customHeight="1" x14ac:dyDescent="0.2">
      <c r="A259" s="10" t="s">
        <v>1590</v>
      </c>
      <c r="B259" s="10" t="s">
        <v>449</v>
      </c>
      <c r="C259" s="29" t="s">
        <v>1591</v>
      </c>
      <c r="D259" s="29" t="s">
        <v>1725</v>
      </c>
      <c r="E259" s="10" t="s">
        <v>0</v>
      </c>
      <c r="F259" s="10"/>
      <c r="G259" s="10" t="s">
        <v>451</v>
      </c>
      <c r="H259" s="10"/>
      <c r="I259" s="30" t="s">
        <v>1498</v>
      </c>
      <c r="J259" s="30" t="s">
        <v>1515</v>
      </c>
      <c r="K259" s="30" t="s">
        <v>1545</v>
      </c>
      <c r="L259" s="30" t="s">
        <v>455</v>
      </c>
      <c r="M259" s="18" t="s">
        <v>0</v>
      </c>
      <c r="N259" s="18">
        <v>0</v>
      </c>
      <c r="O259" s="18">
        <v>0</v>
      </c>
      <c r="P259" s="18">
        <v>0</v>
      </c>
      <c r="Q259" s="18">
        <v>1</v>
      </c>
      <c r="R259" s="64">
        <v>6</v>
      </c>
      <c r="S259" s="64">
        <v>137</v>
      </c>
      <c r="T259" t="e">
        <f>_xlfn.XLOOKUP(A259,Master!#REF!,Master!G:G)</f>
        <v>#REF!</v>
      </c>
      <c r="AA259">
        <v>8</v>
      </c>
      <c r="AB259">
        <v>119</v>
      </c>
      <c r="AC259" t="s">
        <v>2033</v>
      </c>
      <c r="AD259" s="12">
        <v>0</v>
      </c>
      <c r="AE259" s="12">
        <v>1</v>
      </c>
    </row>
    <row r="260" spans="1:31" ht="16.25" customHeight="1" x14ac:dyDescent="0.2">
      <c r="A260" s="15" t="s">
        <v>1596</v>
      </c>
      <c r="B260" s="15" t="s">
        <v>449</v>
      </c>
      <c r="C260" s="44" t="s">
        <v>1597</v>
      </c>
      <c r="D260" s="44" t="s">
        <v>1701</v>
      </c>
      <c r="E260" s="15" t="s">
        <v>0</v>
      </c>
      <c r="F260" s="15"/>
      <c r="G260" s="15" t="s">
        <v>451</v>
      </c>
      <c r="H260" s="15"/>
      <c r="I260" s="30" t="s">
        <v>1498</v>
      </c>
      <c r="J260" s="30" t="s">
        <v>1515</v>
      </c>
      <c r="K260" s="30" t="s">
        <v>1598</v>
      </c>
      <c r="L260" s="30" t="s">
        <v>455</v>
      </c>
      <c r="M260" s="15" t="s">
        <v>0</v>
      </c>
      <c r="N260" s="15">
        <v>0</v>
      </c>
      <c r="O260" s="15">
        <v>0</v>
      </c>
      <c r="P260" s="15">
        <v>0</v>
      </c>
      <c r="Q260" s="15">
        <v>1</v>
      </c>
      <c r="R260" s="64">
        <v>6</v>
      </c>
      <c r="S260" s="64">
        <v>137</v>
      </c>
      <c r="T260" t="e">
        <f>_xlfn.XLOOKUP(A260,Master!#REF!,Master!G:G)</f>
        <v>#REF!</v>
      </c>
      <c r="AA260">
        <v>8</v>
      </c>
      <c r="AB260">
        <v>120</v>
      </c>
      <c r="AC260" t="s">
        <v>2068</v>
      </c>
      <c r="AD260" s="12">
        <v>1</v>
      </c>
      <c r="AE260" s="12">
        <v>2</v>
      </c>
    </row>
    <row r="261" spans="1:31" ht="16.25" customHeight="1" x14ac:dyDescent="0.2">
      <c r="A261" s="10" t="s">
        <v>1495</v>
      </c>
      <c r="B261" s="10" t="s">
        <v>449</v>
      </c>
      <c r="C261" s="29" t="s">
        <v>1496</v>
      </c>
      <c r="D261" s="29" t="s">
        <v>2161</v>
      </c>
      <c r="E261" s="10" t="s">
        <v>0</v>
      </c>
      <c r="F261" s="10"/>
      <c r="G261" s="10" t="s">
        <v>451</v>
      </c>
      <c r="H261" s="10" t="s">
        <v>1497</v>
      </c>
      <c r="I261" s="30" t="s">
        <v>1498</v>
      </c>
      <c r="J261" s="30" t="s">
        <v>1499</v>
      </c>
      <c r="K261" s="30" t="s">
        <v>1500</v>
      </c>
      <c r="L261" s="30" t="s">
        <v>455</v>
      </c>
      <c r="M261" s="18" t="s">
        <v>0</v>
      </c>
      <c r="N261" s="18">
        <v>0</v>
      </c>
      <c r="O261" s="18">
        <v>0</v>
      </c>
      <c r="P261" s="18">
        <v>0</v>
      </c>
      <c r="Q261" s="18">
        <v>1</v>
      </c>
      <c r="R261" s="64">
        <v>6</v>
      </c>
      <c r="S261" s="64">
        <v>138</v>
      </c>
      <c r="T261" t="e">
        <f>_xlfn.XLOOKUP(A261,Master!#REF!,Master!G:G)</f>
        <v>#REF!</v>
      </c>
      <c r="AA261">
        <v>8</v>
      </c>
      <c r="AB261">
        <v>121</v>
      </c>
      <c r="AC261" t="s">
        <v>2048</v>
      </c>
      <c r="AD261" s="12">
        <v>1</v>
      </c>
      <c r="AE261" s="12">
        <v>2</v>
      </c>
    </row>
    <row r="262" spans="1:31" ht="16.25" customHeight="1" x14ac:dyDescent="0.2">
      <c r="A262" s="10" t="s">
        <v>1513</v>
      </c>
      <c r="B262" s="10" t="s">
        <v>449</v>
      </c>
      <c r="C262" s="29" t="s">
        <v>1514</v>
      </c>
      <c r="D262" s="29" t="s">
        <v>1715</v>
      </c>
      <c r="E262" s="10" t="s">
        <v>0</v>
      </c>
      <c r="F262" s="10"/>
      <c r="G262" s="10" t="s">
        <v>451</v>
      </c>
      <c r="H262" s="10"/>
      <c r="I262" s="30" t="s">
        <v>1498</v>
      </c>
      <c r="J262" s="30" t="s">
        <v>1515</v>
      </c>
      <c r="K262" s="30" t="s">
        <v>1508</v>
      </c>
      <c r="L262" s="30" t="s">
        <v>455</v>
      </c>
      <c r="M262" s="18" t="s">
        <v>0</v>
      </c>
      <c r="N262" s="18">
        <v>0</v>
      </c>
      <c r="O262" s="18">
        <v>0</v>
      </c>
      <c r="P262" s="18">
        <v>0</v>
      </c>
      <c r="Q262" s="18">
        <v>1</v>
      </c>
      <c r="R262" s="64">
        <v>6</v>
      </c>
      <c r="S262" s="64">
        <v>138</v>
      </c>
      <c r="T262" t="e">
        <f>_xlfn.XLOOKUP(A262,Master!#REF!,Master!G:G)</f>
        <v>#REF!</v>
      </c>
      <c r="AA262">
        <v>8</v>
      </c>
      <c r="AB262">
        <v>122</v>
      </c>
      <c r="AC262" t="s">
        <v>2100</v>
      </c>
      <c r="AD262" s="12">
        <v>0</v>
      </c>
      <c r="AE262" s="12">
        <v>1</v>
      </c>
    </row>
    <row r="263" spans="1:31" ht="16.25" customHeight="1" x14ac:dyDescent="0.2">
      <c r="A263" s="32" t="s">
        <v>1518</v>
      </c>
      <c r="B263" s="32" t="s">
        <v>449</v>
      </c>
      <c r="C263" s="33" t="s">
        <v>1519</v>
      </c>
      <c r="D263" s="33" t="s">
        <v>1757</v>
      </c>
      <c r="E263" s="32" t="s">
        <v>0</v>
      </c>
      <c r="F263" s="32"/>
      <c r="G263" s="32" t="s">
        <v>451</v>
      </c>
      <c r="H263" s="32"/>
      <c r="I263" s="30" t="s">
        <v>1498</v>
      </c>
      <c r="J263" s="30" t="s">
        <v>1515</v>
      </c>
      <c r="K263" s="30" t="s">
        <v>1508</v>
      </c>
      <c r="L263" s="30" t="s">
        <v>455</v>
      </c>
      <c r="M263" s="15" t="s">
        <v>0</v>
      </c>
      <c r="N263" s="15">
        <v>0</v>
      </c>
      <c r="O263" s="15">
        <v>0</v>
      </c>
      <c r="P263" s="15">
        <v>0</v>
      </c>
      <c r="Q263" s="15">
        <v>1</v>
      </c>
      <c r="R263" s="64">
        <v>6</v>
      </c>
      <c r="S263" s="64">
        <v>139</v>
      </c>
      <c r="T263" t="e">
        <f>_xlfn.XLOOKUP(A263,Master!#REF!,Master!G:G)</f>
        <v>#REF!</v>
      </c>
      <c r="AA263">
        <v>8</v>
      </c>
      <c r="AB263">
        <v>122</v>
      </c>
      <c r="AC263" t="s">
        <v>2009</v>
      </c>
      <c r="AD263" s="12">
        <v>0</v>
      </c>
      <c r="AE263" s="12">
        <v>1</v>
      </c>
    </row>
    <row r="264" spans="1:31" ht="16.25" customHeight="1" x14ac:dyDescent="0.2">
      <c r="A264" s="10" t="s">
        <v>1538</v>
      </c>
      <c r="B264" s="10" t="s">
        <v>449</v>
      </c>
      <c r="C264" s="29" t="s">
        <v>1539</v>
      </c>
      <c r="D264" s="29" t="s">
        <v>1721</v>
      </c>
      <c r="E264" s="10" t="s">
        <v>0</v>
      </c>
      <c r="F264" s="10"/>
      <c r="G264" s="10" t="s">
        <v>451</v>
      </c>
      <c r="H264" s="10"/>
      <c r="I264" s="30" t="s">
        <v>1498</v>
      </c>
      <c r="J264" s="30" t="s">
        <v>1507</v>
      </c>
      <c r="K264" s="30" t="s">
        <v>1527</v>
      </c>
      <c r="L264" s="30" t="s">
        <v>455</v>
      </c>
      <c r="M264" s="18" t="s">
        <v>0</v>
      </c>
      <c r="N264" s="18">
        <v>0</v>
      </c>
      <c r="O264" s="18">
        <v>0</v>
      </c>
      <c r="P264" s="18">
        <v>0</v>
      </c>
      <c r="Q264" s="18">
        <v>1</v>
      </c>
      <c r="R264" s="64">
        <v>6</v>
      </c>
      <c r="S264" s="64">
        <v>139</v>
      </c>
      <c r="T264" t="e">
        <f>_xlfn.XLOOKUP(A264,Master!#REF!,Master!G:G)</f>
        <v>#REF!</v>
      </c>
      <c r="AA264">
        <v>8</v>
      </c>
      <c r="AB264">
        <v>123</v>
      </c>
      <c r="AC264" t="s">
        <v>1987</v>
      </c>
      <c r="AD264" s="12">
        <v>0</v>
      </c>
      <c r="AE264" s="12">
        <v>1</v>
      </c>
    </row>
    <row r="265" spans="1:31" ht="16.25" customHeight="1" x14ac:dyDescent="0.2">
      <c r="A265" s="32" t="s">
        <v>1543</v>
      </c>
      <c r="B265" s="32" t="s">
        <v>449</v>
      </c>
      <c r="C265" s="33" t="s">
        <v>1544</v>
      </c>
      <c r="D265" s="33" t="s">
        <v>1730</v>
      </c>
      <c r="E265" s="32" t="s">
        <v>0</v>
      </c>
      <c r="F265" s="32"/>
      <c r="G265" s="32" t="s">
        <v>451</v>
      </c>
      <c r="H265" s="32"/>
      <c r="I265" s="30" t="s">
        <v>1498</v>
      </c>
      <c r="J265" s="30" t="s">
        <v>1515</v>
      </c>
      <c r="K265" s="30" t="s">
        <v>1545</v>
      </c>
      <c r="L265" s="30" t="s">
        <v>455</v>
      </c>
      <c r="M265" s="15" t="s">
        <v>0</v>
      </c>
      <c r="N265" s="15">
        <v>0</v>
      </c>
      <c r="O265" s="15">
        <v>0</v>
      </c>
      <c r="P265" s="15">
        <v>0</v>
      </c>
      <c r="Q265" s="15">
        <v>1</v>
      </c>
      <c r="R265" s="64">
        <v>6</v>
      </c>
      <c r="S265" s="64">
        <v>140</v>
      </c>
      <c r="T265" t="e">
        <f>_xlfn.XLOOKUP(A265,Master!#REF!,Master!G:G)</f>
        <v>#REF!</v>
      </c>
      <c r="AA265">
        <v>8</v>
      </c>
      <c r="AB265">
        <v>123</v>
      </c>
      <c r="AC265" t="s">
        <v>2003</v>
      </c>
      <c r="AD265" s="12">
        <v>0</v>
      </c>
      <c r="AE265" s="12">
        <v>1</v>
      </c>
    </row>
    <row r="266" spans="1:31" ht="16.25" customHeight="1" x14ac:dyDescent="0.2">
      <c r="A266" s="10" t="s">
        <v>1550</v>
      </c>
      <c r="B266" s="10" t="s">
        <v>449</v>
      </c>
      <c r="C266" s="29" t="s">
        <v>1551</v>
      </c>
      <c r="D266" s="29" t="s">
        <v>1709</v>
      </c>
      <c r="E266" s="10" t="s">
        <v>0</v>
      </c>
      <c r="F266" s="10"/>
      <c r="G266" s="10" t="s">
        <v>451</v>
      </c>
      <c r="H266" s="10"/>
      <c r="I266" s="30" t="s">
        <v>1498</v>
      </c>
      <c r="J266" s="30" t="s">
        <v>1515</v>
      </c>
      <c r="K266" s="30" t="s">
        <v>1545</v>
      </c>
      <c r="L266" s="30" t="s">
        <v>455</v>
      </c>
      <c r="M266" s="18" t="s">
        <v>0</v>
      </c>
      <c r="N266" s="18">
        <v>0</v>
      </c>
      <c r="O266" s="18">
        <v>0</v>
      </c>
      <c r="P266" s="18">
        <v>0</v>
      </c>
      <c r="Q266" s="18">
        <v>1</v>
      </c>
      <c r="R266" s="64">
        <v>6</v>
      </c>
      <c r="S266" s="64">
        <v>140</v>
      </c>
      <c r="T266" t="e">
        <f>_xlfn.XLOOKUP(A266,Master!#REF!,Master!G:G)</f>
        <v>#REF!</v>
      </c>
      <c r="AA266">
        <v>8</v>
      </c>
      <c r="AB266">
        <v>123</v>
      </c>
      <c r="AC266" t="s">
        <v>1997</v>
      </c>
      <c r="AD266" s="12">
        <v>0</v>
      </c>
      <c r="AE266" s="12">
        <v>1</v>
      </c>
    </row>
    <row r="267" spans="1:31" ht="16.25" customHeight="1" x14ac:dyDescent="0.2">
      <c r="A267" s="32" t="s">
        <v>1555</v>
      </c>
      <c r="B267" s="32" t="s">
        <v>449</v>
      </c>
      <c r="C267" s="33" t="s">
        <v>1556</v>
      </c>
      <c r="D267" s="33" t="s">
        <v>1742</v>
      </c>
      <c r="E267" s="32" t="s">
        <v>0</v>
      </c>
      <c r="F267" s="32"/>
      <c r="G267" s="32" t="s">
        <v>451</v>
      </c>
      <c r="H267" s="32"/>
      <c r="I267" s="30" t="s">
        <v>1498</v>
      </c>
      <c r="J267" s="30" t="s">
        <v>1515</v>
      </c>
      <c r="K267" s="30" t="s">
        <v>1545</v>
      </c>
      <c r="L267" s="30" t="s">
        <v>455</v>
      </c>
      <c r="M267" s="15" t="s">
        <v>0</v>
      </c>
      <c r="N267" s="15">
        <v>0</v>
      </c>
      <c r="O267" s="15">
        <v>0</v>
      </c>
      <c r="P267" s="15">
        <v>0</v>
      </c>
      <c r="Q267" s="15">
        <v>1</v>
      </c>
      <c r="R267" s="64">
        <v>6</v>
      </c>
      <c r="S267" s="64">
        <v>141</v>
      </c>
      <c r="T267" t="e">
        <f>_xlfn.XLOOKUP(A267,Master!#REF!,Master!G:G)</f>
        <v>#REF!</v>
      </c>
      <c r="AA267">
        <v>8</v>
      </c>
      <c r="AB267">
        <v>124</v>
      </c>
      <c r="AC267" t="s">
        <v>1922</v>
      </c>
      <c r="AD267" s="12">
        <v>0</v>
      </c>
      <c r="AE267" s="12">
        <v>1</v>
      </c>
    </row>
    <row r="268" spans="1:31" ht="16.25" customHeight="1" x14ac:dyDescent="0.2">
      <c r="A268" s="32" t="s">
        <v>1569</v>
      </c>
      <c r="B268" s="32" t="s">
        <v>449</v>
      </c>
      <c r="C268" s="33" t="s">
        <v>1570</v>
      </c>
      <c r="D268" s="33" t="s">
        <v>1735</v>
      </c>
      <c r="E268" s="32" t="s">
        <v>0</v>
      </c>
      <c r="F268" s="32"/>
      <c r="G268" s="32" t="s">
        <v>451</v>
      </c>
      <c r="H268" s="32"/>
      <c r="I268" s="30" t="s">
        <v>1498</v>
      </c>
      <c r="J268" s="30" t="s">
        <v>1515</v>
      </c>
      <c r="K268" s="30" t="s">
        <v>1545</v>
      </c>
      <c r="L268" s="30" t="s">
        <v>455</v>
      </c>
      <c r="M268" s="15" t="s">
        <v>0</v>
      </c>
      <c r="N268" s="15">
        <v>0</v>
      </c>
      <c r="O268" s="15">
        <v>0</v>
      </c>
      <c r="P268" s="15">
        <v>0</v>
      </c>
      <c r="Q268" s="15">
        <v>1</v>
      </c>
      <c r="R268" s="64">
        <v>6</v>
      </c>
      <c r="S268" s="64">
        <v>141</v>
      </c>
      <c r="T268" t="e">
        <f>_xlfn.XLOOKUP(A268,Master!#REF!,Master!G:G)</f>
        <v>#REF!</v>
      </c>
      <c r="AA268">
        <v>8</v>
      </c>
      <c r="AB268">
        <v>124</v>
      </c>
      <c r="AC268" t="s">
        <v>1908</v>
      </c>
      <c r="AD268" s="12">
        <v>0</v>
      </c>
      <c r="AE268" s="12">
        <v>1</v>
      </c>
    </row>
    <row r="269" spans="1:31" ht="16.25" customHeight="1" x14ac:dyDescent="0.2">
      <c r="A269" s="10" t="s">
        <v>1576</v>
      </c>
      <c r="B269" s="10" t="s">
        <v>449</v>
      </c>
      <c r="C269" s="29" t="s">
        <v>1577</v>
      </c>
      <c r="D269" s="29" t="s">
        <v>1751</v>
      </c>
      <c r="E269" s="10" t="s">
        <v>0</v>
      </c>
      <c r="F269" s="10"/>
      <c r="G269" s="10" t="s">
        <v>451</v>
      </c>
      <c r="H269" s="10"/>
      <c r="I269" s="30" t="s">
        <v>1498</v>
      </c>
      <c r="J269" s="30" t="s">
        <v>1515</v>
      </c>
      <c r="K269" s="30" t="s">
        <v>1545</v>
      </c>
      <c r="L269" s="30" t="s">
        <v>455</v>
      </c>
      <c r="M269" s="18" t="s">
        <v>0</v>
      </c>
      <c r="N269" s="18">
        <v>0</v>
      </c>
      <c r="O269" s="18">
        <v>0</v>
      </c>
      <c r="P269" s="18">
        <v>0</v>
      </c>
      <c r="Q269" s="18">
        <v>1</v>
      </c>
      <c r="R269" s="64">
        <v>6</v>
      </c>
      <c r="S269" s="64">
        <v>142</v>
      </c>
      <c r="T269" t="e">
        <f>_xlfn.XLOOKUP(A269,Master!#REF!,Master!G:G)</f>
        <v>#REF!</v>
      </c>
      <c r="AA269">
        <v>8</v>
      </c>
      <c r="AB269">
        <v>125</v>
      </c>
      <c r="AC269" t="s">
        <v>1901</v>
      </c>
      <c r="AD269" s="12">
        <v>0</v>
      </c>
      <c r="AE269" s="12">
        <v>1</v>
      </c>
    </row>
    <row r="270" spans="1:31" ht="16.25" customHeight="1" x14ac:dyDescent="0.2">
      <c r="A270" s="32" t="s">
        <v>1582</v>
      </c>
      <c r="B270" s="32" t="s">
        <v>449</v>
      </c>
      <c r="C270" s="33" t="s">
        <v>1583</v>
      </c>
      <c r="D270" s="33" t="s">
        <v>1762</v>
      </c>
      <c r="E270" s="32" t="s">
        <v>0</v>
      </c>
      <c r="F270" s="39"/>
      <c r="G270" s="32" t="s">
        <v>451</v>
      </c>
      <c r="H270" s="32"/>
      <c r="I270" s="30" t="s">
        <v>1498</v>
      </c>
      <c r="J270" s="30" t="s">
        <v>1515</v>
      </c>
      <c r="K270" s="30" t="s">
        <v>1545</v>
      </c>
      <c r="L270" s="30" t="s">
        <v>455</v>
      </c>
      <c r="M270" s="15" t="s">
        <v>0</v>
      </c>
      <c r="N270" s="15">
        <v>0</v>
      </c>
      <c r="O270" s="15">
        <v>0</v>
      </c>
      <c r="P270" s="15">
        <v>0</v>
      </c>
      <c r="Q270" s="15">
        <v>1</v>
      </c>
      <c r="R270" s="64">
        <v>6</v>
      </c>
      <c r="S270" s="64">
        <v>142</v>
      </c>
      <c r="T270" t="e">
        <f>_xlfn.XLOOKUP(A270,Master!#REF!,Master!G:G)</f>
        <v>#REF!</v>
      </c>
      <c r="AA270">
        <v>8</v>
      </c>
      <c r="AB270">
        <v>125</v>
      </c>
      <c r="AC270" t="s">
        <v>1895</v>
      </c>
      <c r="AD270" s="12">
        <v>0</v>
      </c>
      <c r="AE270" s="12">
        <v>1</v>
      </c>
    </row>
    <row r="271" spans="1:31" ht="16.25" customHeight="1" x14ac:dyDescent="0.2">
      <c r="A271" s="32" t="s">
        <v>1625</v>
      </c>
      <c r="B271" s="32" t="s">
        <v>449</v>
      </c>
      <c r="C271" s="33" t="s">
        <v>1626</v>
      </c>
      <c r="D271" s="33" t="s">
        <v>1785</v>
      </c>
      <c r="E271" s="32" t="s">
        <v>458</v>
      </c>
      <c r="F271" s="39" t="s">
        <v>284</v>
      </c>
      <c r="G271" s="32" t="s">
        <v>451</v>
      </c>
      <c r="H271" s="32"/>
      <c r="I271" s="30" t="s">
        <v>1498</v>
      </c>
      <c r="J271" s="30" t="s">
        <v>1627</v>
      </c>
      <c r="K271" s="30" t="s">
        <v>1628</v>
      </c>
      <c r="L271" s="30" t="s">
        <v>455</v>
      </c>
      <c r="M271" s="15" t="s">
        <v>458</v>
      </c>
      <c r="N271" s="15">
        <v>1</v>
      </c>
      <c r="O271" s="15">
        <v>1</v>
      </c>
      <c r="P271" s="15">
        <v>2</v>
      </c>
      <c r="Q271" s="15">
        <v>3</v>
      </c>
      <c r="R271" s="64">
        <v>6</v>
      </c>
      <c r="S271" s="64">
        <v>143</v>
      </c>
      <c r="T271" t="e">
        <f>_xlfn.XLOOKUP(A271,Master!#REF!,Master!G:G)</f>
        <v>#REF!</v>
      </c>
      <c r="AA271">
        <v>8</v>
      </c>
      <c r="AB271">
        <v>126</v>
      </c>
      <c r="AC271" t="s">
        <v>1972</v>
      </c>
      <c r="AD271" s="12">
        <v>0</v>
      </c>
      <c r="AE271" s="12">
        <v>1</v>
      </c>
    </row>
    <row r="272" spans="1:31" ht="16.25" customHeight="1" x14ac:dyDescent="0.2">
      <c r="A272" s="32" t="s">
        <v>1640</v>
      </c>
      <c r="B272" s="32" t="s">
        <v>449</v>
      </c>
      <c r="C272" s="33" t="s">
        <v>1641</v>
      </c>
      <c r="D272" s="33" t="s">
        <v>1790</v>
      </c>
      <c r="E272" s="32" t="s">
        <v>0</v>
      </c>
      <c r="F272" s="32"/>
      <c r="G272" s="32" t="s">
        <v>451</v>
      </c>
      <c r="H272" s="32" t="s">
        <v>1642</v>
      </c>
      <c r="I272" s="30" t="s">
        <v>1498</v>
      </c>
      <c r="J272" s="30" t="s">
        <v>1526</v>
      </c>
      <c r="K272" s="30" t="s">
        <v>1634</v>
      </c>
      <c r="L272" s="30" t="s">
        <v>455</v>
      </c>
      <c r="M272" s="15" t="s">
        <v>0</v>
      </c>
      <c r="N272" s="15">
        <v>0</v>
      </c>
      <c r="O272" s="15">
        <v>0</v>
      </c>
      <c r="P272" s="15">
        <v>0</v>
      </c>
      <c r="Q272" s="15">
        <v>1</v>
      </c>
      <c r="R272" s="64">
        <v>6</v>
      </c>
      <c r="S272" s="69">
        <v>144</v>
      </c>
      <c r="T272" t="e">
        <f>_xlfn.XLOOKUP(A272,Master!#REF!,Master!G:G)</f>
        <v>#REF!</v>
      </c>
      <c r="AA272">
        <v>8</v>
      </c>
      <c r="AB272">
        <v>126</v>
      </c>
      <c r="AC272" t="s">
        <v>1963</v>
      </c>
      <c r="AD272" s="12">
        <v>0</v>
      </c>
      <c r="AE272" s="12">
        <v>1</v>
      </c>
    </row>
    <row r="273" spans="1:31" ht="16.25" customHeight="1" x14ac:dyDescent="0.2">
      <c r="AA273">
        <v>8</v>
      </c>
      <c r="AB273">
        <v>127</v>
      </c>
      <c r="AC273" t="s">
        <v>1967</v>
      </c>
      <c r="AD273" s="12">
        <v>0</v>
      </c>
      <c r="AE273" s="12">
        <v>1</v>
      </c>
    </row>
    <row r="274" spans="1:31" ht="16.25" customHeight="1" x14ac:dyDescent="0.2">
      <c r="A274" s="32"/>
      <c r="B274" s="32"/>
      <c r="C274" s="33"/>
      <c r="D274" s="33"/>
      <c r="E274" s="32"/>
      <c r="F274" s="32"/>
      <c r="G274" s="32"/>
      <c r="H274" s="32"/>
      <c r="I274" s="30"/>
      <c r="J274" s="30"/>
      <c r="K274" s="30"/>
      <c r="L274" s="30"/>
      <c r="M274" s="15"/>
      <c r="N274" s="15"/>
      <c r="O274" s="15"/>
      <c r="P274" s="15"/>
      <c r="Q274" s="15"/>
      <c r="R274" s="17"/>
      <c r="S274" s="17"/>
      <c r="AA274" t="s">
        <v>2387</v>
      </c>
      <c r="AD274" s="12">
        <v>2</v>
      </c>
      <c r="AE274" s="12">
        <v>37</v>
      </c>
    </row>
    <row r="275" spans="1:31" x14ac:dyDescent="0.2">
      <c r="AA275" t="s">
        <v>2366</v>
      </c>
      <c r="AB275" t="s">
        <v>2366</v>
      </c>
      <c r="AC275" t="s">
        <v>2366</v>
      </c>
      <c r="AD275" s="12"/>
      <c r="AE275" s="12"/>
    </row>
    <row r="276" spans="1:31" x14ac:dyDescent="0.2">
      <c r="AA276" t="s">
        <v>2388</v>
      </c>
      <c r="AD276" s="12"/>
      <c r="AE276" s="12"/>
    </row>
    <row r="277" spans="1:31" x14ac:dyDescent="0.2">
      <c r="AA277" t="s">
        <v>2361</v>
      </c>
      <c r="AB277">
        <v>55</v>
      </c>
      <c r="AC277" t="s">
        <v>2298</v>
      </c>
      <c r="AD277" s="12">
        <v>0</v>
      </c>
      <c r="AE277" s="12">
        <v>1</v>
      </c>
    </row>
    <row r="278" spans="1:31" x14ac:dyDescent="0.2">
      <c r="AA278" t="s">
        <v>2361</v>
      </c>
      <c r="AB278">
        <v>78</v>
      </c>
      <c r="AC278" t="s">
        <v>2152</v>
      </c>
      <c r="AD278" s="12">
        <v>0</v>
      </c>
      <c r="AE278" s="12">
        <v>1</v>
      </c>
    </row>
    <row r="279" spans="1:31" x14ac:dyDescent="0.2">
      <c r="AA279" t="s">
        <v>2361</v>
      </c>
      <c r="AB279">
        <v>78</v>
      </c>
      <c r="AC279" t="s">
        <v>2313</v>
      </c>
      <c r="AD279" s="12">
        <v>0</v>
      </c>
      <c r="AE279" s="12">
        <v>1</v>
      </c>
    </row>
    <row r="280" spans="1:31" x14ac:dyDescent="0.2">
      <c r="AA280" t="s">
        <v>2361</v>
      </c>
      <c r="AB280">
        <v>92</v>
      </c>
      <c r="AC280" t="s">
        <v>2118</v>
      </c>
      <c r="AD280" s="12">
        <v>0</v>
      </c>
      <c r="AE280" s="12">
        <v>1</v>
      </c>
    </row>
    <row r="281" spans="1:31" x14ac:dyDescent="0.2">
      <c r="AA281" t="s">
        <v>2361</v>
      </c>
      <c r="AB281">
        <v>92</v>
      </c>
      <c r="AC281" t="s">
        <v>2129</v>
      </c>
      <c r="AD281" s="12">
        <v>0</v>
      </c>
      <c r="AE281" s="12">
        <v>1</v>
      </c>
    </row>
    <row r="282" spans="1:31" x14ac:dyDescent="0.2">
      <c r="AA282" t="s">
        <v>2361</v>
      </c>
      <c r="AB282">
        <v>93</v>
      </c>
      <c r="AC282" t="s">
        <v>2147</v>
      </c>
      <c r="AD282" s="12">
        <v>2</v>
      </c>
      <c r="AE282" s="12">
        <v>3</v>
      </c>
    </row>
    <row r="283" spans="1:31" x14ac:dyDescent="0.2">
      <c r="AA283" t="s">
        <v>2361</v>
      </c>
      <c r="AB283">
        <v>135</v>
      </c>
      <c r="AC283" t="s">
        <v>2290</v>
      </c>
      <c r="AD283" s="12">
        <v>0</v>
      </c>
      <c r="AE283" s="12">
        <v>1</v>
      </c>
    </row>
    <row r="284" spans="1:31" x14ac:dyDescent="0.2">
      <c r="AA284" t="s">
        <v>2361</v>
      </c>
      <c r="AB284">
        <v>77</v>
      </c>
      <c r="AC284" t="s">
        <v>2183</v>
      </c>
      <c r="AD284" s="12">
        <v>1</v>
      </c>
      <c r="AE284" s="12">
        <v>2</v>
      </c>
    </row>
    <row r="285" spans="1:31" x14ac:dyDescent="0.2">
      <c r="AA285" t="s">
        <v>2389</v>
      </c>
      <c r="AD285" s="12">
        <v>3</v>
      </c>
      <c r="AE285" s="12">
        <v>11</v>
      </c>
    </row>
    <row r="286" spans="1:31" x14ac:dyDescent="0.2">
      <c r="AA286" t="s">
        <v>2367</v>
      </c>
      <c r="AD286" s="12">
        <v>23</v>
      </c>
      <c r="AE286" s="12">
        <v>294</v>
      </c>
    </row>
  </sheetData>
  <autoFilter ref="A1:W274" xr:uid="{560193A3-B4EA-4548-A70F-3E55010F0B0C}"/>
  <conditionalFormatting sqref="A274 A1:A272">
    <cfRule type="duplicateValues" dxfId="14" priority="5"/>
  </conditionalFormatting>
  <conditionalFormatting sqref="A274:A1048576 A1:A272">
    <cfRule type="duplicateValues" dxfId="13" priority="4"/>
  </conditionalFormatting>
  <conditionalFormatting sqref="AJ1:AJ1048576">
    <cfRule type="duplicateValues" dxfId="12" priority="1"/>
  </conditionalFormatting>
  <conditionalFormatting sqref="AP1:AP1048576">
    <cfRule type="cellIs" dxfId="11" priority="2" operator="lessThan">
      <formula>2</formula>
    </cfRule>
    <cfRule type="cellIs" dxfId="10" priority="3" operator="greaterThan">
      <formula>2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5FF7C5-848B-4248-9AD5-1EDD00DD5A07}">
  <sheetPr filterMode="1"/>
  <dimension ref="A1:AC272"/>
  <sheetViews>
    <sheetView zoomScale="72" workbookViewId="0">
      <selection activeCell="R268" sqref="R268"/>
    </sheetView>
  </sheetViews>
  <sheetFormatPr baseColWidth="10" defaultColWidth="8.83203125" defaultRowHeight="15" x14ac:dyDescent="0.2"/>
  <cols>
    <col min="1" max="1" width="30.5" bestFit="1" customWidth="1"/>
    <col min="6" max="6" width="10.6640625" customWidth="1"/>
    <col min="9" max="9" width="34.33203125" bestFit="1" customWidth="1"/>
    <col min="10" max="10" width="30.6640625" bestFit="1" customWidth="1"/>
    <col min="25" max="25" width="17.1640625" bestFit="1" customWidth="1"/>
    <col min="26" max="26" width="18.5" bestFit="1" customWidth="1"/>
  </cols>
  <sheetData>
    <row r="1" spans="1:29" x14ac:dyDescent="0.2">
      <c r="A1" s="14" t="s">
        <v>417</v>
      </c>
      <c r="B1" s="14" t="s">
        <v>418</v>
      </c>
      <c r="C1" s="14" t="s">
        <v>419</v>
      </c>
      <c r="D1" s="14" t="s">
        <v>420</v>
      </c>
      <c r="E1" s="14" t="s">
        <v>421</v>
      </c>
      <c r="F1" s="14" t="s">
        <v>422</v>
      </c>
      <c r="G1" s="14" t="s">
        <v>423</v>
      </c>
      <c r="H1" s="14" t="s">
        <v>424</v>
      </c>
      <c r="I1" s="14" t="s">
        <v>425</v>
      </c>
      <c r="J1" s="14" t="s">
        <v>426</v>
      </c>
      <c r="K1" s="14" t="s">
        <v>427</v>
      </c>
      <c r="L1" s="27" t="s">
        <v>428</v>
      </c>
      <c r="M1" s="14" t="s">
        <v>429</v>
      </c>
      <c r="N1" s="14" t="s">
        <v>430</v>
      </c>
      <c r="O1" s="14" t="s">
        <v>431</v>
      </c>
      <c r="P1" s="14" t="s">
        <v>432</v>
      </c>
      <c r="Q1" s="14" t="s">
        <v>433</v>
      </c>
      <c r="R1" s="28" t="s">
        <v>434</v>
      </c>
      <c r="S1" s="28" t="s">
        <v>435</v>
      </c>
      <c r="Y1" s="9" t="s">
        <v>429</v>
      </c>
      <c r="Z1" t="s">
        <v>0</v>
      </c>
    </row>
    <row r="2" spans="1:29" hidden="1" x14ac:dyDescent="0.2">
      <c r="A2" s="10" t="s">
        <v>448</v>
      </c>
      <c r="B2" s="10" t="s">
        <v>449</v>
      </c>
      <c r="C2" s="29" t="s">
        <v>450</v>
      </c>
      <c r="D2" s="29" t="s">
        <v>682</v>
      </c>
      <c r="E2" s="10" t="s">
        <v>0</v>
      </c>
      <c r="F2" s="10"/>
      <c r="G2" s="10" t="s">
        <v>451</v>
      </c>
      <c r="H2" s="10"/>
      <c r="I2" s="30" t="s">
        <v>452</v>
      </c>
      <c r="J2" s="30" t="s">
        <v>453</v>
      </c>
      <c r="K2" s="30" t="s">
        <v>454</v>
      </c>
      <c r="L2" s="30" t="s">
        <v>455</v>
      </c>
      <c r="M2" s="18" t="s">
        <v>0</v>
      </c>
      <c r="N2" s="18">
        <v>0</v>
      </c>
      <c r="O2" s="18">
        <v>0</v>
      </c>
      <c r="P2" s="18">
        <v>0</v>
      </c>
      <c r="Q2" s="18">
        <v>1</v>
      </c>
      <c r="R2" s="31">
        <v>3</v>
      </c>
      <c r="S2" s="31">
        <v>45</v>
      </c>
    </row>
    <row r="3" spans="1:29" hidden="1" x14ac:dyDescent="0.2">
      <c r="A3" s="32" t="s">
        <v>467</v>
      </c>
      <c r="B3" s="32" t="s">
        <v>449</v>
      </c>
      <c r="C3" s="33" t="s">
        <v>464</v>
      </c>
      <c r="D3" s="33" t="s">
        <v>465</v>
      </c>
      <c r="E3" s="32" t="s">
        <v>0</v>
      </c>
      <c r="F3" s="32"/>
      <c r="G3" s="32" t="s">
        <v>451</v>
      </c>
      <c r="H3" s="32"/>
      <c r="I3" s="30" t="s">
        <v>452</v>
      </c>
      <c r="J3" s="30" t="s">
        <v>453</v>
      </c>
      <c r="K3" s="30" t="s">
        <v>468</v>
      </c>
      <c r="L3" s="30" t="s">
        <v>455</v>
      </c>
      <c r="M3" s="15" t="s">
        <v>0</v>
      </c>
      <c r="N3" s="15">
        <v>0</v>
      </c>
      <c r="O3" s="15">
        <v>0</v>
      </c>
      <c r="P3" s="15">
        <v>0</v>
      </c>
      <c r="Q3" s="15">
        <v>1</v>
      </c>
      <c r="R3" s="31">
        <v>1</v>
      </c>
      <c r="S3" s="31">
        <v>1</v>
      </c>
      <c r="Y3" s="9" t="s">
        <v>2390</v>
      </c>
      <c r="Z3" t="s">
        <v>2350</v>
      </c>
      <c r="AB3">
        <f>MAX(Z:Z)</f>
        <v>256</v>
      </c>
    </row>
    <row r="4" spans="1:29" hidden="1" x14ac:dyDescent="0.2">
      <c r="A4" s="10" t="s">
        <v>475</v>
      </c>
      <c r="B4" s="10" t="s">
        <v>449</v>
      </c>
      <c r="C4" s="29" t="s">
        <v>476</v>
      </c>
      <c r="D4" s="29" t="s">
        <v>479</v>
      </c>
      <c r="E4" s="10" t="s">
        <v>0</v>
      </c>
      <c r="F4" s="10"/>
      <c r="G4" s="10" t="s">
        <v>451</v>
      </c>
      <c r="H4" s="10"/>
      <c r="I4" s="30" t="s">
        <v>452</v>
      </c>
      <c r="J4" s="30" t="s">
        <v>453</v>
      </c>
      <c r="K4" s="30" t="s">
        <v>468</v>
      </c>
      <c r="L4" s="30" t="s">
        <v>455</v>
      </c>
      <c r="M4" s="18" t="s">
        <v>0</v>
      </c>
      <c r="N4" s="18">
        <v>0</v>
      </c>
      <c r="O4" s="18">
        <v>0</v>
      </c>
      <c r="P4" s="18">
        <v>0</v>
      </c>
      <c r="Q4" s="18">
        <v>1</v>
      </c>
      <c r="R4" s="31">
        <v>1</v>
      </c>
      <c r="S4" s="31">
        <v>2</v>
      </c>
      <c r="Y4" s="71">
        <v>1</v>
      </c>
      <c r="Z4">
        <v>2</v>
      </c>
      <c r="AC4">
        <f>Z4</f>
        <v>2</v>
      </c>
    </row>
    <row r="5" spans="1:29" hidden="1" x14ac:dyDescent="0.2">
      <c r="A5" s="32" t="s">
        <v>480</v>
      </c>
      <c r="B5" s="32" t="s">
        <v>449</v>
      </c>
      <c r="C5" s="33" t="s">
        <v>472</v>
      </c>
      <c r="D5" s="33" t="s">
        <v>473</v>
      </c>
      <c r="E5" s="32" t="s">
        <v>0</v>
      </c>
      <c r="F5" s="26"/>
      <c r="G5" s="32" t="s">
        <v>451</v>
      </c>
      <c r="H5" s="32" t="s">
        <v>481</v>
      </c>
      <c r="I5" s="30" t="s">
        <v>452</v>
      </c>
      <c r="J5" s="30" t="s">
        <v>453</v>
      </c>
      <c r="K5" s="30" t="s">
        <v>468</v>
      </c>
      <c r="L5" s="30" t="s">
        <v>455</v>
      </c>
      <c r="M5" s="15" t="s">
        <v>0</v>
      </c>
      <c r="N5" s="15">
        <v>0</v>
      </c>
      <c r="O5" s="15">
        <v>0</v>
      </c>
      <c r="P5" s="15">
        <v>0</v>
      </c>
      <c r="Q5" s="15">
        <v>1</v>
      </c>
      <c r="R5" s="31">
        <v>1</v>
      </c>
      <c r="S5" s="31">
        <v>2</v>
      </c>
      <c r="Y5" s="71">
        <v>2</v>
      </c>
      <c r="Z5">
        <v>2</v>
      </c>
      <c r="AC5">
        <f t="shared" ref="AC5:AC68" si="0">Z5</f>
        <v>2</v>
      </c>
    </row>
    <row r="6" spans="1:29" hidden="1" x14ac:dyDescent="0.2">
      <c r="A6" s="32" t="s">
        <v>530</v>
      </c>
      <c r="B6" s="32" t="s">
        <v>449</v>
      </c>
      <c r="C6" s="33" t="s">
        <v>531</v>
      </c>
      <c r="D6" s="33" t="s">
        <v>554</v>
      </c>
      <c r="E6" s="32" t="s">
        <v>0</v>
      </c>
      <c r="F6" s="32"/>
      <c r="G6" s="32" t="s">
        <v>451</v>
      </c>
      <c r="H6" s="32"/>
      <c r="I6" s="30" t="s">
        <v>452</v>
      </c>
      <c r="J6" s="30" t="s">
        <v>453</v>
      </c>
      <c r="K6" s="30" t="s">
        <v>454</v>
      </c>
      <c r="L6" s="30" t="s">
        <v>455</v>
      </c>
      <c r="M6" s="15" t="s">
        <v>0</v>
      </c>
      <c r="N6" s="15">
        <v>0</v>
      </c>
      <c r="O6" s="15">
        <v>0</v>
      </c>
      <c r="P6" s="15">
        <v>0</v>
      </c>
      <c r="Q6" s="15">
        <v>1</v>
      </c>
      <c r="R6" s="31">
        <v>1</v>
      </c>
      <c r="S6" s="31">
        <v>3</v>
      </c>
      <c r="Y6" s="71">
        <v>3</v>
      </c>
      <c r="Z6">
        <v>2</v>
      </c>
      <c r="AC6">
        <f t="shared" si="0"/>
        <v>2</v>
      </c>
    </row>
    <row r="7" spans="1:29" hidden="1" x14ac:dyDescent="0.2">
      <c r="A7" s="10" t="s">
        <v>537</v>
      </c>
      <c r="B7" s="10" t="s">
        <v>449</v>
      </c>
      <c r="C7" s="29" t="s">
        <v>538</v>
      </c>
      <c r="D7" s="29" t="s">
        <v>560</v>
      </c>
      <c r="E7" s="10" t="s">
        <v>0</v>
      </c>
      <c r="F7" s="10"/>
      <c r="G7" s="10" t="s">
        <v>451</v>
      </c>
      <c r="H7" s="10" t="s">
        <v>539</v>
      </c>
      <c r="I7" s="30" t="s">
        <v>452</v>
      </c>
      <c r="J7" s="30" t="s">
        <v>453</v>
      </c>
      <c r="K7" s="30" t="s">
        <v>454</v>
      </c>
      <c r="L7" s="30" t="s">
        <v>455</v>
      </c>
      <c r="M7" s="18" t="s">
        <v>0</v>
      </c>
      <c r="N7" s="18">
        <v>0</v>
      </c>
      <c r="O7" s="18">
        <v>0</v>
      </c>
      <c r="P7" s="18">
        <v>0</v>
      </c>
      <c r="Q7" s="18">
        <v>1</v>
      </c>
      <c r="R7" s="31">
        <v>1</v>
      </c>
      <c r="S7" s="31">
        <v>3</v>
      </c>
      <c r="Y7" s="71">
        <v>4</v>
      </c>
      <c r="Z7">
        <v>2</v>
      </c>
      <c r="AC7">
        <f t="shared" si="0"/>
        <v>2</v>
      </c>
    </row>
    <row r="8" spans="1:29" hidden="1" x14ac:dyDescent="0.2">
      <c r="A8" s="32" t="s">
        <v>511</v>
      </c>
      <c r="B8" s="32" t="s">
        <v>449</v>
      </c>
      <c r="C8" s="33" t="s">
        <v>512</v>
      </c>
      <c r="D8" s="33" t="s">
        <v>565</v>
      </c>
      <c r="E8" s="32" t="s">
        <v>0</v>
      </c>
      <c r="F8" s="32"/>
      <c r="G8" s="32" t="s">
        <v>451</v>
      </c>
      <c r="H8" s="32"/>
      <c r="I8" s="30" t="s">
        <v>452</v>
      </c>
      <c r="J8" s="30" t="s">
        <v>453</v>
      </c>
      <c r="K8" s="30" t="s">
        <v>454</v>
      </c>
      <c r="L8" s="30" t="s">
        <v>455</v>
      </c>
      <c r="M8" s="15" t="s">
        <v>0</v>
      </c>
      <c r="N8" s="15">
        <v>0</v>
      </c>
      <c r="O8" s="15">
        <v>0</v>
      </c>
      <c r="P8" s="15">
        <v>0</v>
      </c>
      <c r="Q8" s="15">
        <v>1</v>
      </c>
      <c r="R8" s="31">
        <v>1</v>
      </c>
      <c r="S8" s="31">
        <v>4</v>
      </c>
      <c r="Y8" s="71">
        <v>5</v>
      </c>
      <c r="Z8">
        <v>2</v>
      </c>
      <c r="AC8">
        <f t="shared" si="0"/>
        <v>2</v>
      </c>
    </row>
    <row r="9" spans="1:29" hidden="1" x14ac:dyDescent="0.2">
      <c r="A9" s="10" t="s">
        <v>519</v>
      </c>
      <c r="B9" s="10" t="s">
        <v>449</v>
      </c>
      <c r="C9" s="29" t="s">
        <v>520</v>
      </c>
      <c r="D9" s="29" t="s">
        <v>570</v>
      </c>
      <c r="E9" s="10" t="s">
        <v>0</v>
      </c>
      <c r="F9" s="10"/>
      <c r="G9" s="10" t="s">
        <v>451</v>
      </c>
      <c r="H9" s="10"/>
      <c r="I9" s="30" t="s">
        <v>452</v>
      </c>
      <c r="J9" s="30" t="s">
        <v>453</v>
      </c>
      <c r="K9" s="30" t="s">
        <v>454</v>
      </c>
      <c r="L9" s="30" t="s">
        <v>455</v>
      </c>
      <c r="M9" s="18" t="s">
        <v>0</v>
      </c>
      <c r="N9" s="18">
        <v>0</v>
      </c>
      <c r="O9" s="18">
        <v>0</v>
      </c>
      <c r="P9" s="18">
        <v>0</v>
      </c>
      <c r="Q9" s="18">
        <v>1</v>
      </c>
      <c r="R9" s="31">
        <v>1</v>
      </c>
      <c r="S9" s="31">
        <v>4</v>
      </c>
      <c r="Y9" s="71">
        <v>6</v>
      </c>
      <c r="Z9">
        <v>2</v>
      </c>
      <c r="AC9">
        <f t="shared" si="0"/>
        <v>2</v>
      </c>
    </row>
    <row r="10" spans="1:29" hidden="1" x14ac:dyDescent="0.2">
      <c r="A10" s="32" t="s">
        <v>525</v>
      </c>
      <c r="B10" s="32" t="s">
        <v>449</v>
      </c>
      <c r="C10" s="33" t="s">
        <v>526</v>
      </c>
      <c r="D10" s="33" t="s">
        <v>576</v>
      </c>
      <c r="E10" s="32" t="s">
        <v>0</v>
      </c>
      <c r="F10" s="32"/>
      <c r="G10" s="32" t="s">
        <v>451</v>
      </c>
      <c r="H10" s="32"/>
      <c r="I10" s="30" t="s">
        <v>452</v>
      </c>
      <c r="J10" s="30" t="s">
        <v>453</v>
      </c>
      <c r="K10" s="30" t="s">
        <v>454</v>
      </c>
      <c r="L10" s="30" t="s">
        <v>455</v>
      </c>
      <c r="M10" s="15" t="s">
        <v>0</v>
      </c>
      <c r="N10" s="15">
        <v>0</v>
      </c>
      <c r="O10" s="15">
        <v>0</v>
      </c>
      <c r="P10" s="15">
        <v>0</v>
      </c>
      <c r="Q10" s="15">
        <v>1</v>
      </c>
      <c r="R10" s="31">
        <v>1</v>
      </c>
      <c r="S10" s="31">
        <v>5</v>
      </c>
      <c r="Y10" s="71">
        <v>7</v>
      </c>
      <c r="Z10">
        <v>2</v>
      </c>
      <c r="AC10">
        <f t="shared" si="0"/>
        <v>2</v>
      </c>
    </row>
    <row r="11" spans="1:29" hidden="1" x14ac:dyDescent="0.2">
      <c r="A11" s="32" t="s">
        <v>543</v>
      </c>
      <c r="B11" s="32" t="s">
        <v>449</v>
      </c>
      <c r="C11" s="33" t="s">
        <v>544</v>
      </c>
      <c r="D11" s="33" t="s">
        <v>581</v>
      </c>
      <c r="E11" s="32" t="s">
        <v>0</v>
      </c>
      <c r="F11" s="32"/>
      <c r="G11" s="32" t="s">
        <v>451</v>
      </c>
      <c r="H11" s="32"/>
      <c r="I11" s="30" t="s">
        <v>452</v>
      </c>
      <c r="J11" s="30" t="s">
        <v>453</v>
      </c>
      <c r="K11" s="30" t="s">
        <v>454</v>
      </c>
      <c r="L11" s="30" t="s">
        <v>455</v>
      </c>
      <c r="M11" s="15" t="s">
        <v>0</v>
      </c>
      <c r="N11" s="15">
        <v>0</v>
      </c>
      <c r="O11" s="15">
        <v>0</v>
      </c>
      <c r="P11" s="15">
        <v>0</v>
      </c>
      <c r="Q11" s="15">
        <v>1</v>
      </c>
      <c r="R11" s="31">
        <v>1</v>
      </c>
      <c r="S11" s="31">
        <v>5</v>
      </c>
      <c r="Y11" s="71">
        <v>8</v>
      </c>
      <c r="Z11">
        <v>2</v>
      </c>
      <c r="AC11">
        <f t="shared" si="0"/>
        <v>2</v>
      </c>
    </row>
    <row r="12" spans="1:29" hidden="1" x14ac:dyDescent="0.2">
      <c r="A12" s="10" t="s">
        <v>550</v>
      </c>
      <c r="B12" s="10" t="s">
        <v>449</v>
      </c>
      <c r="C12" s="29" t="s">
        <v>486</v>
      </c>
      <c r="D12" s="29" t="s">
        <v>487</v>
      </c>
      <c r="E12" s="10" t="s">
        <v>0</v>
      </c>
      <c r="F12" s="10"/>
      <c r="G12" s="10" t="s">
        <v>451</v>
      </c>
      <c r="H12" s="10"/>
      <c r="I12" s="30" t="s">
        <v>452</v>
      </c>
      <c r="J12" s="30" t="s">
        <v>453</v>
      </c>
      <c r="K12" s="30" t="s">
        <v>454</v>
      </c>
      <c r="L12" s="30" t="s">
        <v>455</v>
      </c>
      <c r="M12" s="18" t="s">
        <v>0</v>
      </c>
      <c r="N12" s="18">
        <v>0</v>
      </c>
      <c r="O12" s="18">
        <v>0</v>
      </c>
      <c r="P12" s="18">
        <v>0</v>
      </c>
      <c r="Q12" s="18">
        <v>1</v>
      </c>
      <c r="R12" s="31">
        <v>1</v>
      </c>
      <c r="S12" s="31">
        <v>6</v>
      </c>
      <c r="Y12" s="71">
        <v>9</v>
      </c>
      <c r="Z12">
        <v>2</v>
      </c>
      <c r="AC12">
        <f t="shared" si="0"/>
        <v>2</v>
      </c>
    </row>
    <row r="13" spans="1:29" hidden="1" x14ac:dyDescent="0.2">
      <c r="A13" s="10" t="s">
        <v>561</v>
      </c>
      <c r="B13" s="10" t="s">
        <v>449</v>
      </c>
      <c r="C13" s="29" t="s">
        <v>495</v>
      </c>
      <c r="D13" s="29" t="s">
        <v>496</v>
      </c>
      <c r="E13" s="10" t="s">
        <v>0</v>
      </c>
      <c r="F13" s="10"/>
      <c r="G13" s="10" t="s">
        <v>451</v>
      </c>
      <c r="H13" s="10"/>
      <c r="I13" s="30" t="s">
        <v>452</v>
      </c>
      <c r="J13" s="30" t="s">
        <v>453</v>
      </c>
      <c r="K13" s="30" t="s">
        <v>454</v>
      </c>
      <c r="L13" s="30" t="s">
        <v>455</v>
      </c>
      <c r="M13" s="18" t="s">
        <v>0</v>
      </c>
      <c r="N13" s="18">
        <v>0</v>
      </c>
      <c r="O13" s="18">
        <v>0</v>
      </c>
      <c r="P13" s="18">
        <v>0</v>
      </c>
      <c r="Q13" s="18">
        <v>1</v>
      </c>
      <c r="R13" s="31">
        <v>1</v>
      </c>
      <c r="S13" s="31">
        <v>6</v>
      </c>
      <c r="Y13" s="71">
        <v>10</v>
      </c>
      <c r="Z13">
        <v>2</v>
      </c>
      <c r="AC13">
        <f t="shared" si="0"/>
        <v>2</v>
      </c>
    </row>
    <row r="14" spans="1:29" hidden="1" x14ac:dyDescent="0.2">
      <c r="A14" s="43" t="s">
        <v>555</v>
      </c>
      <c r="B14" s="32" t="s">
        <v>449</v>
      </c>
      <c r="C14" s="32" t="s">
        <v>556</v>
      </c>
      <c r="D14" s="32" t="s">
        <v>2351</v>
      </c>
      <c r="E14" s="32" t="s">
        <v>0</v>
      </c>
      <c r="F14" s="32"/>
      <c r="G14" s="32" t="s">
        <v>451</v>
      </c>
      <c r="H14" s="32" t="s">
        <v>557</v>
      </c>
      <c r="I14" s="30" t="s">
        <v>452</v>
      </c>
      <c r="J14" s="30" t="s">
        <v>453</v>
      </c>
      <c r="K14" s="30" t="s">
        <v>454</v>
      </c>
      <c r="L14" s="30" t="s">
        <v>455</v>
      </c>
      <c r="M14" s="15" t="s">
        <v>0</v>
      </c>
      <c r="N14" s="15">
        <v>0</v>
      </c>
      <c r="O14" s="15">
        <v>0</v>
      </c>
      <c r="P14" s="15">
        <v>0</v>
      </c>
      <c r="Q14" s="15">
        <v>1</v>
      </c>
      <c r="R14" s="31">
        <v>1</v>
      </c>
      <c r="S14" s="31">
        <v>7</v>
      </c>
      <c r="Y14" s="71">
        <v>11</v>
      </c>
      <c r="Z14">
        <v>2</v>
      </c>
      <c r="AC14">
        <f t="shared" si="0"/>
        <v>2</v>
      </c>
    </row>
    <row r="15" spans="1:29" hidden="1" x14ac:dyDescent="0.2">
      <c r="A15" s="32" t="s">
        <v>566</v>
      </c>
      <c r="B15" s="32" t="s">
        <v>449</v>
      </c>
      <c r="C15" s="33" t="s">
        <v>567</v>
      </c>
      <c r="D15" s="33" t="s">
        <v>599</v>
      </c>
      <c r="E15" s="32" t="s">
        <v>0</v>
      </c>
      <c r="F15" s="32"/>
      <c r="G15" s="32" t="s">
        <v>451</v>
      </c>
      <c r="H15" s="32"/>
      <c r="I15" s="30" t="s">
        <v>452</v>
      </c>
      <c r="J15" s="30" t="s">
        <v>453</v>
      </c>
      <c r="K15" s="30" t="s">
        <v>454</v>
      </c>
      <c r="L15" s="30" t="s">
        <v>455</v>
      </c>
      <c r="M15" s="15" t="s">
        <v>0</v>
      </c>
      <c r="N15" s="15">
        <v>0</v>
      </c>
      <c r="O15" s="15">
        <v>0</v>
      </c>
      <c r="P15" s="15">
        <v>0</v>
      </c>
      <c r="Q15" s="15">
        <v>1</v>
      </c>
      <c r="R15" s="31">
        <v>1</v>
      </c>
      <c r="S15" s="31">
        <v>7</v>
      </c>
      <c r="Y15" s="71">
        <v>12</v>
      </c>
      <c r="Z15">
        <v>2</v>
      </c>
      <c r="AC15">
        <f t="shared" si="0"/>
        <v>2</v>
      </c>
    </row>
    <row r="16" spans="1:29" hidden="1" x14ac:dyDescent="0.2">
      <c r="A16" s="17" t="s">
        <v>571</v>
      </c>
      <c r="B16" s="10" t="s">
        <v>449</v>
      </c>
      <c r="C16" s="10" t="s">
        <v>572</v>
      </c>
      <c r="D16" s="10" t="s">
        <v>2352</v>
      </c>
      <c r="E16" s="10" t="s">
        <v>0</v>
      </c>
      <c r="F16" s="10"/>
      <c r="G16" s="10" t="s">
        <v>451</v>
      </c>
      <c r="H16" s="10"/>
      <c r="I16" s="30" t="s">
        <v>452</v>
      </c>
      <c r="J16" s="30" t="s">
        <v>453</v>
      </c>
      <c r="K16" s="30" t="s">
        <v>454</v>
      </c>
      <c r="L16" s="30" t="s">
        <v>455</v>
      </c>
      <c r="M16" s="18" t="s">
        <v>0</v>
      </c>
      <c r="N16" s="18">
        <v>0</v>
      </c>
      <c r="O16" s="18">
        <v>0</v>
      </c>
      <c r="P16" s="18">
        <v>0</v>
      </c>
      <c r="Q16" s="18">
        <v>1</v>
      </c>
      <c r="R16" s="31">
        <v>1</v>
      </c>
      <c r="S16" s="31">
        <v>8</v>
      </c>
      <c r="Y16" s="71">
        <v>13</v>
      </c>
      <c r="Z16">
        <v>2</v>
      </c>
      <c r="AC16">
        <f t="shared" si="0"/>
        <v>2</v>
      </c>
    </row>
    <row r="17" spans="1:29" hidden="1" x14ac:dyDescent="0.2">
      <c r="A17" s="32" t="s">
        <v>582</v>
      </c>
      <c r="B17" s="32" t="s">
        <v>449</v>
      </c>
      <c r="C17" s="33" t="s">
        <v>583</v>
      </c>
      <c r="D17" s="33" t="s">
        <v>604</v>
      </c>
      <c r="E17" s="32" t="s">
        <v>0</v>
      </c>
      <c r="F17" s="32"/>
      <c r="G17" s="32" t="s">
        <v>451</v>
      </c>
      <c r="H17" s="32"/>
      <c r="I17" s="30" t="s">
        <v>452</v>
      </c>
      <c r="J17" s="30" t="s">
        <v>453</v>
      </c>
      <c r="K17" s="30" t="s">
        <v>468</v>
      </c>
      <c r="L17" s="30" t="s">
        <v>455</v>
      </c>
      <c r="M17" s="15" t="s">
        <v>0</v>
      </c>
      <c r="N17" s="15">
        <v>0</v>
      </c>
      <c r="O17" s="15">
        <v>0</v>
      </c>
      <c r="P17" s="15">
        <v>0</v>
      </c>
      <c r="Q17" s="15">
        <v>1</v>
      </c>
      <c r="R17" s="31">
        <v>1</v>
      </c>
      <c r="S17" s="31">
        <v>8</v>
      </c>
      <c r="Y17" s="71">
        <v>14</v>
      </c>
      <c r="Z17">
        <v>2</v>
      </c>
      <c r="AC17">
        <f t="shared" si="0"/>
        <v>2</v>
      </c>
    </row>
    <row r="18" spans="1:29" hidden="1" x14ac:dyDescent="0.2">
      <c r="A18" s="10" t="s">
        <v>588</v>
      </c>
      <c r="B18" s="10" t="s">
        <v>449</v>
      </c>
      <c r="C18" s="29" t="s">
        <v>589</v>
      </c>
      <c r="D18" s="29" t="s">
        <v>616</v>
      </c>
      <c r="E18" s="10" t="s">
        <v>0</v>
      </c>
      <c r="F18" s="10"/>
      <c r="G18" s="10" t="s">
        <v>451</v>
      </c>
      <c r="H18" s="10"/>
      <c r="I18" s="30" t="s">
        <v>452</v>
      </c>
      <c r="J18" s="30" t="s">
        <v>453</v>
      </c>
      <c r="K18" s="30" t="s">
        <v>468</v>
      </c>
      <c r="L18" s="30" t="s">
        <v>455</v>
      </c>
      <c r="M18" s="18" t="s">
        <v>0</v>
      </c>
      <c r="N18" s="18">
        <v>0</v>
      </c>
      <c r="O18" s="18">
        <v>0</v>
      </c>
      <c r="P18" s="18">
        <v>0</v>
      </c>
      <c r="Q18" s="18">
        <v>1</v>
      </c>
      <c r="R18" s="31">
        <v>1</v>
      </c>
      <c r="S18" s="31">
        <v>9</v>
      </c>
      <c r="Y18" s="71">
        <v>15</v>
      </c>
      <c r="Z18">
        <v>2</v>
      </c>
      <c r="AC18">
        <f t="shared" si="0"/>
        <v>2</v>
      </c>
    </row>
    <row r="19" spans="1:29" hidden="1" x14ac:dyDescent="0.2">
      <c r="A19" s="10" t="s">
        <v>623</v>
      </c>
      <c r="B19" s="10" t="s">
        <v>449</v>
      </c>
      <c r="C19" s="29" t="s">
        <v>610</v>
      </c>
      <c r="D19" s="29" t="s">
        <v>611</v>
      </c>
      <c r="E19" s="10" t="s">
        <v>0</v>
      </c>
      <c r="F19" s="10"/>
      <c r="G19" s="10" t="s">
        <v>451</v>
      </c>
      <c r="H19" s="10"/>
      <c r="I19" s="30" t="s">
        <v>452</v>
      </c>
      <c r="J19" s="30" t="s">
        <v>453</v>
      </c>
      <c r="K19" s="30" t="s">
        <v>468</v>
      </c>
      <c r="L19" s="30" t="s">
        <v>455</v>
      </c>
      <c r="M19" s="18" t="s">
        <v>0</v>
      </c>
      <c r="N19" s="18">
        <v>0</v>
      </c>
      <c r="O19" s="18">
        <v>0</v>
      </c>
      <c r="P19" s="18">
        <v>0</v>
      </c>
      <c r="Q19" s="18">
        <v>1</v>
      </c>
      <c r="R19" s="31">
        <v>1</v>
      </c>
      <c r="S19" s="31">
        <v>9</v>
      </c>
      <c r="Y19" s="71">
        <v>16</v>
      </c>
      <c r="Z19">
        <v>2</v>
      </c>
      <c r="AC19">
        <f t="shared" si="0"/>
        <v>2</v>
      </c>
    </row>
    <row r="20" spans="1:29" hidden="1" x14ac:dyDescent="0.2">
      <c r="A20" s="32" t="s">
        <v>617</v>
      </c>
      <c r="B20" s="32" t="s">
        <v>449</v>
      </c>
      <c r="C20" s="33" t="s">
        <v>502</v>
      </c>
      <c r="D20" s="33" t="s">
        <v>503</v>
      </c>
      <c r="E20" s="32" t="s">
        <v>0</v>
      </c>
      <c r="F20" s="32"/>
      <c r="G20" s="32" t="s">
        <v>451</v>
      </c>
      <c r="H20" s="32"/>
      <c r="I20" s="30" t="s">
        <v>452</v>
      </c>
      <c r="J20" s="30" t="s">
        <v>453</v>
      </c>
      <c r="K20" s="30" t="s">
        <v>468</v>
      </c>
      <c r="L20" s="30" t="s">
        <v>455</v>
      </c>
      <c r="M20" s="15" t="s">
        <v>0</v>
      </c>
      <c r="N20" s="15">
        <v>0</v>
      </c>
      <c r="O20" s="15">
        <v>0</v>
      </c>
      <c r="P20" s="15">
        <v>0</v>
      </c>
      <c r="Q20" s="15">
        <v>1</v>
      </c>
      <c r="R20" s="31">
        <v>1</v>
      </c>
      <c r="S20" s="31">
        <v>10</v>
      </c>
      <c r="Y20" s="71">
        <v>17</v>
      </c>
      <c r="Z20">
        <v>2</v>
      </c>
      <c r="AC20">
        <f t="shared" si="0"/>
        <v>2</v>
      </c>
    </row>
    <row r="21" spans="1:29" hidden="1" x14ac:dyDescent="0.2">
      <c r="A21" s="10" t="s">
        <v>637</v>
      </c>
      <c r="B21" s="10" t="s">
        <v>449</v>
      </c>
      <c r="C21" s="29" t="s">
        <v>510</v>
      </c>
      <c r="D21" s="29" t="s">
        <v>408</v>
      </c>
      <c r="E21" s="10" t="s">
        <v>0</v>
      </c>
      <c r="F21" s="10"/>
      <c r="G21" s="10" t="s">
        <v>451</v>
      </c>
      <c r="H21" s="10"/>
      <c r="I21" s="30" t="s">
        <v>452</v>
      </c>
      <c r="J21" s="30" t="s">
        <v>453</v>
      </c>
      <c r="K21" s="30" t="s">
        <v>468</v>
      </c>
      <c r="L21" s="30" t="s">
        <v>455</v>
      </c>
      <c r="M21" s="18" t="s">
        <v>0</v>
      </c>
      <c r="N21" s="18">
        <v>0</v>
      </c>
      <c r="O21" s="18">
        <v>0</v>
      </c>
      <c r="P21" s="18">
        <v>0</v>
      </c>
      <c r="Q21" s="18">
        <v>1</v>
      </c>
      <c r="R21" s="31">
        <v>1</v>
      </c>
      <c r="S21" s="31">
        <v>10</v>
      </c>
      <c r="Y21" s="71">
        <v>18</v>
      </c>
      <c r="Z21">
        <v>2</v>
      </c>
      <c r="AC21">
        <f t="shared" si="0"/>
        <v>2</v>
      </c>
    </row>
    <row r="22" spans="1:29" hidden="1" x14ac:dyDescent="0.2">
      <c r="A22" s="10" t="s">
        <v>659</v>
      </c>
      <c r="B22" s="10" t="s">
        <v>449</v>
      </c>
      <c r="C22" s="29" t="s">
        <v>621</v>
      </c>
      <c r="D22" s="29" t="s">
        <v>622</v>
      </c>
      <c r="E22" s="10" t="s">
        <v>0</v>
      </c>
      <c r="F22" s="10"/>
      <c r="G22" s="10" t="s">
        <v>451</v>
      </c>
      <c r="H22" s="10"/>
      <c r="I22" s="30" t="s">
        <v>452</v>
      </c>
      <c r="J22" s="30" t="s">
        <v>453</v>
      </c>
      <c r="K22" s="30" t="s">
        <v>468</v>
      </c>
      <c r="L22" s="30" t="s">
        <v>455</v>
      </c>
      <c r="M22" s="18" t="s">
        <v>0</v>
      </c>
      <c r="N22" s="18">
        <v>0</v>
      </c>
      <c r="O22" s="18">
        <v>0</v>
      </c>
      <c r="P22" s="18">
        <v>0</v>
      </c>
      <c r="Q22" s="18">
        <v>1</v>
      </c>
      <c r="R22" s="31">
        <v>1</v>
      </c>
      <c r="S22" s="31">
        <v>11</v>
      </c>
      <c r="Y22" s="71">
        <v>19</v>
      </c>
      <c r="Z22">
        <v>2</v>
      </c>
      <c r="AC22">
        <f t="shared" si="0"/>
        <v>2</v>
      </c>
    </row>
    <row r="23" spans="1:29" hidden="1" x14ac:dyDescent="0.2">
      <c r="A23" s="10" t="s">
        <v>600</v>
      </c>
      <c r="B23" s="10" t="s">
        <v>449</v>
      </c>
      <c r="C23" s="29" t="s">
        <v>2353</v>
      </c>
      <c r="D23" s="29" t="s">
        <v>626</v>
      </c>
      <c r="E23" s="10" t="s">
        <v>0</v>
      </c>
      <c r="F23" s="10"/>
      <c r="G23" s="10" t="s">
        <v>451</v>
      </c>
      <c r="H23" s="10"/>
      <c r="I23" s="30" t="s">
        <v>452</v>
      </c>
      <c r="J23" s="30" t="s">
        <v>453</v>
      </c>
      <c r="K23" s="30" t="s">
        <v>468</v>
      </c>
      <c r="L23" s="30" t="s">
        <v>455</v>
      </c>
      <c r="M23" s="18" t="s">
        <v>0</v>
      </c>
      <c r="N23" s="18">
        <v>0</v>
      </c>
      <c r="O23" s="18">
        <v>0</v>
      </c>
      <c r="P23" s="18">
        <v>0</v>
      </c>
      <c r="Q23" s="18">
        <v>1</v>
      </c>
      <c r="R23" s="31">
        <v>1</v>
      </c>
      <c r="S23" s="31">
        <v>11</v>
      </c>
      <c r="Y23" s="71">
        <v>20</v>
      </c>
      <c r="Z23">
        <v>2</v>
      </c>
      <c r="AC23">
        <f t="shared" si="0"/>
        <v>2</v>
      </c>
    </row>
    <row r="24" spans="1:29" hidden="1" x14ac:dyDescent="0.2">
      <c r="A24" s="32" t="s">
        <v>605</v>
      </c>
      <c r="B24" s="32" t="s">
        <v>449</v>
      </c>
      <c r="C24" s="33" t="s">
        <v>606</v>
      </c>
      <c r="D24" s="33" t="s">
        <v>640</v>
      </c>
      <c r="E24" s="32" t="s">
        <v>0</v>
      </c>
      <c r="F24" s="32"/>
      <c r="G24" s="32" t="s">
        <v>451</v>
      </c>
      <c r="H24" s="32"/>
      <c r="I24" s="30" t="s">
        <v>452</v>
      </c>
      <c r="J24" s="30" t="s">
        <v>453</v>
      </c>
      <c r="K24" s="30" t="s">
        <v>468</v>
      </c>
      <c r="L24" s="30" t="s">
        <v>455</v>
      </c>
      <c r="M24" s="15" t="s">
        <v>0</v>
      </c>
      <c r="N24" s="15">
        <v>0</v>
      </c>
      <c r="O24" s="15">
        <v>0</v>
      </c>
      <c r="P24" s="15">
        <v>0</v>
      </c>
      <c r="Q24" s="15">
        <v>1</v>
      </c>
      <c r="R24" s="31">
        <v>1</v>
      </c>
      <c r="S24" s="31">
        <v>12</v>
      </c>
      <c r="Y24" s="71">
        <v>21</v>
      </c>
      <c r="Z24">
        <v>2</v>
      </c>
      <c r="AC24">
        <f t="shared" si="0"/>
        <v>2</v>
      </c>
    </row>
    <row r="25" spans="1:29" hidden="1" x14ac:dyDescent="0.2">
      <c r="A25" s="10" t="s">
        <v>647</v>
      </c>
      <c r="B25" s="10" t="s">
        <v>449</v>
      </c>
      <c r="C25" s="29" t="s">
        <v>635</v>
      </c>
      <c r="D25" s="29" t="s">
        <v>636</v>
      </c>
      <c r="E25" s="10" t="s">
        <v>0</v>
      </c>
      <c r="F25" s="10"/>
      <c r="G25" s="10" t="s">
        <v>451</v>
      </c>
      <c r="H25" s="10"/>
      <c r="I25" s="30" t="s">
        <v>452</v>
      </c>
      <c r="J25" s="30" t="s">
        <v>453</v>
      </c>
      <c r="K25" s="30" t="s">
        <v>468</v>
      </c>
      <c r="L25" s="30" t="s">
        <v>455</v>
      </c>
      <c r="M25" s="18" t="s">
        <v>0</v>
      </c>
      <c r="N25" s="18">
        <v>0</v>
      </c>
      <c r="O25" s="18">
        <v>0</v>
      </c>
      <c r="P25" s="18">
        <v>0</v>
      </c>
      <c r="Q25" s="18">
        <v>1</v>
      </c>
      <c r="R25" s="31">
        <v>1</v>
      </c>
      <c r="S25" s="31">
        <v>12</v>
      </c>
      <c r="Y25" s="71">
        <v>22</v>
      </c>
      <c r="Z25">
        <v>2</v>
      </c>
      <c r="AC25">
        <f t="shared" si="0"/>
        <v>2</v>
      </c>
    </row>
    <row r="26" spans="1:29" hidden="1" x14ac:dyDescent="0.2">
      <c r="A26" s="10" t="s">
        <v>612</v>
      </c>
      <c r="B26" s="10" t="s">
        <v>449</v>
      </c>
      <c r="C26" s="29" t="s">
        <v>613</v>
      </c>
      <c r="D26" s="29" t="s">
        <v>646</v>
      </c>
      <c r="E26" s="10" t="s">
        <v>0</v>
      </c>
      <c r="F26" s="10"/>
      <c r="G26" s="10" t="s">
        <v>451</v>
      </c>
      <c r="H26" s="10"/>
      <c r="I26" s="30" t="s">
        <v>452</v>
      </c>
      <c r="J26" s="30" t="s">
        <v>453</v>
      </c>
      <c r="K26" s="30" t="s">
        <v>468</v>
      </c>
      <c r="L26" s="30" t="s">
        <v>455</v>
      </c>
      <c r="M26" s="18" t="s">
        <v>0</v>
      </c>
      <c r="N26" s="18">
        <v>0</v>
      </c>
      <c r="O26" s="18">
        <v>0</v>
      </c>
      <c r="P26" s="18">
        <v>0</v>
      </c>
      <c r="Q26" s="18">
        <v>1</v>
      </c>
      <c r="R26" s="31">
        <v>1</v>
      </c>
      <c r="S26" s="31">
        <v>13</v>
      </c>
      <c r="Y26" s="71">
        <v>23</v>
      </c>
      <c r="Z26">
        <v>2</v>
      </c>
      <c r="AC26">
        <f t="shared" si="0"/>
        <v>2</v>
      </c>
    </row>
    <row r="27" spans="1:29" hidden="1" x14ac:dyDescent="0.2">
      <c r="A27" s="18" t="s">
        <v>577</v>
      </c>
      <c r="B27" s="18" t="s">
        <v>449</v>
      </c>
      <c r="C27" s="41" t="s">
        <v>578</v>
      </c>
      <c r="D27" s="41" t="s">
        <v>651</v>
      </c>
      <c r="E27" s="18" t="s">
        <v>0</v>
      </c>
      <c r="F27" s="18"/>
      <c r="G27" s="18" t="s">
        <v>451</v>
      </c>
      <c r="H27" s="18"/>
      <c r="I27" s="30" t="s">
        <v>452</v>
      </c>
      <c r="J27" s="30" t="s">
        <v>453</v>
      </c>
      <c r="K27" s="30" t="s">
        <v>468</v>
      </c>
      <c r="L27" s="30" t="s">
        <v>455</v>
      </c>
      <c r="M27" s="18" t="s">
        <v>0</v>
      </c>
      <c r="N27" s="18">
        <v>0</v>
      </c>
      <c r="O27" s="18">
        <v>0</v>
      </c>
      <c r="P27" s="18">
        <v>0</v>
      </c>
      <c r="Q27" s="18">
        <v>1</v>
      </c>
      <c r="R27" s="31">
        <v>1</v>
      </c>
      <c r="S27" s="31">
        <v>13</v>
      </c>
      <c r="Y27" s="71">
        <v>24</v>
      </c>
      <c r="Z27">
        <v>2</v>
      </c>
      <c r="AC27">
        <f t="shared" si="0"/>
        <v>2</v>
      </c>
    </row>
    <row r="28" spans="1:29" hidden="1" x14ac:dyDescent="0.2">
      <c r="A28" s="32" t="s">
        <v>594</v>
      </c>
      <c r="B28" s="32" t="s">
        <v>449</v>
      </c>
      <c r="C28" s="33" t="s">
        <v>595</v>
      </c>
      <c r="D28" s="33" t="s">
        <v>658</v>
      </c>
      <c r="E28" s="32" t="s">
        <v>0</v>
      </c>
      <c r="F28" s="32"/>
      <c r="G28" s="32" t="s">
        <v>451</v>
      </c>
      <c r="H28" s="32"/>
      <c r="I28" s="30" t="s">
        <v>452</v>
      </c>
      <c r="J28" s="30" t="s">
        <v>453</v>
      </c>
      <c r="K28" s="30" t="s">
        <v>468</v>
      </c>
      <c r="L28" s="30" t="s">
        <v>455</v>
      </c>
      <c r="M28" s="15" t="s">
        <v>0</v>
      </c>
      <c r="N28" s="15">
        <v>0</v>
      </c>
      <c r="O28" s="15">
        <v>0</v>
      </c>
      <c r="P28" s="15">
        <v>0</v>
      </c>
      <c r="Q28" s="15">
        <v>1</v>
      </c>
      <c r="R28" s="31">
        <v>1</v>
      </c>
      <c r="S28" s="31">
        <v>14</v>
      </c>
      <c r="Y28" s="71">
        <v>25</v>
      </c>
      <c r="Z28">
        <v>2</v>
      </c>
      <c r="AC28">
        <f t="shared" si="0"/>
        <v>2</v>
      </c>
    </row>
    <row r="29" spans="1:29" hidden="1" x14ac:dyDescent="0.2">
      <c r="A29" s="32" t="s">
        <v>628</v>
      </c>
      <c r="B29" s="32" t="s">
        <v>449</v>
      </c>
      <c r="C29" s="33" t="s">
        <v>630</v>
      </c>
      <c r="D29" s="33" t="s">
        <v>2354</v>
      </c>
      <c r="E29" s="32" t="s">
        <v>0</v>
      </c>
      <c r="F29" s="32"/>
      <c r="G29" s="32" t="s">
        <v>451</v>
      </c>
      <c r="H29" s="32"/>
      <c r="I29" s="30" t="s">
        <v>452</v>
      </c>
      <c r="J29" s="30" t="s">
        <v>453</v>
      </c>
      <c r="K29" s="30" t="s">
        <v>468</v>
      </c>
      <c r="L29" s="30" t="s">
        <v>455</v>
      </c>
      <c r="M29" s="15" t="s">
        <v>0</v>
      </c>
      <c r="N29" s="15">
        <v>0</v>
      </c>
      <c r="O29" s="15">
        <v>0</v>
      </c>
      <c r="P29" s="15">
        <v>0</v>
      </c>
      <c r="Q29" s="15">
        <v>1</v>
      </c>
      <c r="R29" s="31">
        <v>1</v>
      </c>
      <c r="S29" s="31">
        <v>14</v>
      </c>
      <c r="Y29" s="71">
        <v>26</v>
      </c>
      <c r="Z29">
        <v>2</v>
      </c>
      <c r="AC29">
        <f t="shared" si="0"/>
        <v>2</v>
      </c>
    </row>
    <row r="30" spans="1:29" hidden="1" x14ac:dyDescent="0.2">
      <c r="A30" s="32" t="s">
        <v>653</v>
      </c>
      <c r="B30" s="32" t="s">
        <v>449</v>
      </c>
      <c r="C30" s="33" t="s">
        <v>654</v>
      </c>
      <c r="D30" s="33" t="s">
        <v>2355</v>
      </c>
      <c r="E30" s="32" t="s">
        <v>0</v>
      </c>
      <c r="F30" s="32"/>
      <c r="G30" s="32" t="s">
        <v>451</v>
      </c>
      <c r="H30" s="32"/>
      <c r="I30" s="30" t="s">
        <v>452</v>
      </c>
      <c r="J30" s="30" t="s">
        <v>453</v>
      </c>
      <c r="K30" s="30" t="s">
        <v>468</v>
      </c>
      <c r="L30" s="30" t="s">
        <v>455</v>
      </c>
      <c r="M30" s="15" t="s">
        <v>0</v>
      </c>
      <c r="N30" s="15">
        <v>0</v>
      </c>
      <c r="O30" s="15">
        <v>0</v>
      </c>
      <c r="P30" s="15">
        <v>0</v>
      </c>
      <c r="Q30" s="15">
        <v>1</v>
      </c>
      <c r="R30" s="31">
        <v>1</v>
      </c>
      <c r="S30" s="31">
        <v>15</v>
      </c>
      <c r="Y30" s="71">
        <v>27</v>
      </c>
      <c r="Z30">
        <v>2</v>
      </c>
      <c r="AC30">
        <f t="shared" si="0"/>
        <v>2</v>
      </c>
    </row>
    <row r="31" spans="1:29" hidden="1" x14ac:dyDescent="0.2">
      <c r="A31" s="10" t="s">
        <v>399</v>
      </c>
      <c r="B31" s="10" t="s">
        <v>449</v>
      </c>
      <c r="C31" s="29" t="s">
        <v>663</v>
      </c>
      <c r="D31" s="29" t="s">
        <v>400</v>
      </c>
      <c r="E31" s="10" t="s">
        <v>0</v>
      </c>
      <c r="F31" s="10"/>
      <c r="G31" s="10" t="s">
        <v>451</v>
      </c>
      <c r="H31" s="10" t="s">
        <v>672</v>
      </c>
      <c r="I31" s="30" t="s">
        <v>452</v>
      </c>
      <c r="J31" s="30" t="s">
        <v>453</v>
      </c>
      <c r="K31" s="30" t="s">
        <v>665</v>
      </c>
      <c r="L31" s="30" t="s">
        <v>455</v>
      </c>
      <c r="M31" s="18" t="s">
        <v>0</v>
      </c>
      <c r="N31" s="18">
        <v>0</v>
      </c>
      <c r="O31" s="18">
        <v>0</v>
      </c>
      <c r="P31" s="18">
        <v>0</v>
      </c>
      <c r="Q31" s="18">
        <v>1</v>
      </c>
      <c r="R31" s="31">
        <v>1</v>
      </c>
      <c r="S31" s="31">
        <v>15</v>
      </c>
      <c r="Y31" s="71">
        <v>28</v>
      </c>
      <c r="Z31">
        <v>2</v>
      </c>
      <c r="AC31">
        <f t="shared" si="0"/>
        <v>2</v>
      </c>
    </row>
    <row r="32" spans="1:29" hidden="1" x14ac:dyDescent="0.2">
      <c r="A32" s="10" t="s">
        <v>678</v>
      </c>
      <c r="B32" s="10" t="s">
        <v>449</v>
      </c>
      <c r="C32" s="29" t="s">
        <v>676</v>
      </c>
      <c r="D32" s="29" t="s">
        <v>677</v>
      </c>
      <c r="E32" s="10" t="s">
        <v>0</v>
      </c>
      <c r="F32" s="10"/>
      <c r="G32" s="10" t="s">
        <v>451</v>
      </c>
      <c r="H32" s="10"/>
      <c r="I32" s="30" t="s">
        <v>452</v>
      </c>
      <c r="J32" s="30" t="s">
        <v>453</v>
      </c>
      <c r="K32" s="30" t="s">
        <v>665</v>
      </c>
      <c r="L32" s="30" t="s">
        <v>455</v>
      </c>
      <c r="M32" s="18" t="s">
        <v>0</v>
      </c>
      <c r="N32" s="18">
        <v>0</v>
      </c>
      <c r="O32" s="18">
        <v>0</v>
      </c>
      <c r="P32" s="18">
        <v>0</v>
      </c>
      <c r="Q32" s="18">
        <v>1</v>
      </c>
      <c r="R32" s="31">
        <v>1</v>
      </c>
      <c r="S32" s="31">
        <v>16</v>
      </c>
      <c r="Y32" s="71">
        <v>29</v>
      </c>
      <c r="Z32">
        <v>2</v>
      </c>
      <c r="AC32">
        <f t="shared" si="0"/>
        <v>2</v>
      </c>
    </row>
    <row r="33" spans="1:29" hidden="1" x14ac:dyDescent="0.2">
      <c r="A33" s="32" t="s">
        <v>684</v>
      </c>
      <c r="B33" s="32" t="s">
        <v>449</v>
      </c>
      <c r="C33" s="33" t="s">
        <v>670</v>
      </c>
      <c r="D33" s="33" t="s">
        <v>671</v>
      </c>
      <c r="E33" s="32" t="s">
        <v>0</v>
      </c>
      <c r="F33" s="32"/>
      <c r="G33" s="32" t="s">
        <v>451</v>
      </c>
      <c r="H33" s="32"/>
      <c r="I33" s="30" t="s">
        <v>452</v>
      </c>
      <c r="J33" s="30" t="s">
        <v>453</v>
      </c>
      <c r="K33" s="30" t="s">
        <v>665</v>
      </c>
      <c r="L33" s="30" t="s">
        <v>455</v>
      </c>
      <c r="M33" s="15" t="s">
        <v>0</v>
      </c>
      <c r="N33" s="15">
        <v>0</v>
      </c>
      <c r="O33" s="15">
        <v>0</v>
      </c>
      <c r="P33" s="15">
        <v>0</v>
      </c>
      <c r="Q33" s="15">
        <v>1</v>
      </c>
      <c r="R33" s="31">
        <v>1</v>
      </c>
      <c r="S33" s="31">
        <v>16</v>
      </c>
      <c r="Y33" s="71">
        <v>30</v>
      </c>
      <c r="Z33">
        <v>2</v>
      </c>
      <c r="AC33">
        <f t="shared" si="0"/>
        <v>2</v>
      </c>
    </row>
    <row r="34" spans="1:29" ht="20" hidden="1" customHeight="1" x14ac:dyDescent="0.2">
      <c r="A34" s="32" t="s">
        <v>641</v>
      </c>
      <c r="B34" s="32" t="s">
        <v>449</v>
      </c>
      <c r="C34" s="33" t="s">
        <v>523</v>
      </c>
      <c r="D34" s="33" t="s">
        <v>524</v>
      </c>
      <c r="E34" s="32" t="s">
        <v>458</v>
      </c>
      <c r="F34" s="32" t="s">
        <v>57</v>
      </c>
      <c r="G34" s="32" t="s">
        <v>451</v>
      </c>
      <c r="H34" s="32"/>
      <c r="I34" s="30" t="s">
        <v>452</v>
      </c>
      <c r="J34" s="30" t="s">
        <v>453</v>
      </c>
      <c r="K34" s="30" t="s">
        <v>468</v>
      </c>
      <c r="L34" s="30" t="s">
        <v>455</v>
      </c>
      <c r="M34" s="15" t="s">
        <v>458</v>
      </c>
      <c r="N34" s="15">
        <v>1</v>
      </c>
      <c r="O34" s="15">
        <v>1</v>
      </c>
      <c r="P34" s="15">
        <v>2</v>
      </c>
      <c r="Q34" s="15">
        <v>3</v>
      </c>
      <c r="R34" s="31">
        <v>1</v>
      </c>
      <c r="S34" s="31">
        <v>73</v>
      </c>
      <c r="Y34" s="71">
        <v>31</v>
      </c>
      <c r="Z34">
        <v>2</v>
      </c>
      <c r="AC34">
        <f t="shared" si="0"/>
        <v>2</v>
      </c>
    </row>
    <row r="35" spans="1:29" hidden="1" x14ac:dyDescent="0.2">
      <c r="A35" s="34" t="s">
        <v>489</v>
      </c>
      <c r="B35" s="10" t="s">
        <v>449</v>
      </c>
      <c r="C35" s="29" t="s">
        <v>490</v>
      </c>
      <c r="D35" s="29" t="s">
        <v>536</v>
      </c>
      <c r="E35" s="10" t="s">
        <v>0</v>
      </c>
      <c r="F35" s="10"/>
      <c r="G35" s="10" t="s">
        <v>451</v>
      </c>
      <c r="H35" s="10"/>
      <c r="I35" s="35" t="s">
        <v>452</v>
      </c>
      <c r="J35" s="35" t="s">
        <v>491</v>
      </c>
      <c r="K35" s="35" t="s">
        <v>492</v>
      </c>
      <c r="L35" s="30" t="s">
        <v>455</v>
      </c>
      <c r="M35" s="18" t="s">
        <v>0</v>
      </c>
      <c r="N35" s="18">
        <v>0</v>
      </c>
      <c r="O35" s="18">
        <v>0</v>
      </c>
      <c r="P35" s="18">
        <v>0</v>
      </c>
      <c r="Q35" s="36">
        <v>1</v>
      </c>
      <c r="R35" s="37">
        <v>1</v>
      </c>
      <c r="S35" s="37">
        <v>85</v>
      </c>
      <c r="Y35" s="71">
        <v>32</v>
      </c>
      <c r="Z35">
        <v>2</v>
      </c>
      <c r="AC35">
        <f t="shared" si="0"/>
        <v>2</v>
      </c>
    </row>
    <row r="36" spans="1:29" hidden="1" x14ac:dyDescent="0.2">
      <c r="A36" s="38" t="s">
        <v>497</v>
      </c>
      <c r="B36" s="32" t="s">
        <v>449</v>
      </c>
      <c r="C36" s="33" t="s">
        <v>498</v>
      </c>
      <c r="D36" s="33" t="s">
        <v>548</v>
      </c>
      <c r="E36" s="32" t="s">
        <v>0</v>
      </c>
      <c r="F36" s="32"/>
      <c r="G36" s="32" t="s">
        <v>451</v>
      </c>
      <c r="H36" s="32"/>
      <c r="I36" s="35" t="s">
        <v>452</v>
      </c>
      <c r="J36" s="35" t="s">
        <v>491</v>
      </c>
      <c r="K36" s="35" t="s">
        <v>492</v>
      </c>
      <c r="L36" s="30" t="s">
        <v>455</v>
      </c>
      <c r="M36" s="15" t="s">
        <v>0</v>
      </c>
      <c r="N36" s="15">
        <v>0</v>
      </c>
      <c r="O36" s="15">
        <v>0</v>
      </c>
      <c r="P36" s="15">
        <v>0</v>
      </c>
      <c r="Q36" s="40">
        <v>1</v>
      </c>
      <c r="R36" s="37">
        <v>1</v>
      </c>
      <c r="S36" s="37">
        <v>88</v>
      </c>
      <c r="Y36" s="71">
        <v>33</v>
      </c>
      <c r="Z36">
        <v>2</v>
      </c>
      <c r="AC36">
        <f t="shared" si="0"/>
        <v>2</v>
      </c>
    </row>
    <row r="37" spans="1:29" hidden="1" x14ac:dyDescent="0.2">
      <c r="A37" s="34" t="s">
        <v>504</v>
      </c>
      <c r="B37" s="10" t="s">
        <v>449</v>
      </c>
      <c r="C37" s="29" t="s">
        <v>505</v>
      </c>
      <c r="D37" s="29" t="s">
        <v>542</v>
      </c>
      <c r="E37" s="10" t="s">
        <v>0</v>
      </c>
      <c r="F37" s="10"/>
      <c r="G37" s="10" t="s">
        <v>451</v>
      </c>
      <c r="H37" s="10"/>
      <c r="I37" s="35" t="s">
        <v>452</v>
      </c>
      <c r="J37" s="35" t="s">
        <v>506</v>
      </c>
      <c r="K37" s="35" t="s">
        <v>507</v>
      </c>
      <c r="L37" s="30" t="s">
        <v>455</v>
      </c>
      <c r="M37" s="18" t="s">
        <v>0</v>
      </c>
      <c r="N37" s="18">
        <v>0</v>
      </c>
      <c r="O37" s="18">
        <v>0</v>
      </c>
      <c r="P37" s="18">
        <v>0</v>
      </c>
      <c r="Q37" s="36">
        <v>1</v>
      </c>
      <c r="R37" s="37">
        <v>1</v>
      </c>
      <c r="S37" s="37">
        <v>85</v>
      </c>
      <c r="Y37" s="71">
        <v>34</v>
      </c>
      <c r="Z37">
        <v>2</v>
      </c>
      <c r="AC37">
        <f t="shared" si="0"/>
        <v>2</v>
      </c>
    </row>
    <row r="38" spans="1:29" hidden="1" x14ac:dyDescent="0.2">
      <c r="A38" s="38" t="s">
        <v>665</v>
      </c>
      <c r="B38" s="32" t="s">
        <v>449</v>
      </c>
      <c r="C38" s="33" t="s">
        <v>666</v>
      </c>
      <c r="D38" s="33" t="s">
        <v>2188</v>
      </c>
      <c r="E38" s="32" t="s">
        <v>0</v>
      </c>
      <c r="F38" s="32"/>
      <c r="G38" s="32" t="s">
        <v>451</v>
      </c>
      <c r="H38" s="32"/>
      <c r="I38" s="35" t="s">
        <v>452</v>
      </c>
      <c r="J38" s="35" t="s">
        <v>491</v>
      </c>
      <c r="K38" s="35" t="s">
        <v>492</v>
      </c>
      <c r="L38" s="30" t="s">
        <v>455</v>
      </c>
      <c r="M38" s="15" t="s">
        <v>0</v>
      </c>
      <c r="N38" s="15">
        <v>0</v>
      </c>
      <c r="O38" s="15">
        <v>0</v>
      </c>
      <c r="P38" s="15">
        <v>0</v>
      </c>
      <c r="Q38" s="40">
        <v>1</v>
      </c>
      <c r="R38" s="37">
        <v>1</v>
      </c>
      <c r="S38" s="37">
        <v>90</v>
      </c>
      <c r="Y38" s="71">
        <v>35</v>
      </c>
      <c r="Z38">
        <v>2</v>
      </c>
      <c r="AC38">
        <f t="shared" si="0"/>
        <v>2</v>
      </c>
    </row>
    <row r="39" spans="1:29" hidden="1" x14ac:dyDescent="0.2">
      <c r="A39" s="10" t="s">
        <v>732</v>
      </c>
      <c r="B39" s="10" t="s">
        <v>449</v>
      </c>
      <c r="C39" s="29" t="s">
        <v>733</v>
      </c>
      <c r="D39" s="29" t="s">
        <v>764</v>
      </c>
      <c r="E39" s="10" t="s">
        <v>0</v>
      </c>
      <c r="F39" s="10"/>
      <c r="G39" s="10" t="s">
        <v>451</v>
      </c>
      <c r="H39" s="10"/>
      <c r="I39" s="30" t="s">
        <v>452</v>
      </c>
      <c r="J39" s="30" t="s">
        <v>453</v>
      </c>
      <c r="K39" s="30" t="s">
        <v>726</v>
      </c>
      <c r="L39" s="30" t="s">
        <v>455</v>
      </c>
      <c r="M39" s="18" t="s">
        <v>0</v>
      </c>
      <c r="N39" s="18">
        <v>0</v>
      </c>
      <c r="O39" s="18">
        <v>0</v>
      </c>
      <c r="P39" s="18">
        <v>0</v>
      </c>
      <c r="Q39" s="18">
        <v>1</v>
      </c>
      <c r="R39" s="17">
        <v>2</v>
      </c>
      <c r="S39" s="17">
        <v>17</v>
      </c>
      <c r="Y39" s="71">
        <v>36</v>
      </c>
      <c r="Z39">
        <v>2</v>
      </c>
      <c r="AC39">
        <f t="shared" si="0"/>
        <v>2</v>
      </c>
    </row>
    <row r="40" spans="1:29" hidden="1" x14ac:dyDescent="0.2">
      <c r="A40" s="15" t="s">
        <v>724</v>
      </c>
      <c r="B40" s="15" t="s">
        <v>449</v>
      </c>
      <c r="C40" s="44" t="s">
        <v>725</v>
      </c>
      <c r="D40" s="44" t="s">
        <v>801</v>
      </c>
      <c r="E40" s="15" t="s">
        <v>0</v>
      </c>
      <c r="F40" s="15"/>
      <c r="G40" s="15" t="s">
        <v>451</v>
      </c>
      <c r="H40" s="15"/>
      <c r="I40" s="30" t="s">
        <v>452</v>
      </c>
      <c r="J40" s="30" t="s">
        <v>453</v>
      </c>
      <c r="K40" s="30" t="s">
        <v>726</v>
      </c>
      <c r="L40" s="30" t="s">
        <v>455</v>
      </c>
      <c r="M40" s="15" t="s">
        <v>0</v>
      </c>
      <c r="N40" s="15">
        <v>0</v>
      </c>
      <c r="O40" s="15">
        <v>0</v>
      </c>
      <c r="P40" s="15">
        <v>0</v>
      </c>
      <c r="Q40" s="15">
        <v>1</v>
      </c>
      <c r="R40" s="17">
        <v>2</v>
      </c>
      <c r="S40" s="17">
        <v>20</v>
      </c>
      <c r="Y40" s="71">
        <v>37</v>
      </c>
      <c r="Z40">
        <v>2</v>
      </c>
      <c r="AC40">
        <f t="shared" si="0"/>
        <v>2</v>
      </c>
    </row>
    <row r="41" spans="1:29" hidden="1" x14ac:dyDescent="0.2">
      <c r="A41" s="32" t="s">
        <v>738</v>
      </c>
      <c r="B41" s="32" t="s">
        <v>449</v>
      </c>
      <c r="C41" s="33" t="s">
        <v>739</v>
      </c>
      <c r="D41" s="33" t="s">
        <v>806</v>
      </c>
      <c r="E41" s="32" t="s">
        <v>0</v>
      </c>
      <c r="F41" s="32"/>
      <c r="G41" s="32" t="s">
        <v>451</v>
      </c>
      <c r="H41" s="32"/>
      <c r="I41" s="30" t="s">
        <v>452</v>
      </c>
      <c r="J41" s="30" t="s">
        <v>453</v>
      </c>
      <c r="K41" s="30" t="s">
        <v>726</v>
      </c>
      <c r="L41" s="30" t="s">
        <v>455</v>
      </c>
      <c r="M41" s="15" t="s">
        <v>0</v>
      </c>
      <c r="N41" s="15">
        <v>0</v>
      </c>
      <c r="O41" s="15">
        <v>0</v>
      </c>
      <c r="P41" s="15">
        <v>0</v>
      </c>
      <c r="Q41" s="15">
        <v>1</v>
      </c>
      <c r="R41" s="17">
        <v>2</v>
      </c>
      <c r="S41" s="17">
        <v>20</v>
      </c>
      <c r="Y41" s="71">
        <v>38</v>
      </c>
      <c r="Z41">
        <v>2</v>
      </c>
      <c r="AC41">
        <f t="shared" si="0"/>
        <v>2</v>
      </c>
    </row>
    <row r="42" spans="1:29" x14ac:dyDescent="0.2">
      <c r="A42" s="32" t="s">
        <v>1808</v>
      </c>
      <c r="B42" s="32" t="s">
        <v>449</v>
      </c>
      <c r="C42" s="33" t="s">
        <v>768</v>
      </c>
      <c r="D42" s="33" t="s">
        <v>769</v>
      </c>
      <c r="E42" s="32" t="s">
        <v>0</v>
      </c>
      <c r="F42" s="32"/>
      <c r="G42" s="32" t="s">
        <v>451</v>
      </c>
      <c r="H42" s="32"/>
      <c r="I42" s="30" t="s">
        <v>452</v>
      </c>
      <c r="J42" s="30" t="s">
        <v>453</v>
      </c>
      <c r="K42" s="30" t="s">
        <v>751</v>
      </c>
      <c r="L42" s="30" t="s">
        <v>455</v>
      </c>
      <c r="M42" s="15" t="s">
        <v>0</v>
      </c>
      <c r="N42" s="15">
        <v>0</v>
      </c>
      <c r="O42" s="15">
        <v>0</v>
      </c>
      <c r="P42" s="15">
        <v>0</v>
      </c>
      <c r="Q42" s="15">
        <v>1</v>
      </c>
      <c r="R42" s="17">
        <v>2</v>
      </c>
      <c r="S42" s="17">
        <v>17</v>
      </c>
      <c r="Y42" s="71">
        <v>39</v>
      </c>
      <c r="Z42">
        <v>2</v>
      </c>
      <c r="AC42">
        <f t="shared" si="0"/>
        <v>2</v>
      </c>
    </row>
    <row r="43" spans="1:29" x14ac:dyDescent="0.2">
      <c r="A43" s="32" t="s">
        <v>1799</v>
      </c>
      <c r="B43" s="32" t="s">
        <v>449</v>
      </c>
      <c r="C43" s="33" t="s">
        <v>775</v>
      </c>
      <c r="D43" s="33" t="s">
        <v>776</v>
      </c>
      <c r="E43" s="32" t="s">
        <v>0</v>
      </c>
      <c r="F43" s="32"/>
      <c r="G43" s="32" t="s">
        <v>451</v>
      </c>
      <c r="H43" s="32"/>
      <c r="I43" s="30" t="s">
        <v>452</v>
      </c>
      <c r="J43" s="30" t="s">
        <v>453</v>
      </c>
      <c r="K43" s="30" t="s">
        <v>751</v>
      </c>
      <c r="L43" s="30" t="s">
        <v>455</v>
      </c>
      <c r="M43" s="15" t="s">
        <v>0</v>
      </c>
      <c r="N43" s="15">
        <v>0</v>
      </c>
      <c r="O43" s="15">
        <v>0</v>
      </c>
      <c r="P43" s="15">
        <v>0</v>
      </c>
      <c r="Q43" s="15">
        <v>1</v>
      </c>
      <c r="R43" s="17">
        <v>2</v>
      </c>
      <c r="S43" s="17">
        <v>18</v>
      </c>
      <c r="Y43" s="71">
        <v>40</v>
      </c>
      <c r="Z43">
        <v>2</v>
      </c>
      <c r="AC43">
        <f t="shared" si="0"/>
        <v>2</v>
      </c>
    </row>
    <row r="44" spans="1:29" x14ac:dyDescent="0.2">
      <c r="A44" s="10" t="s">
        <v>1803</v>
      </c>
      <c r="B44" s="10" t="s">
        <v>449</v>
      </c>
      <c r="C44" s="29" t="s">
        <v>780</v>
      </c>
      <c r="D44" s="29" t="s">
        <v>781</v>
      </c>
      <c r="E44" s="10" t="s">
        <v>0</v>
      </c>
      <c r="F44" s="10"/>
      <c r="G44" s="10" t="s">
        <v>451</v>
      </c>
      <c r="H44" s="10"/>
      <c r="I44" s="30" t="s">
        <v>452</v>
      </c>
      <c r="J44" s="30" t="s">
        <v>453</v>
      </c>
      <c r="K44" s="30" t="s">
        <v>751</v>
      </c>
      <c r="L44" s="30" t="s">
        <v>455</v>
      </c>
      <c r="M44" s="18" t="s">
        <v>0</v>
      </c>
      <c r="N44" s="18">
        <v>0</v>
      </c>
      <c r="O44" s="18">
        <v>0</v>
      </c>
      <c r="P44" s="18">
        <v>0</v>
      </c>
      <c r="Q44" s="18">
        <v>1</v>
      </c>
      <c r="R44" s="17">
        <v>2</v>
      </c>
      <c r="S44" s="17">
        <v>18</v>
      </c>
      <c r="Y44" s="71">
        <v>41</v>
      </c>
      <c r="Z44">
        <v>2</v>
      </c>
      <c r="AC44">
        <f t="shared" si="0"/>
        <v>2</v>
      </c>
    </row>
    <row r="45" spans="1:29" x14ac:dyDescent="0.2">
      <c r="A45" s="32" t="s">
        <v>1786</v>
      </c>
      <c r="B45" s="32" t="s">
        <v>449</v>
      </c>
      <c r="C45" s="33" t="s">
        <v>787</v>
      </c>
      <c r="D45" s="33" t="s">
        <v>788</v>
      </c>
      <c r="E45" s="32" t="s">
        <v>0</v>
      </c>
      <c r="F45" s="32"/>
      <c r="G45" s="32" t="s">
        <v>451</v>
      </c>
      <c r="H45" s="32"/>
      <c r="I45" s="30" t="s">
        <v>452</v>
      </c>
      <c r="J45" s="30" t="s">
        <v>453</v>
      </c>
      <c r="K45" s="30" t="s">
        <v>751</v>
      </c>
      <c r="L45" s="30" t="s">
        <v>455</v>
      </c>
      <c r="M45" s="15" t="s">
        <v>0</v>
      </c>
      <c r="N45" s="15">
        <v>0</v>
      </c>
      <c r="O45" s="15">
        <v>0</v>
      </c>
      <c r="P45" s="15">
        <v>0</v>
      </c>
      <c r="Q45" s="15">
        <v>1</v>
      </c>
      <c r="R45" s="17">
        <v>2</v>
      </c>
      <c r="S45" s="17">
        <v>19</v>
      </c>
      <c r="Y45" s="71">
        <v>42</v>
      </c>
      <c r="Z45">
        <v>2</v>
      </c>
      <c r="AC45">
        <f t="shared" si="0"/>
        <v>2</v>
      </c>
    </row>
    <row r="46" spans="1:29" x14ac:dyDescent="0.2">
      <c r="A46" s="10" t="s">
        <v>1791</v>
      </c>
      <c r="B46" s="10" t="s">
        <v>449</v>
      </c>
      <c r="C46" s="29" t="s">
        <v>793</v>
      </c>
      <c r="D46" s="29" t="s">
        <v>794</v>
      </c>
      <c r="E46" s="10" t="s">
        <v>0</v>
      </c>
      <c r="F46" s="10"/>
      <c r="G46" s="10" t="s">
        <v>451</v>
      </c>
      <c r="H46" s="10" t="s">
        <v>1792</v>
      </c>
      <c r="I46" s="30" t="s">
        <v>452</v>
      </c>
      <c r="J46" s="30" t="s">
        <v>453</v>
      </c>
      <c r="K46" s="30" t="s">
        <v>751</v>
      </c>
      <c r="L46" s="30" t="s">
        <v>455</v>
      </c>
      <c r="M46" s="18" t="s">
        <v>0</v>
      </c>
      <c r="N46" s="18">
        <v>0</v>
      </c>
      <c r="O46" s="18">
        <v>0</v>
      </c>
      <c r="P46" s="18">
        <v>0</v>
      </c>
      <c r="Q46" s="18">
        <v>1</v>
      </c>
      <c r="R46" s="17">
        <v>2</v>
      </c>
      <c r="S46" s="17">
        <v>19</v>
      </c>
      <c r="Y46" s="71">
        <v>44</v>
      </c>
      <c r="Z46">
        <v>2</v>
      </c>
      <c r="AC46">
        <f t="shared" si="0"/>
        <v>2</v>
      </c>
    </row>
    <row r="47" spans="1:29" x14ac:dyDescent="0.2">
      <c r="A47" s="18" t="s">
        <v>758</v>
      </c>
      <c r="B47" s="18" t="s">
        <v>449</v>
      </c>
      <c r="C47" s="41" t="s">
        <v>759</v>
      </c>
      <c r="D47" s="41" t="s">
        <v>815</v>
      </c>
      <c r="E47" s="18" t="s">
        <v>0</v>
      </c>
      <c r="F47" s="18"/>
      <c r="G47" s="18" t="s">
        <v>451</v>
      </c>
      <c r="H47" s="18"/>
      <c r="I47" s="30" t="s">
        <v>452</v>
      </c>
      <c r="J47" s="30" t="s">
        <v>453</v>
      </c>
      <c r="K47" s="30" t="s">
        <v>751</v>
      </c>
      <c r="L47" s="30" t="s">
        <v>455</v>
      </c>
      <c r="M47" s="18" t="s">
        <v>0</v>
      </c>
      <c r="N47" s="18">
        <v>0</v>
      </c>
      <c r="O47" s="18">
        <v>0</v>
      </c>
      <c r="P47" s="18">
        <v>0</v>
      </c>
      <c r="Q47" s="18">
        <v>1</v>
      </c>
      <c r="R47" s="17">
        <v>2</v>
      </c>
      <c r="S47" s="17">
        <v>21</v>
      </c>
      <c r="Y47" s="71">
        <v>45</v>
      </c>
      <c r="Z47">
        <v>2</v>
      </c>
      <c r="AC47">
        <f t="shared" si="0"/>
        <v>2</v>
      </c>
    </row>
    <row r="48" spans="1:29" x14ac:dyDescent="0.2">
      <c r="A48" s="18" t="s">
        <v>770</v>
      </c>
      <c r="B48" s="18" t="s">
        <v>449</v>
      </c>
      <c r="C48" s="41" t="s">
        <v>771</v>
      </c>
      <c r="D48" s="41" t="s">
        <v>811</v>
      </c>
      <c r="E48" s="18" t="s">
        <v>0</v>
      </c>
      <c r="F48" s="18"/>
      <c r="G48" s="18" t="s">
        <v>451</v>
      </c>
      <c r="H48" s="18"/>
      <c r="I48" s="30" t="s">
        <v>452</v>
      </c>
      <c r="J48" s="30" t="s">
        <v>453</v>
      </c>
      <c r="K48" s="30" t="s">
        <v>751</v>
      </c>
      <c r="L48" s="30" t="s">
        <v>455</v>
      </c>
      <c r="M48" s="18" t="s">
        <v>0</v>
      </c>
      <c r="N48" s="18">
        <v>0</v>
      </c>
      <c r="O48" s="18">
        <v>0</v>
      </c>
      <c r="P48" s="18">
        <v>0</v>
      </c>
      <c r="Q48" s="18">
        <v>1</v>
      </c>
      <c r="R48" s="17">
        <v>2</v>
      </c>
      <c r="S48" s="17">
        <v>21</v>
      </c>
      <c r="Y48" s="71">
        <v>46</v>
      </c>
      <c r="Z48">
        <v>2</v>
      </c>
      <c r="AC48">
        <f t="shared" si="0"/>
        <v>2</v>
      </c>
    </row>
    <row r="49" spans="1:29" x14ac:dyDescent="0.2">
      <c r="A49" s="15" t="s">
        <v>782</v>
      </c>
      <c r="B49" s="15" t="s">
        <v>449</v>
      </c>
      <c r="C49" s="44" t="s">
        <v>783</v>
      </c>
      <c r="D49" s="44" t="s">
        <v>822</v>
      </c>
      <c r="E49" s="15" t="s">
        <v>0</v>
      </c>
      <c r="F49" s="15"/>
      <c r="G49" s="15" t="s">
        <v>451</v>
      </c>
      <c r="H49" s="15"/>
      <c r="I49" s="30" t="s">
        <v>452</v>
      </c>
      <c r="J49" s="30" t="s">
        <v>453</v>
      </c>
      <c r="K49" s="30" t="s">
        <v>751</v>
      </c>
      <c r="L49" s="30" t="s">
        <v>455</v>
      </c>
      <c r="M49" s="15" t="s">
        <v>0</v>
      </c>
      <c r="N49" s="15">
        <v>0</v>
      </c>
      <c r="O49" s="15">
        <v>0</v>
      </c>
      <c r="P49" s="15">
        <v>0</v>
      </c>
      <c r="Q49" s="15">
        <v>1</v>
      </c>
      <c r="R49" s="17">
        <v>2</v>
      </c>
      <c r="S49" s="17">
        <v>22</v>
      </c>
      <c r="Y49" s="71">
        <v>47</v>
      </c>
      <c r="Z49">
        <v>2</v>
      </c>
      <c r="AC49">
        <f t="shared" si="0"/>
        <v>2</v>
      </c>
    </row>
    <row r="50" spans="1:29" x14ac:dyDescent="0.2">
      <c r="A50" s="18" t="s">
        <v>789</v>
      </c>
      <c r="B50" s="18" t="s">
        <v>449</v>
      </c>
      <c r="C50" s="41" t="s">
        <v>790</v>
      </c>
      <c r="D50" s="41" t="s">
        <v>827</v>
      </c>
      <c r="E50" s="18" t="s">
        <v>0</v>
      </c>
      <c r="F50" s="18"/>
      <c r="G50" s="18" t="s">
        <v>451</v>
      </c>
      <c r="H50" s="18"/>
      <c r="I50" s="30" t="s">
        <v>452</v>
      </c>
      <c r="J50" s="30" t="s">
        <v>453</v>
      </c>
      <c r="K50" s="30" t="s">
        <v>751</v>
      </c>
      <c r="L50" s="30" t="s">
        <v>455</v>
      </c>
      <c r="M50" s="18" t="s">
        <v>0</v>
      </c>
      <c r="N50" s="18">
        <v>0</v>
      </c>
      <c r="O50" s="18">
        <v>0</v>
      </c>
      <c r="P50" s="18">
        <v>0</v>
      </c>
      <c r="Q50" s="18">
        <v>1</v>
      </c>
      <c r="R50" s="17">
        <v>2</v>
      </c>
      <c r="S50" s="17">
        <v>22</v>
      </c>
      <c r="Y50" s="71">
        <v>48</v>
      </c>
      <c r="Z50">
        <v>2</v>
      </c>
      <c r="AC50">
        <f t="shared" si="0"/>
        <v>2</v>
      </c>
    </row>
    <row r="51" spans="1:29" x14ac:dyDescent="0.2">
      <c r="A51" s="32" t="s">
        <v>796</v>
      </c>
      <c r="B51" s="32" t="s">
        <v>449</v>
      </c>
      <c r="C51" s="33" t="s">
        <v>797</v>
      </c>
      <c r="D51" s="33" t="s">
        <v>832</v>
      </c>
      <c r="E51" s="32" t="s">
        <v>0</v>
      </c>
      <c r="F51" s="32"/>
      <c r="G51" s="32" t="s">
        <v>451</v>
      </c>
      <c r="H51" s="32"/>
      <c r="I51" s="30" t="s">
        <v>452</v>
      </c>
      <c r="J51" s="30" t="s">
        <v>453</v>
      </c>
      <c r="K51" s="30" t="s">
        <v>751</v>
      </c>
      <c r="L51" s="30" t="s">
        <v>455</v>
      </c>
      <c r="M51" s="15" t="s">
        <v>0</v>
      </c>
      <c r="N51" s="15">
        <v>0</v>
      </c>
      <c r="O51" s="15">
        <v>0</v>
      </c>
      <c r="P51" s="15">
        <v>0</v>
      </c>
      <c r="Q51" s="15">
        <v>1</v>
      </c>
      <c r="R51" s="17">
        <v>2</v>
      </c>
      <c r="S51" s="17">
        <v>23</v>
      </c>
      <c r="Y51" s="71">
        <v>50</v>
      </c>
      <c r="Z51">
        <v>2</v>
      </c>
      <c r="AC51">
        <f t="shared" si="0"/>
        <v>2</v>
      </c>
    </row>
    <row r="52" spans="1:29" x14ac:dyDescent="0.2">
      <c r="A52" s="10" t="s">
        <v>802</v>
      </c>
      <c r="B52" s="10" t="s">
        <v>449</v>
      </c>
      <c r="C52" s="29" t="s">
        <v>803</v>
      </c>
      <c r="D52" s="29" t="s">
        <v>837</v>
      </c>
      <c r="E52" s="10" t="s">
        <v>0</v>
      </c>
      <c r="F52" s="10"/>
      <c r="G52" s="10" t="s">
        <v>451</v>
      </c>
      <c r="H52" s="10"/>
      <c r="I52" s="30" t="s">
        <v>452</v>
      </c>
      <c r="J52" s="30" t="s">
        <v>453</v>
      </c>
      <c r="K52" s="30" t="s">
        <v>751</v>
      </c>
      <c r="L52" s="30" t="s">
        <v>455</v>
      </c>
      <c r="M52" s="18" t="s">
        <v>0</v>
      </c>
      <c r="N52" s="18">
        <v>0</v>
      </c>
      <c r="O52" s="18">
        <v>0</v>
      </c>
      <c r="P52" s="18">
        <v>0</v>
      </c>
      <c r="Q52" s="18">
        <v>1</v>
      </c>
      <c r="R52" s="17">
        <v>2</v>
      </c>
      <c r="S52" s="17">
        <v>23</v>
      </c>
      <c r="Y52" s="71">
        <v>51</v>
      </c>
      <c r="Z52">
        <v>2</v>
      </c>
      <c r="AC52">
        <f t="shared" si="0"/>
        <v>2</v>
      </c>
    </row>
    <row r="53" spans="1:29" x14ac:dyDescent="0.2">
      <c r="A53" s="32" t="s">
        <v>807</v>
      </c>
      <c r="B53" s="32" t="s">
        <v>449</v>
      </c>
      <c r="C53" s="33" t="s">
        <v>695</v>
      </c>
      <c r="D53" s="33" t="s">
        <v>696</v>
      </c>
      <c r="E53" s="32" t="s">
        <v>0</v>
      </c>
      <c r="F53" s="32"/>
      <c r="G53" s="32" t="s">
        <v>451</v>
      </c>
      <c r="H53" s="32"/>
      <c r="I53" s="30" t="s">
        <v>452</v>
      </c>
      <c r="J53" s="30" t="s">
        <v>453</v>
      </c>
      <c r="K53" s="30" t="s">
        <v>751</v>
      </c>
      <c r="L53" s="30" t="s">
        <v>455</v>
      </c>
      <c r="M53" s="15" t="s">
        <v>0</v>
      </c>
      <c r="N53" s="15">
        <v>0</v>
      </c>
      <c r="O53" s="15">
        <v>0</v>
      </c>
      <c r="P53" s="15">
        <v>0</v>
      </c>
      <c r="Q53" s="15">
        <v>1</v>
      </c>
      <c r="R53" s="17">
        <v>2</v>
      </c>
      <c r="S53" s="17">
        <v>24</v>
      </c>
      <c r="Y53" s="71">
        <v>52</v>
      </c>
      <c r="Z53">
        <v>2</v>
      </c>
      <c r="AC53">
        <f t="shared" si="0"/>
        <v>2</v>
      </c>
    </row>
    <row r="54" spans="1:29" x14ac:dyDescent="0.2">
      <c r="A54" s="10" t="s">
        <v>812</v>
      </c>
      <c r="B54" s="10" t="s">
        <v>449</v>
      </c>
      <c r="C54" s="29" t="s">
        <v>688</v>
      </c>
      <c r="D54" s="29" t="s">
        <v>689</v>
      </c>
      <c r="E54" s="10" t="s">
        <v>0</v>
      </c>
      <c r="F54" s="10"/>
      <c r="G54" s="10" t="s">
        <v>451</v>
      </c>
      <c r="H54" s="10"/>
      <c r="I54" s="30" t="s">
        <v>452</v>
      </c>
      <c r="J54" s="30" t="s">
        <v>453</v>
      </c>
      <c r="K54" s="30" t="s">
        <v>751</v>
      </c>
      <c r="L54" s="30" t="s">
        <v>455</v>
      </c>
      <c r="M54" s="18" t="s">
        <v>0</v>
      </c>
      <c r="N54" s="18">
        <v>0</v>
      </c>
      <c r="O54" s="18">
        <v>0</v>
      </c>
      <c r="P54" s="18">
        <v>0</v>
      </c>
      <c r="Q54" s="18">
        <v>1</v>
      </c>
      <c r="R54" s="17">
        <v>2</v>
      </c>
      <c r="S54" s="17">
        <v>24</v>
      </c>
      <c r="Y54" s="71">
        <v>53</v>
      </c>
      <c r="Z54">
        <v>2</v>
      </c>
      <c r="AC54">
        <f t="shared" si="0"/>
        <v>2</v>
      </c>
    </row>
    <row r="55" spans="1:29" x14ac:dyDescent="0.2">
      <c r="A55" s="32" t="s">
        <v>816</v>
      </c>
      <c r="B55" s="32" t="s">
        <v>449</v>
      </c>
      <c r="C55" s="33" t="s">
        <v>817</v>
      </c>
      <c r="D55" s="33" t="s">
        <v>842</v>
      </c>
      <c r="E55" s="32" t="s">
        <v>0</v>
      </c>
      <c r="F55" s="32"/>
      <c r="G55" s="32" t="s">
        <v>451</v>
      </c>
      <c r="H55" s="32"/>
      <c r="I55" s="30" t="s">
        <v>452</v>
      </c>
      <c r="J55" s="30" t="s">
        <v>453</v>
      </c>
      <c r="K55" s="30" t="s">
        <v>751</v>
      </c>
      <c r="L55" s="30" t="s">
        <v>455</v>
      </c>
      <c r="M55" s="15" t="s">
        <v>0</v>
      </c>
      <c r="N55" s="15">
        <v>0</v>
      </c>
      <c r="O55" s="15">
        <v>0</v>
      </c>
      <c r="P55" s="15">
        <v>0</v>
      </c>
      <c r="Q55" s="15">
        <v>1</v>
      </c>
      <c r="R55" s="17">
        <v>2</v>
      </c>
      <c r="S55" s="17">
        <v>25</v>
      </c>
      <c r="Y55" s="71">
        <v>54</v>
      </c>
      <c r="Z55">
        <v>2</v>
      </c>
      <c r="AC55">
        <f t="shared" si="0"/>
        <v>2</v>
      </c>
    </row>
    <row r="56" spans="1:29" x14ac:dyDescent="0.2">
      <c r="A56" s="10" t="s">
        <v>823</v>
      </c>
      <c r="B56" s="10" t="s">
        <v>449</v>
      </c>
      <c r="C56" s="29" t="s">
        <v>824</v>
      </c>
      <c r="D56" s="29" t="s">
        <v>847</v>
      </c>
      <c r="E56" s="10" t="s">
        <v>0</v>
      </c>
      <c r="F56" s="10"/>
      <c r="G56" s="10" t="s">
        <v>451</v>
      </c>
      <c r="H56" s="10"/>
      <c r="I56" s="30" t="s">
        <v>452</v>
      </c>
      <c r="J56" s="30" t="s">
        <v>453</v>
      </c>
      <c r="K56" s="30" t="s">
        <v>751</v>
      </c>
      <c r="L56" s="30" t="s">
        <v>455</v>
      </c>
      <c r="M56" s="18" t="s">
        <v>0</v>
      </c>
      <c r="N56" s="18">
        <v>0</v>
      </c>
      <c r="O56" s="18">
        <v>0</v>
      </c>
      <c r="P56" s="18">
        <v>0</v>
      </c>
      <c r="Q56" s="18">
        <v>1</v>
      </c>
      <c r="R56" s="17">
        <v>2</v>
      </c>
      <c r="S56" s="17">
        <v>25</v>
      </c>
      <c r="Y56" s="71">
        <v>55</v>
      </c>
      <c r="Z56">
        <v>2</v>
      </c>
      <c r="AC56">
        <f t="shared" si="0"/>
        <v>2</v>
      </c>
    </row>
    <row r="57" spans="1:29" x14ac:dyDescent="0.2">
      <c r="A57" s="32" t="s">
        <v>833</v>
      </c>
      <c r="B57" s="32" t="s">
        <v>449</v>
      </c>
      <c r="C57" s="33" t="s">
        <v>834</v>
      </c>
      <c r="D57" s="33" t="s">
        <v>853</v>
      </c>
      <c r="E57" s="32" t="s">
        <v>0</v>
      </c>
      <c r="F57" s="32"/>
      <c r="G57" s="32" t="s">
        <v>451</v>
      </c>
      <c r="H57" s="32"/>
      <c r="I57" s="30" t="s">
        <v>452</v>
      </c>
      <c r="J57" s="30" t="s">
        <v>453</v>
      </c>
      <c r="K57" s="30" t="s">
        <v>751</v>
      </c>
      <c r="L57" s="30" t="s">
        <v>455</v>
      </c>
      <c r="M57" s="15" t="s">
        <v>0</v>
      </c>
      <c r="N57" s="15">
        <v>0</v>
      </c>
      <c r="O57" s="15">
        <v>0</v>
      </c>
      <c r="P57" s="15">
        <v>0</v>
      </c>
      <c r="Q57" s="15">
        <v>1</v>
      </c>
      <c r="R57" s="17">
        <v>2</v>
      </c>
      <c r="S57" s="17">
        <v>26</v>
      </c>
      <c r="Y57" s="71">
        <v>56</v>
      </c>
      <c r="Z57">
        <v>2</v>
      </c>
      <c r="AC57">
        <f t="shared" si="0"/>
        <v>2</v>
      </c>
    </row>
    <row r="58" spans="1:29" x14ac:dyDescent="0.2">
      <c r="A58" s="32" t="s">
        <v>843</v>
      </c>
      <c r="B58" s="32" t="s">
        <v>449</v>
      </c>
      <c r="C58" s="33" t="s">
        <v>844</v>
      </c>
      <c r="D58" s="33" t="s">
        <v>858</v>
      </c>
      <c r="E58" s="32" t="s">
        <v>0</v>
      </c>
      <c r="F58" s="32"/>
      <c r="G58" s="32" t="s">
        <v>451</v>
      </c>
      <c r="H58" s="32"/>
      <c r="I58" s="30" t="s">
        <v>452</v>
      </c>
      <c r="J58" s="30" t="s">
        <v>453</v>
      </c>
      <c r="K58" s="30" t="s">
        <v>751</v>
      </c>
      <c r="L58" s="30" t="s">
        <v>455</v>
      </c>
      <c r="M58" s="15" t="s">
        <v>0</v>
      </c>
      <c r="N58" s="15">
        <v>0</v>
      </c>
      <c r="O58" s="15">
        <v>0</v>
      </c>
      <c r="P58" s="15">
        <v>0</v>
      </c>
      <c r="Q58" s="15">
        <v>1</v>
      </c>
      <c r="R58" s="17">
        <v>2</v>
      </c>
      <c r="S58" s="17">
        <v>26</v>
      </c>
      <c r="Y58" s="71">
        <v>57</v>
      </c>
      <c r="Z58">
        <v>2</v>
      </c>
      <c r="AC58">
        <f t="shared" si="0"/>
        <v>2</v>
      </c>
    </row>
    <row r="59" spans="1:29" x14ac:dyDescent="0.2">
      <c r="A59" s="10" t="s">
        <v>848</v>
      </c>
      <c r="B59" s="10" t="s">
        <v>449</v>
      </c>
      <c r="C59" s="29" t="s">
        <v>849</v>
      </c>
      <c r="D59" s="29" t="s">
        <v>868</v>
      </c>
      <c r="E59" s="10" t="s">
        <v>0</v>
      </c>
      <c r="F59" s="10"/>
      <c r="G59" s="10" t="s">
        <v>451</v>
      </c>
      <c r="H59" s="10"/>
      <c r="I59" s="30" t="s">
        <v>452</v>
      </c>
      <c r="J59" s="30" t="s">
        <v>453</v>
      </c>
      <c r="K59" s="30" t="s">
        <v>751</v>
      </c>
      <c r="L59" s="30" t="s">
        <v>455</v>
      </c>
      <c r="M59" s="18" t="s">
        <v>0</v>
      </c>
      <c r="N59" s="18">
        <v>0</v>
      </c>
      <c r="O59" s="18">
        <v>0</v>
      </c>
      <c r="P59" s="18">
        <v>0</v>
      </c>
      <c r="Q59" s="18">
        <v>1</v>
      </c>
      <c r="R59" s="17">
        <v>2</v>
      </c>
      <c r="S59" s="17">
        <v>27</v>
      </c>
      <c r="Y59" s="71">
        <v>58</v>
      </c>
      <c r="Z59">
        <v>2</v>
      </c>
      <c r="AC59">
        <f t="shared" si="0"/>
        <v>2</v>
      </c>
    </row>
    <row r="60" spans="1:29" x14ac:dyDescent="0.2">
      <c r="A60" s="32" t="s">
        <v>854</v>
      </c>
      <c r="B60" s="32" t="s">
        <v>449</v>
      </c>
      <c r="C60" s="33" t="s">
        <v>855</v>
      </c>
      <c r="D60" s="33" t="s">
        <v>863</v>
      </c>
      <c r="E60" s="32" t="s">
        <v>0</v>
      </c>
      <c r="F60" s="32"/>
      <c r="G60" s="32" t="s">
        <v>451</v>
      </c>
      <c r="H60" s="32"/>
      <c r="I60" s="30" t="s">
        <v>452</v>
      </c>
      <c r="J60" s="30" t="s">
        <v>453</v>
      </c>
      <c r="K60" s="30" t="s">
        <v>751</v>
      </c>
      <c r="L60" s="30" t="s">
        <v>455</v>
      </c>
      <c r="M60" s="15" t="s">
        <v>0</v>
      </c>
      <c r="N60" s="15">
        <v>0</v>
      </c>
      <c r="O60" s="15">
        <v>0</v>
      </c>
      <c r="P60" s="15">
        <v>0</v>
      </c>
      <c r="Q60" s="15">
        <v>1</v>
      </c>
      <c r="R60" s="17">
        <v>2</v>
      </c>
      <c r="S60" s="17">
        <v>27</v>
      </c>
      <c r="Y60" s="71">
        <v>59</v>
      </c>
      <c r="Z60">
        <v>2</v>
      </c>
      <c r="AC60">
        <f t="shared" si="0"/>
        <v>2</v>
      </c>
    </row>
    <row r="61" spans="1:29" hidden="1" x14ac:dyDescent="0.2">
      <c r="A61" s="32" t="s">
        <v>897</v>
      </c>
      <c r="B61" s="32" t="s">
        <v>449</v>
      </c>
      <c r="C61" s="33" t="s">
        <v>898</v>
      </c>
      <c r="D61" s="33" t="s">
        <v>903</v>
      </c>
      <c r="E61" s="32" t="s">
        <v>0</v>
      </c>
      <c r="F61" s="32"/>
      <c r="G61" s="32" t="s">
        <v>451</v>
      </c>
      <c r="H61" s="32" t="s">
        <v>899</v>
      </c>
      <c r="I61" s="30" t="s">
        <v>452</v>
      </c>
      <c r="J61" s="30" t="s">
        <v>453</v>
      </c>
      <c r="K61" s="30" t="s">
        <v>900</v>
      </c>
      <c r="L61" s="30" t="s">
        <v>455</v>
      </c>
      <c r="M61" s="15" t="s">
        <v>0</v>
      </c>
      <c r="N61" s="15">
        <v>0</v>
      </c>
      <c r="O61" s="15">
        <v>0</v>
      </c>
      <c r="P61" s="15">
        <v>0</v>
      </c>
      <c r="Q61" s="15">
        <v>1</v>
      </c>
      <c r="R61" s="17">
        <v>2</v>
      </c>
      <c r="S61" s="17">
        <v>30</v>
      </c>
      <c r="Y61" s="71">
        <v>60</v>
      </c>
      <c r="Z61">
        <v>2</v>
      </c>
      <c r="AC61">
        <f t="shared" si="0"/>
        <v>2</v>
      </c>
    </row>
    <row r="62" spans="1:29" hidden="1" x14ac:dyDescent="0.2">
      <c r="A62" s="10" t="s">
        <v>745</v>
      </c>
      <c r="B62" s="10" t="s">
        <v>449</v>
      </c>
      <c r="C62" s="29" t="s">
        <v>708</v>
      </c>
      <c r="D62" s="29" t="s">
        <v>709</v>
      </c>
      <c r="E62" s="10" t="s">
        <v>0</v>
      </c>
      <c r="F62" s="10"/>
      <c r="G62" s="10" t="s">
        <v>451</v>
      </c>
      <c r="H62" s="10"/>
      <c r="I62" s="30" t="s">
        <v>452</v>
      </c>
      <c r="J62" s="30" t="s">
        <v>453</v>
      </c>
      <c r="K62" s="30" t="s">
        <v>726</v>
      </c>
      <c r="L62" s="30" t="s">
        <v>455</v>
      </c>
      <c r="M62" s="18" t="s">
        <v>0</v>
      </c>
      <c r="N62" s="18">
        <v>0</v>
      </c>
      <c r="O62" s="18">
        <v>0</v>
      </c>
      <c r="P62" s="18">
        <v>0</v>
      </c>
      <c r="Q62" s="18">
        <v>1</v>
      </c>
      <c r="R62" s="17">
        <v>2</v>
      </c>
      <c r="S62" s="17">
        <v>31</v>
      </c>
      <c r="Y62" s="71">
        <v>61</v>
      </c>
      <c r="Z62">
        <v>2</v>
      </c>
      <c r="AC62">
        <f t="shared" si="0"/>
        <v>2</v>
      </c>
    </row>
    <row r="63" spans="1:29" x14ac:dyDescent="0.2">
      <c r="A63" s="32" t="s">
        <v>864</v>
      </c>
      <c r="B63" s="32" t="s">
        <v>449</v>
      </c>
      <c r="C63" s="33" t="s">
        <v>865</v>
      </c>
      <c r="D63" s="33" t="s">
        <v>880</v>
      </c>
      <c r="E63" s="32" t="s">
        <v>0</v>
      </c>
      <c r="F63" s="32"/>
      <c r="G63" s="32" t="s">
        <v>451</v>
      </c>
      <c r="H63" s="32"/>
      <c r="I63" s="30" t="s">
        <v>452</v>
      </c>
      <c r="J63" s="30" t="s">
        <v>453</v>
      </c>
      <c r="K63" s="30" t="s">
        <v>751</v>
      </c>
      <c r="L63" s="30" t="s">
        <v>455</v>
      </c>
      <c r="M63" s="15" t="s">
        <v>0</v>
      </c>
      <c r="N63" s="15">
        <v>0</v>
      </c>
      <c r="O63" s="15">
        <v>0</v>
      </c>
      <c r="P63" s="15">
        <v>0</v>
      </c>
      <c r="Q63" s="15">
        <v>1</v>
      </c>
      <c r="R63" s="17">
        <v>2</v>
      </c>
      <c r="S63" s="17">
        <v>28</v>
      </c>
      <c r="Y63" s="71">
        <v>62</v>
      </c>
      <c r="Z63">
        <v>2</v>
      </c>
      <c r="AC63">
        <f t="shared" si="0"/>
        <v>2</v>
      </c>
    </row>
    <row r="64" spans="1:29" x14ac:dyDescent="0.2">
      <c r="A64" s="10" t="s">
        <v>869</v>
      </c>
      <c r="B64" s="10" t="s">
        <v>449</v>
      </c>
      <c r="C64" s="29" t="s">
        <v>113</v>
      </c>
      <c r="D64" s="29" t="s">
        <v>875</v>
      </c>
      <c r="E64" s="10" t="s">
        <v>0</v>
      </c>
      <c r="F64" s="10"/>
      <c r="G64" s="10" t="s">
        <v>451</v>
      </c>
      <c r="H64" s="10"/>
      <c r="I64" s="30" t="s">
        <v>452</v>
      </c>
      <c r="J64" s="30" t="s">
        <v>453</v>
      </c>
      <c r="K64" s="30" t="s">
        <v>751</v>
      </c>
      <c r="L64" s="30" t="s">
        <v>455</v>
      </c>
      <c r="M64" s="18" t="s">
        <v>0</v>
      </c>
      <c r="N64" s="18">
        <v>0</v>
      </c>
      <c r="O64" s="18">
        <v>0</v>
      </c>
      <c r="P64" s="18">
        <v>0</v>
      </c>
      <c r="Q64" s="18">
        <v>1</v>
      </c>
      <c r="R64" s="17">
        <v>2</v>
      </c>
      <c r="S64" s="17">
        <v>28</v>
      </c>
      <c r="Y64" s="71">
        <v>63</v>
      </c>
      <c r="Z64">
        <v>2</v>
      </c>
      <c r="AC64">
        <f t="shared" si="0"/>
        <v>2</v>
      </c>
    </row>
    <row r="65" spans="1:29" x14ac:dyDescent="0.2">
      <c r="A65" s="32" t="s">
        <v>876</v>
      </c>
      <c r="B65" s="32" t="s">
        <v>449</v>
      </c>
      <c r="C65" s="33" t="s">
        <v>877</v>
      </c>
      <c r="D65" s="33" t="s">
        <v>890</v>
      </c>
      <c r="E65" s="32" t="s">
        <v>0</v>
      </c>
      <c r="F65" s="32"/>
      <c r="G65" s="32" t="s">
        <v>451</v>
      </c>
      <c r="H65" s="32"/>
      <c r="I65" s="30" t="s">
        <v>452</v>
      </c>
      <c r="J65" s="30" t="s">
        <v>453</v>
      </c>
      <c r="K65" s="30" t="s">
        <v>751</v>
      </c>
      <c r="L65" s="30" t="s">
        <v>455</v>
      </c>
      <c r="M65" s="15" t="s">
        <v>0</v>
      </c>
      <c r="N65" s="15">
        <v>0</v>
      </c>
      <c r="O65" s="15">
        <v>0</v>
      </c>
      <c r="P65" s="15">
        <v>0</v>
      </c>
      <c r="Q65" s="15">
        <v>1</v>
      </c>
      <c r="R65" s="17">
        <v>2</v>
      </c>
      <c r="S65" s="17">
        <v>29</v>
      </c>
      <c r="Y65" s="71">
        <v>64</v>
      </c>
      <c r="Z65">
        <v>2</v>
      </c>
      <c r="AC65">
        <f t="shared" si="0"/>
        <v>2</v>
      </c>
    </row>
    <row r="66" spans="1:29" x14ac:dyDescent="0.2">
      <c r="A66" s="32" t="s">
        <v>887</v>
      </c>
      <c r="B66" s="32" t="s">
        <v>449</v>
      </c>
      <c r="C66" s="33" t="s">
        <v>885</v>
      </c>
      <c r="D66" s="33" t="s">
        <v>886</v>
      </c>
      <c r="E66" s="32" t="s">
        <v>0</v>
      </c>
      <c r="F66" s="32"/>
      <c r="G66" s="32" t="s">
        <v>451</v>
      </c>
      <c r="H66" s="32"/>
      <c r="I66" s="30" t="s">
        <v>452</v>
      </c>
      <c r="J66" s="30" t="s">
        <v>453</v>
      </c>
      <c r="K66" s="30" t="s">
        <v>751</v>
      </c>
      <c r="L66" s="30" t="s">
        <v>455</v>
      </c>
      <c r="M66" s="15" t="s">
        <v>0</v>
      </c>
      <c r="N66" s="15">
        <v>0</v>
      </c>
      <c r="O66" s="15">
        <v>0</v>
      </c>
      <c r="P66" s="15">
        <v>0</v>
      </c>
      <c r="Q66" s="15">
        <v>1</v>
      </c>
      <c r="R66" s="17">
        <v>2</v>
      </c>
      <c r="S66" s="17">
        <v>29</v>
      </c>
      <c r="Y66" s="71">
        <v>65</v>
      </c>
      <c r="Z66">
        <v>2</v>
      </c>
      <c r="AC66">
        <f t="shared" si="0"/>
        <v>2</v>
      </c>
    </row>
    <row r="67" spans="1:29" x14ac:dyDescent="0.2">
      <c r="A67" s="43" t="s">
        <v>891</v>
      </c>
      <c r="B67" s="10" t="s">
        <v>449</v>
      </c>
      <c r="C67" s="29" t="s">
        <v>892</v>
      </c>
      <c r="D67" s="10" t="s">
        <v>2357</v>
      </c>
      <c r="E67" s="10" t="s">
        <v>0</v>
      </c>
      <c r="F67" s="10"/>
      <c r="G67" s="10" t="s">
        <v>451</v>
      </c>
      <c r="H67" s="10"/>
      <c r="I67" s="30" t="s">
        <v>452</v>
      </c>
      <c r="J67" s="30" t="s">
        <v>453</v>
      </c>
      <c r="K67" s="30" t="s">
        <v>751</v>
      </c>
      <c r="L67" s="30" t="s">
        <v>455</v>
      </c>
      <c r="M67" s="18" t="s">
        <v>0</v>
      </c>
      <c r="N67" s="18">
        <v>0</v>
      </c>
      <c r="O67" s="18">
        <v>0</v>
      </c>
      <c r="P67" s="18">
        <v>0</v>
      </c>
      <c r="Q67" s="18">
        <v>1</v>
      </c>
      <c r="R67" s="17">
        <v>2</v>
      </c>
      <c r="S67" s="17">
        <v>30</v>
      </c>
      <c r="Y67" s="71">
        <v>66</v>
      </c>
      <c r="Z67">
        <v>2</v>
      </c>
      <c r="AC67">
        <f t="shared" si="0"/>
        <v>2</v>
      </c>
    </row>
    <row r="68" spans="1:29" x14ac:dyDescent="0.2">
      <c r="A68" s="15" t="s">
        <v>750</v>
      </c>
      <c r="B68" s="15" t="s">
        <v>449</v>
      </c>
      <c r="C68" s="44" t="s">
        <v>702</v>
      </c>
      <c r="D68" s="44" t="s">
        <v>703</v>
      </c>
      <c r="E68" s="15" t="s">
        <v>0</v>
      </c>
      <c r="F68" s="15"/>
      <c r="G68" s="15" t="s">
        <v>451</v>
      </c>
      <c r="H68" s="15"/>
      <c r="I68" s="30" t="s">
        <v>452</v>
      </c>
      <c r="J68" s="30" t="s">
        <v>453</v>
      </c>
      <c r="K68" s="30" t="s">
        <v>751</v>
      </c>
      <c r="L68" s="30" t="s">
        <v>455</v>
      </c>
      <c r="M68" s="15" t="s">
        <v>0</v>
      </c>
      <c r="N68" s="15">
        <v>0</v>
      </c>
      <c r="O68" s="15">
        <v>0</v>
      </c>
      <c r="P68" s="15">
        <v>0</v>
      </c>
      <c r="Q68" s="15">
        <v>1</v>
      </c>
      <c r="R68" s="17">
        <v>2</v>
      </c>
      <c r="S68" s="17">
        <v>31</v>
      </c>
      <c r="Y68" s="71">
        <v>67</v>
      </c>
      <c r="Z68">
        <v>2</v>
      </c>
      <c r="AC68">
        <f t="shared" si="0"/>
        <v>2</v>
      </c>
    </row>
    <row r="69" spans="1:29" x14ac:dyDescent="0.2">
      <c r="A69" s="15" t="s">
        <v>765</v>
      </c>
      <c r="B69" s="15" t="s">
        <v>449</v>
      </c>
      <c r="C69" s="44" t="s">
        <v>722</v>
      </c>
      <c r="D69" s="44" t="s">
        <v>723</v>
      </c>
      <c r="E69" s="15" t="s">
        <v>0</v>
      </c>
      <c r="F69" s="15"/>
      <c r="G69" s="15" t="s">
        <v>451</v>
      </c>
      <c r="H69" s="15"/>
      <c r="I69" s="30" t="s">
        <v>452</v>
      </c>
      <c r="J69" s="30" t="s">
        <v>453</v>
      </c>
      <c r="K69" s="30" t="s">
        <v>751</v>
      </c>
      <c r="L69" s="30" t="s">
        <v>455</v>
      </c>
      <c r="M69" s="15" t="s">
        <v>0</v>
      </c>
      <c r="N69" s="15">
        <v>0</v>
      </c>
      <c r="O69" s="15">
        <v>0</v>
      </c>
      <c r="P69" s="15">
        <v>0</v>
      </c>
      <c r="Q69" s="15">
        <v>1</v>
      </c>
      <c r="R69" s="17">
        <v>2</v>
      </c>
      <c r="S69" s="17">
        <v>32</v>
      </c>
      <c r="Y69" s="71">
        <v>68</v>
      </c>
      <c r="Z69">
        <v>2</v>
      </c>
      <c r="AC69">
        <f t="shared" ref="AC69:AC131" si="1">Z69</f>
        <v>2</v>
      </c>
    </row>
    <row r="70" spans="1:29" x14ac:dyDescent="0.2">
      <c r="A70" s="18" t="s">
        <v>777</v>
      </c>
      <c r="B70" s="18" t="s">
        <v>449</v>
      </c>
      <c r="C70" s="41" t="s">
        <v>715</v>
      </c>
      <c r="D70" s="41" t="s">
        <v>716</v>
      </c>
      <c r="E70" s="18" t="s">
        <v>0</v>
      </c>
      <c r="F70" s="18"/>
      <c r="G70" s="18" t="s">
        <v>451</v>
      </c>
      <c r="H70" s="18"/>
      <c r="I70" s="30" t="s">
        <v>452</v>
      </c>
      <c r="J70" s="30" t="s">
        <v>453</v>
      </c>
      <c r="K70" s="30" t="s">
        <v>751</v>
      </c>
      <c r="L70" s="30" t="s">
        <v>455</v>
      </c>
      <c r="M70" s="18" t="s">
        <v>0</v>
      </c>
      <c r="N70" s="18">
        <v>0</v>
      </c>
      <c r="O70" s="18">
        <v>0</v>
      </c>
      <c r="P70" s="18">
        <v>0</v>
      </c>
      <c r="Q70" s="18">
        <v>1</v>
      </c>
      <c r="R70" s="17">
        <v>2</v>
      </c>
      <c r="S70" s="17">
        <v>32</v>
      </c>
      <c r="Y70" s="71">
        <v>69</v>
      </c>
      <c r="Z70">
        <v>2</v>
      </c>
      <c r="AC70">
        <f t="shared" si="1"/>
        <v>2</v>
      </c>
    </row>
    <row r="71" spans="1:29" x14ac:dyDescent="0.2">
      <c r="A71" s="10" t="s">
        <v>828</v>
      </c>
      <c r="B71" s="10" t="s">
        <v>449</v>
      </c>
      <c r="C71" s="29" t="s">
        <v>730</v>
      </c>
      <c r="D71" s="29" t="s">
        <v>731</v>
      </c>
      <c r="E71" s="10" t="s">
        <v>0</v>
      </c>
      <c r="F71" s="10"/>
      <c r="G71" s="10" t="s">
        <v>451</v>
      </c>
      <c r="H71" s="10"/>
      <c r="I71" s="30" t="s">
        <v>452</v>
      </c>
      <c r="J71" s="30" t="s">
        <v>453</v>
      </c>
      <c r="K71" s="30" t="s">
        <v>751</v>
      </c>
      <c r="L71" s="30" t="s">
        <v>455</v>
      </c>
      <c r="M71" s="18" t="s">
        <v>0</v>
      </c>
      <c r="N71" s="18">
        <v>0</v>
      </c>
      <c r="O71" s="18">
        <v>0</v>
      </c>
      <c r="P71" s="18">
        <v>0</v>
      </c>
      <c r="Q71" s="18">
        <v>1</v>
      </c>
      <c r="R71" s="17">
        <v>2</v>
      </c>
      <c r="S71" s="17">
        <v>33</v>
      </c>
      <c r="Y71" s="71">
        <v>78</v>
      </c>
      <c r="Z71">
        <v>2</v>
      </c>
      <c r="AC71">
        <f t="shared" si="1"/>
        <v>2</v>
      </c>
    </row>
    <row r="72" spans="1:29" x14ac:dyDescent="0.2">
      <c r="A72" s="10" t="s">
        <v>881</v>
      </c>
      <c r="B72" s="10" t="s">
        <v>449</v>
      </c>
      <c r="C72" s="29" t="s">
        <v>736</v>
      </c>
      <c r="D72" s="29" t="s">
        <v>737</v>
      </c>
      <c r="E72" s="10" t="s">
        <v>0</v>
      </c>
      <c r="F72" s="10"/>
      <c r="G72" s="10" t="s">
        <v>451</v>
      </c>
      <c r="H72" s="10"/>
      <c r="I72" s="30" t="s">
        <v>452</v>
      </c>
      <c r="J72" s="30" t="s">
        <v>453</v>
      </c>
      <c r="K72" s="30" t="s">
        <v>751</v>
      </c>
      <c r="L72" s="30" t="s">
        <v>455</v>
      </c>
      <c r="M72" s="18" t="s">
        <v>0</v>
      </c>
      <c r="N72" s="18">
        <v>0</v>
      </c>
      <c r="O72" s="18">
        <v>0</v>
      </c>
      <c r="P72" s="18">
        <v>0</v>
      </c>
      <c r="Q72" s="18">
        <v>1</v>
      </c>
      <c r="R72" s="17">
        <v>2</v>
      </c>
      <c r="S72" s="17">
        <v>33</v>
      </c>
      <c r="Y72" s="71">
        <v>79</v>
      </c>
      <c r="Z72">
        <v>2</v>
      </c>
      <c r="AC72">
        <f t="shared" si="1"/>
        <v>2</v>
      </c>
    </row>
    <row r="73" spans="1:29" x14ac:dyDescent="0.2">
      <c r="A73" s="10" t="s">
        <v>838</v>
      </c>
      <c r="B73" s="10" t="s">
        <v>449</v>
      </c>
      <c r="C73" s="29" t="s">
        <v>743</v>
      </c>
      <c r="D73" s="29" t="s">
        <v>744</v>
      </c>
      <c r="E73" s="10" t="s">
        <v>0</v>
      </c>
      <c r="F73" s="10"/>
      <c r="G73" s="10" t="s">
        <v>451</v>
      </c>
      <c r="H73" s="10"/>
      <c r="I73" s="30" t="s">
        <v>452</v>
      </c>
      <c r="J73" s="30" t="s">
        <v>453</v>
      </c>
      <c r="K73" s="30" t="s">
        <v>751</v>
      </c>
      <c r="L73" s="30" t="s">
        <v>455</v>
      </c>
      <c r="M73" s="18" t="s">
        <v>0</v>
      </c>
      <c r="N73" s="18">
        <v>0</v>
      </c>
      <c r="O73" s="18">
        <v>0</v>
      </c>
      <c r="P73" s="18">
        <v>0</v>
      </c>
      <c r="Q73" s="18">
        <v>1</v>
      </c>
      <c r="R73" s="17">
        <v>2</v>
      </c>
      <c r="S73" s="17">
        <v>34</v>
      </c>
      <c r="Y73" s="71">
        <v>80</v>
      </c>
      <c r="Z73">
        <v>2</v>
      </c>
      <c r="AC73">
        <f t="shared" si="1"/>
        <v>2</v>
      </c>
    </row>
    <row r="74" spans="1:29" x14ac:dyDescent="0.2">
      <c r="A74" s="10" t="s">
        <v>859</v>
      </c>
      <c r="B74" s="10" t="s">
        <v>449</v>
      </c>
      <c r="C74" s="29" t="s">
        <v>748</v>
      </c>
      <c r="D74" s="29" t="s">
        <v>749</v>
      </c>
      <c r="E74" s="10" t="s">
        <v>0</v>
      </c>
      <c r="F74" s="10"/>
      <c r="G74" s="10" t="s">
        <v>451</v>
      </c>
      <c r="H74" s="10"/>
      <c r="I74" s="30" t="s">
        <v>452</v>
      </c>
      <c r="J74" s="30" t="s">
        <v>453</v>
      </c>
      <c r="K74" s="30" t="s">
        <v>751</v>
      </c>
      <c r="L74" s="30" t="s">
        <v>455</v>
      </c>
      <c r="M74" s="18" t="s">
        <v>0</v>
      </c>
      <c r="N74" s="18">
        <v>0</v>
      </c>
      <c r="O74" s="18">
        <v>0</v>
      </c>
      <c r="P74" s="18">
        <v>0</v>
      </c>
      <c r="Q74" s="18">
        <v>1</v>
      </c>
      <c r="R74" s="17">
        <v>2</v>
      </c>
      <c r="S74" s="17">
        <v>34</v>
      </c>
      <c r="Y74" s="71">
        <v>81</v>
      </c>
      <c r="Z74">
        <v>2</v>
      </c>
      <c r="AC74">
        <f t="shared" si="1"/>
        <v>2</v>
      </c>
    </row>
    <row r="75" spans="1:29" hidden="1" x14ac:dyDescent="0.2">
      <c r="A75" s="40" t="s">
        <v>909</v>
      </c>
      <c r="B75" s="15" t="s">
        <v>449</v>
      </c>
      <c r="C75" s="44" t="s">
        <v>910</v>
      </c>
      <c r="D75" s="44" t="s">
        <v>1817</v>
      </c>
      <c r="E75" s="15" t="s">
        <v>0</v>
      </c>
      <c r="F75" s="15"/>
      <c r="G75" s="40" t="s">
        <v>451</v>
      </c>
      <c r="H75" s="40"/>
      <c r="I75" s="35" t="s">
        <v>452</v>
      </c>
      <c r="J75" s="30" t="s">
        <v>904</v>
      </c>
      <c r="K75" s="35" t="s">
        <v>911</v>
      </c>
      <c r="L75" s="30" t="s">
        <v>455</v>
      </c>
      <c r="M75" s="15" t="s">
        <v>0</v>
      </c>
      <c r="N75" s="15">
        <v>0</v>
      </c>
      <c r="O75" s="15">
        <v>0</v>
      </c>
      <c r="P75" s="15">
        <v>0</v>
      </c>
      <c r="Q75" s="40">
        <v>1</v>
      </c>
      <c r="R75" s="63">
        <v>2</v>
      </c>
      <c r="S75" s="63">
        <v>87</v>
      </c>
      <c r="Y75" s="71">
        <v>82</v>
      </c>
      <c r="Z75">
        <v>2</v>
      </c>
      <c r="AC75">
        <f t="shared" si="1"/>
        <v>2</v>
      </c>
    </row>
    <row r="76" spans="1:29" hidden="1" x14ac:dyDescent="0.2">
      <c r="A76" s="34" t="s">
        <v>401</v>
      </c>
      <c r="B76" s="10" t="s">
        <v>449</v>
      </c>
      <c r="C76" s="29" t="s">
        <v>755</v>
      </c>
      <c r="D76" s="29" t="s">
        <v>756</v>
      </c>
      <c r="E76" s="10" t="s">
        <v>0</v>
      </c>
      <c r="F76" s="10"/>
      <c r="G76" s="34" t="s">
        <v>451</v>
      </c>
      <c r="H76" s="34"/>
      <c r="I76" s="35" t="s">
        <v>452</v>
      </c>
      <c r="J76" s="30" t="s">
        <v>904</v>
      </c>
      <c r="K76" s="35" t="s">
        <v>900</v>
      </c>
      <c r="L76" s="30" t="s">
        <v>455</v>
      </c>
      <c r="M76" s="18" t="s">
        <v>0</v>
      </c>
      <c r="N76" s="18">
        <v>0</v>
      </c>
      <c r="O76" s="18">
        <v>0</v>
      </c>
      <c r="P76" s="18">
        <v>0</v>
      </c>
      <c r="Q76" s="36">
        <v>1</v>
      </c>
      <c r="R76" s="58">
        <v>2</v>
      </c>
      <c r="S76" s="58">
        <v>86</v>
      </c>
      <c r="Y76" s="71">
        <v>83</v>
      </c>
      <c r="Z76">
        <v>2</v>
      </c>
      <c r="AC76">
        <f t="shared" si="1"/>
        <v>2</v>
      </c>
    </row>
    <row r="77" spans="1:29" hidden="1" x14ac:dyDescent="0.2">
      <c r="A77" s="18" t="s">
        <v>924</v>
      </c>
      <c r="B77" s="18" t="s">
        <v>449</v>
      </c>
      <c r="C77" s="41" t="s">
        <v>925</v>
      </c>
      <c r="D77" s="41" t="s">
        <v>1005</v>
      </c>
      <c r="E77" s="18" t="s">
        <v>0</v>
      </c>
      <c r="F77" s="18"/>
      <c r="G77" s="18" t="s">
        <v>451</v>
      </c>
      <c r="H77" s="18"/>
      <c r="I77" s="30" t="s">
        <v>452</v>
      </c>
      <c r="J77" s="30" t="s">
        <v>453</v>
      </c>
      <c r="K77" s="30" t="s">
        <v>919</v>
      </c>
      <c r="L77" s="30" t="s">
        <v>455</v>
      </c>
      <c r="M77" s="18" t="s">
        <v>0</v>
      </c>
      <c r="N77" s="18">
        <v>0</v>
      </c>
      <c r="O77" s="18">
        <v>0</v>
      </c>
      <c r="P77" s="18">
        <v>0</v>
      </c>
      <c r="Q77" s="18">
        <v>1</v>
      </c>
      <c r="R77" s="62">
        <v>3</v>
      </c>
      <c r="S77" s="62">
        <v>35</v>
      </c>
      <c r="Y77" s="71">
        <v>84</v>
      </c>
      <c r="Z77">
        <v>2</v>
      </c>
      <c r="AC77">
        <f t="shared" si="1"/>
        <v>2</v>
      </c>
    </row>
    <row r="78" spans="1:29" hidden="1" x14ac:dyDescent="0.2">
      <c r="A78" s="32" t="s">
        <v>945</v>
      </c>
      <c r="B78" s="32" t="s">
        <v>449</v>
      </c>
      <c r="C78" s="33" t="s">
        <v>946</v>
      </c>
      <c r="D78" s="33" t="s">
        <v>1000</v>
      </c>
      <c r="E78" s="32" t="s">
        <v>0</v>
      </c>
      <c r="F78" s="32"/>
      <c r="G78" s="32" t="s">
        <v>451</v>
      </c>
      <c r="H78" s="32"/>
      <c r="I78" s="30" t="s">
        <v>452</v>
      </c>
      <c r="J78" s="30" t="s">
        <v>453</v>
      </c>
      <c r="K78" s="30" t="s">
        <v>900</v>
      </c>
      <c r="L78" s="30" t="s">
        <v>455</v>
      </c>
      <c r="M78" s="15" t="s">
        <v>0</v>
      </c>
      <c r="N78" s="15">
        <v>0</v>
      </c>
      <c r="O78" s="15">
        <v>0</v>
      </c>
      <c r="P78" s="15">
        <v>0</v>
      </c>
      <c r="Q78" s="15">
        <v>1</v>
      </c>
      <c r="R78" s="62">
        <v>3</v>
      </c>
      <c r="S78" s="62">
        <v>35</v>
      </c>
      <c r="Y78" s="71">
        <v>85</v>
      </c>
      <c r="Z78">
        <v>2</v>
      </c>
      <c r="AC78">
        <f t="shared" si="1"/>
        <v>2</v>
      </c>
    </row>
    <row r="79" spans="1:29" hidden="1" x14ac:dyDescent="0.2">
      <c r="A79" s="32" t="s">
        <v>931</v>
      </c>
      <c r="B79" s="32" t="s">
        <v>449</v>
      </c>
      <c r="C79" s="33" t="s">
        <v>932</v>
      </c>
      <c r="D79" s="33" t="s">
        <v>1015</v>
      </c>
      <c r="E79" s="32" t="s">
        <v>0</v>
      </c>
      <c r="F79" s="32"/>
      <c r="G79" s="32" t="s">
        <v>451</v>
      </c>
      <c r="H79" s="32"/>
      <c r="I79" s="30" t="s">
        <v>452</v>
      </c>
      <c r="J79" s="30" t="s">
        <v>453</v>
      </c>
      <c r="K79" s="30" t="s">
        <v>919</v>
      </c>
      <c r="L79" s="30" t="s">
        <v>455</v>
      </c>
      <c r="M79" s="15" t="s">
        <v>0</v>
      </c>
      <c r="N79" s="15">
        <v>0</v>
      </c>
      <c r="O79" s="15">
        <v>0</v>
      </c>
      <c r="P79" s="15">
        <v>0</v>
      </c>
      <c r="Q79" s="15">
        <v>1</v>
      </c>
      <c r="R79" s="62">
        <v>3</v>
      </c>
      <c r="S79" s="62">
        <v>36</v>
      </c>
      <c r="Y79" s="71">
        <v>86</v>
      </c>
      <c r="Z79">
        <v>2</v>
      </c>
      <c r="AC79">
        <f t="shared" si="1"/>
        <v>2</v>
      </c>
    </row>
    <row r="80" spans="1:29" hidden="1" x14ac:dyDescent="0.2">
      <c r="A80" s="10" t="s">
        <v>937</v>
      </c>
      <c r="B80" s="10" t="s">
        <v>449</v>
      </c>
      <c r="C80" s="29" t="s">
        <v>938</v>
      </c>
      <c r="D80" s="29" t="s">
        <v>1010</v>
      </c>
      <c r="E80" s="10" t="s">
        <v>0</v>
      </c>
      <c r="F80" s="10"/>
      <c r="G80" s="10" t="s">
        <v>451</v>
      </c>
      <c r="H80" s="10"/>
      <c r="I80" s="30" t="s">
        <v>452</v>
      </c>
      <c r="J80" s="30" t="s">
        <v>453</v>
      </c>
      <c r="K80" s="30" t="s">
        <v>919</v>
      </c>
      <c r="L80" s="30" t="s">
        <v>455</v>
      </c>
      <c r="M80" s="18" t="s">
        <v>0</v>
      </c>
      <c r="N80" s="18">
        <v>0</v>
      </c>
      <c r="O80" s="18">
        <v>0</v>
      </c>
      <c r="P80" s="18">
        <v>0</v>
      </c>
      <c r="Q80" s="18">
        <v>1</v>
      </c>
      <c r="R80" s="62">
        <v>3</v>
      </c>
      <c r="S80" s="62">
        <v>36</v>
      </c>
      <c r="Y80" s="71">
        <v>87</v>
      </c>
      <c r="Z80">
        <v>2</v>
      </c>
      <c r="AC80">
        <f t="shared" si="1"/>
        <v>2</v>
      </c>
    </row>
    <row r="81" spans="1:29" hidden="1" x14ac:dyDescent="0.2">
      <c r="A81" s="15" t="s">
        <v>957</v>
      </c>
      <c r="B81" s="15" t="s">
        <v>449</v>
      </c>
      <c r="C81" s="44" t="s">
        <v>958</v>
      </c>
      <c r="D81" s="44" t="s">
        <v>1303</v>
      </c>
      <c r="E81" s="15" t="s">
        <v>0</v>
      </c>
      <c r="F81" s="15"/>
      <c r="G81" s="15" t="s">
        <v>451</v>
      </c>
      <c r="H81" s="15"/>
      <c r="I81" s="30" t="s">
        <v>452</v>
      </c>
      <c r="J81" s="30" t="s">
        <v>453</v>
      </c>
      <c r="K81" s="30" t="s">
        <v>959</v>
      </c>
      <c r="L81" s="30" t="s">
        <v>455</v>
      </c>
      <c r="M81" s="15" t="s">
        <v>0</v>
      </c>
      <c r="N81" s="15">
        <v>0</v>
      </c>
      <c r="O81" s="15">
        <v>0</v>
      </c>
      <c r="P81" s="15">
        <v>0</v>
      </c>
      <c r="Q81" s="15">
        <v>1</v>
      </c>
      <c r="R81" s="62">
        <v>3</v>
      </c>
      <c r="S81" s="62">
        <v>58</v>
      </c>
      <c r="Y81" s="71">
        <v>88</v>
      </c>
      <c r="Z81">
        <v>2</v>
      </c>
      <c r="AC81">
        <f t="shared" si="1"/>
        <v>2</v>
      </c>
    </row>
    <row r="82" spans="1:29" hidden="1" x14ac:dyDescent="0.2">
      <c r="A82" s="32" t="s">
        <v>972</v>
      </c>
      <c r="B82" s="15" t="s">
        <v>449</v>
      </c>
      <c r="C82" s="33" t="s">
        <v>973</v>
      </c>
      <c r="D82" s="33" t="s">
        <v>1027</v>
      </c>
      <c r="E82" s="32" t="s">
        <v>0</v>
      </c>
      <c r="F82" s="32"/>
      <c r="G82" s="32" t="s">
        <v>451</v>
      </c>
      <c r="H82" s="32"/>
      <c r="I82" s="30" t="s">
        <v>452</v>
      </c>
      <c r="J82" s="30" t="s">
        <v>453</v>
      </c>
      <c r="K82" s="30" t="s">
        <v>959</v>
      </c>
      <c r="L82" s="30" t="s">
        <v>455</v>
      </c>
      <c r="M82" s="15" t="s">
        <v>0</v>
      </c>
      <c r="N82" s="15">
        <v>0</v>
      </c>
      <c r="O82" s="15">
        <v>0</v>
      </c>
      <c r="P82" s="15">
        <v>0</v>
      </c>
      <c r="Q82" s="15">
        <v>1</v>
      </c>
      <c r="R82" s="62">
        <v>3</v>
      </c>
      <c r="S82" s="62">
        <v>37</v>
      </c>
      <c r="Y82" s="71">
        <v>89</v>
      </c>
      <c r="Z82">
        <v>2</v>
      </c>
      <c r="AC82">
        <f t="shared" si="1"/>
        <v>2</v>
      </c>
    </row>
    <row r="83" spans="1:29" hidden="1" x14ac:dyDescent="0.2">
      <c r="A83" s="10" t="s">
        <v>977</v>
      </c>
      <c r="B83" s="18" t="s">
        <v>449</v>
      </c>
      <c r="C83" s="29" t="s">
        <v>978</v>
      </c>
      <c r="D83" s="29" t="s">
        <v>1039</v>
      </c>
      <c r="E83" s="10" t="s">
        <v>0</v>
      </c>
      <c r="F83" s="10"/>
      <c r="G83" s="10" t="s">
        <v>451</v>
      </c>
      <c r="H83" s="10"/>
      <c r="I83" s="30" t="s">
        <v>452</v>
      </c>
      <c r="J83" s="30" t="s">
        <v>453</v>
      </c>
      <c r="K83" s="30" t="s">
        <v>959</v>
      </c>
      <c r="L83" s="30" t="s">
        <v>455</v>
      </c>
      <c r="M83" s="18" t="s">
        <v>0</v>
      </c>
      <c r="N83" s="18">
        <v>0</v>
      </c>
      <c r="O83" s="18">
        <v>0</v>
      </c>
      <c r="P83" s="18">
        <v>0</v>
      </c>
      <c r="Q83" s="18">
        <v>1</v>
      </c>
      <c r="R83" s="62">
        <v>3</v>
      </c>
      <c r="S83" s="62">
        <v>38</v>
      </c>
      <c r="Y83" s="71">
        <v>90</v>
      </c>
      <c r="Z83">
        <v>2</v>
      </c>
      <c r="AC83">
        <f t="shared" si="1"/>
        <v>2</v>
      </c>
    </row>
    <row r="84" spans="1:29" hidden="1" x14ac:dyDescent="0.2">
      <c r="A84" s="10" t="s">
        <v>982</v>
      </c>
      <c r="B84" s="18" t="s">
        <v>449</v>
      </c>
      <c r="C84" s="29" t="s">
        <v>983</v>
      </c>
      <c r="D84" s="29" t="s">
        <v>1034</v>
      </c>
      <c r="E84" s="10" t="s">
        <v>0</v>
      </c>
      <c r="F84" s="10"/>
      <c r="G84" s="10" t="s">
        <v>451</v>
      </c>
      <c r="H84" s="10"/>
      <c r="I84" s="30" t="s">
        <v>452</v>
      </c>
      <c r="J84" s="30" t="s">
        <v>453</v>
      </c>
      <c r="K84" s="30" t="s">
        <v>959</v>
      </c>
      <c r="L84" s="30" t="s">
        <v>455</v>
      </c>
      <c r="M84" s="18" t="s">
        <v>0</v>
      </c>
      <c r="N84" s="18">
        <v>0</v>
      </c>
      <c r="O84" s="18">
        <v>0</v>
      </c>
      <c r="P84" s="18">
        <v>0</v>
      </c>
      <c r="Q84" s="18">
        <v>1</v>
      </c>
      <c r="R84" s="62">
        <v>3</v>
      </c>
      <c r="S84" s="62">
        <v>38</v>
      </c>
      <c r="Y84" s="71">
        <v>92</v>
      </c>
      <c r="Z84">
        <v>2</v>
      </c>
      <c r="AC84">
        <f t="shared" si="1"/>
        <v>2</v>
      </c>
    </row>
    <row r="85" spans="1:29" hidden="1" x14ac:dyDescent="0.2">
      <c r="A85" s="10" t="s">
        <v>994</v>
      </c>
      <c r="B85" s="18" t="s">
        <v>449</v>
      </c>
      <c r="C85" s="29" t="s">
        <v>995</v>
      </c>
      <c r="D85" s="29" t="s">
        <v>1044</v>
      </c>
      <c r="E85" s="10" t="s">
        <v>0</v>
      </c>
      <c r="F85" s="10"/>
      <c r="G85" s="10" t="s">
        <v>451</v>
      </c>
      <c r="H85" s="10"/>
      <c r="I85" s="30" t="s">
        <v>452</v>
      </c>
      <c r="J85" s="30" t="s">
        <v>453</v>
      </c>
      <c r="K85" s="30" t="s">
        <v>959</v>
      </c>
      <c r="L85" s="30" t="s">
        <v>455</v>
      </c>
      <c r="M85" s="18" t="s">
        <v>0</v>
      </c>
      <c r="N85" s="18">
        <v>0</v>
      </c>
      <c r="O85" s="18">
        <v>0</v>
      </c>
      <c r="P85" s="18">
        <v>0</v>
      </c>
      <c r="Q85" s="18">
        <v>1</v>
      </c>
      <c r="R85" s="62">
        <v>3</v>
      </c>
      <c r="S85" s="62">
        <v>39</v>
      </c>
      <c r="Y85" s="71">
        <v>94</v>
      </c>
      <c r="Z85">
        <v>2</v>
      </c>
      <c r="AC85">
        <f t="shared" si="1"/>
        <v>2</v>
      </c>
    </row>
    <row r="86" spans="1:29" hidden="1" x14ac:dyDescent="0.2">
      <c r="A86" s="32" t="s">
        <v>1001</v>
      </c>
      <c r="B86" s="15" t="s">
        <v>449</v>
      </c>
      <c r="C86" s="33" t="s">
        <v>1002</v>
      </c>
      <c r="D86" s="33" t="s">
        <v>1049</v>
      </c>
      <c r="E86" s="32" t="s">
        <v>0</v>
      </c>
      <c r="F86" s="32"/>
      <c r="G86" s="32" t="s">
        <v>451</v>
      </c>
      <c r="H86" s="32"/>
      <c r="I86" s="30" t="s">
        <v>452</v>
      </c>
      <c r="J86" s="30" t="s">
        <v>453</v>
      </c>
      <c r="K86" s="30" t="s">
        <v>959</v>
      </c>
      <c r="L86" s="30" t="s">
        <v>455</v>
      </c>
      <c r="M86" s="15" t="s">
        <v>0</v>
      </c>
      <c r="N86" s="15">
        <v>0</v>
      </c>
      <c r="O86" s="15">
        <v>0</v>
      </c>
      <c r="P86" s="15">
        <v>0</v>
      </c>
      <c r="Q86" s="15">
        <v>1</v>
      </c>
      <c r="R86" s="62">
        <v>3</v>
      </c>
      <c r="S86" s="62">
        <v>39</v>
      </c>
      <c r="Y86" s="71">
        <v>95</v>
      </c>
      <c r="Z86">
        <v>2</v>
      </c>
      <c r="AC86">
        <f t="shared" si="1"/>
        <v>2</v>
      </c>
    </row>
    <row r="87" spans="1:29" hidden="1" x14ac:dyDescent="0.2">
      <c r="A87" s="32" t="s">
        <v>1011</v>
      </c>
      <c r="B87" s="15" t="s">
        <v>449</v>
      </c>
      <c r="C87" s="33" t="s">
        <v>1012</v>
      </c>
      <c r="D87" s="33" t="s">
        <v>1060</v>
      </c>
      <c r="E87" s="32" t="s">
        <v>0</v>
      </c>
      <c r="F87" s="32"/>
      <c r="G87" s="32" t="s">
        <v>451</v>
      </c>
      <c r="H87" s="32"/>
      <c r="I87" s="30" t="s">
        <v>452</v>
      </c>
      <c r="J87" s="30" t="s">
        <v>453</v>
      </c>
      <c r="K87" s="30" t="s">
        <v>959</v>
      </c>
      <c r="L87" s="30" t="s">
        <v>455</v>
      </c>
      <c r="M87" s="15" t="s">
        <v>0</v>
      </c>
      <c r="N87" s="15">
        <v>0</v>
      </c>
      <c r="O87" s="15">
        <v>0</v>
      </c>
      <c r="P87" s="15">
        <v>0</v>
      </c>
      <c r="Q87" s="15">
        <v>1</v>
      </c>
      <c r="R87" s="62">
        <v>3</v>
      </c>
      <c r="S87" s="62">
        <v>40</v>
      </c>
      <c r="Y87" s="71">
        <v>96</v>
      </c>
      <c r="Z87">
        <v>2</v>
      </c>
      <c r="AC87">
        <f t="shared" si="1"/>
        <v>2</v>
      </c>
    </row>
    <row r="88" spans="1:29" hidden="1" x14ac:dyDescent="0.2">
      <c r="A88" s="10" t="s">
        <v>1028</v>
      </c>
      <c r="B88" s="18" t="s">
        <v>449</v>
      </c>
      <c r="C88" s="29" t="s">
        <v>1029</v>
      </c>
      <c r="D88" s="29" t="s">
        <v>1289</v>
      </c>
      <c r="E88" s="10" t="s">
        <v>0</v>
      </c>
      <c r="F88" s="10"/>
      <c r="G88" s="10" t="s">
        <v>451</v>
      </c>
      <c r="H88" s="10"/>
      <c r="I88" s="30" t="s">
        <v>452</v>
      </c>
      <c r="J88" s="30" t="s">
        <v>453</v>
      </c>
      <c r="K88" s="30" t="s">
        <v>959</v>
      </c>
      <c r="L88" s="30" t="s">
        <v>455</v>
      </c>
      <c r="M88" s="18" t="s">
        <v>0</v>
      </c>
      <c r="N88" s="18">
        <v>0</v>
      </c>
      <c r="O88" s="18">
        <v>0</v>
      </c>
      <c r="P88" s="18">
        <v>0</v>
      </c>
      <c r="Q88" s="18">
        <v>1</v>
      </c>
      <c r="R88" s="62">
        <v>3</v>
      </c>
      <c r="S88" s="62">
        <v>57</v>
      </c>
      <c r="Y88" s="71">
        <v>97</v>
      </c>
      <c r="Z88">
        <v>2</v>
      </c>
      <c r="AC88">
        <f t="shared" si="1"/>
        <v>2</v>
      </c>
    </row>
    <row r="89" spans="1:29" hidden="1" x14ac:dyDescent="0.2">
      <c r="A89" s="10" t="s">
        <v>403</v>
      </c>
      <c r="B89" s="18" t="s">
        <v>449</v>
      </c>
      <c r="C89" s="29" t="s">
        <v>1040</v>
      </c>
      <c r="D89" s="29" t="s">
        <v>404</v>
      </c>
      <c r="E89" s="10" t="s">
        <v>0</v>
      </c>
      <c r="F89" s="10"/>
      <c r="G89" s="10" t="s">
        <v>451</v>
      </c>
      <c r="H89" s="10"/>
      <c r="I89" s="30" t="s">
        <v>452</v>
      </c>
      <c r="J89" s="30" t="s">
        <v>453</v>
      </c>
      <c r="K89" s="30" t="s">
        <v>959</v>
      </c>
      <c r="L89" s="30" t="s">
        <v>455</v>
      </c>
      <c r="M89" s="18" t="s">
        <v>0</v>
      </c>
      <c r="N89" s="18">
        <v>0</v>
      </c>
      <c r="O89" s="18">
        <v>0</v>
      </c>
      <c r="P89" s="18">
        <v>0</v>
      </c>
      <c r="Q89" s="18">
        <v>1</v>
      </c>
      <c r="R89" s="62">
        <v>3</v>
      </c>
      <c r="S89" s="62">
        <v>41</v>
      </c>
      <c r="Y89" s="71">
        <v>98</v>
      </c>
      <c r="Z89">
        <v>2</v>
      </c>
      <c r="AC89">
        <f t="shared" si="1"/>
        <v>2</v>
      </c>
    </row>
    <row r="90" spans="1:29" hidden="1" x14ac:dyDescent="0.2">
      <c r="A90" s="32" t="s">
        <v>1045</v>
      </c>
      <c r="B90" s="15" t="s">
        <v>449</v>
      </c>
      <c r="C90" s="33" t="s">
        <v>1046</v>
      </c>
      <c r="D90" s="33" t="s">
        <v>1065</v>
      </c>
      <c r="E90" s="32" t="s">
        <v>0</v>
      </c>
      <c r="F90" s="32"/>
      <c r="G90" s="32" t="s">
        <v>451</v>
      </c>
      <c r="H90" s="32"/>
      <c r="I90" s="30" t="s">
        <v>452</v>
      </c>
      <c r="J90" s="30" t="s">
        <v>453</v>
      </c>
      <c r="K90" s="30" t="s">
        <v>959</v>
      </c>
      <c r="L90" s="30" t="s">
        <v>455</v>
      </c>
      <c r="M90" s="15" t="s">
        <v>0</v>
      </c>
      <c r="N90" s="15">
        <v>0</v>
      </c>
      <c r="O90" s="15">
        <v>0</v>
      </c>
      <c r="P90" s="15">
        <v>0</v>
      </c>
      <c r="Q90" s="15">
        <v>1</v>
      </c>
      <c r="R90" s="62">
        <v>3</v>
      </c>
      <c r="S90" s="62">
        <v>41</v>
      </c>
      <c r="Y90" s="71">
        <v>99</v>
      </c>
      <c r="Z90">
        <v>2</v>
      </c>
      <c r="AC90">
        <f t="shared" si="1"/>
        <v>2</v>
      </c>
    </row>
    <row r="91" spans="1:29" hidden="1" x14ac:dyDescent="0.2">
      <c r="A91" s="32" t="s">
        <v>1056</v>
      </c>
      <c r="B91" s="15" t="s">
        <v>449</v>
      </c>
      <c r="C91" s="33" t="s">
        <v>1057</v>
      </c>
      <c r="D91" s="33" t="s">
        <v>1074</v>
      </c>
      <c r="E91" s="32" t="s">
        <v>0</v>
      </c>
      <c r="F91" s="32"/>
      <c r="G91" s="32" t="s">
        <v>451</v>
      </c>
      <c r="H91" s="32"/>
      <c r="I91" s="30" t="s">
        <v>452</v>
      </c>
      <c r="J91" s="30" t="s">
        <v>453</v>
      </c>
      <c r="K91" s="30" t="s">
        <v>959</v>
      </c>
      <c r="L91" s="30" t="s">
        <v>455</v>
      </c>
      <c r="M91" s="15" t="s">
        <v>0</v>
      </c>
      <c r="N91" s="15">
        <v>0</v>
      </c>
      <c r="O91" s="15">
        <v>0</v>
      </c>
      <c r="P91" s="15">
        <v>0</v>
      </c>
      <c r="Q91" s="15">
        <v>1</v>
      </c>
      <c r="R91" s="62">
        <v>3</v>
      </c>
      <c r="S91" s="62">
        <v>42</v>
      </c>
      <c r="Y91" s="71">
        <v>100</v>
      </c>
      <c r="Z91">
        <v>2</v>
      </c>
      <c r="AC91">
        <f t="shared" si="1"/>
        <v>2</v>
      </c>
    </row>
    <row r="92" spans="1:29" hidden="1" x14ac:dyDescent="0.2">
      <c r="A92" s="32" t="s">
        <v>1066</v>
      </c>
      <c r="B92" s="15" t="s">
        <v>449</v>
      </c>
      <c r="C92" s="33" t="s">
        <v>1067</v>
      </c>
      <c r="D92" s="33" t="s">
        <v>1080</v>
      </c>
      <c r="E92" s="32" t="s">
        <v>0</v>
      </c>
      <c r="F92" s="32"/>
      <c r="G92" s="32" t="s">
        <v>451</v>
      </c>
      <c r="H92" s="32"/>
      <c r="I92" s="30" t="s">
        <v>452</v>
      </c>
      <c r="J92" s="30" t="s">
        <v>453</v>
      </c>
      <c r="K92" s="30" t="s">
        <v>959</v>
      </c>
      <c r="L92" s="30" t="s">
        <v>455</v>
      </c>
      <c r="M92" s="15" t="s">
        <v>0</v>
      </c>
      <c r="N92" s="15">
        <v>0</v>
      </c>
      <c r="O92" s="15">
        <v>0</v>
      </c>
      <c r="P92" s="15">
        <v>0</v>
      </c>
      <c r="Q92" s="15">
        <v>1</v>
      </c>
      <c r="R92" s="62">
        <v>3</v>
      </c>
      <c r="S92" s="62">
        <v>42</v>
      </c>
      <c r="Y92" s="71">
        <v>101</v>
      </c>
      <c r="Z92">
        <v>2</v>
      </c>
      <c r="AC92">
        <f t="shared" si="1"/>
        <v>2</v>
      </c>
    </row>
    <row r="93" spans="1:29" hidden="1" x14ac:dyDescent="0.2">
      <c r="A93" s="10" t="s">
        <v>1061</v>
      </c>
      <c r="B93" s="10" t="s">
        <v>449</v>
      </c>
      <c r="C93" s="29" t="s">
        <v>922</v>
      </c>
      <c r="D93" s="29" t="s">
        <v>923</v>
      </c>
      <c r="E93" s="10" t="s">
        <v>458</v>
      </c>
      <c r="F93" s="10" t="s">
        <v>171</v>
      </c>
      <c r="G93" s="10" t="s">
        <v>451</v>
      </c>
      <c r="H93" s="10"/>
      <c r="I93" s="30" t="s">
        <v>452</v>
      </c>
      <c r="J93" s="30" t="s">
        <v>453</v>
      </c>
      <c r="K93" s="30" t="s">
        <v>959</v>
      </c>
      <c r="L93" s="30" t="s">
        <v>455</v>
      </c>
      <c r="M93" s="18" t="s">
        <v>458</v>
      </c>
      <c r="N93" s="18">
        <v>0</v>
      </c>
      <c r="O93" s="18">
        <v>1</v>
      </c>
      <c r="P93" s="18">
        <v>1</v>
      </c>
      <c r="Q93" s="18">
        <v>2</v>
      </c>
      <c r="R93" s="62">
        <v>3</v>
      </c>
      <c r="S93" s="62">
        <v>43</v>
      </c>
      <c r="Y93" s="71">
        <v>102</v>
      </c>
      <c r="Z93">
        <v>2</v>
      </c>
      <c r="AC93">
        <f t="shared" si="1"/>
        <v>2</v>
      </c>
    </row>
    <row r="94" spans="1:29" hidden="1" x14ac:dyDescent="0.2">
      <c r="A94" s="15" t="s">
        <v>917</v>
      </c>
      <c r="B94" s="15" t="s">
        <v>449</v>
      </c>
      <c r="C94" s="44" t="s">
        <v>918</v>
      </c>
      <c r="D94" s="44" t="s">
        <v>987</v>
      </c>
      <c r="E94" s="15" t="s">
        <v>0</v>
      </c>
      <c r="F94" s="15"/>
      <c r="G94" s="15" t="s">
        <v>451</v>
      </c>
      <c r="H94" s="15"/>
      <c r="I94" s="30" t="s">
        <v>452</v>
      </c>
      <c r="J94" s="30" t="s">
        <v>453</v>
      </c>
      <c r="K94" s="30" t="s">
        <v>919</v>
      </c>
      <c r="L94" s="30" t="s">
        <v>455</v>
      </c>
      <c r="M94" s="15" t="s">
        <v>0</v>
      </c>
      <c r="N94" s="15">
        <v>0</v>
      </c>
      <c r="O94" s="15">
        <v>0</v>
      </c>
      <c r="P94" s="15">
        <v>0</v>
      </c>
      <c r="Q94" s="15">
        <v>1</v>
      </c>
      <c r="R94" s="62">
        <v>1</v>
      </c>
      <c r="S94" s="62">
        <v>45</v>
      </c>
      <c r="Y94" s="71">
        <v>103</v>
      </c>
      <c r="Z94">
        <v>2</v>
      </c>
      <c r="AC94">
        <f t="shared" si="1"/>
        <v>2</v>
      </c>
    </row>
    <row r="95" spans="1:29" hidden="1" x14ac:dyDescent="0.2">
      <c r="A95" s="10" t="s">
        <v>964</v>
      </c>
      <c r="B95" s="18" t="s">
        <v>449</v>
      </c>
      <c r="C95" s="29" t="s">
        <v>965</v>
      </c>
      <c r="D95" s="29" t="s">
        <v>1811</v>
      </c>
      <c r="E95" s="10" t="s">
        <v>0</v>
      </c>
      <c r="F95" s="10"/>
      <c r="G95" s="10" t="s">
        <v>451</v>
      </c>
      <c r="H95" s="10"/>
      <c r="I95" s="30" t="s">
        <v>452</v>
      </c>
      <c r="J95" s="30" t="s">
        <v>453</v>
      </c>
      <c r="K95" s="30" t="s">
        <v>959</v>
      </c>
      <c r="L95" s="30" t="s">
        <v>455</v>
      </c>
      <c r="M95" s="18" t="s">
        <v>0</v>
      </c>
      <c r="N95" s="18">
        <v>0</v>
      </c>
      <c r="O95" s="18">
        <v>0</v>
      </c>
      <c r="P95" s="18">
        <v>0</v>
      </c>
      <c r="Q95" s="18">
        <v>1</v>
      </c>
      <c r="R95" s="62">
        <v>3</v>
      </c>
      <c r="S95" s="62">
        <v>44</v>
      </c>
      <c r="Y95" s="71">
        <v>104</v>
      </c>
      <c r="Z95">
        <v>2</v>
      </c>
      <c r="AC95">
        <f t="shared" si="1"/>
        <v>2</v>
      </c>
    </row>
    <row r="96" spans="1:29" hidden="1" x14ac:dyDescent="0.2">
      <c r="A96" s="32" t="s">
        <v>988</v>
      </c>
      <c r="B96" s="15" t="s">
        <v>449</v>
      </c>
      <c r="C96" s="33" t="s">
        <v>907</v>
      </c>
      <c r="D96" s="33" t="s">
        <v>908</v>
      </c>
      <c r="E96" s="32" t="s">
        <v>0</v>
      </c>
      <c r="F96" s="32"/>
      <c r="G96" s="32" t="s">
        <v>451</v>
      </c>
      <c r="H96" s="32"/>
      <c r="I96" s="30" t="s">
        <v>452</v>
      </c>
      <c r="J96" s="30" t="s">
        <v>453</v>
      </c>
      <c r="K96" s="30" t="s">
        <v>959</v>
      </c>
      <c r="L96" s="30" t="s">
        <v>455</v>
      </c>
      <c r="M96" s="15" t="s">
        <v>0</v>
      </c>
      <c r="N96" s="15">
        <v>0</v>
      </c>
      <c r="O96" s="15">
        <v>0</v>
      </c>
      <c r="P96" s="15">
        <v>0</v>
      </c>
      <c r="Q96" s="15">
        <v>1</v>
      </c>
      <c r="R96" s="62">
        <v>3</v>
      </c>
      <c r="S96" s="62">
        <v>1</v>
      </c>
      <c r="Y96" s="71">
        <v>106</v>
      </c>
      <c r="Z96">
        <v>2</v>
      </c>
      <c r="AC96">
        <f t="shared" si="1"/>
        <v>2</v>
      </c>
    </row>
    <row r="97" spans="1:29" hidden="1" x14ac:dyDescent="0.2">
      <c r="A97" s="10" t="s">
        <v>1006</v>
      </c>
      <c r="B97" s="18" t="s">
        <v>449</v>
      </c>
      <c r="C97" s="29" t="s">
        <v>992</v>
      </c>
      <c r="D97" s="29" t="s">
        <v>993</v>
      </c>
      <c r="E97" s="10" t="s">
        <v>0</v>
      </c>
      <c r="F97" s="10"/>
      <c r="G97" s="10" t="s">
        <v>451</v>
      </c>
      <c r="H97" s="10"/>
      <c r="I97" s="30" t="s">
        <v>452</v>
      </c>
      <c r="J97" s="30" t="s">
        <v>453</v>
      </c>
      <c r="K97" s="30" t="s">
        <v>959</v>
      </c>
      <c r="L97" s="30" t="s">
        <v>455</v>
      </c>
      <c r="M97" s="18" t="s">
        <v>0</v>
      </c>
      <c r="N97" s="18">
        <v>0</v>
      </c>
      <c r="O97" s="18">
        <v>0</v>
      </c>
      <c r="P97" s="18">
        <v>0</v>
      </c>
      <c r="Q97" s="18">
        <v>1</v>
      </c>
      <c r="R97" s="62">
        <v>3</v>
      </c>
      <c r="S97" s="63">
        <v>61</v>
      </c>
      <c r="Y97" s="71">
        <v>107</v>
      </c>
      <c r="Z97">
        <v>2</v>
      </c>
      <c r="AC97">
        <f t="shared" si="1"/>
        <v>2</v>
      </c>
    </row>
    <row r="98" spans="1:29" hidden="1" x14ac:dyDescent="0.2">
      <c r="A98" s="10" t="s">
        <v>1070</v>
      </c>
      <c r="B98" s="10" t="s">
        <v>449</v>
      </c>
      <c r="C98" s="29" t="s">
        <v>949</v>
      </c>
      <c r="D98" s="29" t="s">
        <v>950</v>
      </c>
      <c r="E98" s="10" t="s">
        <v>458</v>
      </c>
      <c r="F98" s="10" t="s">
        <v>175</v>
      </c>
      <c r="G98" s="10" t="s">
        <v>451</v>
      </c>
      <c r="H98" s="10"/>
      <c r="I98" s="30" t="s">
        <v>452</v>
      </c>
      <c r="J98" s="30" t="s">
        <v>453</v>
      </c>
      <c r="K98" s="30" t="s">
        <v>959</v>
      </c>
      <c r="L98" s="30" t="s">
        <v>455</v>
      </c>
      <c r="M98" s="18" t="s">
        <v>458</v>
      </c>
      <c r="N98" s="18">
        <v>0</v>
      </c>
      <c r="O98" s="18">
        <v>1</v>
      </c>
      <c r="P98" s="18">
        <v>1</v>
      </c>
      <c r="Q98" s="18">
        <v>2</v>
      </c>
      <c r="R98" s="62">
        <v>3</v>
      </c>
      <c r="S98" s="62">
        <v>71</v>
      </c>
      <c r="Y98" s="71">
        <v>108</v>
      </c>
      <c r="Z98">
        <v>2</v>
      </c>
      <c r="AC98">
        <f t="shared" si="1"/>
        <v>2</v>
      </c>
    </row>
    <row r="99" spans="1:29" hidden="1" x14ac:dyDescent="0.2">
      <c r="A99" s="32" t="s">
        <v>1024</v>
      </c>
      <c r="B99" s="32" t="s">
        <v>449</v>
      </c>
      <c r="C99" s="33" t="s">
        <v>962</v>
      </c>
      <c r="D99" s="33" t="s">
        <v>963</v>
      </c>
      <c r="E99" s="32" t="s">
        <v>458</v>
      </c>
      <c r="F99" s="32" t="s">
        <v>155</v>
      </c>
      <c r="G99" s="32" t="s">
        <v>451</v>
      </c>
      <c r="H99" s="32"/>
      <c r="I99" s="30" t="s">
        <v>452</v>
      </c>
      <c r="J99" s="30" t="s">
        <v>453</v>
      </c>
      <c r="K99" s="30" t="s">
        <v>959</v>
      </c>
      <c r="L99" s="30" t="s">
        <v>455</v>
      </c>
      <c r="M99" s="15" t="s">
        <v>458</v>
      </c>
      <c r="N99" s="15">
        <v>0</v>
      </c>
      <c r="O99" s="15">
        <v>1</v>
      </c>
      <c r="P99" s="15">
        <v>1</v>
      </c>
      <c r="Q99" s="15">
        <v>2</v>
      </c>
      <c r="R99" s="62">
        <v>3</v>
      </c>
      <c r="S99" s="62">
        <v>72</v>
      </c>
      <c r="Y99" s="71">
        <v>109</v>
      </c>
      <c r="Z99">
        <v>2</v>
      </c>
      <c r="AC99">
        <f t="shared" si="1"/>
        <v>2</v>
      </c>
    </row>
    <row r="100" spans="1:29" hidden="1" x14ac:dyDescent="0.2">
      <c r="A100" s="10" t="s">
        <v>1016</v>
      </c>
      <c r="B100" s="10" t="s">
        <v>449</v>
      </c>
      <c r="C100" s="29" t="s">
        <v>1017</v>
      </c>
      <c r="D100" s="29" t="s">
        <v>1086</v>
      </c>
      <c r="E100" s="10" t="s">
        <v>458</v>
      </c>
      <c r="F100" s="10" t="s">
        <v>1018</v>
      </c>
      <c r="G100" s="10" t="s">
        <v>451</v>
      </c>
      <c r="H100" s="10"/>
      <c r="I100" s="30" t="s">
        <v>452</v>
      </c>
      <c r="J100" s="30" t="s">
        <v>453</v>
      </c>
      <c r="K100" s="30" t="s">
        <v>959</v>
      </c>
      <c r="L100" s="30" t="s">
        <v>455</v>
      </c>
      <c r="M100" s="18" t="s">
        <v>458</v>
      </c>
      <c r="N100" s="18">
        <v>2</v>
      </c>
      <c r="O100" s="18">
        <v>1</v>
      </c>
      <c r="P100" s="18">
        <v>3</v>
      </c>
      <c r="Q100" s="18">
        <v>4</v>
      </c>
      <c r="R100" s="62">
        <v>3</v>
      </c>
      <c r="S100" s="62">
        <v>74</v>
      </c>
      <c r="Y100" s="71">
        <v>110</v>
      </c>
      <c r="Z100">
        <v>2</v>
      </c>
      <c r="AC100">
        <f t="shared" si="1"/>
        <v>2</v>
      </c>
    </row>
    <row r="101" spans="1:29" hidden="1" x14ac:dyDescent="0.2">
      <c r="A101" s="32" t="s">
        <v>1035</v>
      </c>
      <c r="B101" s="32" t="s">
        <v>449</v>
      </c>
      <c r="C101" s="33" t="s">
        <v>1029</v>
      </c>
      <c r="D101" s="33" t="s">
        <v>1115</v>
      </c>
      <c r="E101" s="32" t="s">
        <v>458</v>
      </c>
      <c r="F101" s="32" t="s">
        <v>160</v>
      </c>
      <c r="G101" s="32" t="s">
        <v>451</v>
      </c>
      <c r="H101" s="32"/>
      <c r="I101" s="30" t="s">
        <v>452</v>
      </c>
      <c r="J101" s="30" t="s">
        <v>453</v>
      </c>
      <c r="K101" s="30" t="s">
        <v>959</v>
      </c>
      <c r="L101" s="30" t="s">
        <v>455</v>
      </c>
      <c r="M101" s="15" t="s">
        <v>458</v>
      </c>
      <c r="N101" s="15">
        <v>2</v>
      </c>
      <c r="O101" s="15">
        <v>1</v>
      </c>
      <c r="P101" s="15">
        <v>3</v>
      </c>
      <c r="Q101" s="15">
        <v>4</v>
      </c>
      <c r="R101" s="62">
        <v>3</v>
      </c>
      <c r="S101" s="62">
        <v>75</v>
      </c>
      <c r="Y101" s="71">
        <v>111</v>
      </c>
      <c r="Z101">
        <v>2</v>
      </c>
      <c r="AC101">
        <f t="shared" si="1"/>
        <v>2</v>
      </c>
    </row>
    <row r="102" spans="1:29" hidden="1" x14ac:dyDescent="0.2">
      <c r="A102" s="10" t="s">
        <v>1050</v>
      </c>
      <c r="B102" s="10" t="s">
        <v>449</v>
      </c>
      <c r="C102" s="29" t="s">
        <v>969</v>
      </c>
      <c r="D102" s="29" t="s">
        <v>970</v>
      </c>
      <c r="E102" s="10" t="s">
        <v>458</v>
      </c>
      <c r="F102" s="10" t="s">
        <v>166</v>
      </c>
      <c r="G102" s="10" t="s">
        <v>451</v>
      </c>
      <c r="H102" s="10"/>
      <c r="I102" s="30" t="s">
        <v>452</v>
      </c>
      <c r="J102" s="30" t="s">
        <v>453</v>
      </c>
      <c r="K102" s="30" t="s">
        <v>959</v>
      </c>
      <c r="L102" s="30" t="s">
        <v>455</v>
      </c>
      <c r="M102" s="18" t="s">
        <v>458</v>
      </c>
      <c r="N102" s="18">
        <v>1</v>
      </c>
      <c r="O102" s="18">
        <v>1</v>
      </c>
      <c r="P102" s="18">
        <v>2</v>
      </c>
      <c r="Q102" s="18">
        <v>3</v>
      </c>
      <c r="R102" s="62">
        <v>3</v>
      </c>
      <c r="S102" s="62">
        <v>76</v>
      </c>
      <c r="Y102" s="71">
        <v>112</v>
      </c>
      <c r="Z102">
        <v>2</v>
      </c>
      <c r="AC102">
        <f t="shared" si="1"/>
        <v>2</v>
      </c>
    </row>
    <row r="103" spans="1:29" hidden="1" x14ac:dyDescent="0.2">
      <c r="A103" s="34" t="s">
        <v>951</v>
      </c>
      <c r="B103" s="10" t="s">
        <v>449</v>
      </c>
      <c r="C103" s="29" t="s">
        <v>935</v>
      </c>
      <c r="D103" s="29" t="s">
        <v>936</v>
      </c>
      <c r="E103" s="10" t="s">
        <v>0</v>
      </c>
      <c r="F103" s="34"/>
      <c r="G103" s="34" t="s">
        <v>451</v>
      </c>
      <c r="H103" s="34"/>
      <c r="I103" s="35" t="s">
        <v>452</v>
      </c>
      <c r="J103" s="30" t="s">
        <v>904</v>
      </c>
      <c r="K103" s="35" t="s">
        <v>900</v>
      </c>
      <c r="L103" s="30" t="s">
        <v>455</v>
      </c>
      <c r="M103" s="18" t="s">
        <v>0</v>
      </c>
      <c r="N103" s="18">
        <v>0</v>
      </c>
      <c r="O103" s="18">
        <v>0</v>
      </c>
      <c r="P103" s="18">
        <v>0</v>
      </c>
      <c r="Q103" s="36">
        <v>1</v>
      </c>
      <c r="R103" s="63">
        <v>3</v>
      </c>
      <c r="S103" s="63">
        <v>61</v>
      </c>
      <c r="Y103" s="71">
        <v>113</v>
      </c>
      <c r="Z103">
        <v>2</v>
      </c>
      <c r="AC103">
        <f t="shared" si="1"/>
        <v>2</v>
      </c>
    </row>
    <row r="104" spans="1:29" hidden="1" x14ac:dyDescent="0.2">
      <c r="A104" s="10" t="s">
        <v>1075</v>
      </c>
      <c r="B104" s="10" t="s">
        <v>449</v>
      </c>
      <c r="C104" s="29" t="s">
        <v>1076</v>
      </c>
      <c r="D104" s="29" t="s">
        <v>1199</v>
      </c>
      <c r="E104" s="10" t="s">
        <v>0</v>
      </c>
      <c r="F104" s="10"/>
      <c r="G104" s="10" t="s">
        <v>451</v>
      </c>
      <c r="H104" s="10"/>
      <c r="I104" s="30" t="s">
        <v>452</v>
      </c>
      <c r="J104" s="30" t="s">
        <v>453</v>
      </c>
      <c r="K104" s="30" t="s">
        <v>1077</v>
      </c>
      <c r="L104" s="30" t="s">
        <v>455</v>
      </c>
      <c r="M104" s="18" t="s">
        <v>0</v>
      </c>
      <c r="N104" s="18">
        <v>0</v>
      </c>
      <c r="O104" s="18">
        <v>0</v>
      </c>
      <c r="P104" s="18">
        <v>0</v>
      </c>
      <c r="Q104" s="18">
        <v>1</v>
      </c>
      <c r="R104" s="57">
        <v>4</v>
      </c>
      <c r="S104" s="57">
        <v>46</v>
      </c>
      <c r="Y104" s="71">
        <v>114</v>
      </c>
      <c r="Z104">
        <v>2</v>
      </c>
      <c r="AC104">
        <f t="shared" si="1"/>
        <v>2</v>
      </c>
    </row>
    <row r="105" spans="1:29" hidden="1" x14ac:dyDescent="0.2">
      <c r="A105" s="32" t="s">
        <v>1081</v>
      </c>
      <c r="B105" s="32" t="s">
        <v>449</v>
      </c>
      <c r="C105" s="33" t="s">
        <v>1082</v>
      </c>
      <c r="D105" s="33" t="s">
        <v>1195</v>
      </c>
      <c r="E105" s="32" t="s">
        <v>0</v>
      </c>
      <c r="F105" s="32"/>
      <c r="G105" s="32" t="s">
        <v>451</v>
      </c>
      <c r="H105" s="32"/>
      <c r="I105" s="30" t="s">
        <v>452</v>
      </c>
      <c r="J105" s="30" t="s">
        <v>453</v>
      </c>
      <c r="K105" s="30" t="s">
        <v>1077</v>
      </c>
      <c r="L105" s="30" t="s">
        <v>455</v>
      </c>
      <c r="M105" s="15" t="s">
        <v>0</v>
      </c>
      <c r="N105" s="15">
        <v>0</v>
      </c>
      <c r="O105" s="15">
        <v>0</v>
      </c>
      <c r="P105" s="15">
        <v>0</v>
      </c>
      <c r="Q105" s="15">
        <v>1</v>
      </c>
      <c r="R105" s="57">
        <v>4</v>
      </c>
      <c r="S105" s="57">
        <v>46</v>
      </c>
      <c r="Y105" s="71">
        <v>115</v>
      </c>
      <c r="Z105">
        <v>2</v>
      </c>
      <c r="AC105">
        <f t="shared" si="1"/>
        <v>2</v>
      </c>
    </row>
    <row r="106" spans="1:29" hidden="1" x14ac:dyDescent="0.2">
      <c r="A106" s="10" t="s">
        <v>1088</v>
      </c>
      <c r="B106" s="10" t="s">
        <v>449</v>
      </c>
      <c r="C106" s="29" t="s">
        <v>1089</v>
      </c>
      <c r="D106" s="29" t="s">
        <v>1209</v>
      </c>
      <c r="E106" s="10" t="s">
        <v>0</v>
      </c>
      <c r="F106" s="10"/>
      <c r="G106" s="10" t="s">
        <v>451</v>
      </c>
      <c r="H106" s="10"/>
      <c r="I106" s="30" t="s">
        <v>452</v>
      </c>
      <c r="J106" s="30" t="s">
        <v>453</v>
      </c>
      <c r="K106" s="30" t="s">
        <v>1077</v>
      </c>
      <c r="L106" s="30" t="s">
        <v>455</v>
      </c>
      <c r="M106" s="18" t="s">
        <v>0</v>
      </c>
      <c r="N106" s="18">
        <v>0</v>
      </c>
      <c r="O106" s="18">
        <v>0</v>
      </c>
      <c r="P106" s="18">
        <v>0</v>
      </c>
      <c r="Q106" s="18">
        <v>1</v>
      </c>
      <c r="R106" s="57">
        <v>4</v>
      </c>
      <c r="S106" s="57">
        <v>47</v>
      </c>
      <c r="Y106" s="71">
        <v>116</v>
      </c>
      <c r="Z106">
        <v>2</v>
      </c>
      <c r="AC106">
        <f t="shared" si="1"/>
        <v>2</v>
      </c>
    </row>
    <row r="107" spans="1:29" hidden="1" x14ac:dyDescent="0.2">
      <c r="A107" s="32" t="s">
        <v>1093</v>
      </c>
      <c r="B107" s="32" t="s">
        <v>449</v>
      </c>
      <c r="C107" s="33" t="s">
        <v>1094</v>
      </c>
      <c r="D107" s="33" t="s">
        <v>1205</v>
      </c>
      <c r="E107" s="32" t="s">
        <v>0</v>
      </c>
      <c r="F107" s="32"/>
      <c r="G107" s="32" t="s">
        <v>451</v>
      </c>
      <c r="H107" s="32"/>
      <c r="I107" s="30" t="s">
        <v>452</v>
      </c>
      <c r="J107" s="30" t="s">
        <v>453</v>
      </c>
      <c r="K107" s="30" t="s">
        <v>1077</v>
      </c>
      <c r="L107" s="30" t="s">
        <v>455</v>
      </c>
      <c r="M107" s="15" t="s">
        <v>0</v>
      </c>
      <c r="N107" s="15">
        <v>0</v>
      </c>
      <c r="O107" s="15">
        <v>0</v>
      </c>
      <c r="P107" s="15">
        <v>0</v>
      </c>
      <c r="Q107" s="15">
        <v>1</v>
      </c>
      <c r="R107" s="57">
        <v>4</v>
      </c>
      <c r="S107" s="57">
        <v>47</v>
      </c>
      <c r="Y107" s="71">
        <v>117</v>
      </c>
      <c r="Z107">
        <v>2</v>
      </c>
      <c r="AC107">
        <f t="shared" si="1"/>
        <v>2</v>
      </c>
    </row>
    <row r="108" spans="1:29" hidden="1" x14ac:dyDescent="0.2">
      <c r="A108" s="10" t="s">
        <v>1099</v>
      </c>
      <c r="B108" s="10" t="s">
        <v>449</v>
      </c>
      <c r="C108" s="29" t="s">
        <v>1100</v>
      </c>
      <c r="D108" s="29" t="s">
        <v>1220</v>
      </c>
      <c r="E108" s="10" t="s">
        <v>0</v>
      </c>
      <c r="F108" s="10"/>
      <c r="G108" s="10" t="s">
        <v>451</v>
      </c>
      <c r="H108" s="10"/>
      <c r="I108" s="30" t="s">
        <v>452</v>
      </c>
      <c r="J108" s="30" t="s">
        <v>453</v>
      </c>
      <c r="K108" s="30" t="s">
        <v>1077</v>
      </c>
      <c r="L108" s="30" t="s">
        <v>455</v>
      </c>
      <c r="M108" s="18" t="s">
        <v>0</v>
      </c>
      <c r="N108" s="18">
        <v>0</v>
      </c>
      <c r="O108" s="18">
        <v>0</v>
      </c>
      <c r="P108" s="18">
        <v>0</v>
      </c>
      <c r="Q108" s="18">
        <v>1</v>
      </c>
      <c r="R108" s="57">
        <v>4</v>
      </c>
      <c r="S108" s="57">
        <v>48</v>
      </c>
      <c r="Y108" s="71">
        <v>118</v>
      </c>
      <c r="Z108">
        <v>2</v>
      </c>
      <c r="AC108">
        <f t="shared" si="1"/>
        <v>2</v>
      </c>
    </row>
    <row r="109" spans="1:29" hidden="1" x14ac:dyDescent="0.2">
      <c r="A109" s="32" t="s">
        <v>1104</v>
      </c>
      <c r="B109" s="32" t="s">
        <v>449</v>
      </c>
      <c r="C109" s="33" t="s">
        <v>1105</v>
      </c>
      <c r="D109" s="33" t="s">
        <v>1215</v>
      </c>
      <c r="E109" s="32" t="s">
        <v>0</v>
      </c>
      <c r="F109" s="32"/>
      <c r="G109" s="32" t="s">
        <v>451</v>
      </c>
      <c r="H109" s="32"/>
      <c r="I109" s="30" t="s">
        <v>452</v>
      </c>
      <c r="J109" s="30" t="s">
        <v>453</v>
      </c>
      <c r="K109" s="30" t="s">
        <v>1077</v>
      </c>
      <c r="L109" s="30" t="s">
        <v>455</v>
      </c>
      <c r="M109" s="15" t="s">
        <v>0</v>
      </c>
      <c r="N109" s="15">
        <v>0</v>
      </c>
      <c r="O109" s="15">
        <v>0</v>
      </c>
      <c r="P109" s="15">
        <v>0</v>
      </c>
      <c r="Q109" s="15">
        <v>1</v>
      </c>
      <c r="R109" s="57">
        <v>4</v>
      </c>
      <c r="S109" s="57">
        <v>48</v>
      </c>
      <c r="Y109" s="71">
        <v>119</v>
      </c>
      <c r="Z109">
        <v>2</v>
      </c>
      <c r="AC109">
        <f t="shared" si="1"/>
        <v>2</v>
      </c>
    </row>
    <row r="110" spans="1:29" hidden="1" x14ac:dyDescent="0.2">
      <c r="A110" s="18" t="s">
        <v>1246</v>
      </c>
      <c r="B110" s="18" t="s">
        <v>449</v>
      </c>
      <c r="C110" s="41" t="s">
        <v>1132</v>
      </c>
      <c r="D110" s="41" t="s">
        <v>1133</v>
      </c>
      <c r="E110" s="18" t="s">
        <v>458</v>
      </c>
      <c r="F110" s="46" t="s">
        <v>222</v>
      </c>
      <c r="G110" s="18" t="s">
        <v>451</v>
      </c>
      <c r="H110" s="18"/>
      <c r="I110" s="30" t="s">
        <v>452</v>
      </c>
      <c r="J110" s="30" t="s">
        <v>453</v>
      </c>
      <c r="K110" s="30" t="s">
        <v>1117</v>
      </c>
      <c r="L110" s="30" t="s">
        <v>455</v>
      </c>
      <c r="M110" s="18" t="s">
        <v>458</v>
      </c>
      <c r="N110" s="18">
        <v>0</v>
      </c>
      <c r="O110" s="18">
        <v>1</v>
      </c>
      <c r="P110" s="18">
        <v>1</v>
      </c>
      <c r="Q110" s="18">
        <v>2</v>
      </c>
      <c r="R110" s="57">
        <v>4</v>
      </c>
      <c r="S110" s="57">
        <v>49</v>
      </c>
      <c r="Y110" s="71">
        <v>122</v>
      </c>
      <c r="Z110">
        <v>2</v>
      </c>
      <c r="AC110">
        <f t="shared" si="1"/>
        <v>2</v>
      </c>
    </row>
    <row r="111" spans="1:29" hidden="1" x14ac:dyDescent="0.2">
      <c r="A111" s="10" t="s">
        <v>1121</v>
      </c>
      <c r="B111" s="10" t="s">
        <v>449</v>
      </c>
      <c r="C111" s="29" t="s">
        <v>1122</v>
      </c>
      <c r="D111" s="29" t="s">
        <v>1226</v>
      </c>
      <c r="E111" s="10" t="s">
        <v>0</v>
      </c>
      <c r="F111" s="10"/>
      <c r="G111" s="10" t="s">
        <v>451</v>
      </c>
      <c r="H111" s="10"/>
      <c r="I111" s="30" t="s">
        <v>452</v>
      </c>
      <c r="J111" s="30" t="s">
        <v>453</v>
      </c>
      <c r="K111" s="30" t="s">
        <v>1123</v>
      </c>
      <c r="L111" s="30" t="s">
        <v>455</v>
      </c>
      <c r="M111" s="18" t="s">
        <v>0</v>
      </c>
      <c r="N111" s="18">
        <v>0</v>
      </c>
      <c r="O111" s="18">
        <v>0</v>
      </c>
      <c r="P111" s="18">
        <v>0</v>
      </c>
      <c r="Q111" s="18">
        <v>1</v>
      </c>
      <c r="R111" s="57">
        <v>4</v>
      </c>
      <c r="S111" s="57">
        <v>50</v>
      </c>
      <c r="Y111" s="71">
        <v>123</v>
      </c>
      <c r="Z111">
        <v>3</v>
      </c>
      <c r="AC111">
        <f t="shared" si="1"/>
        <v>3</v>
      </c>
    </row>
    <row r="112" spans="1:29" hidden="1" x14ac:dyDescent="0.2">
      <c r="A112" s="32" t="s">
        <v>1127</v>
      </c>
      <c r="B112" s="32" t="s">
        <v>449</v>
      </c>
      <c r="C112" s="33" t="s">
        <v>1128</v>
      </c>
      <c r="D112" s="33" t="s">
        <v>1230</v>
      </c>
      <c r="E112" s="32" t="s">
        <v>0</v>
      </c>
      <c r="F112" s="32"/>
      <c r="G112" s="32" t="s">
        <v>451</v>
      </c>
      <c r="H112" s="32"/>
      <c r="I112" s="30" t="s">
        <v>452</v>
      </c>
      <c r="J112" s="30" t="s">
        <v>453</v>
      </c>
      <c r="K112" s="30" t="s">
        <v>1123</v>
      </c>
      <c r="L112" s="30" t="s">
        <v>455</v>
      </c>
      <c r="M112" s="15" t="s">
        <v>0</v>
      </c>
      <c r="N112" s="15">
        <v>0</v>
      </c>
      <c r="O112" s="15">
        <v>0</v>
      </c>
      <c r="P112" s="15">
        <v>0</v>
      </c>
      <c r="Q112" s="15">
        <v>1</v>
      </c>
      <c r="R112" s="57">
        <v>4</v>
      </c>
      <c r="S112" s="57">
        <v>50</v>
      </c>
      <c r="Y112" s="71">
        <v>124</v>
      </c>
      <c r="Z112">
        <v>2</v>
      </c>
      <c r="AC112">
        <f t="shared" si="1"/>
        <v>2</v>
      </c>
    </row>
    <row r="113" spans="1:29" hidden="1" x14ac:dyDescent="0.2">
      <c r="A113" s="10" t="s">
        <v>1135</v>
      </c>
      <c r="B113" s="10" t="s">
        <v>449</v>
      </c>
      <c r="C113" s="29" t="s">
        <v>1136</v>
      </c>
      <c r="D113" s="29" t="s">
        <v>2237</v>
      </c>
      <c r="E113" s="10" t="s">
        <v>0</v>
      </c>
      <c r="F113" s="10"/>
      <c r="G113" s="10" t="s">
        <v>451</v>
      </c>
      <c r="H113" s="10"/>
      <c r="I113" s="30" t="s">
        <v>452</v>
      </c>
      <c r="J113" s="30" t="s">
        <v>453</v>
      </c>
      <c r="K113" s="30" t="s">
        <v>1123</v>
      </c>
      <c r="L113" s="30" t="s">
        <v>455</v>
      </c>
      <c r="M113" s="18" t="s">
        <v>0</v>
      </c>
      <c r="N113" s="18">
        <v>0</v>
      </c>
      <c r="O113" s="18">
        <v>0</v>
      </c>
      <c r="P113" s="18">
        <v>0</v>
      </c>
      <c r="Q113" s="18">
        <v>1</v>
      </c>
      <c r="R113" s="57">
        <v>4</v>
      </c>
      <c r="S113" s="57">
        <v>51</v>
      </c>
      <c r="Y113" s="71">
        <v>125</v>
      </c>
      <c r="Z113">
        <v>2</v>
      </c>
      <c r="AC113">
        <f t="shared" si="1"/>
        <v>2</v>
      </c>
    </row>
    <row r="114" spans="1:29" hidden="1" x14ac:dyDescent="0.2">
      <c r="A114" s="32" t="s">
        <v>1141</v>
      </c>
      <c r="B114" s="32" t="s">
        <v>449</v>
      </c>
      <c r="C114" s="33" t="s">
        <v>1142</v>
      </c>
      <c r="D114" s="33" t="s">
        <v>2241</v>
      </c>
      <c r="E114" s="32" t="s">
        <v>0</v>
      </c>
      <c r="F114" s="32"/>
      <c r="G114" s="32" t="s">
        <v>451</v>
      </c>
      <c r="H114" s="32"/>
      <c r="I114" s="30" t="s">
        <v>452</v>
      </c>
      <c r="J114" s="30" t="s">
        <v>453</v>
      </c>
      <c r="K114" s="30" t="s">
        <v>1123</v>
      </c>
      <c r="L114" s="30" t="s">
        <v>455</v>
      </c>
      <c r="M114" s="15" t="s">
        <v>0</v>
      </c>
      <c r="N114" s="15">
        <v>0</v>
      </c>
      <c r="O114" s="15">
        <v>0</v>
      </c>
      <c r="P114" s="15">
        <v>0</v>
      </c>
      <c r="Q114" s="15">
        <v>1</v>
      </c>
      <c r="R114" s="57">
        <v>4</v>
      </c>
      <c r="S114" s="57">
        <v>51</v>
      </c>
      <c r="Y114" s="71">
        <v>126</v>
      </c>
      <c r="Z114">
        <v>2</v>
      </c>
      <c r="AC114">
        <f t="shared" si="1"/>
        <v>2</v>
      </c>
    </row>
    <row r="115" spans="1:29" hidden="1" x14ac:dyDescent="0.2">
      <c r="A115" s="32" t="s">
        <v>1155</v>
      </c>
      <c r="B115" s="32" t="s">
        <v>449</v>
      </c>
      <c r="C115" s="33" t="s">
        <v>1156</v>
      </c>
      <c r="D115" s="33" t="s">
        <v>1240</v>
      </c>
      <c r="E115" s="32" t="s">
        <v>0</v>
      </c>
      <c r="F115" s="32"/>
      <c r="G115" s="32" t="s">
        <v>451</v>
      </c>
      <c r="H115" s="32"/>
      <c r="I115" s="30" t="s">
        <v>452</v>
      </c>
      <c r="J115" s="30" t="s">
        <v>453</v>
      </c>
      <c r="K115" s="30" t="s">
        <v>1123</v>
      </c>
      <c r="L115" s="30" t="s">
        <v>455</v>
      </c>
      <c r="M115" s="15" t="s">
        <v>0</v>
      </c>
      <c r="N115" s="15">
        <v>0</v>
      </c>
      <c r="O115" s="15">
        <v>0</v>
      </c>
      <c r="P115" s="15">
        <v>0</v>
      </c>
      <c r="Q115" s="15">
        <v>1</v>
      </c>
      <c r="R115" s="57">
        <v>4</v>
      </c>
      <c r="S115" s="57">
        <v>52</v>
      </c>
      <c r="Y115" s="71">
        <v>127</v>
      </c>
      <c r="Z115">
        <v>2</v>
      </c>
      <c r="AC115">
        <f t="shared" si="1"/>
        <v>2</v>
      </c>
    </row>
    <row r="116" spans="1:29" hidden="1" x14ac:dyDescent="0.2">
      <c r="A116" s="10" t="s">
        <v>1163</v>
      </c>
      <c r="B116" s="10" t="s">
        <v>449</v>
      </c>
      <c r="C116" s="29" t="s">
        <v>1164</v>
      </c>
      <c r="D116" s="29" t="s">
        <v>1235</v>
      </c>
      <c r="E116" s="10" t="s">
        <v>0</v>
      </c>
      <c r="F116" s="10"/>
      <c r="G116" s="10" t="s">
        <v>451</v>
      </c>
      <c r="H116" s="10"/>
      <c r="I116" s="30" t="s">
        <v>452</v>
      </c>
      <c r="J116" s="30" t="s">
        <v>453</v>
      </c>
      <c r="K116" s="30" t="s">
        <v>1123</v>
      </c>
      <c r="L116" s="30" t="s">
        <v>455</v>
      </c>
      <c r="M116" s="18" t="s">
        <v>0</v>
      </c>
      <c r="N116" s="18">
        <v>0</v>
      </c>
      <c r="O116" s="18">
        <v>0</v>
      </c>
      <c r="P116" s="18">
        <v>0</v>
      </c>
      <c r="Q116" s="18">
        <v>1</v>
      </c>
      <c r="R116" s="57">
        <v>4</v>
      </c>
      <c r="S116" s="57">
        <v>52</v>
      </c>
      <c r="Y116" s="71">
        <v>128</v>
      </c>
      <c r="Z116">
        <v>2</v>
      </c>
      <c r="AC116">
        <f t="shared" si="1"/>
        <v>2</v>
      </c>
    </row>
    <row r="117" spans="1:29" hidden="1" x14ac:dyDescent="0.2">
      <c r="A117" s="32" t="s">
        <v>1170</v>
      </c>
      <c r="B117" s="32" t="s">
        <v>449</v>
      </c>
      <c r="C117" s="33" t="s">
        <v>1171</v>
      </c>
      <c r="D117" s="33" t="s">
        <v>1245</v>
      </c>
      <c r="E117" s="32" t="s">
        <v>0</v>
      </c>
      <c r="F117" s="32"/>
      <c r="G117" s="32" t="s">
        <v>451</v>
      </c>
      <c r="H117" s="32"/>
      <c r="I117" s="30" t="s">
        <v>452</v>
      </c>
      <c r="J117" s="30" t="s">
        <v>453</v>
      </c>
      <c r="K117" s="30" t="s">
        <v>1123</v>
      </c>
      <c r="L117" s="30" t="s">
        <v>455</v>
      </c>
      <c r="M117" s="15" t="s">
        <v>0</v>
      </c>
      <c r="N117" s="15">
        <v>0</v>
      </c>
      <c r="O117" s="15">
        <v>0</v>
      </c>
      <c r="P117" s="15">
        <v>0</v>
      </c>
      <c r="Q117" s="15">
        <v>1</v>
      </c>
      <c r="R117" s="57">
        <v>4</v>
      </c>
      <c r="S117" s="57">
        <v>53</v>
      </c>
      <c r="Y117" s="71">
        <v>129</v>
      </c>
      <c r="Z117">
        <v>2</v>
      </c>
      <c r="AC117">
        <f t="shared" si="1"/>
        <v>2</v>
      </c>
    </row>
    <row r="118" spans="1:29" hidden="1" x14ac:dyDescent="0.2">
      <c r="A118" s="10" t="s">
        <v>1176</v>
      </c>
      <c r="B118" s="10" t="s">
        <v>449</v>
      </c>
      <c r="C118" s="29" t="s">
        <v>1177</v>
      </c>
      <c r="D118" s="29" t="s">
        <v>1249</v>
      </c>
      <c r="E118" s="10" t="s">
        <v>0</v>
      </c>
      <c r="F118" s="10"/>
      <c r="G118" s="10" t="s">
        <v>451</v>
      </c>
      <c r="H118" s="10"/>
      <c r="I118" s="30" t="s">
        <v>452</v>
      </c>
      <c r="J118" s="30" t="s">
        <v>453</v>
      </c>
      <c r="K118" s="30" t="s">
        <v>1123</v>
      </c>
      <c r="L118" s="30" t="s">
        <v>455</v>
      </c>
      <c r="M118" s="18" t="s">
        <v>0</v>
      </c>
      <c r="N118" s="18">
        <v>0</v>
      </c>
      <c r="O118" s="18">
        <v>0</v>
      </c>
      <c r="P118" s="18">
        <v>0</v>
      </c>
      <c r="Q118" s="18">
        <v>1</v>
      </c>
      <c r="R118" s="57">
        <v>4</v>
      </c>
      <c r="S118" s="57">
        <v>53</v>
      </c>
      <c r="Y118" s="71">
        <v>130</v>
      </c>
      <c r="Z118">
        <v>2</v>
      </c>
      <c r="AC118">
        <f t="shared" si="1"/>
        <v>2</v>
      </c>
    </row>
    <row r="119" spans="1:29" hidden="1" x14ac:dyDescent="0.2">
      <c r="A119" s="15" t="s">
        <v>1251</v>
      </c>
      <c r="B119" s="15" t="s">
        <v>449</v>
      </c>
      <c r="C119" s="44" t="s">
        <v>1252</v>
      </c>
      <c r="D119" s="44" t="s">
        <v>2359</v>
      </c>
      <c r="E119" s="15" t="s">
        <v>0</v>
      </c>
      <c r="F119" s="15"/>
      <c r="G119" s="15" t="s">
        <v>451</v>
      </c>
      <c r="H119" s="15"/>
      <c r="I119" s="30" t="s">
        <v>452</v>
      </c>
      <c r="J119" s="30" t="s">
        <v>453</v>
      </c>
      <c r="K119" s="30" t="s">
        <v>1117</v>
      </c>
      <c r="L119" s="30" t="s">
        <v>455</v>
      </c>
      <c r="M119" s="15" t="s">
        <v>0</v>
      </c>
      <c r="N119" s="15">
        <v>0</v>
      </c>
      <c r="O119" s="15">
        <v>0</v>
      </c>
      <c r="P119" s="15">
        <v>0</v>
      </c>
      <c r="Q119" s="15">
        <v>1</v>
      </c>
      <c r="R119" s="57">
        <v>4</v>
      </c>
      <c r="S119" s="57">
        <v>54</v>
      </c>
      <c r="Y119" s="71">
        <v>131</v>
      </c>
      <c r="Z119">
        <v>2</v>
      </c>
      <c r="AC119">
        <f t="shared" si="1"/>
        <v>2</v>
      </c>
    </row>
    <row r="120" spans="1:29" hidden="1" x14ac:dyDescent="0.2">
      <c r="A120" s="10" t="s">
        <v>1258</v>
      </c>
      <c r="B120" s="10" t="s">
        <v>449</v>
      </c>
      <c r="C120" s="29" t="s">
        <v>1255</v>
      </c>
      <c r="D120" s="29" t="s">
        <v>1256</v>
      </c>
      <c r="E120" s="10" t="s">
        <v>0</v>
      </c>
      <c r="F120" s="10"/>
      <c r="G120" s="10" t="s">
        <v>451</v>
      </c>
      <c r="H120" s="10"/>
      <c r="I120" s="30" t="s">
        <v>452</v>
      </c>
      <c r="J120" s="30" t="s">
        <v>453</v>
      </c>
      <c r="K120" s="30" t="s">
        <v>1117</v>
      </c>
      <c r="L120" s="30" t="s">
        <v>455</v>
      </c>
      <c r="M120" s="18" t="s">
        <v>0</v>
      </c>
      <c r="N120" s="18">
        <v>0</v>
      </c>
      <c r="O120" s="18">
        <v>0</v>
      </c>
      <c r="P120" s="18">
        <v>0</v>
      </c>
      <c r="Q120" s="18">
        <v>1</v>
      </c>
      <c r="R120" s="57">
        <v>4</v>
      </c>
      <c r="S120" s="57">
        <v>54</v>
      </c>
      <c r="Y120" s="71">
        <v>132</v>
      </c>
      <c r="Z120">
        <v>2</v>
      </c>
      <c r="AC120">
        <f t="shared" si="1"/>
        <v>2</v>
      </c>
    </row>
    <row r="121" spans="1:29" hidden="1" x14ac:dyDescent="0.2">
      <c r="A121" s="32" t="s">
        <v>1264</v>
      </c>
      <c r="B121" s="32" t="s">
        <v>449</v>
      </c>
      <c r="C121" s="33" t="s">
        <v>1265</v>
      </c>
      <c r="D121" s="33" t="s">
        <v>1273</v>
      </c>
      <c r="E121" s="32" t="s">
        <v>0</v>
      </c>
      <c r="F121" s="32"/>
      <c r="G121" s="32" t="s">
        <v>451</v>
      </c>
      <c r="H121" s="32"/>
      <c r="I121" s="30" t="s">
        <v>452</v>
      </c>
      <c r="J121" s="30" t="s">
        <v>453</v>
      </c>
      <c r="K121" s="30" t="s">
        <v>1117</v>
      </c>
      <c r="L121" s="30" t="s">
        <v>455</v>
      </c>
      <c r="M121" s="15" t="s">
        <v>0</v>
      </c>
      <c r="N121" s="15">
        <v>0</v>
      </c>
      <c r="O121" s="15">
        <v>0</v>
      </c>
      <c r="P121" s="15">
        <v>0</v>
      </c>
      <c r="Q121" s="15">
        <v>1</v>
      </c>
      <c r="R121" s="57">
        <v>4</v>
      </c>
      <c r="S121" s="57">
        <v>56</v>
      </c>
      <c r="Y121" s="71">
        <v>133</v>
      </c>
      <c r="Z121">
        <v>2</v>
      </c>
      <c r="AC121">
        <f t="shared" si="1"/>
        <v>2</v>
      </c>
    </row>
    <row r="122" spans="1:29" hidden="1" x14ac:dyDescent="0.2">
      <c r="A122" s="32" t="s">
        <v>1181</v>
      </c>
      <c r="B122" s="32" t="s">
        <v>449</v>
      </c>
      <c r="C122" s="33" t="s">
        <v>2362</v>
      </c>
      <c r="D122" s="33" t="s">
        <v>1269</v>
      </c>
      <c r="E122" s="32" t="s">
        <v>0</v>
      </c>
      <c r="F122" s="32"/>
      <c r="G122" s="32" t="s">
        <v>451</v>
      </c>
      <c r="H122" s="32"/>
      <c r="I122" s="30" t="s">
        <v>452</v>
      </c>
      <c r="J122" s="30" t="s">
        <v>453</v>
      </c>
      <c r="K122" s="30" t="s">
        <v>1123</v>
      </c>
      <c r="L122" s="30" t="s">
        <v>455</v>
      </c>
      <c r="M122" s="15" t="s">
        <v>0</v>
      </c>
      <c r="N122" s="15">
        <v>0</v>
      </c>
      <c r="O122" s="15">
        <v>0</v>
      </c>
      <c r="P122" s="15">
        <v>0</v>
      </c>
      <c r="Q122" s="15">
        <v>1</v>
      </c>
      <c r="R122" s="57">
        <v>4</v>
      </c>
      <c r="S122" s="57">
        <v>56</v>
      </c>
      <c r="Y122" s="71">
        <v>134</v>
      </c>
      <c r="Z122">
        <v>2</v>
      </c>
      <c r="AC122">
        <f t="shared" si="1"/>
        <v>2</v>
      </c>
    </row>
    <row r="123" spans="1:29" hidden="1" x14ac:dyDescent="0.2">
      <c r="A123" s="32" t="s">
        <v>1190</v>
      </c>
      <c r="B123" s="15" t="s">
        <v>449</v>
      </c>
      <c r="C123" s="33" t="s">
        <v>1191</v>
      </c>
      <c r="D123" s="33" t="s">
        <v>1262</v>
      </c>
      <c r="E123" s="32" t="s">
        <v>0</v>
      </c>
      <c r="F123" s="32"/>
      <c r="G123" s="32" t="s">
        <v>451</v>
      </c>
      <c r="H123" s="32"/>
      <c r="I123" s="30" t="s">
        <v>452</v>
      </c>
      <c r="J123" s="30" t="s">
        <v>453</v>
      </c>
      <c r="K123" s="30" t="s">
        <v>959</v>
      </c>
      <c r="L123" s="30" t="s">
        <v>455</v>
      </c>
      <c r="M123" s="15" t="s">
        <v>0</v>
      </c>
      <c r="N123" s="15">
        <v>0</v>
      </c>
      <c r="O123" s="15">
        <v>0</v>
      </c>
      <c r="P123" s="15">
        <v>0</v>
      </c>
      <c r="Q123" s="15">
        <v>1</v>
      </c>
      <c r="R123" s="57">
        <v>4</v>
      </c>
      <c r="S123" s="57">
        <v>55</v>
      </c>
      <c r="Y123" s="71">
        <v>135</v>
      </c>
      <c r="Z123">
        <v>2</v>
      </c>
      <c r="AC123">
        <f t="shared" si="1"/>
        <v>2</v>
      </c>
    </row>
    <row r="124" spans="1:29" hidden="1" x14ac:dyDescent="0.2">
      <c r="A124" s="10" t="s">
        <v>1206</v>
      </c>
      <c r="B124" s="18" t="s">
        <v>449</v>
      </c>
      <c r="C124" s="29" t="s">
        <v>1054</v>
      </c>
      <c r="D124" s="29" t="s">
        <v>1055</v>
      </c>
      <c r="E124" s="10" t="s">
        <v>0</v>
      </c>
      <c r="F124" s="10"/>
      <c r="G124" s="10" t="s">
        <v>451</v>
      </c>
      <c r="H124" s="10"/>
      <c r="I124" s="30" t="s">
        <v>452</v>
      </c>
      <c r="J124" s="30" t="s">
        <v>453</v>
      </c>
      <c r="K124" s="30" t="s">
        <v>959</v>
      </c>
      <c r="L124" s="30" t="s">
        <v>455</v>
      </c>
      <c r="M124" s="18" t="s">
        <v>0</v>
      </c>
      <c r="N124" s="18">
        <v>0</v>
      </c>
      <c r="O124" s="18">
        <v>0</v>
      </c>
      <c r="P124" s="18">
        <v>0</v>
      </c>
      <c r="Q124" s="18">
        <v>1</v>
      </c>
      <c r="R124" s="57">
        <v>4</v>
      </c>
      <c r="S124" s="57">
        <v>40</v>
      </c>
      <c r="Y124" s="71">
        <v>136</v>
      </c>
      <c r="Z124">
        <v>2</v>
      </c>
      <c r="AC124">
        <f t="shared" si="1"/>
        <v>2</v>
      </c>
    </row>
    <row r="125" spans="1:29" hidden="1" x14ac:dyDescent="0.2">
      <c r="A125" s="32" t="s">
        <v>1210</v>
      </c>
      <c r="B125" s="15" t="s">
        <v>449</v>
      </c>
      <c r="C125" s="33" t="s">
        <v>1211</v>
      </c>
      <c r="D125" s="33" t="s">
        <v>1280</v>
      </c>
      <c r="E125" s="32" t="s">
        <v>0</v>
      </c>
      <c r="F125" s="32"/>
      <c r="G125" s="32" t="s">
        <v>451</v>
      </c>
      <c r="H125" s="32"/>
      <c r="I125" s="30" t="s">
        <v>452</v>
      </c>
      <c r="J125" s="30" t="s">
        <v>453</v>
      </c>
      <c r="K125" s="30" t="s">
        <v>959</v>
      </c>
      <c r="L125" s="30" t="s">
        <v>455</v>
      </c>
      <c r="M125" s="15" t="s">
        <v>0</v>
      </c>
      <c r="N125" s="15">
        <v>0</v>
      </c>
      <c r="O125" s="15">
        <v>0</v>
      </c>
      <c r="P125" s="15">
        <v>0</v>
      </c>
      <c r="Q125" s="15">
        <v>1</v>
      </c>
      <c r="R125" s="57">
        <v>4</v>
      </c>
      <c r="S125" s="57">
        <v>57</v>
      </c>
      <c r="Y125" s="71">
        <v>137</v>
      </c>
      <c r="Z125">
        <v>2</v>
      </c>
      <c r="AC125">
        <f t="shared" si="1"/>
        <v>2</v>
      </c>
    </row>
    <row r="126" spans="1:29" hidden="1" x14ac:dyDescent="0.2">
      <c r="A126" s="10" t="s">
        <v>1216</v>
      </c>
      <c r="B126" s="18" t="s">
        <v>449</v>
      </c>
      <c r="C126" s="29" t="s">
        <v>1217</v>
      </c>
      <c r="D126" s="29" t="s">
        <v>1297</v>
      </c>
      <c r="E126" s="10" t="s">
        <v>0</v>
      </c>
      <c r="F126" s="10"/>
      <c r="G126" s="10" t="s">
        <v>451</v>
      </c>
      <c r="H126" s="10"/>
      <c r="I126" s="30" t="s">
        <v>452</v>
      </c>
      <c r="J126" s="30" t="s">
        <v>453</v>
      </c>
      <c r="K126" s="30" t="s">
        <v>959</v>
      </c>
      <c r="L126" s="30" t="s">
        <v>455</v>
      </c>
      <c r="M126" s="18" t="s">
        <v>0</v>
      </c>
      <c r="N126" s="18">
        <v>0</v>
      </c>
      <c r="O126" s="18">
        <v>0</v>
      </c>
      <c r="P126" s="18">
        <v>0</v>
      </c>
      <c r="Q126" s="18">
        <v>1</v>
      </c>
      <c r="R126" s="57">
        <v>4</v>
      </c>
      <c r="S126" s="57">
        <v>58</v>
      </c>
      <c r="Y126" s="71">
        <v>138</v>
      </c>
      <c r="Z126">
        <v>2</v>
      </c>
      <c r="AC126">
        <f t="shared" si="1"/>
        <v>2</v>
      </c>
    </row>
    <row r="127" spans="1:29" hidden="1" x14ac:dyDescent="0.2">
      <c r="A127" s="32" t="s">
        <v>1221</v>
      </c>
      <c r="B127" s="15" t="s">
        <v>449</v>
      </c>
      <c r="C127" s="33" t="s">
        <v>1222</v>
      </c>
      <c r="D127" s="33" t="s">
        <v>1309</v>
      </c>
      <c r="E127" s="32" t="s">
        <v>0</v>
      </c>
      <c r="F127" s="32"/>
      <c r="G127" s="32" t="s">
        <v>451</v>
      </c>
      <c r="H127" s="32"/>
      <c r="I127" s="30" t="s">
        <v>452</v>
      </c>
      <c r="J127" s="30" t="s">
        <v>453</v>
      </c>
      <c r="K127" s="30" t="s">
        <v>959</v>
      </c>
      <c r="L127" s="30" t="s">
        <v>455</v>
      </c>
      <c r="M127" s="15" t="s">
        <v>0</v>
      </c>
      <c r="N127" s="15">
        <v>0</v>
      </c>
      <c r="O127" s="15">
        <v>0</v>
      </c>
      <c r="P127" s="15">
        <v>0</v>
      </c>
      <c r="Q127" s="15">
        <v>1</v>
      </c>
      <c r="R127" s="57">
        <v>4</v>
      </c>
      <c r="S127" s="57">
        <v>59</v>
      </c>
      <c r="Y127" s="71">
        <v>139</v>
      </c>
      <c r="Z127">
        <v>2</v>
      </c>
      <c r="AC127">
        <f t="shared" si="1"/>
        <v>2</v>
      </c>
    </row>
    <row r="128" spans="1:29" hidden="1" x14ac:dyDescent="0.2">
      <c r="A128" s="10" t="s">
        <v>1227</v>
      </c>
      <c r="B128" s="18" t="s">
        <v>449</v>
      </c>
      <c r="C128" s="29" t="s">
        <v>1022</v>
      </c>
      <c r="D128" s="29" t="s">
        <v>1023</v>
      </c>
      <c r="E128" s="10" t="s">
        <v>0</v>
      </c>
      <c r="F128" s="10"/>
      <c r="G128" s="10" t="s">
        <v>451</v>
      </c>
      <c r="H128" s="10"/>
      <c r="I128" s="30" t="s">
        <v>452</v>
      </c>
      <c r="J128" s="30" t="s">
        <v>453</v>
      </c>
      <c r="K128" s="30" t="s">
        <v>959</v>
      </c>
      <c r="L128" s="30" t="s">
        <v>455</v>
      </c>
      <c r="M128" s="18" t="s">
        <v>0</v>
      </c>
      <c r="N128" s="18">
        <v>0</v>
      </c>
      <c r="O128" s="18">
        <v>0</v>
      </c>
      <c r="P128" s="18">
        <v>0</v>
      </c>
      <c r="Q128" s="18">
        <v>1</v>
      </c>
      <c r="R128" s="57">
        <v>4</v>
      </c>
      <c r="S128" s="57">
        <v>37</v>
      </c>
      <c r="Y128" s="71">
        <v>140</v>
      </c>
      <c r="Z128">
        <v>2</v>
      </c>
      <c r="AC128">
        <f t="shared" si="1"/>
        <v>2</v>
      </c>
    </row>
    <row r="129" spans="1:29" hidden="1" x14ac:dyDescent="0.2">
      <c r="A129" s="17" t="s">
        <v>1236</v>
      </c>
      <c r="B129" s="18" t="s">
        <v>449</v>
      </c>
      <c r="C129" s="41" t="s">
        <v>1237</v>
      </c>
      <c r="D129" s="10" t="s">
        <v>2363</v>
      </c>
      <c r="E129" s="10" t="s">
        <v>0</v>
      </c>
      <c r="F129" s="10"/>
      <c r="G129" s="10" t="s">
        <v>451</v>
      </c>
      <c r="H129" s="10"/>
      <c r="I129" s="30" t="s">
        <v>452</v>
      </c>
      <c r="J129" s="30" t="s">
        <v>453</v>
      </c>
      <c r="K129" s="30" t="s">
        <v>959</v>
      </c>
      <c r="L129" s="30" t="s">
        <v>455</v>
      </c>
      <c r="M129" s="18" t="s">
        <v>0</v>
      </c>
      <c r="N129" s="18">
        <v>0</v>
      </c>
      <c r="O129" s="18">
        <v>0</v>
      </c>
      <c r="P129" s="18">
        <v>0</v>
      </c>
      <c r="Q129" s="18">
        <v>1</v>
      </c>
      <c r="R129" s="57">
        <v>4</v>
      </c>
      <c r="S129" s="57">
        <v>59</v>
      </c>
      <c r="Y129" s="71">
        <v>141</v>
      </c>
      <c r="Z129">
        <v>2</v>
      </c>
      <c r="AC129">
        <f t="shared" si="1"/>
        <v>2</v>
      </c>
    </row>
    <row r="130" spans="1:29" hidden="1" x14ac:dyDescent="0.2">
      <c r="A130" s="10" t="s">
        <v>1148</v>
      </c>
      <c r="B130" s="10" t="s">
        <v>449</v>
      </c>
      <c r="C130" s="29" t="s">
        <v>1149</v>
      </c>
      <c r="D130" s="29" t="s">
        <v>1834</v>
      </c>
      <c r="E130" s="10" t="s">
        <v>0</v>
      </c>
      <c r="F130" s="10"/>
      <c r="G130" s="10" t="s">
        <v>451</v>
      </c>
      <c r="H130" s="10"/>
      <c r="I130" s="30" t="s">
        <v>452</v>
      </c>
      <c r="J130" s="30" t="s">
        <v>453</v>
      </c>
      <c r="K130" s="30" t="s">
        <v>1123</v>
      </c>
      <c r="L130" s="30" t="s">
        <v>455</v>
      </c>
      <c r="M130" s="18" t="s">
        <v>0</v>
      </c>
      <c r="N130" s="18">
        <v>0</v>
      </c>
      <c r="O130" s="18">
        <v>0</v>
      </c>
      <c r="P130" s="18">
        <v>0</v>
      </c>
      <c r="Q130" s="18">
        <v>1</v>
      </c>
      <c r="R130" s="57">
        <v>4</v>
      </c>
      <c r="S130" s="57">
        <v>60</v>
      </c>
      <c r="Y130" s="71">
        <v>142</v>
      </c>
      <c r="Z130">
        <v>2</v>
      </c>
      <c r="AC130">
        <f t="shared" si="1"/>
        <v>2</v>
      </c>
    </row>
    <row r="131" spans="1:29" hidden="1" x14ac:dyDescent="0.2">
      <c r="A131" s="32" t="s">
        <v>1200</v>
      </c>
      <c r="B131" s="15" t="s">
        <v>449</v>
      </c>
      <c r="C131" s="33" t="s">
        <v>1146</v>
      </c>
      <c r="D131" s="33" t="s">
        <v>1147</v>
      </c>
      <c r="E131" s="32" t="s">
        <v>0</v>
      </c>
      <c r="F131" s="32"/>
      <c r="G131" s="32" t="s">
        <v>451</v>
      </c>
      <c r="H131" s="32"/>
      <c r="I131" s="30" t="s">
        <v>452</v>
      </c>
      <c r="J131" s="30" t="s">
        <v>453</v>
      </c>
      <c r="K131" s="30" t="s">
        <v>959</v>
      </c>
      <c r="L131" s="30" t="s">
        <v>455</v>
      </c>
      <c r="M131" s="15" t="s">
        <v>0</v>
      </c>
      <c r="N131" s="15">
        <v>0</v>
      </c>
      <c r="O131" s="15">
        <v>0</v>
      </c>
      <c r="P131" s="15">
        <v>0</v>
      </c>
      <c r="Q131" s="15">
        <v>1</v>
      </c>
      <c r="R131" s="57">
        <v>4</v>
      </c>
      <c r="S131" s="57">
        <v>62</v>
      </c>
      <c r="Y131" s="71">
        <v>144</v>
      </c>
      <c r="Z131">
        <v>1</v>
      </c>
      <c r="AC131">
        <f t="shared" si="1"/>
        <v>1</v>
      </c>
    </row>
    <row r="132" spans="1:29" hidden="1" x14ac:dyDescent="0.2">
      <c r="A132" s="43" t="s">
        <v>1231</v>
      </c>
      <c r="B132" s="15" t="s">
        <v>449</v>
      </c>
      <c r="C132" s="32" t="s">
        <v>929</v>
      </c>
      <c r="D132" s="32" t="s">
        <v>2364</v>
      </c>
      <c r="E132" s="32" t="s">
        <v>0</v>
      </c>
      <c r="F132" s="32"/>
      <c r="G132" s="32" t="s">
        <v>451</v>
      </c>
      <c r="H132" s="32" t="s">
        <v>557</v>
      </c>
      <c r="I132" s="30" t="s">
        <v>452</v>
      </c>
      <c r="J132" s="30" t="s">
        <v>453</v>
      </c>
      <c r="K132" s="30" t="s">
        <v>959</v>
      </c>
      <c r="L132" s="30" t="s">
        <v>455</v>
      </c>
      <c r="M132" s="15" t="s">
        <v>0</v>
      </c>
      <c r="N132" s="15">
        <v>0</v>
      </c>
      <c r="O132" s="15">
        <v>0</v>
      </c>
      <c r="P132" s="15">
        <v>0</v>
      </c>
      <c r="Q132" s="15">
        <v>1</v>
      </c>
      <c r="R132" s="57">
        <v>4</v>
      </c>
      <c r="S132" s="57">
        <v>87</v>
      </c>
      <c r="Y132" s="71" t="s">
        <v>2367</v>
      </c>
      <c r="Z132">
        <v>256</v>
      </c>
    </row>
    <row r="133" spans="1:29" hidden="1" x14ac:dyDescent="0.2">
      <c r="A133" s="17" t="s">
        <v>1241</v>
      </c>
      <c r="B133" s="15" t="s">
        <v>449</v>
      </c>
      <c r="C133" s="33" t="s">
        <v>1187</v>
      </c>
      <c r="D133" s="32" t="s">
        <v>2365</v>
      </c>
      <c r="E133" s="32" t="s">
        <v>0</v>
      </c>
      <c r="F133" s="32"/>
      <c r="G133" s="32" t="s">
        <v>451</v>
      </c>
      <c r="H133" s="32"/>
      <c r="I133" s="30" t="s">
        <v>452</v>
      </c>
      <c r="J133" s="30" t="s">
        <v>453</v>
      </c>
      <c r="K133" s="30" t="s">
        <v>959</v>
      </c>
      <c r="L133" s="30" t="s">
        <v>455</v>
      </c>
      <c r="M133" s="15" t="s">
        <v>0</v>
      </c>
      <c r="N133" s="15">
        <v>0</v>
      </c>
      <c r="O133" s="15">
        <v>0</v>
      </c>
      <c r="P133" s="15">
        <v>0</v>
      </c>
      <c r="Q133" s="15">
        <v>1</v>
      </c>
      <c r="R133" s="57">
        <v>4</v>
      </c>
      <c r="S133" s="57">
        <v>69</v>
      </c>
    </row>
    <row r="134" spans="1:29" hidden="1" x14ac:dyDescent="0.2">
      <c r="A134" s="38" t="s">
        <v>1270</v>
      </c>
      <c r="B134" s="32" t="s">
        <v>449</v>
      </c>
      <c r="C134" s="33" t="s">
        <v>1160</v>
      </c>
      <c r="D134" s="33" t="s">
        <v>1161</v>
      </c>
      <c r="E134" s="32" t="s">
        <v>0</v>
      </c>
      <c r="F134" s="38"/>
      <c r="G134" s="38" t="s">
        <v>451</v>
      </c>
      <c r="H134" s="38"/>
      <c r="I134" s="35" t="s">
        <v>452</v>
      </c>
      <c r="J134" s="30" t="s">
        <v>491</v>
      </c>
      <c r="K134" s="35" t="s">
        <v>911</v>
      </c>
      <c r="L134" s="30" t="s">
        <v>455</v>
      </c>
      <c r="M134" s="15" t="s">
        <v>0</v>
      </c>
      <c r="N134" s="15">
        <v>0</v>
      </c>
      <c r="O134" s="15">
        <v>0</v>
      </c>
      <c r="P134" s="15">
        <v>0</v>
      </c>
      <c r="Q134" s="40">
        <v>1</v>
      </c>
      <c r="R134" s="59">
        <v>4</v>
      </c>
      <c r="S134" s="59">
        <v>68</v>
      </c>
    </row>
    <row r="135" spans="1:29" hidden="1" x14ac:dyDescent="0.2">
      <c r="A135" s="10" t="s">
        <v>1196</v>
      </c>
      <c r="B135" s="10" t="s">
        <v>449</v>
      </c>
      <c r="C135" s="29" t="s">
        <v>1174</v>
      </c>
      <c r="D135" s="29" t="s">
        <v>1175</v>
      </c>
      <c r="E135" s="10" t="s">
        <v>458</v>
      </c>
      <c r="F135" s="10" t="s">
        <v>208</v>
      </c>
      <c r="G135" s="10" t="s">
        <v>451</v>
      </c>
      <c r="H135" s="10"/>
      <c r="I135" s="30" t="s">
        <v>452</v>
      </c>
      <c r="J135" s="30" t="s">
        <v>453</v>
      </c>
      <c r="K135" s="30" t="s">
        <v>959</v>
      </c>
      <c r="L135" s="30" t="s">
        <v>455</v>
      </c>
      <c r="M135" s="18" t="s">
        <v>458</v>
      </c>
      <c r="N135" s="18">
        <v>0</v>
      </c>
      <c r="O135" s="18">
        <v>1</v>
      </c>
      <c r="P135" s="18">
        <v>1</v>
      </c>
      <c r="Q135" s="18">
        <v>2</v>
      </c>
      <c r="R135" s="57">
        <v>4</v>
      </c>
      <c r="S135" s="57">
        <v>70</v>
      </c>
    </row>
    <row r="136" spans="1:29" hidden="1" x14ac:dyDescent="0.2">
      <c r="A136" s="38" t="s">
        <v>405</v>
      </c>
      <c r="B136" s="32" t="s">
        <v>449</v>
      </c>
      <c r="C136" s="33" t="s">
        <v>1116</v>
      </c>
      <c r="D136" s="33" t="s">
        <v>1180</v>
      </c>
      <c r="E136" s="32" t="s">
        <v>0</v>
      </c>
      <c r="F136" s="38"/>
      <c r="G136" s="38" t="s">
        <v>451</v>
      </c>
      <c r="H136" s="38"/>
      <c r="I136" s="35">
        <v>76777</v>
      </c>
      <c r="J136" s="30" t="s">
        <v>491</v>
      </c>
      <c r="K136" s="35" t="s">
        <v>1117</v>
      </c>
      <c r="L136" s="30" t="s">
        <v>455</v>
      </c>
      <c r="M136" s="15" t="s">
        <v>0</v>
      </c>
      <c r="N136" s="15">
        <v>0</v>
      </c>
      <c r="O136" s="15">
        <v>0</v>
      </c>
      <c r="P136" s="15">
        <v>0</v>
      </c>
      <c r="Q136" s="40">
        <v>1</v>
      </c>
      <c r="R136" s="59">
        <v>4</v>
      </c>
      <c r="S136" s="59">
        <v>86</v>
      </c>
    </row>
    <row r="137" spans="1:29" hidden="1" x14ac:dyDescent="0.2">
      <c r="A137" s="10" t="s">
        <v>1111</v>
      </c>
      <c r="B137" s="10" t="s">
        <v>449</v>
      </c>
      <c r="C137" s="29" t="s">
        <v>1112</v>
      </c>
      <c r="D137" s="29" t="s">
        <v>1328</v>
      </c>
      <c r="E137" s="10" t="s">
        <v>0</v>
      </c>
      <c r="F137" s="10"/>
      <c r="G137" s="10" t="s">
        <v>451</v>
      </c>
      <c r="H137" s="10"/>
      <c r="I137" s="30" t="s">
        <v>452</v>
      </c>
      <c r="J137" s="30" t="s">
        <v>453</v>
      </c>
      <c r="K137" s="30" t="s">
        <v>1077</v>
      </c>
      <c r="L137" s="30" t="s">
        <v>455</v>
      </c>
      <c r="M137" s="18" t="s">
        <v>0</v>
      </c>
      <c r="N137" s="18">
        <v>0</v>
      </c>
      <c r="O137" s="18">
        <v>0</v>
      </c>
      <c r="P137" s="18">
        <v>0</v>
      </c>
      <c r="Q137" s="18">
        <v>1</v>
      </c>
      <c r="R137" s="57">
        <v>4</v>
      </c>
      <c r="S137" s="57">
        <v>89</v>
      </c>
    </row>
    <row r="138" spans="1:29" hidden="1" x14ac:dyDescent="0.2">
      <c r="A138" s="32" t="s">
        <v>1454</v>
      </c>
      <c r="B138" s="32" t="s">
        <v>449</v>
      </c>
      <c r="C138" s="33" t="s">
        <v>1349</v>
      </c>
      <c r="D138" s="33" t="s">
        <v>1350</v>
      </c>
      <c r="E138" s="32" t="s">
        <v>0</v>
      </c>
      <c r="F138" s="32"/>
      <c r="G138" s="32" t="s">
        <v>451</v>
      </c>
      <c r="H138" s="32"/>
      <c r="I138" s="30" t="s">
        <v>1283</v>
      </c>
      <c r="J138" s="30" t="s">
        <v>1284</v>
      </c>
      <c r="K138" s="30" t="s">
        <v>1448</v>
      </c>
      <c r="L138" s="30" t="s">
        <v>455</v>
      </c>
      <c r="M138" s="15" t="s">
        <v>0</v>
      </c>
      <c r="N138" s="15">
        <v>0</v>
      </c>
      <c r="O138" s="15">
        <v>0</v>
      </c>
      <c r="P138" s="15">
        <v>0</v>
      </c>
      <c r="Q138" s="15">
        <v>1</v>
      </c>
      <c r="R138" s="61">
        <v>5</v>
      </c>
      <c r="S138" s="61">
        <v>94</v>
      </c>
    </row>
    <row r="139" spans="1:29" hidden="1" x14ac:dyDescent="0.2">
      <c r="A139" s="10" t="s">
        <v>1469</v>
      </c>
      <c r="B139" s="10" t="s">
        <v>449</v>
      </c>
      <c r="C139" s="29" t="s">
        <v>1356</v>
      </c>
      <c r="D139" s="29" t="s">
        <v>1357</v>
      </c>
      <c r="E139" s="10" t="s">
        <v>0</v>
      </c>
      <c r="F139" s="10"/>
      <c r="G139" s="10" t="s">
        <v>451</v>
      </c>
      <c r="H139" s="10"/>
      <c r="I139" s="30" t="s">
        <v>1283</v>
      </c>
      <c r="J139" s="30" t="s">
        <v>1284</v>
      </c>
      <c r="K139" s="30" t="s">
        <v>1460</v>
      </c>
      <c r="L139" s="30" t="s">
        <v>455</v>
      </c>
      <c r="M139" s="18" t="s">
        <v>0</v>
      </c>
      <c r="N139" s="18">
        <v>0</v>
      </c>
      <c r="O139" s="18">
        <v>0</v>
      </c>
      <c r="P139" s="18">
        <v>0</v>
      </c>
      <c r="Q139" s="18">
        <v>1</v>
      </c>
      <c r="R139" s="61">
        <v>5</v>
      </c>
      <c r="S139" s="61">
        <v>94</v>
      </c>
    </row>
    <row r="140" spans="1:29" hidden="1" x14ac:dyDescent="0.2">
      <c r="A140" s="15" t="s">
        <v>1412</v>
      </c>
      <c r="B140" s="15" t="s">
        <v>449</v>
      </c>
      <c r="C140" s="44" t="s">
        <v>1413</v>
      </c>
      <c r="D140" s="44" t="s">
        <v>2146</v>
      </c>
      <c r="E140" s="15" t="s">
        <v>0</v>
      </c>
      <c r="F140" s="15"/>
      <c r="G140" s="15" t="s">
        <v>451</v>
      </c>
      <c r="H140" s="15"/>
      <c r="I140" s="30" t="s">
        <v>1414</v>
      </c>
      <c r="J140" s="30" t="s">
        <v>1415</v>
      </c>
      <c r="K140" s="30" t="s">
        <v>900</v>
      </c>
      <c r="L140" s="30" t="s">
        <v>455</v>
      </c>
      <c r="M140" s="15" t="s">
        <v>0</v>
      </c>
      <c r="N140" s="15">
        <v>0</v>
      </c>
      <c r="O140" s="15">
        <v>0</v>
      </c>
      <c r="P140" s="15">
        <v>0</v>
      </c>
      <c r="Q140" s="15">
        <v>1</v>
      </c>
      <c r="R140" s="61">
        <v>5</v>
      </c>
      <c r="S140" s="61">
        <v>95</v>
      </c>
    </row>
    <row r="141" spans="1:29" hidden="1" x14ac:dyDescent="0.2">
      <c r="A141" s="10" t="s">
        <v>1436</v>
      </c>
      <c r="B141" s="10" t="s">
        <v>449</v>
      </c>
      <c r="C141" s="29" t="s">
        <v>1371</v>
      </c>
      <c r="D141" s="29" t="s">
        <v>1372</v>
      </c>
      <c r="E141" s="10" t="s">
        <v>0</v>
      </c>
      <c r="F141" s="10"/>
      <c r="G141" s="10" t="s">
        <v>451</v>
      </c>
      <c r="H141" s="10"/>
      <c r="I141" s="30" t="s">
        <v>1283</v>
      </c>
      <c r="J141" s="30" t="s">
        <v>1429</v>
      </c>
      <c r="K141" s="30" t="s">
        <v>1430</v>
      </c>
      <c r="L141" s="30" t="s">
        <v>455</v>
      </c>
      <c r="M141" s="18" t="s">
        <v>0</v>
      </c>
      <c r="N141" s="18">
        <v>0</v>
      </c>
      <c r="O141" s="18">
        <v>0</v>
      </c>
      <c r="P141" s="18">
        <v>0</v>
      </c>
      <c r="Q141" s="18">
        <v>1</v>
      </c>
      <c r="R141" s="61">
        <v>5</v>
      </c>
      <c r="S141" s="61">
        <v>95</v>
      </c>
    </row>
    <row r="142" spans="1:29" hidden="1" x14ac:dyDescent="0.2">
      <c r="A142" s="10" t="s">
        <v>1323</v>
      </c>
      <c r="B142" s="10" t="s">
        <v>449</v>
      </c>
      <c r="C142" s="29" t="s">
        <v>1324</v>
      </c>
      <c r="D142" s="29" t="s">
        <v>1380</v>
      </c>
      <c r="E142" s="10" t="s">
        <v>0</v>
      </c>
      <c r="F142" s="10"/>
      <c r="G142" s="10" t="s">
        <v>451</v>
      </c>
      <c r="H142" s="10" t="s">
        <v>1325</v>
      </c>
      <c r="I142" s="30" t="s">
        <v>1283</v>
      </c>
      <c r="J142" s="30" t="s">
        <v>1284</v>
      </c>
      <c r="K142" s="30" t="s">
        <v>1292</v>
      </c>
      <c r="L142" s="30" t="s">
        <v>455</v>
      </c>
      <c r="M142" s="18" t="s">
        <v>0</v>
      </c>
      <c r="N142" s="18">
        <v>0</v>
      </c>
      <c r="O142" s="18">
        <v>0</v>
      </c>
      <c r="P142" s="18">
        <v>0</v>
      </c>
      <c r="Q142" s="18">
        <v>1</v>
      </c>
      <c r="R142" s="61">
        <v>5</v>
      </c>
      <c r="S142" s="61">
        <v>96</v>
      </c>
    </row>
    <row r="143" spans="1:29" hidden="1" x14ac:dyDescent="0.2">
      <c r="A143" s="32" t="s">
        <v>1388</v>
      </c>
      <c r="B143" s="32" t="s">
        <v>449</v>
      </c>
      <c r="C143" s="33" t="s">
        <v>1386</v>
      </c>
      <c r="D143" s="33" t="s">
        <v>1387</v>
      </c>
      <c r="E143" s="32" t="s">
        <v>0</v>
      </c>
      <c r="F143" s="32"/>
      <c r="G143" s="32" t="s">
        <v>451</v>
      </c>
      <c r="H143" s="32"/>
      <c r="I143" s="30" t="s">
        <v>1283</v>
      </c>
      <c r="J143" s="30" t="s">
        <v>1375</v>
      </c>
      <c r="K143" s="30" t="s">
        <v>1389</v>
      </c>
      <c r="L143" s="30" t="s">
        <v>455</v>
      </c>
      <c r="M143" s="15" t="s">
        <v>0</v>
      </c>
      <c r="N143" s="15">
        <v>0</v>
      </c>
      <c r="O143" s="15">
        <v>0</v>
      </c>
      <c r="P143" s="15">
        <v>0</v>
      </c>
      <c r="Q143" s="15">
        <v>1</v>
      </c>
      <c r="R143" s="61">
        <v>5</v>
      </c>
      <c r="S143" s="61">
        <v>96</v>
      </c>
    </row>
    <row r="144" spans="1:29" hidden="1" x14ac:dyDescent="0.2">
      <c r="A144" s="10" t="s">
        <v>1310</v>
      </c>
      <c r="B144" s="10" t="s">
        <v>449</v>
      </c>
      <c r="C144" s="29" t="s">
        <v>1311</v>
      </c>
      <c r="D144" s="29" t="s">
        <v>1399</v>
      </c>
      <c r="E144" s="10" t="s">
        <v>0</v>
      </c>
      <c r="F144" s="10"/>
      <c r="G144" s="10" t="s">
        <v>451</v>
      </c>
      <c r="H144" s="10"/>
      <c r="I144" s="30" t="s">
        <v>1283</v>
      </c>
      <c r="J144" s="30" t="s">
        <v>1284</v>
      </c>
      <c r="K144" s="30" t="s">
        <v>1292</v>
      </c>
      <c r="L144" s="30" t="s">
        <v>455</v>
      </c>
      <c r="M144" s="18" t="s">
        <v>0</v>
      </c>
      <c r="N144" s="18">
        <v>0</v>
      </c>
      <c r="O144" s="18">
        <v>0</v>
      </c>
      <c r="P144" s="18">
        <v>0</v>
      </c>
      <c r="Q144" s="18">
        <v>1</v>
      </c>
      <c r="R144" s="61">
        <v>5</v>
      </c>
      <c r="S144" s="61">
        <v>97</v>
      </c>
    </row>
    <row r="145" spans="1:19" hidden="1" x14ac:dyDescent="0.2">
      <c r="A145" s="32" t="s">
        <v>1315</v>
      </c>
      <c r="B145" s="32" t="s">
        <v>449</v>
      </c>
      <c r="C145" s="33" t="s">
        <v>1316</v>
      </c>
      <c r="D145" s="33" t="s">
        <v>1393</v>
      </c>
      <c r="E145" s="32" t="s">
        <v>0</v>
      </c>
      <c r="F145" s="32"/>
      <c r="G145" s="32" t="s">
        <v>451</v>
      </c>
      <c r="H145" s="32"/>
      <c r="I145" s="30" t="s">
        <v>1283</v>
      </c>
      <c r="J145" s="30" t="s">
        <v>1284</v>
      </c>
      <c r="K145" s="30" t="s">
        <v>1292</v>
      </c>
      <c r="L145" s="30" t="s">
        <v>455</v>
      </c>
      <c r="M145" s="15" t="s">
        <v>0</v>
      </c>
      <c r="N145" s="15">
        <v>0</v>
      </c>
      <c r="O145" s="15">
        <v>0</v>
      </c>
      <c r="P145" s="15">
        <v>0</v>
      </c>
      <c r="Q145" s="15">
        <v>1</v>
      </c>
      <c r="R145" s="61">
        <v>5</v>
      </c>
      <c r="S145" s="61">
        <v>97</v>
      </c>
    </row>
    <row r="146" spans="1:19" hidden="1" x14ac:dyDescent="0.2">
      <c r="A146" s="32" t="s">
        <v>1290</v>
      </c>
      <c r="B146" s="32" t="s">
        <v>449</v>
      </c>
      <c r="C146" s="33" t="s">
        <v>1291</v>
      </c>
      <c r="D146" s="33" t="s">
        <v>1411</v>
      </c>
      <c r="E146" s="32" t="s">
        <v>0</v>
      </c>
      <c r="F146" s="32"/>
      <c r="G146" s="32" t="s">
        <v>451</v>
      </c>
      <c r="H146" s="32"/>
      <c r="I146" s="30" t="s">
        <v>1283</v>
      </c>
      <c r="J146" s="30" t="s">
        <v>1284</v>
      </c>
      <c r="K146" s="30" t="s">
        <v>1292</v>
      </c>
      <c r="L146" s="30" t="s">
        <v>455</v>
      </c>
      <c r="M146" s="15" t="s">
        <v>0</v>
      </c>
      <c r="N146" s="15">
        <v>0</v>
      </c>
      <c r="O146" s="15">
        <v>0</v>
      </c>
      <c r="P146" s="15">
        <v>0</v>
      </c>
      <c r="Q146" s="15">
        <v>1</v>
      </c>
      <c r="R146" s="61">
        <v>5</v>
      </c>
      <c r="S146" s="61">
        <v>98</v>
      </c>
    </row>
    <row r="147" spans="1:19" hidden="1" x14ac:dyDescent="0.2">
      <c r="A147" s="32" t="s">
        <v>1304</v>
      </c>
      <c r="B147" s="32" t="s">
        <v>449</v>
      </c>
      <c r="C147" s="33" t="s">
        <v>1305</v>
      </c>
      <c r="D147" s="33" t="s">
        <v>1406</v>
      </c>
      <c r="E147" s="32" t="s">
        <v>0</v>
      </c>
      <c r="F147" s="32"/>
      <c r="G147" s="32" t="s">
        <v>451</v>
      </c>
      <c r="H147" s="32"/>
      <c r="I147" s="30" t="s">
        <v>1283</v>
      </c>
      <c r="J147" s="30" t="s">
        <v>1284</v>
      </c>
      <c r="K147" s="30" t="s">
        <v>1292</v>
      </c>
      <c r="L147" s="30" t="s">
        <v>455</v>
      </c>
      <c r="M147" s="15" t="s">
        <v>0</v>
      </c>
      <c r="N147" s="15">
        <v>0</v>
      </c>
      <c r="O147" s="15">
        <v>0</v>
      </c>
      <c r="P147" s="15">
        <v>0</v>
      </c>
      <c r="Q147" s="15">
        <v>1</v>
      </c>
      <c r="R147" s="61">
        <v>5</v>
      </c>
      <c r="S147" s="61">
        <v>98</v>
      </c>
    </row>
    <row r="148" spans="1:19" hidden="1" x14ac:dyDescent="0.2">
      <c r="A148" s="10" t="s">
        <v>1338</v>
      </c>
      <c r="B148" s="10" t="s">
        <v>449</v>
      </c>
      <c r="C148" s="29" t="s">
        <v>1339</v>
      </c>
      <c r="D148" s="29" t="s">
        <v>1420</v>
      </c>
      <c r="E148" s="10" t="s">
        <v>0</v>
      </c>
      <c r="F148" s="10"/>
      <c r="G148" s="10" t="s">
        <v>451</v>
      </c>
      <c r="H148" s="10"/>
      <c r="I148" s="30" t="s">
        <v>1283</v>
      </c>
      <c r="J148" s="30" t="s">
        <v>1331</v>
      </c>
      <c r="K148" s="30" t="s">
        <v>1332</v>
      </c>
      <c r="L148" s="30" t="s">
        <v>455</v>
      </c>
      <c r="M148" s="18" t="s">
        <v>0</v>
      </c>
      <c r="N148" s="18">
        <v>0</v>
      </c>
      <c r="O148" s="18">
        <v>0</v>
      </c>
      <c r="P148" s="18">
        <v>0</v>
      </c>
      <c r="Q148" s="18">
        <v>1</v>
      </c>
      <c r="R148" s="61">
        <v>5</v>
      </c>
      <c r="S148" s="61">
        <v>99</v>
      </c>
    </row>
    <row r="149" spans="1:19" hidden="1" x14ac:dyDescent="0.2">
      <c r="A149" s="32" t="s">
        <v>1344</v>
      </c>
      <c r="B149" s="32" t="s">
        <v>449</v>
      </c>
      <c r="C149" s="33" t="s">
        <v>1345</v>
      </c>
      <c r="D149" s="33" t="s">
        <v>1426</v>
      </c>
      <c r="E149" s="32" t="s">
        <v>0</v>
      </c>
      <c r="F149" s="32"/>
      <c r="G149" s="32" t="s">
        <v>451</v>
      </c>
      <c r="H149" s="32"/>
      <c r="I149" s="30" t="s">
        <v>1283</v>
      </c>
      <c r="J149" s="30" t="s">
        <v>1331</v>
      </c>
      <c r="K149" s="30" t="s">
        <v>1332</v>
      </c>
      <c r="L149" s="30" t="s">
        <v>455</v>
      </c>
      <c r="M149" s="15" t="s">
        <v>0</v>
      </c>
      <c r="N149" s="15">
        <v>0</v>
      </c>
      <c r="O149" s="15">
        <v>0</v>
      </c>
      <c r="P149" s="15">
        <v>0</v>
      </c>
      <c r="Q149" s="15">
        <v>1</v>
      </c>
      <c r="R149" s="61">
        <v>5</v>
      </c>
      <c r="S149" s="61">
        <v>99</v>
      </c>
    </row>
    <row r="150" spans="1:19" hidden="1" x14ac:dyDescent="0.2">
      <c r="A150" s="18" t="s">
        <v>1281</v>
      </c>
      <c r="B150" s="18" t="s">
        <v>449</v>
      </c>
      <c r="C150" s="41" t="s">
        <v>1282</v>
      </c>
      <c r="D150" s="41" t="s">
        <v>1445</v>
      </c>
      <c r="E150" s="18" t="s">
        <v>0</v>
      </c>
      <c r="F150" s="18"/>
      <c r="G150" s="18" t="s">
        <v>451</v>
      </c>
      <c r="H150" s="18"/>
      <c r="I150" s="30" t="s">
        <v>1283</v>
      </c>
      <c r="J150" s="30" t="s">
        <v>1284</v>
      </c>
      <c r="K150" s="30" t="s">
        <v>1285</v>
      </c>
      <c r="L150" s="30" t="s">
        <v>455</v>
      </c>
      <c r="M150" s="18" t="s">
        <v>0</v>
      </c>
      <c r="N150" s="18">
        <v>0</v>
      </c>
      <c r="O150" s="18">
        <v>0</v>
      </c>
      <c r="P150" s="18">
        <v>0</v>
      </c>
      <c r="Q150" s="18">
        <v>1</v>
      </c>
      <c r="R150" s="61">
        <v>5</v>
      </c>
      <c r="S150" s="61">
        <v>100</v>
      </c>
    </row>
    <row r="151" spans="1:19" hidden="1" x14ac:dyDescent="0.2">
      <c r="A151" s="32" t="s">
        <v>1430</v>
      </c>
      <c r="B151" s="32" t="s">
        <v>449</v>
      </c>
      <c r="C151" s="32" t="s">
        <v>1439</v>
      </c>
      <c r="D151" s="32" t="s">
        <v>1440</v>
      </c>
      <c r="E151" s="32" t="s">
        <v>0</v>
      </c>
      <c r="F151" s="32"/>
      <c r="G151" s="32" t="s">
        <v>451</v>
      </c>
      <c r="H151" s="32"/>
      <c r="I151" s="30" t="s">
        <v>1283</v>
      </c>
      <c r="J151" s="30" t="s">
        <v>1429</v>
      </c>
      <c r="K151" s="30" t="s">
        <v>1441</v>
      </c>
      <c r="L151" s="30" t="s">
        <v>455</v>
      </c>
      <c r="M151" s="15" t="s">
        <v>0</v>
      </c>
      <c r="N151" s="15">
        <v>0</v>
      </c>
      <c r="O151" s="15">
        <v>0</v>
      </c>
      <c r="P151" s="15">
        <v>0</v>
      </c>
      <c r="Q151" s="15">
        <v>1</v>
      </c>
      <c r="R151" s="61">
        <v>5</v>
      </c>
      <c r="S151" s="61">
        <v>100</v>
      </c>
    </row>
    <row r="152" spans="1:19" hidden="1" x14ac:dyDescent="0.2">
      <c r="A152" s="10" t="s">
        <v>1407</v>
      </c>
      <c r="B152" s="10" t="s">
        <v>449</v>
      </c>
      <c r="C152" s="29" t="s">
        <v>1408</v>
      </c>
      <c r="D152" s="29" t="s">
        <v>1494</v>
      </c>
      <c r="E152" s="10" t="s">
        <v>0</v>
      </c>
      <c r="F152" s="10"/>
      <c r="G152" s="10" t="s">
        <v>451</v>
      </c>
      <c r="H152" s="10"/>
      <c r="I152" s="30" t="s">
        <v>1283</v>
      </c>
      <c r="J152" s="30" t="s">
        <v>1284</v>
      </c>
      <c r="K152" s="30" t="s">
        <v>1402</v>
      </c>
      <c r="L152" s="30" t="s">
        <v>455</v>
      </c>
      <c r="M152" s="18" t="s">
        <v>0</v>
      </c>
      <c r="N152" s="18">
        <v>0</v>
      </c>
      <c r="O152" s="18">
        <v>0</v>
      </c>
      <c r="P152" s="18">
        <v>0</v>
      </c>
      <c r="Q152" s="18">
        <v>1</v>
      </c>
      <c r="R152" s="61">
        <v>5</v>
      </c>
      <c r="S152" s="61">
        <v>101</v>
      </c>
    </row>
    <row r="153" spans="1:19" hidden="1" x14ac:dyDescent="0.2">
      <c r="A153" s="32" t="s">
        <v>1465</v>
      </c>
      <c r="B153" s="32" t="s">
        <v>449</v>
      </c>
      <c r="C153" s="33" t="s">
        <v>1363</v>
      </c>
      <c r="D153" s="33" t="s">
        <v>1364</v>
      </c>
      <c r="E153" s="32" t="s">
        <v>0</v>
      </c>
      <c r="F153" s="32"/>
      <c r="G153" s="32" t="s">
        <v>451</v>
      </c>
      <c r="H153" s="32"/>
      <c r="I153" s="30" t="s">
        <v>1283</v>
      </c>
      <c r="J153" s="30" t="s">
        <v>1284</v>
      </c>
      <c r="K153" s="30" t="s">
        <v>1460</v>
      </c>
      <c r="L153" s="30" t="s">
        <v>455</v>
      </c>
      <c r="M153" s="15" t="s">
        <v>0</v>
      </c>
      <c r="N153" s="15">
        <v>0</v>
      </c>
      <c r="O153" s="15">
        <v>0</v>
      </c>
      <c r="P153" s="15">
        <v>0</v>
      </c>
      <c r="Q153" s="15">
        <v>1</v>
      </c>
      <c r="R153" s="61">
        <v>5</v>
      </c>
      <c r="S153" s="61">
        <v>101</v>
      </c>
    </row>
    <row r="154" spans="1:19" hidden="1" x14ac:dyDescent="0.2">
      <c r="A154" s="10" t="s">
        <v>1459</v>
      </c>
      <c r="B154" s="10" t="s">
        <v>449</v>
      </c>
      <c r="C154" s="29" t="s">
        <v>1457</v>
      </c>
      <c r="D154" s="29" t="s">
        <v>1458</v>
      </c>
      <c r="E154" s="10" t="s">
        <v>0</v>
      </c>
      <c r="F154" s="10"/>
      <c r="G154" s="10" t="s">
        <v>451</v>
      </c>
      <c r="H154" s="10"/>
      <c r="I154" s="30" t="s">
        <v>1283</v>
      </c>
      <c r="J154" s="30" t="s">
        <v>1284</v>
      </c>
      <c r="K154" s="30" t="s">
        <v>1460</v>
      </c>
      <c r="L154" s="30" t="s">
        <v>455</v>
      </c>
      <c r="M154" s="18" t="s">
        <v>0</v>
      </c>
      <c r="N154" s="18">
        <v>0</v>
      </c>
      <c r="O154" s="18">
        <v>0</v>
      </c>
      <c r="P154" s="18">
        <v>0</v>
      </c>
      <c r="Q154" s="18">
        <v>1</v>
      </c>
      <c r="R154" s="61">
        <v>5</v>
      </c>
      <c r="S154" s="61">
        <v>102</v>
      </c>
    </row>
    <row r="155" spans="1:19" hidden="1" x14ac:dyDescent="0.2">
      <c r="A155" s="10" t="s">
        <v>1483</v>
      </c>
      <c r="B155" s="10" t="s">
        <v>449</v>
      </c>
      <c r="C155" s="29" t="s">
        <v>1452</v>
      </c>
      <c r="D155" s="29" t="s">
        <v>1453</v>
      </c>
      <c r="E155" s="10" t="s">
        <v>0</v>
      </c>
      <c r="F155" s="10"/>
      <c r="G155" s="10" t="s">
        <v>451</v>
      </c>
      <c r="H155" s="10"/>
      <c r="I155" s="30" t="s">
        <v>1283</v>
      </c>
      <c r="J155" s="30" t="s">
        <v>1284</v>
      </c>
      <c r="K155" s="30" t="s">
        <v>1484</v>
      </c>
      <c r="L155" s="30" t="s">
        <v>455</v>
      </c>
      <c r="M155" s="18" t="s">
        <v>0</v>
      </c>
      <c r="N155" s="18">
        <v>0</v>
      </c>
      <c r="O155" s="18">
        <v>0</v>
      </c>
      <c r="P155" s="18">
        <v>0</v>
      </c>
      <c r="Q155" s="18">
        <v>1</v>
      </c>
      <c r="R155" s="61">
        <v>5</v>
      </c>
      <c r="S155" s="61">
        <v>102</v>
      </c>
    </row>
    <row r="156" spans="1:19" hidden="1" x14ac:dyDescent="0.2">
      <c r="A156" s="32" t="s">
        <v>1400</v>
      </c>
      <c r="B156" s="32" t="s">
        <v>449</v>
      </c>
      <c r="C156" s="33" t="s">
        <v>1401</v>
      </c>
      <c r="D156" s="33" t="s">
        <v>1464</v>
      </c>
      <c r="E156" s="32" t="s">
        <v>0</v>
      </c>
      <c r="F156" s="32"/>
      <c r="G156" s="32" t="s">
        <v>451</v>
      </c>
      <c r="H156" s="32"/>
      <c r="I156" s="30" t="s">
        <v>1283</v>
      </c>
      <c r="J156" s="30" t="s">
        <v>1284</v>
      </c>
      <c r="K156" s="30" t="s">
        <v>1402</v>
      </c>
      <c r="L156" s="30" t="s">
        <v>455</v>
      </c>
      <c r="M156" s="15" t="s">
        <v>0</v>
      </c>
      <c r="N156" s="15">
        <v>0</v>
      </c>
      <c r="O156" s="15">
        <v>0</v>
      </c>
      <c r="P156" s="15">
        <v>0</v>
      </c>
      <c r="Q156" s="15">
        <v>1</v>
      </c>
      <c r="R156" s="61">
        <v>5</v>
      </c>
      <c r="S156" s="61">
        <v>103</v>
      </c>
    </row>
    <row r="157" spans="1:19" hidden="1" x14ac:dyDescent="0.2">
      <c r="A157" s="10" t="s">
        <v>1446</v>
      </c>
      <c r="B157" s="10" t="s">
        <v>449</v>
      </c>
      <c r="C157" s="29" t="s">
        <v>1447</v>
      </c>
      <c r="D157" s="29" t="s">
        <v>1468</v>
      </c>
      <c r="E157" s="10" t="s">
        <v>0</v>
      </c>
      <c r="F157" s="10"/>
      <c r="G157" s="10" t="s">
        <v>451</v>
      </c>
      <c r="H157" s="10"/>
      <c r="I157" s="30" t="s">
        <v>1283</v>
      </c>
      <c r="J157" s="30" t="s">
        <v>1284</v>
      </c>
      <c r="K157" s="30" t="s">
        <v>1448</v>
      </c>
      <c r="L157" s="30" t="s">
        <v>455</v>
      </c>
      <c r="M157" s="18" t="s">
        <v>0</v>
      </c>
      <c r="N157" s="18">
        <v>0</v>
      </c>
      <c r="O157" s="18">
        <v>0</v>
      </c>
      <c r="P157" s="18">
        <v>0</v>
      </c>
      <c r="Q157" s="18">
        <v>1</v>
      </c>
      <c r="R157" s="61">
        <v>5</v>
      </c>
      <c r="S157" s="61">
        <v>103</v>
      </c>
    </row>
    <row r="158" spans="1:19" hidden="1" x14ac:dyDescent="0.2">
      <c r="A158" s="10" t="s">
        <v>1365</v>
      </c>
      <c r="B158" s="10" t="s">
        <v>449</v>
      </c>
      <c r="C158" s="29" t="s">
        <v>1366</v>
      </c>
      <c r="D158" s="29" t="s">
        <v>1473</v>
      </c>
      <c r="E158" s="10" t="s">
        <v>0</v>
      </c>
      <c r="F158" s="10"/>
      <c r="G158" s="10" t="s">
        <v>451</v>
      </c>
      <c r="H158" s="10"/>
      <c r="I158" s="30" t="s">
        <v>1283</v>
      </c>
      <c r="J158" s="30" t="s">
        <v>1284</v>
      </c>
      <c r="K158" s="30" t="s">
        <v>1367</v>
      </c>
      <c r="L158" s="30" t="s">
        <v>455</v>
      </c>
      <c r="M158" s="18" t="s">
        <v>0</v>
      </c>
      <c r="N158" s="18">
        <v>0</v>
      </c>
      <c r="O158" s="18">
        <v>0</v>
      </c>
      <c r="P158" s="18">
        <v>0</v>
      </c>
      <c r="Q158" s="18">
        <v>1</v>
      </c>
      <c r="R158" s="61">
        <v>5</v>
      </c>
      <c r="S158" s="61">
        <v>104</v>
      </c>
    </row>
    <row r="159" spans="1:19" hidden="1" x14ac:dyDescent="0.2">
      <c r="A159" s="10" t="s">
        <v>1421</v>
      </c>
      <c r="B159" s="10" t="s">
        <v>449</v>
      </c>
      <c r="C159" s="29" t="s">
        <v>1422</v>
      </c>
      <c r="D159" s="29" t="s">
        <v>1504</v>
      </c>
      <c r="E159" s="10" t="s">
        <v>0</v>
      </c>
      <c r="F159" s="10"/>
      <c r="G159" s="10" t="s">
        <v>451</v>
      </c>
      <c r="H159" s="10" t="s">
        <v>1423</v>
      </c>
      <c r="I159" s="30" t="s">
        <v>1283</v>
      </c>
      <c r="J159" s="30" t="s">
        <v>1284</v>
      </c>
      <c r="K159" s="30" t="s">
        <v>1424</v>
      </c>
      <c r="L159" s="30" t="s">
        <v>455</v>
      </c>
      <c r="M159" s="18" t="s">
        <v>0</v>
      </c>
      <c r="N159" s="18">
        <v>0</v>
      </c>
      <c r="O159" s="18">
        <v>0</v>
      </c>
      <c r="P159" s="18">
        <v>0</v>
      </c>
      <c r="Q159" s="18">
        <v>1</v>
      </c>
      <c r="R159" s="61">
        <v>5</v>
      </c>
      <c r="S159" s="61">
        <v>104</v>
      </c>
    </row>
    <row r="160" spans="1:19" hidden="1" x14ac:dyDescent="0.2">
      <c r="A160" s="10" t="s">
        <v>1394</v>
      </c>
      <c r="B160" s="10" t="s">
        <v>449</v>
      </c>
      <c r="C160" s="29" t="s">
        <v>1395</v>
      </c>
      <c r="D160" s="29" t="s">
        <v>1481</v>
      </c>
      <c r="E160" s="10" t="s">
        <v>458</v>
      </c>
      <c r="F160" s="10" t="s">
        <v>248</v>
      </c>
      <c r="G160" s="10" t="s">
        <v>451</v>
      </c>
      <c r="H160" s="10"/>
      <c r="I160" s="30" t="s">
        <v>1283</v>
      </c>
      <c r="J160" s="30" t="s">
        <v>1284</v>
      </c>
      <c r="K160" s="30" t="s">
        <v>1396</v>
      </c>
      <c r="L160" s="30" t="s">
        <v>455</v>
      </c>
      <c r="M160" s="18" t="s">
        <v>458</v>
      </c>
      <c r="N160" s="18">
        <v>0</v>
      </c>
      <c r="O160" s="18">
        <v>1</v>
      </c>
      <c r="P160" s="18">
        <v>1</v>
      </c>
      <c r="Q160" s="18">
        <v>2</v>
      </c>
      <c r="R160" s="61">
        <v>5</v>
      </c>
      <c r="S160" s="61">
        <v>105</v>
      </c>
    </row>
    <row r="161" spans="1:19" hidden="1" x14ac:dyDescent="0.2">
      <c r="A161" s="15" t="s">
        <v>1329</v>
      </c>
      <c r="B161" s="15" t="s">
        <v>449</v>
      </c>
      <c r="C161" s="44" t="s">
        <v>1330</v>
      </c>
      <c r="D161" s="44" t="s">
        <v>1512</v>
      </c>
      <c r="E161" s="15" t="s">
        <v>0</v>
      </c>
      <c r="F161" s="15"/>
      <c r="G161" s="15" t="s">
        <v>451</v>
      </c>
      <c r="H161" s="15"/>
      <c r="I161" s="30" t="s">
        <v>1283</v>
      </c>
      <c r="J161" s="30" t="s">
        <v>1331</v>
      </c>
      <c r="K161" s="30" t="s">
        <v>1332</v>
      </c>
      <c r="L161" s="30" t="s">
        <v>455</v>
      </c>
      <c r="M161" s="15" t="s">
        <v>0</v>
      </c>
      <c r="N161" s="15">
        <v>0</v>
      </c>
      <c r="O161" s="15">
        <v>0</v>
      </c>
      <c r="P161" s="15">
        <v>0</v>
      </c>
      <c r="Q161" s="15">
        <v>1</v>
      </c>
      <c r="R161" s="61">
        <v>5</v>
      </c>
      <c r="S161" s="61">
        <v>106</v>
      </c>
    </row>
    <row r="162" spans="1:19" hidden="1" x14ac:dyDescent="0.2">
      <c r="A162" s="15" t="s">
        <v>1475</v>
      </c>
      <c r="B162" s="15" t="s">
        <v>449</v>
      </c>
      <c r="C162" s="44" t="s">
        <v>1476</v>
      </c>
      <c r="D162" s="44" t="s">
        <v>1517</v>
      </c>
      <c r="E162" s="15" t="s">
        <v>0</v>
      </c>
      <c r="F162" s="15"/>
      <c r="G162" s="15" t="s">
        <v>451</v>
      </c>
      <c r="H162" s="15"/>
      <c r="I162" s="30" t="s">
        <v>1283</v>
      </c>
      <c r="J162" s="30" t="s">
        <v>1383</v>
      </c>
      <c r="K162" s="30" t="s">
        <v>1477</v>
      </c>
      <c r="L162" s="30" t="s">
        <v>455</v>
      </c>
      <c r="M162" s="15" t="s">
        <v>0</v>
      </c>
      <c r="N162" s="15">
        <v>0</v>
      </c>
      <c r="O162" s="15">
        <v>0</v>
      </c>
      <c r="P162" s="15">
        <v>0</v>
      </c>
      <c r="Q162" s="15">
        <v>1</v>
      </c>
      <c r="R162" s="61">
        <v>5</v>
      </c>
      <c r="S162" s="61">
        <v>106</v>
      </c>
    </row>
    <row r="163" spans="1:19" hidden="1" x14ac:dyDescent="0.2">
      <c r="A163" s="32" t="s">
        <v>409</v>
      </c>
      <c r="B163" s="32" t="s">
        <v>449</v>
      </c>
      <c r="C163" s="33" t="s">
        <v>1358</v>
      </c>
      <c r="D163" s="33" t="s">
        <v>410</v>
      </c>
      <c r="E163" s="32" t="s">
        <v>0</v>
      </c>
      <c r="F163" s="32"/>
      <c r="G163" s="32" t="s">
        <v>451</v>
      </c>
      <c r="H163" s="32"/>
      <c r="I163" s="30" t="s">
        <v>1283</v>
      </c>
      <c r="J163" s="30" t="s">
        <v>1331</v>
      </c>
      <c r="K163" s="30" t="s">
        <v>1359</v>
      </c>
      <c r="L163" s="30" t="s">
        <v>455</v>
      </c>
      <c r="M163" s="15" t="s">
        <v>0</v>
      </c>
      <c r="N163" s="15">
        <v>0</v>
      </c>
      <c r="O163" s="15">
        <v>0</v>
      </c>
      <c r="P163" s="15">
        <v>0</v>
      </c>
      <c r="Q163" s="15">
        <v>1</v>
      </c>
      <c r="R163" s="61">
        <v>5</v>
      </c>
      <c r="S163" s="61">
        <v>107</v>
      </c>
    </row>
    <row r="164" spans="1:19" hidden="1" x14ac:dyDescent="0.2">
      <c r="A164" s="32" t="s">
        <v>1427</v>
      </c>
      <c r="B164" s="32" t="s">
        <v>449</v>
      </c>
      <c r="C164" s="33" t="s">
        <v>1428</v>
      </c>
      <c r="D164" s="33" t="s">
        <v>1531</v>
      </c>
      <c r="E164" s="32" t="s">
        <v>0</v>
      </c>
      <c r="F164" s="32"/>
      <c r="G164" s="32" t="s">
        <v>451</v>
      </c>
      <c r="H164" s="32"/>
      <c r="I164" s="30" t="s">
        <v>1283</v>
      </c>
      <c r="J164" s="30" t="s">
        <v>1429</v>
      </c>
      <c r="K164" s="30" t="s">
        <v>1430</v>
      </c>
      <c r="L164" s="30" t="s">
        <v>455</v>
      </c>
      <c r="M164" s="15" t="s">
        <v>0</v>
      </c>
      <c r="N164" s="15">
        <v>0</v>
      </c>
      <c r="O164" s="15">
        <v>0</v>
      </c>
      <c r="P164" s="15">
        <v>0</v>
      </c>
      <c r="Q164" s="15">
        <v>1</v>
      </c>
      <c r="R164" s="61">
        <v>5</v>
      </c>
      <c r="S164" s="61">
        <v>107</v>
      </c>
    </row>
    <row r="165" spans="1:19" hidden="1" x14ac:dyDescent="0.2">
      <c r="A165" s="10" t="s">
        <v>1381</v>
      </c>
      <c r="B165" s="10" t="s">
        <v>449</v>
      </c>
      <c r="C165" s="29" t="s">
        <v>1382</v>
      </c>
      <c r="D165" s="29" t="s">
        <v>1542</v>
      </c>
      <c r="E165" s="10" t="s">
        <v>0</v>
      </c>
      <c r="F165" s="10"/>
      <c r="G165" s="10" t="s">
        <v>451</v>
      </c>
      <c r="H165" s="10"/>
      <c r="I165" s="30" t="s">
        <v>1283</v>
      </c>
      <c r="J165" s="30" t="s">
        <v>1383</v>
      </c>
      <c r="K165" s="30" t="s">
        <v>1376</v>
      </c>
      <c r="L165" s="30" t="s">
        <v>455</v>
      </c>
      <c r="M165" s="18" t="s">
        <v>0</v>
      </c>
      <c r="N165" s="18">
        <v>0</v>
      </c>
      <c r="O165" s="18">
        <v>0</v>
      </c>
      <c r="P165" s="18">
        <v>0</v>
      </c>
      <c r="Q165" s="18">
        <v>1</v>
      </c>
      <c r="R165" s="61">
        <v>5</v>
      </c>
      <c r="S165" s="61">
        <v>108</v>
      </c>
    </row>
    <row r="166" spans="1:19" hidden="1" x14ac:dyDescent="0.2">
      <c r="A166" s="32" t="s">
        <v>1488</v>
      </c>
      <c r="B166" s="32" t="s">
        <v>449</v>
      </c>
      <c r="C166" s="33" t="s">
        <v>1489</v>
      </c>
      <c r="D166" s="33" t="s">
        <v>1537</v>
      </c>
      <c r="E166" s="32" t="s">
        <v>0</v>
      </c>
      <c r="F166" s="32"/>
      <c r="G166" s="32" t="s">
        <v>451</v>
      </c>
      <c r="H166" s="32"/>
      <c r="I166" s="30" t="s">
        <v>1283</v>
      </c>
      <c r="J166" s="30" t="s">
        <v>1383</v>
      </c>
      <c r="K166" s="30" t="s">
        <v>1490</v>
      </c>
      <c r="L166" s="30" t="s">
        <v>455</v>
      </c>
      <c r="M166" s="15" t="s">
        <v>0</v>
      </c>
      <c r="N166" s="15">
        <v>0</v>
      </c>
      <c r="O166" s="15">
        <v>0</v>
      </c>
      <c r="P166" s="15">
        <v>0</v>
      </c>
      <c r="Q166" s="15">
        <v>1</v>
      </c>
      <c r="R166" s="61">
        <v>5</v>
      </c>
      <c r="S166" s="61">
        <v>108</v>
      </c>
    </row>
    <row r="167" spans="1:19" hidden="1" x14ac:dyDescent="0.2">
      <c r="A167" s="10" t="s">
        <v>1298</v>
      </c>
      <c r="B167" s="10" t="s">
        <v>449</v>
      </c>
      <c r="C167" s="29" t="s">
        <v>1299</v>
      </c>
      <c r="D167" s="29" t="s">
        <v>1554</v>
      </c>
      <c r="E167" s="10" t="s">
        <v>0</v>
      </c>
      <c r="F167" s="10"/>
      <c r="G167" s="10" t="s">
        <v>451</v>
      </c>
      <c r="H167" s="10" t="s">
        <v>1300</v>
      </c>
      <c r="I167" s="30" t="s">
        <v>1283</v>
      </c>
      <c r="J167" s="30" t="s">
        <v>1284</v>
      </c>
      <c r="K167" s="30" t="s">
        <v>1292</v>
      </c>
      <c r="L167" s="30" t="s">
        <v>455</v>
      </c>
      <c r="M167" s="18" t="s">
        <v>0</v>
      </c>
      <c r="N167" s="18">
        <v>0</v>
      </c>
      <c r="O167" s="18">
        <v>0</v>
      </c>
      <c r="P167" s="18">
        <v>0</v>
      </c>
      <c r="Q167" s="18">
        <v>1</v>
      </c>
      <c r="R167" s="61">
        <v>5</v>
      </c>
      <c r="S167" s="61">
        <v>109</v>
      </c>
    </row>
    <row r="168" spans="1:19" hidden="1" x14ac:dyDescent="0.2">
      <c r="A168" s="10" t="s">
        <v>1351</v>
      </c>
      <c r="B168" s="10" t="s">
        <v>449</v>
      </c>
      <c r="C168" s="29" t="s">
        <v>2374</v>
      </c>
      <c r="D168" s="29" t="s">
        <v>2375</v>
      </c>
      <c r="E168" s="10" t="s">
        <v>0</v>
      </c>
      <c r="F168" s="10"/>
      <c r="G168" s="10" t="s">
        <v>451</v>
      </c>
      <c r="H168" s="10"/>
      <c r="I168" s="30" t="s">
        <v>1283</v>
      </c>
      <c r="J168" s="30" t="s">
        <v>1284</v>
      </c>
      <c r="K168" s="30" t="s">
        <v>1332</v>
      </c>
      <c r="L168" s="30" t="s">
        <v>455</v>
      </c>
      <c r="M168" s="18" t="s">
        <v>0</v>
      </c>
      <c r="N168" s="18">
        <v>0</v>
      </c>
      <c r="O168" s="18">
        <v>0</v>
      </c>
      <c r="P168" s="18">
        <v>0</v>
      </c>
      <c r="Q168" s="18">
        <v>1</v>
      </c>
      <c r="R168" s="61">
        <v>5</v>
      </c>
      <c r="S168" s="61">
        <v>109</v>
      </c>
    </row>
    <row r="169" spans="1:19" hidden="1" x14ac:dyDescent="0.2">
      <c r="A169" s="32" t="s">
        <v>1373</v>
      </c>
      <c r="B169" s="32" t="s">
        <v>449</v>
      </c>
      <c r="C169" s="33" t="s">
        <v>1374</v>
      </c>
      <c r="D169" s="33" t="s">
        <v>2182</v>
      </c>
      <c r="E169" s="32" t="s">
        <v>0</v>
      </c>
      <c r="F169" s="32"/>
      <c r="G169" s="32" t="s">
        <v>451</v>
      </c>
      <c r="H169" s="32"/>
      <c r="I169" s="30" t="s">
        <v>1283</v>
      </c>
      <c r="J169" s="30" t="s">
        <v>1375</v>
      </c>
      <c r="K169" s="30" t="s">
        <v>1376</v>
      </c>
      <c r="L169" s="30" t="s">
        <v>455</v>
      </c>
      <c r="M169" s="15" t="s">
        <v>0</v>
      </c>
      <c r="N169" s="15">
        <v>0</v>
      </c>
      <c r="O169" s="15">
        <v>0</v>
      </c>
      <c r="P169" s="15">
        <v>0</v>
      </c>
      <c r="Q169" s="15">
        <v>1</v>
      </c>
      <c r="R169" s="61">
        <v>5</v>
      </c>
      <c r="S169" s="61">
        <v>110</v>
      </c>
    </row>
    <row r="170" spans="1:19" hidden="1" x14ac:dyDescent="0.2">
      <c r="A170" s="32" t="s">
        <v>1688</v>
      </c>
      <c r="B170" s="32" t="s">
        <v>449</v>
      </c>
      <c r="C170" s="33" t="s">
        <v>1587</v>
      </c>
      <c r="D170" s="33" t="s">
        <v>1588</v>
      </c>
      <c r="E170" s="32" t="s">
        <v>0</v>
      </c>
      <c r="F170" s="32"/>
      <c r="G170" s="32" t="s">
        <v>451</v>
      </c>
      <c r="H170" s="32" t="s">
        <v>1689</v>
      </c>
      <c r="I170" s="30" t="s">
        <v>1498</v>
      </c>
      <c r="J170" s="30" t="s">
        <v>1507</v>
      </c>
      <c r="K170" s="30" t="s">
        <v>1690</v>
      </c>
      <c r="L170" s="30" t="s">
        <v>455</v>
      </c>
      <c r="M170" s="15" t="s">
        <v>0</v>
      </c>
      <c r="N170" s="15">
        <v>0</v>
      </c>
      <c r="O170" s="15">
        <v>0</v>
      </c>
      <c r="P170" s="15">
        <v>0</v>
      </c>
      <c r="Q170" s="15">
        <v>1</v>
      </c>
      <c r="R170" s="64">
        <v>6</v>
      </c>
      <c r="S170" s="64">
        <v>127</v>
      </c>
    </row>
    <row r="171" spans="1:19" hidden="1" x14ac:dyDescent="0.2">
      <c r="A171" s="10" t="s">
        <v>1696</v>
      </c>
      <c r="B171" s="10" t="s">
        <v>449</v>
      </c>
      <c r="C171" s="29" t="s">
        <v>1602</v>
      </c>
      <c r="D171" s="29" t="s">
        <v>412</v>
      </c>
      <c r="E171" s="10" t="s">
        <v>0</v>
      </c>
      <c r="F171" s="10"/>
      <c r="G171" s="10" t="s">
        <v>451</v>
      </c>
      <c r="H171" s="10"/>
      <c r="I171" s="30" t="s">
        <v>1498</v>
      </c>
      <c r="J171" s="30" t="s">
        <v>1697</v>
      </c>
      <c r="K171" s="30" t="s">
        <v>1634</v>
      </c>
      <c r="L171" s="30" t="s">
        <v>455</v>
      </c>
      <c r="M171" s="18" t="s">
        <v>0</v>
      </c>
      <c r="N171" s="18">
        <v>0</v>
      </c>
      <c r="O171" s="18">
        <v>0</v>
      </c>
      <c r="P171" s="18">
        <v>0</v>
      </c>
      <c r="Q171" s="18">
        <v>1</v>
      </c>
      <c r="R171" s="64">
        <v>6</v>
      </c>
      <c r="S171" s="64">
        <v>128</v>
      </c>
    </row>
    <row r="172" spans="1:19" hidden="1" x14ac:dyDescent="0.2">
      <c r="A172" s="43" t="s">
        <v>1702</v>
      </c>
      <c r="B172" s="10" t="s">
        <v>449</v>
      </c>
      <c r="C172" s="29" t="s">
        <v>1703</v>
      </c>
      <c r="D172" s="29" t="s">
        <v>2156</v>
      </c>
      <c r="E172" s="10" t="s">
        <v>0</v>
      </c>
      <c r="F172" s="10"/>
      <c r="G172" s="10" t="s">
        <v>451</v>
      </c>
      <c r="H172" s="43" t="s">
        <v>1704</v>
      </c>
      <c r="I172" s="30" t="s">
        <v>452</v>
      </c>
      <c r="J172" s="30" t="s">
        <v>1705</v>
      </c>
      <c r="K172" s="30" t="s">
        <v>1706</v>
      </c>
      <c r="L172" s="30" t="s">
        <v>455</v>
      </c>
      <c r="M172" s="18" t="s">
        <v>0</v>
      </c>
      <c r="N172" s="18">
        <v>0</v>
      </c>
      <c r="O172" s="18">
        <v>0</v>
      </c>
      <c r="P172" s="18">
        <v>0</v>
      </c>
      <c r="Q172" s="18">
        <v>1</v>
      </c>
      <c r="R172" s="64">
        <v>6</v>
      </c>
      <c r="S172" s="64">
        <v>128</v>
      </c>
    </row>
    <row r="173" spans="1:19" hidden="1" x14ac:dyDescent="0.2">
      <c r="A173" s="10" t="s">
        <v>1633</v>
      </c>
      <c r="B173" s="10" t="s">
        <v>449</v>
      </c>
      <c r="C173" s="29" t="s">
        <v>1615</v>
      </c>
      <c r="D173" s="29" t="s">
        <v>1616</v>
      </c>
      <c r="E173" s="10" t="s">
        <v>0</v>
      </c>
      <c r="F173" s="10"/>
      <c r="G173" s="10" t="s">
        <v>451</v>
      </c>
      <c r="H173" s="10"/>
      <c r="I173" s="30" t="s">
        <v>1498</v>
      </c>
      <c r="J173" s="30" t="s">
        <v>1507</v>
      </c>
      <c r="K173" s="30" t="s">
        <v>1634</v>
      </c>
      <c r="L173" s="30" t="s">
        <v>455</v>
      </c>
      <c r="M173" s="18" t="s">
        <v>0</v>
      </c>
      <c r="N173" s="18">
        <v>0</v>
      </c>
      <c r="O173" s="18">
        <v>0</v>
      </c>
      <c r="P173" s="18">
        <v>0</v>
      </c>
      <c r="Q173" s="18">
        <v>1</v>
      </c>
      <c r="R173" s="64">
        <v>6</v>
      </c>
      <c r="S173" s="64">
        <v>129</v>
      </c>
    </row>
    <row r="174" spans="1:19" hidden="1" x14ac:dyDescent="0.2">
      <c r="A174" s="32" t="s">
        <v>1667</v>
      </c>
      <c r="B174" s="32" t="s">
        <v>449</v>
      </c>
      <c r="C174" s="33" t="s">
        <v>1609</v>
      </c>
      <c r="D174" s="33" t="s">
        <v>1610</v>
      </c>
      <c r="E174" s="32" t="s">
        <v>0</v>
      </c>
      <c r="F174" s="32"/>
      <c r="G174" s="32" t="s">
        <v>451</v>
      </c>
      <c r="H174" s="32" t="s">
        <v>1668</v>
      </c>
      <c r="I174" s="30" t="s">
        <v>1498</v>
      </c>
      <c r="J174" s="30" t="s">
        <v>1515</v>
      </c>
      <c r="K174" s="30" t="s">
        <v>1648</v>
      </c>
      <c r="L174" s="30" t="s">
        <v>455</v>
      </c>
      <c r="M174" s="15" t="s">
        <v>0</v>
      </c>
      <c r="N174" s="15">
        <v>0</v>
      </c>
      <c r="O174" s="15">
        <v>0</v>
      </c>
      <c r="P174" s="15">
        <v>0</v>
      </c>
      <c r="Q174" s="15">
        <v>1</v>
      </c>
      <c r="R174" s="64">
        <v>6</v>
      </c>
      <c r="S174" s="64">
        <v>129</v>
      </c>
    </row>
    <row r="175" spans="1:19" hidden="1" x14ac:dyDescent="0.2">
      <c r="A175" s="32" t="s">
        <v>1532</v>
      </c>
      <c r="B175" s="32" t="s">
        <v>449</v>
      </c>
      <c r="C175" s="33" t="s">
        <v>1533</v>
      </c>
      <c r="D175" s="33" t="s">
        <v>1624</v>
      </c>
      <c r="E175" s="32" t="s">
        <v>0</v>
      </c>
      <c r="F175" s="32"/>
      <c r="G175" s="32" t="s">
        <v>451</v>
      </c>
      <c r="H175" s="32"/>
      <c r="I175" s="30" t="s">
        <v>1498</v>
      </c>
      <c r="J175" s="30" t="s">
        <v>1507</v>
      </c>
      <c r="K175" s="30" t="s">
        <v>1527</v>
      </c>
      <c r="L175" s="30" t="s">
        <v>455</v>
      </c>
      <c r="M175" s="15" t="s">
        <v>0</v>
      </c>
      <c r="N175" s="15">
        <v>0</v>
      </c>
      <c r="O175" s="15">
        <v>0</v>
      </c>
      <c r="P175" s="15">
        <v>0</v>
      </c>
      <c r="Q175" s="15">
        <v>1</v>
      </c>
      <c r="R175" s="64">
        <v>6</v>
      </c>
      <c r="S175" s="64">
        <v>130</v>
      </c>
    </row>
    <row r="176" spans="1:19" hidden="1" x14ac:dyDescent="0.2">
      <c r="A176" s="10" t="s">
        <v>1563</v>
      </c>
      <c r="B176" s="10" t="s">
        <v>449</v>
      </c>
      <c r="C176" s="29" t="s">
        <v>1564</v>
      </c>
      <c r="D176" s="29" t="s">
        <v>1632</v>
      </c>
      <c r="E176" s="10" t="s">
        <v>0</v>
      </c>
      <c r="F176" s="10"/>
      <c r="G176" s="10" t="s">
        <v>451</v>
      </c>
      <c r="H176" s="10"/>
      <c r="I176" s="30" t="s">
        <v>1498</v>
      </c>
      <c r="J176" s="30" t="s">
        <v>1515</v>
      </c>
      <c r="K176" s="30" t="s">
        <v>1545</v>
      </c>
      <c r="L176" s="30" t="s">
        <v>455</v>
      </c>
      <c r="M176" s="18" t="s">
        <v>0</v>
      </c>
      <c r="N176" s="18">
        <v>0</v>
      </c>
      <c r="O176" s="18">
        <v>0</v>
      </c>
      <c r="P176" s="18">
        <v>0</v>
      </c>
      <c r="Q176" s="18">
        <v>1</v>
      </c>
      <c r="R176" s="64">
        <v>6</v>
      </c>
      <c r="S176" s="64">
        <v>130</v>
      </c>
    </row>
    <row r="177" spans="1:19" hidden="1" x14ac:dyDescent="0.2">
      <c r="A177" s="32" t="s">
        <v>1505</v>
      </c>
      <c r="B177" s="32" t="s">
        <v>449</v>
      </c>
      <c r="C177" s="33" t="s">
        <v>1506</v>
      </c>
      <c r="D177" s="33" t="s">
        <v>1639</v>
      </c>
      <c r="E177" s="32" t="s">
        <v>0</v>
      </c>
      <c r="F177" s="32"/>
      <c r="G177" s="32" t="s">
        <v>451</v>
      </c>
      <c r="H177" s="32"/>
      <c r="I177" s="30" t="s">
        <v>1498</v>
      </c>
      <c r="J177" s="30" t="s">
        <v>1507</v>
      </c>
      <c r="K177" s="30" t="s">
        <v>1508</v>
      </c>
      <c r="L177" s="30" t="s">
        <v>455</v>
      </c>
      <c r="M177" s="15" t="s">
        <v>0</v>
      </c>
      <c r="N177" s="15">
        <v>0</v>
      </c>
      <c r="O177" s="15">
        <v>0</v>
      </c>
      <c r="P177" s="15">
        <v>0</v>
      </c>
      <c r="Q177" s="15">
        <v>1</v>
      </c>
      <c r="R177" s="64">
        <v>6</v>
      </c>
      <c r="S177" s="64">
        <v>131</v>
      </c>
    </row>
    <row r="178" spans="1:19" hidden="1" x14ac:dyDescent="0.2">
      <c r="A178" s="18" t="s">
        <v>1523</v>
      </c>
      <c r="B178" s="18" t="s">
        <v>449</v>
      </c>
      <c r="C178" s="41" t="s">
        <v>1524</v>
      </c>
      <c r="D178" s="41" t="s">
        <v>1645</v>
      </c>
      <c r="E178" s="18" t="s">
        <v>0</v>
      </c>
      <c r="F178" s="18"/>
      <c r="G178" s="18" t="s">
        <v>451</v>
      </c>
      <c r="H178" s="18" t="s">
        <v>1525</v>
      </c>
      <c r="I178" s="30" t="s">
        <v>1498</v>
      </c>
      <c r="J178" s="30" t="s">
        <v>1526</v>
      </c>
      <c r="K178" s="30" t="s">
        <v>1527</v>
      </c>
      <c r="L178" s="30" t="s">
        <v>455</v>
      </c>
      <c r="M178" s="18" t="s">
        <v>0</v>
      </c>
      <c r="N178" s="18">
        <v>0</v>
      </c>
      <c r="O178" s="18">
        <v>0</v>
      </c>
      <c r="P178" s="18">
        <v>0</v>
      </c>
      <c r="Q178" s="18">
        <v>1</v>
      </c>
      <c r="R178" s="64">
        <v>6</v>
      </c>
      <c r="S178" s="64">
        <v>131</v>
      </c>
    </row>
    <row r="179" spans="1:19" hidden="1" x14ac:dyDescent="0.2">
      <c r="A179" s="15" t="s">
        <v>1677</v>
      </c>
      <c r="B179" s="15" t="s">
        <v>449</v>
      </c>
      <c r="C179" s="44" t="s">
        <v>1658</v>
      </c>
      <c r="D179" s="44" t="s">
        <v>1659</v>
      </c>
      <c r="E179" s="15" t="s">
        <v>0</v>
      </c>
      <c r="F179" s="15"/>
      <c r="G179" s="15" t="s">
        <v>451</v>
      </c>
      <c r="H179" s="15"/>
      <c r="I179" s="30" t="s">
        <v>1498</v>
      </c>
      <c r="J179" s="30" t="s">
        <v>1515</v>
      </c>
      <c r="K179" s="30" t="s">
        <v>1678</v>
      </c>
      <c r="L179" s="30" t="s">
        <v>455</v>
      </c>
      <c r="M179" s="15" t="s">
        <v>0</v>
      </c>
      <c r="N179" s="15">
        <v>0</v>
      </c>
      <c r="O179" s="15">
        <v>0</v>
      </c>
      <c r="P179" s="15">
        <v>0</v>
      </c>
      <c r="Q179" s="15">
        <v>1</v>
      </c>
      <c r="R179" s="64">
        <v>6</v>
      </c>
      <c r="S179" s="64">
        <v>132</v>
      </c>
    </row>
    <row r="180" spans="1:19" hidden="1" x14ac:dyDescent="0.2">
      <c r="A180" s="10" t="s">
        <v>1682</v>
      </c>
      <c r="B180" s="10" t="s">
        <v>449</v>
      </c>
      <c r="C180" s="29" t="s">
        <v>1652</v>
      </c>
      <c r="D180" s="29" t="s">
        <v>1653</v>
      </c>
      <c r="E180" s="10" t="s">
        <v>0</v>
      </c>
      <c r="F180" s="10"/>
      <c r="G180" s="10" t="s">
        <v>451</v>
      </c>
      <c r="H180" s="10"/>
      <c r="I180" s="30" t="s">
        <v>1498</v>
      </c>
      <c r="J180" s="30" t="s">
        <v>1515</v>
      </c>
      <c r="K180" s="30" t="s">
        <v>1678</v>
      </c>
      <c r="L180" s="30" t="s">
        <v>455</v>
      </c>
      <c r="M180" s="18" t="s">
        <v>0</v>
      </c>
      <c r="N180" s="18">
        <v>0</v>
      </c>
      <c r="O180" s="18">
        <v>0</v>
      </c>
      <c r="P180" s="18">
        <v>0</v>
      </c>
      <c r="Q180" s="18">
        <v>1</v>
      </c>
      <c r="R180" s="64">
        <v>6</v>
      </c>
      <c r="S180" s="64">
        <v>132</v>
      </c>
    </row>
    <row r="181" spans="1:19" hidden="1" x14ac:dyDescent="0.2">
      <c r="A181" s="10" t="s">
        <v>1660</v>
      </c>
      <c r="B181" s="10" t="s">
        <v>449</v>
      </c>
      <c r="C181" s="29" t="s">
        <v>1661</v>
      </c>
      <c r="D181" s="29" t="s">
        <v>1671</v>
      </c>
      <c r="E181" s="10" t="s">
        <v>0</v>
      </c>
      <c r="F181" s="10"/>
      <c r="G181" s="10" t="s">
        <v>451</v>
      </c>
      <c r="H181" s="10"/>
      <c r="I181" s="30" t="s">
        <v>1498</v>
      </c>
      <c r="J181" s="30" t="s">
        <v>1515</v>
      </c>
      <c r="K181" s="30" t="s">
        <v>1648</v>
      </c>
      <c r="L181" s="30" t="s">
        <v>455</v>
      </c>
      <c r="M181" s="18" t="s">
        <v>0</v>
      </c>
      <c r="N181" s="18">
        <v>0</v>
      </c>
      <c r="O181" s="18">
        <v>0</v>
      </c>
      <c r="P181" s="18">
        <v>0</v>
      </c>
      <c r="Q181" s="18">
        <v>1</v>
      </c>
      <c r="R181" s="64">
        <v>6</v>
      </c>
      <c r="S181" s="64">
        <v>133</v>
      </c>
    </row>
    <row r="182" spans="1:19" hidden="1" x14ac:dyDescent="0.2">
      <c r="A182" s="10" t="s">
        <v>1672</v>
      </c>
      <c r="B182" s="10" t="s">
        <v>449</v>
      </c>
      <c r="C182" s="29" t="s">
        <v>1665</v>
      </c>
      <c r="D182" s="29" t="s">
        <v>1666</v>
      </c>
      <c r="E182" s="10" t="s">
        <v>0</v>
      </c>
      <c r="F182" s="10"/>
      <c r="G182" s="10" t="s">
        <v>451</v>
      </c>
      <c r="H182" s="10"/>
      <c r="I182" s="30" t="s">
        <v>1498</v>
      </c>
      <c r="J182" s="30" t="s">
        <v>1515</v>
      </c>
      <c r="K182" s="30" t="s">
        <v>1648</v>
      </c>
      <c r="L182" s="30" t="s">
        <v>455</v>
      </c>
      <c r="M182" s="18" t="s">
        <v>0</v>
      </c>
      <c r="N182" s="18">
        <v>0</v>
      </c>
      <c r="O182" s="18">
        <v>0</v>
      </c>
      <c r="P182" s="18">
        <v>0</v>
      </c>
      <c r="Q182" s="18">
        <v>1</v>
      </c>
      <c r="R182" s="64">
        <v>6</v>
      </c>
      <c r="S182" s="64">
        <v>133</v>
      </c>
    </row>
    <row r="183" spans="1:19" hidden="1" x14ac:dyDescent="0.2">
      <c r="A183" s="18" t="s">
        <v>1646</v>
      </c>
      <c r="B183" s="18" t="s">
        <v>449</v>
      </c>
      <c r="C183" s="41" t="s">
        <v>1647</v>
      </c>
      <c r="D183" s="41" t="s">
        <v>1681</v>
      </c>
      <c r="E183" s="18" t="s">
        <v>0</v>
      </c>
      <c r="F183" s="18"/>
      <c r="G183" s="18" t="s">
        <v>451</v>
      </c>
      <c r="H183" s="18"/>
      <c r="I183" s="30" t="s">
        <v>1498</v>
      </c>
      <c r="J183" s="30" t="s">
        <v>1515</v>
      </c>
      <c r="K183" s="30" t="s">
        <v>1648</v>
      </c>
      <c r="L183" s="30" t="s">
        <v>455</v>
      </c>
      <c r="M183" s="18" t="s">
        <v>0</v>
      </c>
      <c r="N183" s="18">
        <v>0</v>
      </c>
      <c r="O183" s="18">
        <v>0</v>
      </c>
      <c r="P183" s="18">
        <v>0</v>
      </c>
      <c r="Q183" s="18">
        <v>1</v>
      </c>
      <c r="R183" s="64">
        <v>6</v>
      </c>
      <c r="S183" s="64">
        <v>134</v>
      </c>
    </row>
    <row r="184" spans="1:19" hidden="1" x14ac:dyDescent="0.2">
      <c r="A184" s="32" t="s">
        <v>1654</v>
      </c>
      <c r="B184" s="32" t="s">
        <v>449</v>
      </c>
      <c r="C184" s="33" t="s">
        <v>1655</v>
      </c>
      <c r="D184" s="33" t="s">
        <v>2386</v>
      </c>
      <c r="E184" s="32" t="s">
        <v>0</v>
      </c>
      <c r="F184" s="32"/>
      <c r="G184" s="32" t="s">
        <v>451</v>
      </c>
      <c r="H184" s="32"/>
      <c r="I184" s="30" t="s">
        <v>1498</v>
      </c>
      <c r="J184" s="30" t="s">
        <v>1515</v>
      </c>
      <c r="K184" s="30" t="s">
        <v>1648</v>
      </c>
      <c r="L184" s="30" t="s">
        <v>455</v>
      </c>
      <c r="M184" s="15" t="s">
        <v>0</v>
      </c>
      <c r="N184" s="15">
        <v>0</v>
      </c>
      <c r="O184" s="15">
        <v>0</v>
      </c>
      <c r="P184" s="15">
        <v>0</v>
      </c>
      <c r="Q184" s="15">
        <v>1</v>
      </c>
      <c r="R184" s="64">
        <v>6</v>
      </c>
      <c r="S184" s="64">
        <v>134</v>
      </c>
    </row>
    <row r="185" spans="1:19" hidden="1" x14ac:dyDescent="0.2">
      <c r="A185" s="10" t="s">
        <v>1617</v>
      </c>
      <c r="B185" s="10" t="s">
        <v>449</v>
      </c>
      <c r="C185" s="29" t="s">
        <v>1618</v>
      </c>
      <c r="D185" s="29" t="s">
        <v>1686</v>
      </c>
      <c r="E185" s="10" t="s">
        <v>0</v>
      </c>
      <c r="F185" s="10"/>
      <c r="G185" s="10" t="s">
        <v>451</v>
      </c>
      <c r="H185" s="10" t="s">
        <v>1619</v>
      </c>
      <c r="I185" s="30" t="s">
        <v>1498</v>
      </c>
      <c r="J185" s="30" t="s">
        <v>1526</v>
      </c>
      <c r="K185" s="30" t="s">
        <v>1620</v>
      </c>
      <c r="L185" s="30" t="s">
        <v>455</v>
      </c>
      <c r="M185" s="18" t="s">
        <v>0</v>
      </c>
      <c r="N185" s="18">
        <v>0</v>
      </c>
      <c r="O185" s="18">
        <v>0</v>
      </c>
      <c r="P185" s="18">
        <v>0</v>
      </c>
      <c r="Q185" s="18">
        <v>1</v>
      </c>
      <c r="R185" s="64">
        <v>6</v>
      </c>
      <c r="S185" s="64">
        <v>135</v>
      </c>
    </row>
    <row r="186" spans="1:19" hidden="1" x14ac:dyDescent="0.2">
      <c r="A186" s="10" t="s">
        <v>1604</v>
      </c>
      <c r="B186" s="10" t="s">
        <v>449</v>
      </c>
      <c r="C186" s="29" t="s">
        <v>1605</v>
      </c>
      <c r="D186" s="29" t="s">
        <v>1694</v>
      </c>
      <c r="E186" s="10" t="s">
        <v>0</v>
      </c>
      <c r="F186" s="10"/>
      <c r="G186" s="10" t="s">
        <v>451</v>
      </c>
      <c r="H186" s="10"/>
      <c r="I186" s="30" t="s">
        <v>1498</v>
      </c>
      <c r="J186" s="30" t="s">
        <v>1515</v>
      </c>
      <c r="K186" s="30" t="s">
        <v>1598</v>
      </c>
      <c r="L186" s="30" t="s">
        <v>455</v>
      </c>
      <c r="M186" s="18" t="s">
        <v>0</v>
      </c>
      <c r="N186" s="18">
        <v>0</v>
      </c>
      <c r="O186" s="18">
        <v>0</v>
      </c>
      <c r="P186" s="18">
        <v>0</v>
      </c>
      <c r="Q186" s="18">
        <v>1</v>
      </c>
      <c r="R186" s="64">
        <v>6</v>
      </c>
      <c r="S186" s="64">
        <v>136</v>
      </c>
    </row>
    <row r="187" spans="1:19" hidden="1" x14ac:dyDescent="0.2">
      <c r="A187" s="32" t="s">
        <v>1611</v>
      </c>
      <c r="B187" s="32" t="s">
        <v>449</v>
      </c>
      <c r="C187" s="33" t="s">
        <v>1612</v>
      </c>
      <c r="D187" s="33" t="s">
        <v>2232</v>
      </c>
      <c r="E187" s="32" t="s">
        <v>0</v>
      </c>
      <c r="F187" s="32"/>
      <c r="G187" s="32" t="s">
        <v>451</v>
      </c>
      <c r="H187" s="32"/>
      <c r="I187" s="30" t="s">
        <v>1498</v>
      </c>
      <c r="J187" s="30" t="s">
        <v>1515</v>
      </c>
      <c r="K187" s="30" t="s">
        <v>1598</v>
      </c>
      <c r="L187" s="30" t="s">
        <v>455</v>
      </c>
      <c r="M187" s="15" t="s">
        <v>0</v>
      </c>
      <c r="N187" s="15">
        <v>0</v>
      </c>
      <c r="O187" s="15">
        <v>0</v>
      </c>
      <c r="P187" s="15">
        <v>0</v>
      </c>
      <c r="Q187" s="15">
        <v>1</v>
      </c>
      <c r="R187" s="64">
        <v>6</v>
      </c>
      <c r="S187" s="64">
        <v>136</v>
      </c>
    </row>
    <row r="188" spans="1:19" hidden="1" x14ac:dyDescent="0.2">
      <c r="A188" s="10" t="s">
        <v>1590</v>
      </c>
      <c r="B188" s="10" t="s">
        <v>449</v>
      </c>
      <c r="C188" s="29" t="s">
        <v>1591</v>
      </c>
      <c r="D188" s="29" t="s">
        <v>1725</v>
      </c>
      <c r="E188" s="10" t="s">
        <v>0</v>
      </c>
      <c r="F188" s="10"/>
      <c r="G188" s="10" t="s">
        <v>451</v>
      </c>
      <c r="H188" s="10"/>
      <c r="I188" s="30" t="s">
        <v>1498</v>
      </c>
      <c r="J188" s="30" t="s">
        <v>1515</v>
      </c>
      <c r="K188" s="30" t="s">
        <v>1545</v>
      </c>
      <c r="L188" s="30" t="s">
        <v>455</v>
      </c>
      <c r="M188" s="18" t="s">
        <v>0</v>
      </c>
      <c r="N188" s="18">
        <v>0</v>
      </c>
      <c r="O188" s="18">
        <v>0</v>
      </c>
      <c r="P188" s="18">
        <v>0</v>
      </c>
      <c r="Q188" s="18">
        <v>1</v>
      </c>
      <c r="R188" s="64">
        <v>6</v>
      </c>
      <c r="S188" s="64">
        <v>137</v>
      </c>
    </row>
    <row r="189" spans="1:19" hidden="1" x14ac:dyDescent="0.2">
      <c r="A189" s="15" t="s">
        <v>1596</v>
      </c>
      <c r="B189" s="15" t="s">
        <v>449</v>
      </c>
      <c r="C189" s="44" t="s">
        <v>1597</v>
      </c>
      <c r="D189" s="44" t="s">
        <v>1701</v>
      </c>
      <c r="E189" s="15" t="s">
        <v>0</v>
      </c>
      <c r="F189" s="15"/>
      <c r="G189" s="15" t="s">
        <v>451</v>
      </c>
      <c r="H189" s="15"/>
      <c r="I189" s="30" t="s">
        <v>1498</v>
      </c>
      <c r="J189" s="30" t="s">
        <v>1515</v>
      </c>
      <c r="K189" s="30" t="s">
        <v>1598</v>
      </c>
      <c r="L189" s="30" t="s">
        <v>455</v>
      </c>
      <c r="M189" s="15" t="s">
        <v>0</v>
      </c>
      <c r="N189" s="15">
        <v>0</v>
      </c>
      <c r="O189" s="15">
        <v>0</v>
      </c>
      <c r="P189" s="15">
        <v>0</v>
      </c>
      <c r="Q189" s="15">
        <v>1</v>
      </c>
      <c r="R189" s="64">
        <v>6</v>
      </c>
      <c r="S189" s="64">
        <v>137</v>
      </c>
    </row>
    <row r="190" spans="1:19" hidden="1" x14ac:dyDescent="0.2">
      <c r="A190" s="10" t="s">
        <v>1495</v>
      </c>
      <c r="B190" s="10" t="s">
        <v>449</v>
      </c>
      <c r="C190" s="29" t="s">
        <v>1496</v>
      </c>
      <c r="D190" s="29" t="s">
        <v>2161</v>
      </c>
      <c r="E190" s="10" t="s">
        <v>0</v>
      </c>
      <c r="F190" s="10"/>
      <c r="G190" s="10" t="s">
        <v>451</v>
      </c>
      <c r="H190" s="10" t="s">
        <v>1497</v>
      </c>
      <c r="I190" s="30" t="s">
        <v>1498</v>
      </c>
      <c r="J190" s="30" t="s">
        <v>1499</v>
      </c>
      <c r="K190" s="30" t="s">
        <v>1500</v>
      </c>
      <c r="L190" s="30" t="s">
        <v>455</v>
      </c>
      <c r="M190" s="18" t="s">
        <v>0</v>
      </c>
      <c r="N190" s="18">
        <v>0</v>
      </c>
      <c r="O190" s="18">
        <v>0</v>
      </c>
      <c r="P190" s="18">
        <v>0</v>
      </c>
      <c r="Q190" s="18">
        <v>1</v>
      </c>
      <c r="R190" s="64">
        <v>6</v>
      </c>
      <c r="S190" s="64">
        <v>138</v>
      </c>
    </row>
    <row r="191" spans="1:19" hidden="1" x14ac:dyDescent="0.2">
      <c r="A191" s="10" t="s">
        <v>1513</v>
      </c>
      <c r="B191" s="10" t="s">
        <v>449</v>
      </c>
      <c r="C191" s="29" t="s">
        <v>1514</v>
      </c>
      <c r="D191" s="29" t="s">
        <v>1715</v>
      </c>
      <c r="E191" s="10" t="s">
        <v>0</v>
      </c>
      <c r="F191" s="10"/>
      <c r="G191" s="10" t="s">
        <v>451</v>
      </c>
      <c r="H191" s="10"/>
      <c r="I191" s="30" t="s">
        <v>1498</v>
      </c>
      <c r="J191" s="30" t="s">
        <v>1515</v>
      </c>
      <c r="K191" s="30" t="s">
        <v>1508</v>
      </c>
      <c r="L191" s="30" t="s">
        <v>455</v>
      </c>
      <c r="M191" s="18" t="s">
        <v>0</v>
      </c>
      <c r="N191" s="18">
        <v>0</v>
      </c>
      <c r="O191" s="18">
        <v>0</v>
      </c>
      <c r="P191" s="18">
        <v>0</v>
      </c>
      <c r="Q191" s="18">
        <v>1</v>
      </c>
      <c r="R191" s="64">
        <v>6</v>
      </c>
      <c r="S191" s="64">
        <v>138</v>
      </c>
    </row>
    <row r="192" spans="1:19" hidden="1" x14ac:dyDescent="0.2">
      <c r="A192" s="32" t="s">
        <v>1518</v>
      </c>
      <c r="B192" s="32" t="s">
        <v>449</v>
      </c>
      <c r="C192" s="33" t="s">
        <v>1519</v>
      </c>
      <c r="D192" s="33" t="s">
        <v>1757</v>
      </c>
      <c r="E192" s="32" t="s">
        <v>0</v>
      </c>
      <c r="F192" s="32"/>
      <c r="G192" s="32" t="s">
        <v>451</v>
      </c>
      <c r="H192" s="32"/>
      <c r="I192" s="30" t="s">
        <v>1498</v>
      </c>
      <c r="J192" s="30" t="s">
        <v>1515</v>
      </c>
      <c r="K192" s="30" t="s">
        <v>1508</v>
      </c>
      <c r="L192" s="30" t="s">
        <v>455</v>
      </c>
      <c r="M192" s="15" t="s">
        <v>0</v>
      </c>
      <c r="N192" s="15">
        <v>0</v>
      </c>
      <c r="O192" s="15">
        <v>0</v>
      </c>
      <c r="P192" s="15">
        <v>0</v>
      </c>
      <c r="Q192" s="15">
        <v>1</v>
      </c>
      <c r="R192" s="64">
        <v>6</v>
      </c>
      <c r="S192" s="64">
        <v>139</v>
      </c>
    </row>
    <row r="193" spans="1:19" hidden="1" x14ac:dyDescent="0.2">
      <c r="A193" s="10" t="s">
        <v>1538</v>
      </c>
      <c r="B193" s="10" t="s">
        <v>449</v>
      </c>
      <c r="C193" s="29" t="s">
        <v>1539</v>
      </c>
      <c r="D193" s="29" t="s">
        <v>1721</v>
      </c>
      <c r="E193" s="10" t="s">
        <v>0</v>
      </c>
      <c r="F193" s="10"/>
      <c r="G193" s="10" t="s">
        <v>451</v>
      </c>
      <c r="H193" s="10"/>
      <c r="I193" s="30" t="s">
        <v>1498</v>
      </c>
      <c r="J193" s="30" t="s">
        <v>1507</v>
      </c>
      <c r="K193" s="30" t="s">
        <v>1527</v>
      </c>
      <c r="L193" s="30" t="s">
        <v>455</v>
      </c>
      <c r="M193" s="18" t="s">
        <v>0</v>
      </c>
      <c r="N193" s="18">
        <v>0</v>
      </c>
      <c r="O193" s="18">
        <v>0</v>
      </c>
      <c r="P193" s="18">
        <v>0</v>
      </c>
      <c r="Q193" s="18">
        <v>1</v>
      </c>
      <c r="R193" s="64">
        <v>6</v>
      </c>
      <c r="S193" s="64">
        <v>139</v>
      </c>
    </row>
    <row r="194" spans="1:19" hidden="1" x14ac:dyDescent="0.2">
      <c r="A194" s="32" t="s">
        <v>1543</v>
      </c>
      <c r="B194" s="32" t="s">
        <v>449</v>
      </c>
      <c r="C194" s="33" t="s">
        <v>1544</v>
      </c>
      <c r="D194" s="33" t="s">
        <v>1730</v>
      </c>
      <c r="E194" s="32" t="s">
        <v>0</v>
      </c>
      <c r="F194" s="32"/>
      <c r="G194" s="32" t="s">
        <v>451</v>
      </c>
      <c r="H194" s="32"/>
      <c r="I194" s="30" t="s">
        <v>1498</v>
      </c>
      <c r="J194" s="30" t="s">
        <v>1515</v>
      </c>
      <c r="K194" s="30" t="s">
        <v>1545</v>
      </c>
      <c r="L194" s="30" t="s">
        <v>455</v>
      </c>
      <c r="M194" s="15" t="s">
        <v>0</v>
      </c>
      <c r="N194" s="15">
        <v>0</v>
      </c>
      <c r="O194" s="15">
        <v>0</v>
      </c>
      <c r="P194" s="15">
        <v>0</v>
      </c>
      <c r="Q194" s="15">
        <v>1</v>
      </c>
      <c r="R194" s="64">
        <v>6</v>
      </c>
      <c r="S194" s="64">
        <v>140</v>
      </c>
    </row>
    <row r="195" spans="1:19" hidden="1" x14ac:dyDescent="0.2">
      <c r="A195" s="10" t="s">
        <v>1550</v>
      </c>
      <c r="B195" s="10" t="s">
        <v>449</v>
      </c>
      <c r="C195" s="29" t="s">
        <v>1551</v>
      </c>
      <c r="D195" s="29" t="s">
        <v>1709</v>
      </c>
      <c r="E195" s="10" t="s">
        <v>0</v>
      </c>
      <c r="F195" s="10"/>
      <c r="G195" s="10" t="s">
        <v>451</v>
      </c>
      <c r="H195" s="10"/>
      <c r="I195" s="30" t="s">
        <v>1498</v>
      </c>
      <c r="J195" s="30" t="s">
        <v>1515</v>
      </c>
      <c r="K195" s="30" t="s">
        <v>1545</v>
      </c>
      <c r="L195" s="30" t="s">
        <v>455</v>
      </c>
      <c r="M195" s="18" t="s">
        <v>0</v>
      </c>
      <c r="N195" s="18">
        <v>0</v>
      </c>
      <c r="O195" s="18">
        <v>0</v>
      </c>
      <c r="P195" s="18">
        <v>0</v>
      </c>
      <c r="Q195" s="18">
        <v>1</v>
      </c>
      <c r="R195" s="64">
        <v>6</v>
      </c>
      <c r="S195" s="64">
        <v>140</v>
      </c>
    </row>
    <row r="196" spans="1:19" hidden="1" x14ac:dyDescent="0.2">
      <c r="A196" s="32" t="s">
        <v>1555</v>
      </c>
      <c r="B196" s="32" t="s">
        <v>449</v>
      </c>
      <c r="C196" s="33" t="s">
        <v>1556</v>
      </c>
      <c r="D196" s="33" t="s">
        <v>1742</v>
      </c>
      <c r="E196" s="32" t="s">
        <v>0</v>
      </c>
      <c r="F196" s="32"/>
      <c r="G196" s="32" t="s">
        <v>451</v>
      </c>
      <c r="H196" s="32"/>
      <c r="I196" s="30" t="s">
        <v>1498</v>
      </c>
      <c r="J196" s="30" t="s">
        <v>1515</v>
      </c>
      <c r="K196" s="30" t="s">
        <v>1545</v>
      </c>
      <c r="L196" s="30" t="s">
        <v>455</v>
      </c>
      <c r="M196" s="15" t="s">
        <v>0</v>
      </c>
      <c r="N196" s="15">
        <v>0</v>
      </c>
      <c r="O196" s="15">
        <v>0</v>
      </c>
      <c r="P196" s="15">
        <v>0</v>
      </c>
      <c r="Q196" s="15">
        <v>1</v>
      </c>
      <c r="R196" s="64">
        <v>6</v>
      </c>
      <c r="S196" s="64">
        <v>141</v>
      </c>
    </row>
    <row r="197" spans="1:19" hidden="1" x14ac:dyDescent="0.2">
      <c r="A197" s="32" t="s">
        <v>1569</v>
      </c>
      <c r="B197" s="32" t="s">
        <v>449</v>
      </c>
      <c r="C197" s="33" t="s">
        <v>1570</v>
      </c>
      <c r="D197" s="33" t="s">
        <v>1735</v>
      </c>
      <c r="E197" s="32" t="s">
        <v>0</v>
      </c>
      <c r="F197" s="32"/>
      <c r="G197" s="32" t="s">
        <v>451</v>
      </c>
      <c r="H197" s="32"/>
      <c r="I197" s="30" t="s">
        <v>1498</v>
      </c>
      <c r="J197" s="30" t="s">
        <v>1515</v>
      </c>
      <c r="K197" s="30" t="s">
        <v>1545</v>
      </c>
      <c r="L197" s="30" t="s">
        <v>455</v>
      </c>
      <c r="M197" s="15" t="s">
        <v>0</v>
      </c>
      <c r="N197" s="15">
        <v>0</v>
      </c>
      <c r="O197" s="15">
        <v>0</v>
      </c>
      <c r="P197" s="15">
        <v>0</v>
      </c>
      <c r="Q197" s="15">
        <v>1</v>
      </c>
      <c r="R197" s="64">
        <v>6</v>
      </c>
      <c r="S197" s="64">
        <v>141</v>
      </c>
    </row>
    <row r="198" spans="1:19" hidden="1" x14ac:dyDescent="0.2">
      <c r="A198" s="10" t="s">
        <v>1576</v>
      </c>
      <c r="B198" s="10" t="s">
        <v>449</v>
      </c>
      <c r="C198" s="29" t="s">
        <v>1577</v>
      </c>
      <c r="D198" s="29" t="s">
        <v>1751</v>
      </c>
      <c r="E198" s="10" t="s">
        <v>0</v>
      </c>
      <c r="F198" s="10"/>
      <c r="G198" s="10" t="s">
        <v>451</v>
      </c>
      <c r="H198" s="10"/>
      <c r="I198" s="30" t="s">
        <v>1498</v>
      </c>
      <c r="J198" s="30" t="s">
        <v>1515</v>
      </c>
      <c r="K198" s="30" t="s">
        <v>1545</v>
      </c>
      <c r="L198" s="30" t="s">
        <v>455</v>
      </c>
      <c r="M198" s="18" t="s">
        <v>0</v>
      </c>
      <c r="N198" s="18">
        <v>0</v>
      </c>
      <c r="O198" s="18">
        <v>0</v>
      </c>
      <c r="P198" s="18">
        <v>0</v>
      </c>
      <c r="Q198" s="18">
        <v>1</v>
      </c>
      <c r="R198" s="64">
        <v>6</v>
      </c>
      <c r="S198" s="64">
        <v>142</v>
      </c>
    </row>
    <row r="199" spans="1:19" hidden="1" x14ac:dyDescent="0.2">
      <c r="A199" s="32" t="s">
        <v>1582</v>
      </c>
      <c r="B199" s="32" t="s">
        <v>449</v>
      </c>
      <c r="C199" s="33" t="s">
        <v>1583</v>
      </c>
      <c r="D199" s="33" t="s">
        <v>1762</v>
      </c>
      <c r="E199" s="32" t="s">
        <v>0</v>
      </c>
      <c r="F199" s="32"/>
      <c r="G199" s="32" t="s">
        <v>451</v>
      </c>
      <c r="H199" s="32"/>
      <c r="I199" s="30" t="s">
        <v>1498</v>
      </c>
      <c r="J199" s="30" t="s">
        <v>1515</v>
      </c>
      <c r="K199" s="30" t="s">
        <v>1545</v>
      </c>
      <c r="L199" s="30" t="s">
        <v>455</v>
      </c>
      <c r="M199" s="15" t="s">
        <v>0</v>
      </c>
      <c r="N199" s="15">
        <v>0</v>
      </c>
      <c r="O199" s="15">
        <v>0</v>
      </c>
      <c r="P199" s="15">
        <v>0</v>
      </c>
      <c r="Q199" s="15">
        <v>1</v>
      </c>
      <c r="R199" s="64">
        <v>6</v>
      </c>
      <c r="S199" s="64">
        <v>142</v>
      </c>
    </row>
    <row r="200" spans="1:19" hidden="1" x14ac:dyDescent="0.2">
      <c r="A200" s="32" t="s">
        <v>1625</v>
      </c>
      <c r="B200" s="32" t="s">
        <v>449</v>
      </c>
      <c r="C200" s="33" t="s">
        <v>1626</v>
      </c>
      <c r="D200" s="33" t="s">
        <v>1785</v>
      </c>
      <c r="E200" s="32" t="s">
        <v>458</v>
      </c>
      <c r="F200" s="32" t="s">
        <v>284</v>
      </c>
      <c r="G200" s="32" t="s">
        <v>451</v>
      </c>
      <c r="H200" s="32"/>
      <c r="I200" s="30" t="s">
        <v>1498</v>
      </c>
      <c r="J200" s="30" t="s">
        <v>1627</v>
      </c>
      <c r="K200" s="30" t="s">
        <v>1628</v>
      </c>
      <c r="L200" s="30" t="s">
        <v>455</v>
      </c>
      <c r="M200" s="15" t="s">
        <v>458</v>
      </c>
      <c r="N200" s="15">
        <v>1</v>
      </c>
      <c r="O200" s="15">
        <v>1</v>
      </c>
      <c r="P200" s="15">
        <v>2</v>
      </c>
      <c r="Q200" s="15">
        <v>3</v>
      </c>
      <c r="R200" s="64">
        <v>6</v>
      </c>
      <c r="S200" s="64">
        <v>143</v>
      </c>
    </row>
    <row r="201" spans="1:19" hidden="1" x14ac:dyDescent="0.2">
      <c r="A201" s="32" t="s">
        <v>1640</v>
      </c>
      <c r="B201" s="32" t="s">
        <v>449</v>
      </c>
      <c r="C201" s="33" t="s">
        <v>1641</v>
      </c>
      <c r="D201" s="33" t="s">
        <v>1790</v>
      </c>
      <c r="E201" s="32" t="s">
        <v>0</v>
      </c>
      <c r="F201" s="32"/>
      <c r="G201" s="32" t="s">
        <v>451</v>
      </c>
      <c r="H201" s="32" t="s">
        <v>1642</v>
      </c>
      <c r="I201" s="30" t="s">
        <v>1498</v>
      </c>
      <c r="J201" s="30" t="s">
        <v>1526</v>
      </c>
      <c r="K201" s="30" t="s">
        <v>1634</v>
      </c>
      <c r="L201" s="30" t="s">
        <v>455</v>
      </c>
      <c r="M201" s="15" t="s">
        <v>0</v>
      </c>
      <c r="N201" s="15">
        <v>0</v>
      </c>
      <c r="O201" s="15">
        <v>0</v>
      </c>
      <c r="P201" s="15">
        <v>0</v>
      </c>
      <c r="Q201" s="15">
        <v>1</v>
      </c>
      <c r="R201" s="64">
        <v>6</v>
      </c>
      <c r="S201" s="69">
        <v>144</v>
      </c>
    </row>
    <row r="202" spans="1:19" hidden="1" x14ac:dyDescent="0.2">
      <c r="A202" s="10" t="s">
        <v>690</v>
      </c>
      <c r="B202" s="10" t="s">
        <v>449</v>
      </c>
      <c r="C202" s="29" t="s">
        <v>691</v>
      </c>
      <c r="D202" s="29" t="s">
        <v>1920</v>
      </c>
      <c r="E202" s="10" t="s">
        <v>0</v>
      </c>
      <c r="F202" s="10"/>
      <c r="G202" s="10" t="s">
        <v>451</v>
      </c>
      <c r="H202" s="10"/>
      <c r="I202" s="30" t="s">
        <v>452</v>
      </c>
      <c r="J202" s="30" t="s">
        <v>453</v>
      </c>
      <c r="K202" s="30" t="s">
        <v>692</v>
      </c>
      <c r="L202" s="30" t="s">
        <v>455</v>
      </c>
      <c r="M202" s="18" t="s">
        <v>0</v>
      </c>
      <c r="N202" s="18">
        <v>0</v>
      </c>
      <c r="O202" s="18">
        <v>0</v>
      </c>
      <c r="P202" s="18">
        <v>0</v>
      </c>
      <c r="Q202" s="18">
        <v>1</v>
      </c>
      <c r="R202" s="17">
        <v>7</v>
      </c>
      <c r="S202" s="17">
        <v>65</v>
      </c>
    </row>
    <row r="203" spans="1:19" hidden="1" x14ac:dyDescent="0.2">
      <c r="A203" s="32" t="s">
        <v>697</v>
      </c>
      <c r="B203" s="32" t="s">
        <v>449</v>
      </c>
      <c r="C203" s="33" t="s">
        <v>698</v>
      </c>
      <c r="D203" s="33" t="s">
        <v>1929</v>
      </c>
      <c r="E203" s="32" t="s">
        <v>0</v>
      </c>
      <c r="F203" s="32"/>
      <c r="G203" s="32" t="s">
        <v>451</v>
      </c>
      <c r="H203" s="32"/>
      <c r="I203" s="30" t="s">
        <v>452</v>
      </c>
      <c r="J203" s="30" t="s">
        <v>453</v>
      </c>
      <c r="K203" s="30" t="s">
        <v>692</v>
      </c>
      <c r="L203" s="30" t="s">
        <v>455</v>
      </c>
      <c r="M203" s="15" t="s">
        <v>0</v>
      </c>
      <c r="N203" s="15">
        <v>0</v>
      </c>
      <c r="O203" s="15">
        <v>0</v>
      </c>
      <c r="P203" s="15">
        <v>0</v>
      </c>
      <c r="Q203" s="15">
        <v>1</v>
      </c>
      <c r="R203" s="17">
        <v>7</v>
      </c>
      <c r="S203" s="17">
        <v>66</v>
      </c>
    </row>
    <row r="204" spans="1:19" hidden="1" x14ac:dyDescent="0.2">
      <c r="A204" s="10" t="s">
        <v>704</v>
      </c>
      <c r="B204" s="10" t="s">
        <v>449</v>
      </c>
      <c r="C204" s="29" t="s">
        <v>705</v>
      </c>
      <c r="D204" s="29" t="s">
        <v>1935</v>
      </c>
      <c r="E204" s="10" t="s">
        <v>0</v>
      </c>
      <c r="F204" s="10"/>
      <c r="G204" s="10" t="s">
        <v>451</v>
      </c>
      <c r="H204" s="10"/>
      <c r="I204" s="30" t="s">
        <v>452</v>
      </c>
      <c r="J204" s="30" t="s">
        <v>453</v>
      </c>
      <c r="K204" s="30" t="s">
        <v>692</v>
      </c>
      <c r="L204" s="30" t="s">
        <v>455</v>
      </c>
      <c r="M204" s="18" t="s">
        <v>0</v>
      </c>
      <c r="N204" s="18">
        <v>0</v>
      </c>
      <c r="O204" s="18">
        <v>0</v>
      </c>
      <c r="P204" s="18">
        <v>0</v>
      </c>
      <c r="Q204" s="18">
        <v>1</v>
      </c>
      <c r="R204" s="17">
        <v>7</v>
      </c>
      <c r="S204" s="17">
        <v>66</v>
      </c>
    </row>
    <row r="205" spans="1:19" hidden="1" x14ac:dyDescent="0.2">
      <c r="A205" s="32" t="s">
        <v>710</v>
      </c>
      <c r="B205" s="32" t="s">
        <v>449</v>
      </c>
      <c r="C205" s="33" t="s">
        <v>711</v>
      </c>
      <c r="D205" s="33" t="s">
        <v>1943</v>
      </c>
      <c r="E205" s="32" t="s">
        <v>0</v>
      </c>
      <c r="F205" s="32"/>
      <c r="G205" s="32" t="s">
        <v>451</v>
      </c>
      <c r="H205" s="32"/>
      <c r="I205" s="30" t="s">
        <v>452</v>
      </c>
      <c r="J205" s="30" t="s">
        <v>453</v>
      </c>
      <c r="K205" s="30" t="s">
        <v>692</v>
      </c>
      <c r="L205" s="30" t="s">
        <v>455</v>
      </c>
      <c r="M205" s="15" t="s">
        <v>0</v>
      </c>
      <c r="N205" s="15">
        <v>0</v>
      </c>
      <c r="O205" s="15">
        <v>0</v>
      </c>
      <c r="P205" s="15">
        <v>0</v>
      </c>
      <c r="Q205" s="15">
        <v>1</v>
      </c>
      <c r="R205" s="17">
        <v>7</v>
      </c>
      <c r="S205" s="17">
        <v>67</v>
      </c>
    </row>
    <row r="206" spans="1:19" hidden="1" x14ac:dyDescent="0.2">
      <c r="A206" s="43" t="s">
        <v>717</v>
      </c>
      <c r="B206" s="10" t="s">
        <v>449</v>
      </c>
      <c r="C206" s="10" t="s">
        <v>718</v>
      </c>
      <c r="D206" s="29" t="s">
        <v>1948</v>
      </c>
      <c r="E206" s="10" t="s">
        <v>0</v>
      </c>
      <c r="F206" s="10"/>
      <c r="G206" s="10" t="s">
        <v>451</v>
      </c>
      <c r="H206" s="10"/>
      <c r="I206" s="30" t="s">
        <v>452</v>
      </c>
      <c r="J206" s="30" t="s">
        <v>453</v>
      </c>
      <c r="K206" s="30" t="s">
        <v>692</v>
      </c>
      <c r="L206" s="30" t="s">
        <v>719</v>
      </c>
      <c r="M206" s="18" t="s">
        <v>0</v>
      </c>
      <c r="N206" s="18"/>
      <c r="O206" s="18"/>
      <c r="P206" s="18">
        <v>0</v>
      </c>
      <c r="Q206" s="18">
        <v>1</v>
      </c>
      <c r="R206" s="17">
        <v>7</v>
      </c>
      <c r="S206" s="17">
        <v>67</v>
      </c>
    </row>
    <row r="207" spans="1:19" hidden="1" x14ac:dyDescent="0.2">
      <c r="A207" s="32" t="s">
        <v>1736</v>
      </c>
      <c r="B207" s="15" t="s">
        <v>449</v>
      </c>
      <c r="C207" s="33" t="s">
        <v>1737</v>
      </c>
      <c r="D207" s="33" t="s">
        <v>1807</v>
      </c>
      <c r="E207" s="32" t="s">
        <v>0</v>
      </c>
      <c r="F207" s="32"/>
      <c r="G207" s="32" t="s">
        <v>451</v>
      </c>
      <c r="H207" s="32"/>
      <c r="I207" s="30" t="s">
        <v>452</v>
      </c>
      <c r="J207" s="30" t="s">
        <v>453</v>
      </c>
      <c r="K207" s="30" t="s">
        <v>959</v>
      </c>
      <c r="L207" s="30" t="s">
        <v>455</v>
      </c>
      <c r="M207" s="15" t="s">
        <v>0</v>
      </c>
      <c r="N207" s="15">
        <v>0</v>
      </c>
      <c r="O207" s="15">
        <v>0</v>
      </c>
      <c r="P207" s="15">
        <v>0</v>
      </c>
      <c r="Q207" s="15">
        <v>1</v>
      </c>
      <c r="R207" s="65">
        <v>7</v>
      </c>
      <c r="S207" s="65">
        <v>44</v>
      </c>
    </row>
    <row r="208" spans="1:19" hidden="1" x14ac:dyDescent="0.2">
      <c r="A208" s="32" t="s">
        <v>1873</v>
      </c>
      <c r="B208" s="32" t="s">
        <v>449</v>
      </c>
      <c r="C208" s="33" t="s">
        <v>1826</v>
      </c>
      <c r="D208" s="33" t="s">
        <v>1827</v>
      </c>
      <c r="E208" s="32" t="s">
        <v>0</v>
      </c>
      <c r="F208" s="32"/>
      <c r="G208" s="32" t="s">
        <v>451</v>
      </c>
      <c r="H208" s="32" t="s">
        <v>1828</v>
      </c>
      <c r="I208" s="30" t="s">
        <v>452</v>
      </c>
      <c r="J208" s="30" t="s">
        <v>453</v>
      </c>
      <c r="K208" s="30" t="s">
        <v>492</v>
      </c>
      <c r="L208" s="30" t="s">
        <v>455</v>
      </c>
      <c r="M208" s="15" t="s">
        <v>0</v>
      </c>
      <c r="N208" s="15">
        <v>0</v>
      </c>
      <c r="O208" s="15">
        <v>0</v>
      </c>
      <c r="P208" s="15">
        <v>0</v>
      </c>
      <c r="Q208" s="15">
        <v>1</v>
      </c>
      <c r="R208" s="65">
        <v>7</v>
      </c>
      <c r="S208" s="65">
        <v>60</v>
      </c>
    </row>
    <row r="209" spans="1:19" hidden="1" x14ac:dyDescent="0.2">
      <c r="A209" s="10" t="s">
        <v>1867</v>
      </c>
      <c r="B209" s="10" t="s">
        <v>449</v>
      </c>
      <c r="C209" s="29" t="s">
        <v>1868</v>
      </c>
      <c r="D209" s="29" t="s">
        <v>1894</v>
      </c>
      <c r="E209" s="10" t="s">
        <v>0</v>
      </c>
      <c r="F209" s="10"/>
      <c r="G209" s="10" t="s">
        <v>451</v>
      </c>
      <c r="H209" s="10"/>
      <c r="I209" s="30" t="s">
        <v>452</v>
      </c>
      <c r="J209" s="30" t="s">
        <v>453</v>
      </c>
      <c r="K209" s="30" t="s">
        <v>492</v>
      </c>
      <c r="L209" s="30" t="s">
        <v>455</v>
      </c>
      <c r="M209" s="18" t="s">
        <v>0</v>
      </c>
      <c r="N209" s="18">
        <v>0</v>
      </c>
      <c r="O209" s="18">
        <v>0</v>
      </c>
      <c r="P209" s="18">
        <v>0</v>
      </c>
      <c r="Q209" s="18">
        <v>1</v>
      </c>
      <c r="R209" s="65">
        <v>7</v>
      </c>
      <c r="S209" s="65">
        <v>63</v>
      </c>
    </row>
    <row r="210" spans="1:19" hidden="1" x14ac:dyDescent="0.2">
      <c r="A210" s="10" t="s">
        <v>1877</v>
      </c>
      <c r="B210" s="10" t="s">
        <v>449</v>
      </c>
      <c r="C210" s="29" t="s">
        <v>1878</v>
      </c>
      <c r="D210" s="29" t="s">
        <v>1900</v>
      </c>
      <c r="E210" s="10" t="s">
        <v>0</v>
      </c>
      <c r="F210" s="10"/>
      <c r="G210" s="10" t="s">
        <v>451</v>
      </c>
      <c r="H210" s="10"/>
      <c r="I210" s="30" t="s">
        <v>452</v>
      </c>
      <c r="J210" s="30" t="s">
        <v>453</v>
      </c>
      <c r="K210" s="30" t="s">
        <v>492</v>
      </c>
      <c r="L210" s="30" t="s">
        <v>455</v>
      </c>
      <c r="M210" s="18" t="s">
        <v>0</v>
      </c>
      <c r="N210" s="18">
        <v>0</v>
      </c>
      <c r="O210" s="18">
        <v>0</v>
      </c>
      <c r="P210" s="18">
        <v>0</v>
      </c>
      <c r="Q210" s="18">
        <v>1</v>
      </c>
      <c r="R210" s="65">
        <v>7</v>
      </c>
      <c r="S210" s="65">
        <v>63</v>
      </c>
    </row>
    <row r="211" spans="1:19" hidden="1" x14ac:dyDescent="0.2">
      <c r="A211" s="32" t="s">
        <v>1855</v>
      </c>
      <c r="B211" s="32" t="s">
        <v>449</v>
      </c>
      <c r="C211" s="33" t="s">
        <v>1856</v>
      </c>
      <c r="D211" s="33" t="s">
        <v>1907</v>
      </c>
      <c r="E211" s="32" t="s">
        <v>0</v>
      </c>
      <c r="F211" s="32"/>
      <c r="G211" s="32" t="s">
        <v>451</v>
      </c>
      <c r="H211" s="32"/>
      <c r="I211" s="30" t="s">
        <v>452</v>
      </c>
      <c r="J211" s="30" t="s">
        <v>453</v>
      </c>
      <c r="K211" s="30" t="s">
        <v>492</v>
      </c>
      <c r="L211" s="30" t="s">
        <v>455</v>
      </c>
      <c r="M211" s="15" t="s">
        <v>0</v>
      </c>
      <c r="N211" s="15">
        <v>0</v>
      </c>
      <c r="O211" s="15">
        <v>0</v>
      </c>
      <c r="P211" s="15">
        <v>0</v>
      </c>
      <c r="Q211" s="15">
        <v>1</v>
      </c>
      <c r="R211" s="65">
        <v>7</v>
      </c>
      <c r="S211" s="65">
        <v>64</v>
      </c>
    </row>
    <row r="212" spans="1:19" hidden="1" x14ac:dyDescent="0.2">
      <c r="A212" s="32" t="s">
        <v>1862</v>
      </c>
      <c r="B212" s="32" t="s">
        <v>449</v>
      </c>
      <c r="C212" s="33" t="s">
        <v>1863</v>
      </c>
      <c r="D212" s="33" t="s">
        <v>1914</v>
      </c>
      <c r="E212" s="32" t="s">
        <v>0</v>
      </c>
      <c r="F212" s="32"/>
      <c r="G212" s="32" t="s">
        <v>451</v>
      </c>
      <c r="H212" s="32"/>
      <c r="I212" s="30" t="s">
        <v>452</v>
      </c>
      <c r="J212" s="30" t="s">
        <v>453</v>
      </c>
      <c r="K212" s="30" t="s">
        <v>492</v>
      </c>
      <c r="L212" s="30" t="s">
        <v>455</v>
      </c>
      <c r="M212" s="15" t="s">
        <v>0</v>
      </c>
      <c r="N212" s="15">
        <v>0</v>
      </c>
      <c r="O212" s="15">
        <v>0</v>
      </c>
      <c r="P212" s="15">
        <v>0</v>
      </c>
      <c r="Q212" s="15">
        <v>1</v>
      </c>
      <c r="R212" s="65">
        <v>7</v>
      </c>
      <c r="S212" s="65">
        <v>64</v>
      </c>
    </row>
    <row r="213" spans="1:19" hidden="1" x14ac:dyDescent="0.2">
      <c r="A213" s="10" t="s">
        <v>1850</v>
      </c>
      <c r="B213" s="10" t="s">
        <v>449</v>
      </c>
      <c r="C213" s="29" t="s">
        <v>1851</v>
      </c>
      <c r="D213" s="29" t="s">
        <v>1956</v>
      </c>
      <c r="E213" s="10" t="s">
        <v>0</v>
      </c>
      <c r="F213" s="10"/>
      <c r="G213" s="10" t="s">
        <v>451</v>
      </c>
      <c r="H213" s="10"/>
      <c r="I213" s="30" t="s">
        <v>452</v>
      </c>
      <c r="J213" s="30" t="s">
        <v>453</v>
      </c>
      <c r="K213" s="30" t="s">
        <v>492</v>
      </c>
      <c r="L213" s="30" t="s">
        <v>455</v>
      </c>
      <c r="M213" s="18" t="s">
        <v>0</v>
      </c>
      <c r="N213" s="18">
        <v>0</v>
      </c>
      <c r="O213" s="18">
        <v>0</v>
      </c>
      <c r="P213" s="18">
        <v>0</v>
      </c>
      <c r="Q213" s="18">
        <v>1</v>
      </c>
      <c r="R213" s="65">
        <v>7</v>
      </c>
      <c r="S213" s="65">
        <v>65</v>
      </c>
    </row>
    <row r="214" spans="1:19" hidden="1" x14ac:dyDescent="0.2">
      <c r="A214" s="38" t="s">
        <v>1882</v>
      </c>
      <c r="B214" s="32" t="s">
        <v>449</v>
      </c>
      <c r="C214" s="33" t="s">
        <v>1840</v>
      </c>
      <c r="D214" s="33" t="s">
        <v>1841</v>
      </c>
      <c r="E214" s="32" t="s">
        <v>0</v>
      </c>
      <c r="F214" s="38"/>
      <c r="G214" s="38" t="s">
        <v>451</v>
      </c>
      <c r="H214" s="38"/>
      <c r="I214" s="35" t="s">
        <v>452</v>
      </c>
      <c r="J214" s="35" t="s">
        <v>491</v>
      </c>
      <c r="K214" s="35" t="s">
        <v>911</v>
      </c>
      <c r="L214" s="30" t="s">
        <v>455</v>
      </c>
      <c r="M214" s="15" t="s">
        <v>0</v>
      </c>
      <c r="N214" s="15">
        <v>0</v>
      </c>
      <c r="O214" s="15">
        <v>0</v>
      </c>
      <c r="P214" s="15">
        <v>0</v>
      </c>
      <c r="Q214" s="40">
        <v>1</v>
      </c>
      <c r="R214" s="66">
        <v>7</v>
      </c>
      <c r="S214" s="66">
        <v>68</v>
      </c>
    </row>
    <row r="215" spans="1:19" hidden="1" x14ac:dyDescent="0.2">
      <c r="A215" s="32" t="s">
        <v>1717</v>
      </c>
      <c r="B215" s="15" t="s">
        <v>449</v>
      </c>
      <c r="C215" s="33" t="s">
        <v>1320</v>
      </c>
      <c r="D215" s="33" t="s">
        <v>1321</v>
      </c>
      <c r="E215" s="32" t="s">
        <v>0</v>
      </c>
      <c r="F215" s="32"/>
      <c r="G215" s="32" t="s">
        <v>451</v>
      </c>
      <c r="H215" s="32"/>
      <c r="I215" s="30" t="s">
        <v>452</v>
      </c>
      <c r="J215" s="30" t="s">
        <v>453</v>
      </c>
      <c r="K215" s="30" t="s">
        <v>959</v>
      </c>
      <c r="L215" s="30" t="s">
        <v>455</v>
      </c>
      <c r="M215" s="15" t="s">
        <v>0</v>
      </c>
      <c r="N215" s="15">
        <v>0</v>
      </c>
      <c r="O215" s="15">
        <v>0</v>
      </c>
      <c r="P215" s="15">
        <v>0</v>
      </c>
      <c r="Q215" s="15">
        <v>1</v>
      </c>
      <c r="R215" s="65">
        <v>7</v>
      </c>
      <c r="S215" s="65">
        <v>69</v>
      </c>
    </row>
    <row r="216" spans="1:19" hidden="1" x14ac:dyDescent="0.2">
      <c r="A216" s="32" t="s">
        <v>1726</v>
      </c>
      <c r="B216" s="15" t="s">
        <v>449</v>
      </c>
      <c r="C216" s="33" t="s">
        <v>1153</v>
      </c>
      <c r="D216" s="33" t="s">
        <v>1154</v>
      </c>
      <c r="E216" s="32" t="s">
        <v>0</v>
      </c>
      <c r="F216" s="32"/>
      <c r="G216" s="32" t="s">
        <v>451</v>
      </c>
      <c r="H216" s="32"/>
      <c r="I216" s="30" t="s">
        <v>452</v>
      </c>
      <c r="J216" s="30" t="s">
        <v>453</v>
      </c>
      <c r="K216" s="30" t="s">
        <v>959</v>
      </c>
      <c r="L216" s="30" t="s">
        <v>455</v>
      </c>
      <c r="M216" s="15" t="s">
        <v>0</v>
      </c>
      <c r="N216" s="15">
        <v>0</v>
      </c>
      <c r="O216" s="15">
        <v>0</v>
      </c>
      <c r="P216" s="15">
        <v>0</v>
      </c>
      <c r="Q216" s="15">
        <v>1</v>
      </c>
      <c r="R216" s="65">
        <v>7</v>
      </c>
      <c r="S216" s="65">
        <v>62</v>
      </c>
    </row>
    <row r="217" spans="1:19" hidden="1" x14ac:dyDescent="0.2">
      <c r="A217" s="10" t="s">
        <v>413</v>
      </c>
      <c r="B217" s="18" t="s">
        <v>449</v>
      </c>
      <c r="C217" s="29" t="s">
        <v>1722</v>
      </c>
      <c r="D217" s="29" t="s">
        <v>414</v>
      </c>
      <c r="E217" s="10" t="s">
        <v>0</v>
      </c>
      <c r="F217" s="10"/>
      <c r="G217" s="10" t="s">
        <v>451</v>
      </c>
      <c r="H217" s="10"/>
      <c r="I217" s="30" t="s">
        <v>452</v>
      </c>
      <c r="J217" s="30" t="s">
        <v>453</v>
      </c>
      <c r="K217" s="30" t="s">
        <v>959</v>
      </c>
      <c r="L217" s="30" t="s">
        <v>455</v>
      </c>
      <c r="M217" s="18" t="s">
        <v>0</v>
      </c>
      <c r="N217" s="18">
        <v>0</v>
      </c>
      <c r="O217" s="18">
        <v>0</v>
      </c>
      <c r="P217" s="18">
        <v>0</v>
      </c>
      <c r="Q217" s="18">
        <v>1</v>
      </c>
      <c r="R217" s="65">
        <v>7</v>
      </c>
      <c r="S217" s="65">
        <v>79</v>
      </c>
    </row>
    <row r="218" spans="1:19" hidden="1" x14ac:dyDescent="0.2">
      <c r="A218" s="10" t="s">
        <v>1731</v>
      </c>
      <c r="B218" s="18" t="s">
        <v>449</v>
      </c>
      <c r="C218" s="29" t="s">
        <v>1732</v>
      </c>
      <c r="D218" s="29" t="s">
        <v>1962</v>
      </c>
      <c r="E218" s="10" t="s">
        <v>0</v>
      </c>
      <c r="F218" s="10"/>
      <c r="G218" s="10" t="s">
        <v>451</v>
      </c>
      <c r="H218" s="10"/>
      <c r="I218" s="30" t="s">
        <v>452</v>
      </c>
      <c r="J218" s="30" t="s">
        <v>453</v>
      </c>
      <c r="K218" s="30" t="s">
        <v>959</v>
      </c>
      <c r="L218" s="30" t="s">
        <v>455</v>
      </c>
      <c r="M218" s="18" t="s">
        <v>0</v>
      </c>
      <c r="N218" s="18">
        <v>0</v>
      </c>
      <c r="O218" s="18">
        <v>0</v>
      </c>
      <c r="P218" s="18">
        <v>0</v>
      </c>
      <c r="Q218" s="18">
        <v>1</v>
      </c>
      <c r="R218" s="65">
        <v>7</v>
      </c>
      <c r="S218" s="65">
        <v>79</v>
      </c>
    </row>
    <row r="219" spans="1:19" hidden="1" x14ac:dyDescent="0.2">
      <c r="A219" s="15" t="s">
        <v>1752</v>
      </c>
      <c r="B219" s="15" t="s">
        <v>449</v>
      </c>
      <c r="C219" s="44" t="s">
        <v>1753</v>
      </c>
      <c r="D219" s="44" t="s">
        <v>1975</v>
      </c>
      <c r="E219" s="15" t="s">
        <v>0</v>
      </c>
      <c r="F219" s="15"/>
      <c r="G219" s="15" t="s">
        <v>451</v>
      </c>
      <c r="H219" s="15"/>
      <c r="I219" s="30" t="s">
        <v>1745</v>
      </c>
      <c r="J219" s="30" t="s">
        <v>1746</v>
      </c>
      <c r="K219" s="30" t="s">
        <v>1747</v>
      </c>
      <c r="L219" s="30" t="s">
        <v>455</v>
      </c>
      <c r="M219" s="15" t="s">
        <v>0</v>
      </c>
      <c r="N219" s="15">
        <v>0</v>
      </c>
      <c r="O219" s="15">
        <v>0</v>
      </c>
      <c r="P219" s="15">
        <v>0</v>
      </c>
      <c r="Q219" s="15">
        <v>1</v>
      </c>
      <c r="R219" s="65">
        <v>7</v>
      </c>
      <c r="S219" s="65">
        <v>80</v>
      </c>
    </row>
    <row r="220" spans="1:19" hidden="1" x14ac:dyDescent="0.2">
      <c r="A220" s="32" t="s">
        <v>1758</v>
      </c>
      <c r="B220" s="32" t="s">
        <v>449</v>
      </c>
      <c r="C220" s="33" t="s">
        <v>1759</v>
      </c>
      <c r="D220" s="33" t="s">
        <v>1971</v>
      </c>
      <c r="E220" s="32" t="s">
        <v>0</v>
      </c>
      <c r="F220" s="32"/>
      <c r="G220" s="32" t="s">
        <v>451</v>
      </c>
      <c r="H220" s="32"/>
      <c r="I220" s="30" t="s">
        <v>1745</v>
      </c>
      <c r="J220" s="30" t="s">
        <v>1746</v>
      </c>
      <c r="K220" s="30" t="s">
        <v>1747</v>
      </c>
      <c r="L220" s="30" t="s">
        <v>455</v>
      </c>
      <c r="M220" s="15" t="s">
        <v>0</v>
      </c>
      <c r="N220" s="15">
        <v>0</v>
      </c>
      <c r="O220" s="15">
        <v>0</v>
      </c>
      <c r="P220" s="15">
        <v>0</v>
      </c>
      <c r="Q220" s="15">
        <v>1</v>
      </c>
      <c r="R220" s="65">
        <v>7</v>
      </c>
      <c r="S220" s="65">
        <v>80</v>
      </c>
    </row>
    <row r="221" spans="1:19" hidden="1" x14ac:dyDescent="0.2">
      <c r="A221" s="10" t="s">
        <v>1763</v>
      </c>
      <c r="B221" s="10" t="s">
        <v>449</v>
      </c>
      <c r="C221" s="29" t="s">
        <v>1764</v>
      </c>
      <c r="D221" s="29" t="s">
        <v>1986</v>
      </c>
      <c r="E221" s="10" t="s">
        <v>0</v>
      </c>
      <c r="F221" s="10"/>
      <c r="G221" s="10" t="s">
        <v>451</v>
      </c>
      <c r="H221" s="10"/>
      <c r="I221" s="30" t="s">
        <v>1745</v>
      </c>
      <c r="J221" s="30" t="s">
        <v>1746</v>
      </c>
      <c r="K221" s="30" t="s">
        <v>1747</v>
      </c>
      <c r="L221" s="30" t="s">
        <v>455</v>
      </c>
      <c r="M221" s="18" t="s">
        <v>0</v>
      </c>
      <c r="N221" s="18">
        <v>0</v>
      </c>
      <c r="O221" s="18">
        <v>0</v>
      </c>
      <c r="P221" s="18">
        <v>0</v>
      </c>
      <c r="Q221" s="18">
        <v>1</v>
      </c>
      <c r="R221" s="65">
        <v>7</v>
      </c>
      <c r="S221" s="65">
        <v>81</v>
      </c>
    </row>
    <row r="222" spans="1:19" hidden="1" x14ac:dyDescent="0.2">
      <c r="A222" s="32" t="s">
        <v>1770</v>
      </c>
      <c r="B222" s="32" t="s">
        <v>449</v>
      </c>
      <c r="C222" s="33" t="s">
        <v>1771</v>
      </c>
      <c r="D222" s="33" t="s">
        <v>1980</v>
      </c>
      <c r="E222" s="32" t="s">
        <v>0</v>
      </c>
      <c r="F222" s="32"/>
      <c r="G222" s="32" t="s">
        <v>451</v>
      </c>
      <c r="H222" s="32" t="s">
        <v>1772</v>
      </c>
      <c r="I222" s="30" t="s">
        <v>1745</v>
      </c>
      <c r="J222" s="30" t="s">
        <v>1773</v>
      </c>
      <c r="K222" s="30" t="s">
        <v>1774</v>
      </c>
      <c r="L222" s="30" t="s">
        <v>455</v>
      </c>
      <c r="M222" s="15" t="s">
        <v>0</v>
      </c>
      <c r="N222" s="15">
        <v>0</v>
      </c>
      <c r="O222" s="15">
        <v>0</v>
      </c>
      <c r="P222" s="15">
        <v>0</v>
      </c>
      <c r="Q222" s="15">
        <v>1</v>
      </c>
      <c r="R222" s="65">
        <v>7</v>
      </c>
      <c r="S222" s="65">
        <v>81</v>
      </c>
    </row>
    <row r="223" spans="1:19" hidden="1" x14ac:dyDescent="0.2">
      <c r="A223" s="10" t="s">
        <v>1778</v>
      </c>
      <c r="B223" s="10" t="s">
        <v>449</v>
      </c>
      <c r="C223" s="29" t="s">
        <v>1779</v>
      </c>
      <c r="D223" s="29" t="s">
        <v>1849</v>
      </c>
      <c r="E223" s="10" t="s">
        <v>0</v>
      </c>
      <c r="F223" s="10"/>
      <c r="G223" s="10" t="s">
        <v>451</v>
      </c>
      <c r="H223" s="10" t="s">
        <v>1780</v>
      </c>
      <c r="I223" s="30" t="s">
        <v>1745</v>
      </c>
      <c r="J223" s="30" t="s">
        <v>1781</v>
      </c>
      <c r="K223" s="30" t="s">
        <v>1782</v>
      </c>
      <c r="L223" s="30" t="s">
        <v>455</v>
      </c>
      <c r="M223" s="18" t="s">
        <v>0</v>
      </c>
      <c r="N223" s="18">
        <v>0</v>
      </c>
      <c r="O223" s="18">
        <v>0</v>
      </c>
      <c r="P223" s="18">
        <v>0</v>
      </c>
      <c r="Q223" s="18">
        <v>1</v>
      </c>
      <c r="R223" s="65">
        <v>7</v>
      </c>
      <c r="S223" s="65">
        <v>82</v>
      </c>
    </row>
    <row r="224" spans="1:19" hidden="1" x14ac:dyDescent="0.2">
      <c r="A224" s="15" t="s">
        <v>1829</v>
      </c>
      <c r="B224" s="15" t="s">
        <v>449</v>
      </c>
      <c r="C224" s="44" t="s">
        <v>1830</v>
      </c>
      <c r="D224" s="44" t="s">
        <v>1854</v>
      </c>
      <c r="E224" s="15" t="s">
        <v>0</v>
      </c>
      <c r="F224" s="15"/>
      <c r="G224" s="15" t="s">
        <v>451</v>
      </c>
      <c r="H224" s="15"/>
      <c r="I224" s="30" t="s">
        <v>1745</v>
      </c>
      <c r="J224" s="30" t="s">
        <v>1773</v>
      </c>
      <c r="K224" s="30" t="s">
        <v>1831</v>
      </c>
      <c r="L224" s="30" t="s">
        <v>455</v>
      </c>
      <c r="M224" s="15" t="s">
        <v>0</v>
      </c>
      <c r="N224" s="15">
        <v>0</v>
      </c>
      <c r="O224" s="15">
        <v>0</v>
      </c>
      <c r="P224" s="15">
        <v>0</v>
      </c>
      <c r="Q224" s="15">
        <v>1</v>
      </c>
      <c r="R224" s="65">
        <v>7</v>
      </c>
      <c r="S224" s="65">
        <v>82</v>
      </c>
    </row>
    <row r="225" spans="1:19" hidden="1" x14ac:dyDescent="0.2">
      <c r="A225" s="18" t="s">
        <v>1743</v>
      </c>
      <c r="B225" s="18" t="s">
        <v>449</v>
      </c>
      <c r="C225" s="41" t="s">
        <v>1744</v>
      </c>
      <c r="D225" s="41" t="s">
        <v>1861</v>
      </c>
      <c r="E225" s="18" t="s">
        <v>0</v>
      </c>
      <c r="F225" s="18"/>
      <c r="G225" s="18" t="s">
        <v>451</v>
      </c>
      <c r="H225" s="18"/>
      <c r="I225" s="30" t="s">
        <v>1745</v>
      </c>
      <c r="J225" s="30" t="s">
        <v>1746</v>
      </c>
      <c r="K225" s="30" t="s">
        <v>1747</v>
      </c>
      <c r="L225" s="30" t="s">
        <v>455</v>
      </c>
      <c r="M225" s="18" t="s">
        <v>0</v>
      </c>
      <c r="N225" s="18">
        <v>0</v>
      </c>
      <c r="O225" s="18">
        <v>0</v>
      </c>
      <c r="P225" s="18">
        <v>0</v>
      </c>
      <c r="Q225" s="18">
        <v>1</v>
      </c>
      <c r="R225" s="65">
        <v>7</v>
      </c>
      <c r="S225" s="65">
        <v>83</v>
      </c>
    </row>
    <row r="226" spans="1:19" hidden="1" x14ac:dyDescent="0.2">
      <c r="A226" s="10" t="s">
        <v>1835</v>
      </c>
      <c r="B226" s="10" t="s">
        <v>449</v>
      </c>
      <c r="C226" s="29" t="s">
        <v>2369</v>
      </c>
      <c r="D226" s="29" t="s">
        <v>2370</v>
      </c>
      <c r="E226" s="10" t="s">
        <v>0</v>
      </c>
      <c r="F226" s="10"/>
      <c r="G226" s="10" t="s">
        <v>451</v>
      </c>
      <c r="H226" s="10" t="s">
        <v>1837</v>
      </c>
      <c r="I226" s="30" t="s">
        <v>1745</v>
      </c>
      <c r="J226" s="30" t="s">
        <v>1773</v>
      </c>
      <c r="K226" s="30" t="s">
        <v>1831</v>
      </c>
      <c r="L226" s="30" t="s">
        <v>455</v>
      </c>
      <c r="M226" s="18" t="s">
        <v>0</v>
      </c>
      <c r="N226" s="18">
        <v>0</v>
      </c>
      <c r="O226" s="18">
        <v>0</v>
      </c>
      <c r="P226" s="18">
        <v>0</v>
      </c>
      <c r="Q226" s="18">
        <v>1</v>
      </c>
      <c r="R226" s="65">
        <v>7</v>
      </c>
      <c r="S226" s="65">
        <v>83</v>
      </c>
    </row>
    <row r="227" spans="1:19" hidden="1" x14ac:dyDescent="0.2">
      <c r="A227" s="10" t="s">
        <v>1819</v>
      </c>
      <c r="B227" s="10" t="s">
        <v>449</v>
      </c>
      <c r="C227" s="29" t="s">
        <v>1820</v>
      </c>
      <c r="D227" s="29" t="s">
        <v>1876</v>
      </c>
      <c r="E227" s="10" t="s">
        <v>0</v>
      </c>
      <c r="F227" s="10"/>
      <c r="G227" s="10" t="s">
        <v>451</v>
      </c>
      <c r="H227" s="10"/>
      <c r="I227" s="30" t="s">
        <v>1745</v>
      </c>
      <c r="J227" s="30" t="s">
        <v>1821</v>
      </c>
      <c r="K227" s="30" t="s">
        <v>1822</v>
      </c>
      <c r="L227" s="30" t="s">
        <v>455</v>
      </c>
      <c r="M227" s="18" t="s">
        <v>0</v>
      </c>
      <c r="N227" s="18">
        <v>0</v>
      </c>
      <c r="O227" s="18">
        <v>0</v>
      </c>
      <c r="P227" s="18">
        <v>0</v>
      </c>
      <c r="Q227" s="18">
        <v>1</v>
      </c>
      <c r="R227" s="65">
        <v>7</v>
      </c>
      <c r="S227" s="65">
        <v>84</v>
      </c>
    </row>
    <row r="228" spans="1:19" hidden="1" x14ac:dyDescent="0.2">
      <c r="A228" s="32" t="s">
        <v>1842</v>
      </c>
      <c r="B228" s="32" t="s">
        <v>449</v>
      </c>
      <c r="C228" s="33" t="s">
        <v>1843</v>
      </c>
      <c r="D228" s="33" t="s">
        <v>2371</v>
      </c>
      <c r="E228" s="32" t="s">
        <v>0</v>
      </c>
      <c r="F228" s="32"/>
      <c r="G228" s="32" t="s">
        <v>451</v>
      </c>
      <c r="H228" s="32" t="s">
        <v>1844</v>
      </c>
      <c r="I228" s="30" t="s">
        <v>1745</v>
      </c>
      <c r="J228" s="30" t="s">
        <v>1773</v>
      </c>
      <c r="K228" s="30" t="s">
        <v>1845</v>
      </c>
      <c r="L228" s="30" t="s">
        <v>455</v>
      </c>
      <c r="M228" s="15" t="s">
        <v>0</v>
      </c>
      <c r="N228" s="15">
        <v>0</v>
      </c>
      <c r="O228" s="15">
        <v>0</v>
      </c>
      <c r="P228" s="15">
        <v>0</v>
      </c>
      <c r="Q228" s="15">
        <v>1</v>
      </c>
      <c r="R228" s="65">
        <v>7</v>
      </c>
      <c r="S228" s="65">
        <v>84</v>
      </c>
    </row>
    <row r="229" spans="1:19" hidden="1" x14ac:dyDescent="0.2">
      <c r="A229" s="38" t="s">
        <v>1812</v>
      </c>
      <c r="B229" s="32" t="s">
        <v>449</v>
      </c>
      <c r="C229" s="33" t="s">
        <v>1813</v>
      </c>
      <c r="D229" s="33" t="s">
        <v>1881</v>
      </c>
      <c r="E229" s="32" t="s">
        <v>0</v>
      </c>
      <c r="F229" s="38"/>
      <c r="G229" s="38" t="s">
        <v>451</v>
      </c>
      <c r="H229" s="38"/>
      <c r="I229" s="35" t="s">
        <v>452</v>
      </c>
      <c r="J229" s="35" t="s">
        <v>491</v>
      </c>
      <c r="K229" s="35" t="s">
        <v>1117</v>
      </c>
      <c r="L229" s="30" t="s">
        <v>455</v>
      </c>
      <c r="M229" s="15" t="s">
        <v>0</v>
      </c>
      <c r="N229" s="15">
        <v>0</v>
      </c>
      <c r="O229" s="15">
        <v>0</v>
      </c>
      <c r="P229" s="15">
        <v>0</v>
      </c>
      <c r="Q229" s="40">
        <v>1</v>
      </c>
      <c r="R229" s="66">
        <v>7</v>
      </c>
      <c r="S229" s="66">
        <v>88</v>
      </c>
    </row>
    <row r="230" spans="1:19" hidden="1" x14ac:dyDescent="0.2">
      <c r="A230" s="32" t="s">
        <v>2092</v>
      </c>
      <c r="B230" s="32" t="s">
        <v>449</v>
      </c>
      <c r="C230" s="33" t="s">
        <v>2093</v>
      </c>
      <c r="D230" s="33" t="s">
        <v>2372</v>
      </c>
      <c r="E230" s="32" t="s">
        <v>0</v>
      </c>
      <c r="F230" s="32"/>
      <c r="G230" s="32" t="s">
        <v>451</v>
      </c>
      <c r="H230" s="32"/>
      <c r="I230" s="30" t="s">
        <v>452</v>
      </c>
      <c r="J230" s="30" t="s">
        <v>2026</v>
      </c>
      <c r="K230" s="30" t="s">
        <v>2094</v>
      </c>
      <c r="L230" s="30" t="s">
        <v>455</v>
      </c>
      <c r="M230" s="15" t="s">
        <v>0</v>
      </c>
      <c r="N230" s="15">
        <v>0</v>
      </c>
      <c r="O230" s="15">
        <v>0</v>
      </c>
      <c r="P230" s="15">
        <v>0</v>
      </c>
      <c r="Q230" s="15">
        <v>1</v>
      </c>
      <c r="R230" s="67">
        <v>8</v>
      </c>
      <c r="S230" s="67">
        <v>89</v>
      </c>
    </row>
    <row r="231" spans="1:19" hidden="1" x14ac:dyDescent="0.2">
      <c r="A231" s="34" t="s">
        <v>2017</v>
      </c>
      <c r="B231" s="10" t="s">
        <v>449</v>
      </c>
      <c r="C231" s="29" t="s">
        <v>2018</v>
      </c>
      <c r="D231" s="29" t="s">
        <v>2178</v>
      </c>
      <c r="E231" s="10" t="s">
        <v>0</v>
      </c>
      <c r="F231" s="34"/>
      <c r="G231" s="34" t="s">
        <v>451</v>
      </c>
      <c r="H231" s="34"/>
      <c r="I231" s="35" t="s">
        <v>452</v>
      </c>
      <c r="J231" s="35" t="s">
        <v>904</v>
      </c>
      <c r="K231" s="35" t="s">
        <v>2019</v>
      </c>
      <c r="L231" s="30" t="s">
        <v>455</v>
      </c>
      <c r="M231" s="18" t="s">
        <v>0</v>
      </c>
      <c r="N231" s="18">
        <v>0</v>
      </c>
      <c r="O231" s="18">
        <v>0</v>
      </c>
      <c r="P231" s="18">
        <v>0</v>
      </c>
      <c r="Q231" s="36">
        <v>1</v>
      </c>
      <c r="R231" s="68">
        <v>8</v>
      </c>
      <c r="S231" s="68">
        <v>90</v>
      </c>
    </row>
    <row r="232" spans="1:19" hidden="1" x14ac:dyDescent="0.2">
      <c r="A232" s="38" t="s">
        <v>2040</v>
      </c>
      <c r="B232" s="32" t="s">
        <v>449</v>
      </c>
      <c r="C232" s="32" t="s">
        <v>2041</v>
      </c>
      <c r="D232" s="33" t="s">
        <v>2174</v>
      </c>
      <c r="E232" s="32" t="s">
        <v>0</v>
      </c>
      <c r="F232" s="38"/>
      <c r="G232" s="38" t="s">
        <v>451</v>
      </c>
      <c r="H232" s="38"/>
      <c r="I232" s="35" t="s">
        <v>452</v>
      </c>
      <c r="J232" s="35" t="s">
        <v>1705</v>
      </c>
      <c r="K232" s="35" t="s">
        <v>2042</v>
      </c>
      <c r="L232" s="30" t="s">
        <v>455</v>
      </c>
      <c r="M232" s="15" t="s">
        <v>0</v>
      </c>
      <c r="N232" s="15">
        <v>0</v>
      </c>
      <c r="O232" s="15">
        <v>0</v>
      </c>
      <c r="P232" s="15">
        <v>0</v>
      </c>
      <c r="Q232" s="40">
        <v>1</v>
      </c>
      <c r="R232" s="68">
        <v>8</v>
      </c>
      <c r="S232" s="68">
        <v>110</v>
      </c>
    </row>
    <row r="233" spans="1:19" hidden="1" x14ac:dyDescent="0.2">
      <c r="A233" s="10" t="s">
        <v>1982</v>
      </c>
      <c r="B233" s="10" t="s">
        <v>449</v>
      </c>
      <c r="C233" s="29" t="s">
        <v>1983</v>
      </c>
      <c r="D233" s="29" t="s">
        <v>2376</v>
      </c>
      <c r="E233" s="10" t="s">
        <v>0</v>
      </c>
      <c r="F233" s="10"/>
      <c r="G233" s="10" t="s">
        <v>451</v>
      </c>
      <c r="H233" s="10"/>
      <c r="I233" s="30" t="s">
        <v>1498</v>
      </c>
      <c r="J233" s="30" t="s">
        <v>1697</v>
      </c>
      <c r="K233" s="30" t="s">
        <v>1620</v>
      </c>
      <c r="L233" s="30" t="s">
        <v>455</v>
      </c>
      <c r="M233" s="18" t="s">
        <v>0</v>
      </c>
      <c r="N233" s="18">
        <v>0</v>
      </c>
      <c r="O233" s="18">
        <v>0</v>
      </c>
      <c r="P233" s="18">
        <v>0</v>
      </c>
      <c r="Q233" s="18">
        <v>1</v>
      </c>
      <c r="R233" s="67">
        <v>8</v>
      </c>
      <c r="S233" s="67">
        <v>111</v>
      </c>
    </row>
    <row r="234" spans="1:19" hidden="1" x14ac:dyDescent="0.2">
      <c r="A234" s="32" t="s">
        <v>2079</v>
      </c>
      <c r="B234" s="32" t="s">
        <v>449</v>
      </c>
      <c r="C234" s="33" t="s">
        <v>2080</v>
      </c>
      <c r="D234" s="33" t="s">
        <v>2193</v>
      </c>
      <c r="E234" s="32" t="s">
        <v>0</v>
      </c>
      <c r="F234" s="32"/>
      <c r="G234" s="32" t="s">
        <v>451</v>
      </c>
      <c r="H234" s="32" t="s">
        <v>2081</v>
      </c>
      <c r="I234" s="30" t="s">
        <v>452</v>
      </c>
      <c r="J234" s="30" t="s">
        <v>2026</v>
      </c>
      <c r="K234" s="30" t="s">
        <v>2075</v>
      </c>
      <c r="L234" s="30" t="s">
        <v>455</v>
      </c>
      <c r="M234" s="15" t="s">
        <v>0</v>
      </c>
      <c r="N234" s="15">
        <v>0</v>
      </c>
      <c r="O234" s="15">
        <v>0</v>
      </c>
      <c r="P234" s="15">
        <v>0</v>
      </c>
      <c r="Q234" s="15">
        <v>1</v>
      </c>
      <c r="R234" s="67">
        <v>8</v>
      </c>
      <c r="S234" s="67">
        <v>111</v>
      </c>
    </row>
    <row r="235" spans="1:19" hidden="1" x14ac:dyDescent="0.2">
      <c r="A235" s="15" t="s">
        <v>1958</v>
      </c>
      <c r="B235" s="15" t="s">
        <v>449</v>
      </c>
      <c r="C235" s="44" t="s">
        <v>1567</v>
      </c>
      <c r="D235" s="44" t="s">
        <v>1568</v>
      </c>
      <c r="E235" s="15" t="s">
        <v>0</v>
      </c>
      <c r="F235" s="15"/>
      <c r="G235" s="15" t="s">
        <v>451</v>
      </c>
      <c r="H235" s="15"/>
      <c r="I235" s="30" t="s">
        <v>1498</v>
      </c>
      <c r="J235" s="30" t="s">
        <v>1697</v>
      </c>
      <c r="K235" s="30" t="s">
        <v>1508</v>
      </c>
      <c r="L235" s="30" t="s">
        <v>455</v>
      </c>
      <c r="M235" s="15" t="s">
        <v>0</v>
      </c>
      <c r="N235" s="15">
        <v>0</v>
      </c>
      <c r="O235" s="15">
        <v>0</v>
      </c>
      <c r="P235" s="15">
        <v>0</v>
      </c>
      <c r="Q235" s="15">
        <v>1</v>
      </c>
      <c r="R235" s="67">
        <v>8</v>
      </c>
      <c r="S235" s="67">
        <v>112</v>
      </c>
    </row>
    <row r="236" spans="1:19" hidden="1" x14ac:dyDescent="0.2">
      <c r="A236" s="32" t="s">
        <v>1976</v>
      </c>
      <c r="B236" s="32" t="s">
        <v>449</v>
      </c>
      <c r="C236" s="33" t="s">
        <v>1560</v>
      </c>
      <c r="D236" s="33" t="s">
        <v>1561</v>
      </c>
      <c r="E236" s="32" t="s">
        <v>0</v>
      </c>
      <c r="F236" s="32"/>
      <c r="G236" s="32" t="s">
        <v>451</v>
      </c>
      <c r="H236" s="32"/>
      <c r="I236" s="30" t="s">
        <v>1498</v>
      </c>
      <c r="J236" s="30" t="s">
        <v>1697</v>
      </c>
      <c r="K236" s="30" t="s">
        <v>1620</v>
      </c>
      <c r="L236" s="30" t="s">
        <v>455</v>
      </c>
      <c r="M236" s="15" t="s">
        <v>0</v>
      </c>
      <c r="N236" s="15">
        <v>0</v>
      </c>
      <c r="O236" s="15">
        <v>0</v>
      </c>
      <c r="P236" s="15">
        <v>0</v>
      </c>
      <c r="Q236" s="15">
        <v>1</v>
      </c>
      <c r="R236" s="67">
        <v>8</v>
      </c>
      <c r="S236" s="67">
        <v>112</v>
      </c>
    </row>
    <row r="237" spans="1:19" hidden="1" x14ac:dyDescent="0.2">
      <c r="A237" s="32" t="s">
        <v>1915</v>
      </c>
      <c r="B237" s="32" t="s">
        <v>449</v>
      </c>
      <c r="C237" s="33" t="s">
        <v>1916</v>
      </c>
      <c r="D237" s="33" t="s">
        <v>2016</v>
      </c>
      <c r="E237" s="32" t="s">
        <v>0</v>
      </c>
      <c r="F237" s="32"/>
      <c r="G237" s="32" t="s">
        <v>451</v>
      </c>
      <c r="H237" s="32"/>
      <c r="I237" s="30" t="s">
        <v>1498</v>
      </c>
      <c r="J237" s="30" t="s">
        <v>1910</v>
      </c>
      <c r="K237" s="30" t="s">
        <v>1911</v>
      </c>
      <c r="L237" s="30" t="s">
        <v>455</v>
      </c>
      <c r="M237" s="15" t="s">
        <v>0</v>
      </c>
      <c r="N237" s="15">
        <v>0</v>
      </c>
      <c r="O237" s="15">
        <v>0</v>
      </c>
      <c r="P237" s="15">
        <v>0</v>
      </c>
      <c r="Q237" s="15">
        <v>1</v>
      </c>
      <c r="R237" s="67">
        <v>8</v>
      </c>
      <c r="S237" s="67">
        <v>113</v>
      </c>
    </row>
    <row r="238" spans="1:19" hidden="1" x14ac:dyDescent="0.2">
      <c r="A238" s="10" t="s">
        <v>1949</v>
      </c>
      <c r="B238" s="10" t="s">
        <v>449</v>
      </c>
      <c r="C238" s="29" t="s">
        <v>1950</v>
      </c>
      <c r="D238" s="29" t="s">
        <v>416</v>
      </c>
      <c r="E238" s="10" t="s">
        <v>0</v>
      </c>
      <c r="F238" s="10"/>
      <c r="G238" s="10" t="s">
        <v>451</v>
      </c>
      <c r="H238" s="10"/>
      <c r="I238" s="30" t="s">
        <v>1498</v>
      </c>
      <c r="J238" s="30" t="s">
        <v>1951</v>
      </c>
      <c r="K238" s="30" t="s">
        <v>1952</v>
      </c>
      <c r="L238" s="30" t="s">
        <v>455</v>
      </c>
      <c r="M238" s="18" t="s">
        <v>0</v>
      </c>
      <c r="N238" s="18">
        <v>0</v>
      </c>
      <c r="O238" s="18">
        <v>0</v>
      </c>
      <c r="P238" s="18">
        <v>0</v>
      </c>
      <c r="Q238" s="18">
        <v>1</v>
      </c>
      <c r="R238" s="67">
        <v>8</v>
      </c>
      <c r="S238" s="67">
        <v>113</v>
      </c>
    </row>
    <row r="239" spans="1:19" hidden="1" x14ac:dyDescent="0.2">
      <c r="A239" s="10" t="s">
        <v>1936</v>
      </c>
      <c r="B239" s="10" t="s">
        <v>449</v>
      </c>
      <c r="C239" s="29" t="s">
        <v>1937</v>
      </c>
      <c r="D239" s="29" t="s">
        <v>2023</v>
      </c>
      <c r="E239" s="10" t="s">
        <v>0</v>
      </c>
      <c r="F239" s="10"/>
      <c r="G239" s="10" t="s">
        <v>451</v>
      </c>
      <c r="H239" s="10"/>
      <c r="I239" s="30" t="s">
        <v>1498</v>
      </c>
      <c r="J239" s="30" t="s">
        <v>1938</v>
      </c>
      <c r="K239" s="30" t="s">
        <v>1939</v>
      </c>
      <c r="L239" s="30" t="s">
        <v>455</v>
      </c>
      <c r="M239" s="18" t="s">
        <v>0</v>
      </c>
      <c r="N239" s="18">
        <v>0</v>
      </c>
      <c r="O239" s="18">
        <v>0</v>
      </c>
      <c r="P239" s="18">
        <v>0</v>
      </c>
      <c r="Q239" s="18">
        <v>1</v>
      </c>
      <c r="R239" s="67">
        <v>8</v>
      </c>
      <c r="S239" s="67">
        <v>114</v>
      </c>
    </row>
    <row r="240" spans="1:19" hidden="1" x14ac:dyDescent="0.2">
      <c r="A240" s="32" t="s">
        <v>1944</v>
      </c>
      <c r="B240" s="32" t="s">
        <v>449</v>
      </c>
      <c r="C240" s="33" t="s">
        <v>1945</v>
      </c>
      <c r="D240" s="33" t="s">
        <v>2378</v>
      </c>
      <c r="E240" s="32" t="s">
        <v>0</v>
      </c>
      <c r="F240" s="32"/>
      <c r="G240" s="32" t="s">
        <v>451</v>
      </c>
      <c r="H240" s="32"/>
      <c r="I240" s="30" t="s">
        <v>1498</v>
      </c>
      <c r="J240" s="30" t="s">
        <v>1938</v>
      </c>
      <c r="K240" s="30" t="s">
        <v>1939</v>
      </c>
      <c r="L240" s="30" t="s">
        <v>455</v>
      </c>
      <c r="M240" s="15" t="s">
        <v>0</v>
      </c>
      <c r="N240" s="15">
        <v>0</v>
      </c>
      <c r="O240" s="15">
        <v>0</v>
      </c>
      <c r="P240" s="15">
        <v>0</v>
      </c>
      <c r="Q240" s="15">
        <v>1</v>
      </c>
      <c r="R240" s="67">
        <v>8</v>
      </c>
      <c r="S240" s="67">
        <v>114</v>
      </c>
    </row>
    <row r="241" spans="1:19" hidden="1" x14ac:dyDescent="0.2">
      <c r="A241" s="18" t="s">
        <v>1888</v>
      </c>
      <c r="B241" s="18" t="s">
        <v>449</v>
      </c>
      <c r="C241" s="41" t="s">
        <v>1889</v>
      </c>
      <c r="D241" s="41" t="s">
        <v>2166</v>
      </c>
      <c r="E241" s="18" t="s">
        <v>0</v>
      </c>
      <c r="F241" s="18"/>
      <c r="G241" s="18" t="s">
        <v>451</v>
      </c>
      <c r="H241" s="18"/>
      <c r="I241" s="30" t="s">
        <v>452</v>
      </c>
      <c r="J241" s="30" t="s">
        <v>904</v>
      </c>
      <c r="K241" s="30" t="s">
        <v>1890</v>
      </c>
      <c r="L241" s="30" t="s">
        <v>455</v>
      </c>
      <c r="M241" s="18" t="s">
        <v>0</v>
      </c>
      <c r="N241" s="18">
        <v>0</v>
      </c>
      <c r="O241" s="18">
        <v>0</v>
      </c>
      <c r="P241" s="18">
        <v>0</v>
      </c>
      <c r="Q241" s="18">
        <v>1</v>
      </c>
      <c r="R241" s="67">
        <v>8</v>
      </c>
      <c r="S241" s="67">
        <v>115</v>
      </c>
    </row>
    <row r="242" spans="1:19" hidden="1" x14ac:dyDescent="0.2">
      <c r="A242" s="32" t="s">
        <v>1931</v>
      </c>
      <c r="B242" s="32" t="s">
        <v>449</v>
      </c>
      <c r="C242" s="33" t="s">
        <v>1932</v>
      </c>
      <c r="D242" s="33" t="s">
        <v>2379</v>
      </c>
      <c r="E242" s="32" t="s">
        <v>0</v>
      </c>
      <c r="F242" s="32"/>
      <c r="G242" s="32" t="s">
        <v>451</v>
      </c>
      <c r="H242" s="32"/>
      <c r="I242" s="30" t="s">
        <v>2380</v>
      </c>
      <c r="J242" s="30" t="s">
        <v>1924</v>
      </c>
      <c r="K242" s="30" t="s">
        <v>1925</v>
      </c>
      <c r="L242" s="30" t="s">
        <v>455</v>
      </c>
      <c r="M242" s="15" t="s">
        <v>0</v>
      </c>
      <c r="N242" s="15">
        <v>0</v>
      </c>
      <c r="O242" s="15">
        <v>0</v>
      </c>
      <c r="P242" s="15">
        <v>0</v>
      </c>
      <c r="Q242" s="15">
        <v>1</v>
      </c>
      <c r="R242" s="67">
        <v>8</v>
      </c>
      <c r="S242" s="67">
        <v>115</v>
      </c>
    </row>
    <row r="243" spans="1:19" hidden="1" x14ac:dyDescent="0.2">
      <c r="A243" s="15" t="s">
        <v>2106</v>
      </c>
      <c r="B243" s="15" t="s">
        <v>449</v>
      </c>
      <c r="C243" s="44" t="s">
        <v>2031</v>
      </c>
      <c r="D243" s="44" t="s">
        <v>2032</v>
      </c>
      <c r="E243" s="15" t="s">
        <v>0</v>
      </c>
      <c r="F243" s="15"/>
      <c r="G243" s="15" t="s">
        <v>451</v>
      </c>
      <c r="H243" s="15"/>
      <c r="I243" s="30" t="s">
        <v>2107</v>
      </c>
      <c r="J243" s="30" t="s">
        <v>2108</v>
      </c>
      <c r="K243" s="30" t="s">
        <v>2109</v>
      </c>
      <c r="L243" s="30" t="s">
        <v>455</v>
      </c>
      <c r="M243" s="15" t="s">
        <v>0</v>
      </c>
      <c r="N243" s="15">
        <v>0</v>
      </c>
      <c r="O243" s="15">
        <v>0</v>
      </c>
      <c r="P243" s="15">
        <v>0</v>
      </c>
      <c r="Q243" s="15">
        <v>1</v>
      </c>
      <c r="R243" s="67">
        <v>8</v>
      </c>
      <c r="S243" s="67">
        <v>116</v>
      </c>
    </row>
    <row r="244" spans="1:19" hidden="1" x14ac:dyDescent="0.2">
      <c r="A244" s="10" t="s">
        <v>2114</v>
      </c>
      <c r="B244" s="10" t="s">
        <v>449</v>
      </c>
      <c r="C244" s="29" t="s">
        <v>2038</v>
      </c>
      <c r="D244" s="29" t="s">
        <v>2039</v>
      </c>
      <c r="E244" s="10" t="s">
        <v>0</v>
      </c>
      <c r="F244" s="10"/>
      <c r="G244" s="10" t="s">
        <v>451</v>
      </c>
      <c r="H244" s="10"/>
      <c r="I244" s="30" t="s">
        <v>2107</v>
      </c>
      <c r="J244" s="30" t="s">
        <v>2108</v>
      </c>
      <c r="K244" s="30" t="s">
        <v>2109</v>
      </c>
      <c r="L244" s="30" t="s">
        <v>455</v>
      </c>
      <c r="M244" s="18" t="s">
        <v>0</v>
      </c>
      <c r="N244" s="18">
        <v>0</v>
      </c>
      <c r="O244" s="18">
        <v>0</v>
      </c>
      <c r="P244" s="18">
        <v>0</v>
      </c>
      <c r="Q244" s="18">
        <v>1</v>
      </c>
      <c r="R244" s="67">
        <v>8</v>
      </c>
      <c r="S244" s="67">
        <v>116</v>
      </c>
    </row>
    <row r="245" spans="1:19" hidden="1" x14ac:dyDescent="0.2">
      <c r="A245" s="18" t="s">
        <v>2074</v>
      </c>
      <c r="B245" s="18" t="s">
        <v>449</v>
      </c>
      <c r="C245" s="18" t="s">
        <v>2381</v>
      </c>
      <c r="D245" s="18" t="s">
        <v>2382</v>
      </c>
      <c r="E245" s="18" t="s">
        <v>0</v>
      </c>
      <c r="F245" s="18"/>
      <c r="G245" s="18" t="s">
        <v>451</v>
      </c>
      <c r="H245" s="18"/>
      <c r="I245" s="30" t="s">
        <v>452</v>
      </c>
      <c r="J245" s="30" t="s">
        <v>2026</v>
      </c>
      <c r="K245" s="30" t="s">
        <v>2075</v>
      </c>
      <c r="L245" s="30" t="s">
        <v>455</v>
      </c>
      <c r="M245" s="18" t="s">
        <v>0</v>
      </c>
      <c r="N245" s="18">
        <v>0</v>
      </c>
      <c r="O245" s="18">
        <v>0</v>
      </c>
      <c r="P245" s="18">
        <v>0</v>
      </c>
      <c r="Q245" s="18">
        <v>1</v>
      </c>
      <c r="R245" s="67">
        <v>8</v>
      </c>
      <c r="S245" s="67">
        <v>117</v>
      </c>
    </row>
    <row r="246" spans="1:19" hidden="1" x14ac:dyDescent="0.2">
      <c r="A246" s="10" t="s">
        <v>2087</v>
      </c>
      <c r="B246" s="10" t="s">
        <v>449</v>
      </c>
      <c r="C246" s="29" t="s">
        <v>2053</v>
      </c>
      <c r="D246" s="29" t="s">
        <v>2054</v>
      </c>
      <c r="E246" s="10" t="s">
        <v>0</v>
      </c>
      <c r="F246" s="10"/>
      <c r="G246" s="10" t="s">
        <v>451</v>
      </c>
      <c r="H246" s="10"/>
      <c r="I246" s="30" t="s">
        <v>452</v>
      </c>
      <c r="J246" s="30" t="s">
        <v>2026</v>
      </c>
      <c r="K246" s="30" t="s">
        <v>2075</v>
      </c>
      <c r="L246" s="30" t="s">
        <v>455</v>
      </c>
      <c r="M246" s="18" t="s">
        <v>0</v>
      </c>
      <c r="N246" s="18">
        <v>0</v>
      </c>
      <c r="O246" s="18">
        <v>0</v>
      </c>
      <c r="P246" s="18">
        <v>0</v>
      </c>
      <c r="Q246" s="18">
        <v>1</v>
      </c>
      <c r="R246" s="67">
        <v>8</v>
      </c>
      <c r="S246" s="67">
        <v>117</v>
      </c>
    </row>
    <row r="247" spans="1:19" hidden="1" x14ac:dyDescent="0.2">
      <c r="A247" s="32" t="s">
        <v>2025</v>
      </c>
      <c r="B247" s="32" t="s">
        <v>449</v>
      </c>
      <c r="C247" s="33" t="s">
        <v>1994</v>
      </c>
      <c r="D247" s="33" t="s">
        <v>1995</v>
      </c>
      <c r="E247" s="32" t="s">
        <v>0</v>
      </c>
      <c r="F247" s="32"/>
      <c r="G247" s="32" t="s">
        <v>451</v>
      </c>
      <c r="H247" s="32"/>
      <c r="I247" s="30" t="s">
        <v>452</v>
      </c>
      <c r="J247" s="30" t="s">
        <v>2026</v>
      </c>
      <c r="K247" s="30" t="s">
        <v>2027</v>
      </c>
      <c r="L247" s="30" t="s">
        <v>455</v>
      </c>
      <c r="M247" s="15" t="s">
        <v>0</v>
      </c>
      <c r="N247" s="15">
        <v>0</v>
      </c>
      <c r="O247" s="15">
        <v>0</v>
      </c>
      <c r="P247" s="15">
        <v>0</v>
      </c>
      <c r="Q247" s="15">
        <v>1</v>
      </c>
      <c r="R247" s="67">
        <v>8</v>
      </c>
      <c r="S247" s="67">
        <v>118</v>
      </c>
    </row>
    <row r="248" spans="1:19" hidden="1" x14ac:dyDescent="0.2">
      <c r="A248" s="15" t="s">
        <v>2055</v>
      </c>
      <c r="B248" s="15" t="s">
        <v>449</v>
      </c>
      <c r="C248" s="44" t="s">
        <v>2056</v>
      </c>
      <c r="D248" s="44" t="s">
        <v>2060</v>
      </c>
      <c r="E248" s="15" t="s">
        <v>0</v>
      </c>
      <c r="F248" s="15"/>
      <c r="G248" s="15" t="s">
        <v>451</v>
      </c>
      <c r="H248" s="15"/>
      <c r="I248" s="30" t="s">
        <v>452</v>
      </c>
      <c r="J248" s="30" t="s">
        <v>2026</v>
      </c>
      <c r="K248" s="30" t="s">
        <v>2050</v>
      </c>
      <c r="L248" s="30" t="s">
        <v>455</v>
      </c>
      <c r="M248" s="15" t="s">
        <v>0</v>
      </c>
      <c r="N248" s="15">
        <v>0</v>
      </c>
      <c r="O248" s="15">
        <v>0</v>
      </c>
      <c r="P248" s="15">
        <v>0</v>
      </c>
      <c r="Q248" s="15">
        <v>1</v>
      </c>
      <c r="R248" s="67">
        <v>8</v>
      </c>
      <c r="S248" s="67">
        <v>118</v>
      </c>
    </row>
    <row r="249" spans="1:19" hidden="1" x14ac:dyDescent="0.2">
      <c r="A249" s="10" t="s">
        <v>2033</v>
      </c>
      <c r="B249" s="10" t="s">
        <v>449</v>
      </c>
      <c r="C249" s="29" t="s">
        <v>2034</v>
      </c>
      <c r="D249" s="29" t="s">
        <v>2078</v>
      </c>
      <c r="E249" s="10" t="s">
        <v>0</v>
      </c>
      <c r="F249" s="10"/>
      <c r="G249" s="10" t="s">
        <v>451</v>
      </c>
      <c r="H249" s="10"/>
      <c r="I249" s="30" t="s">
        <v>452</v>
      </c>
      <c r="J249" s="30" t="s">
        <v>2026</v>
      </c>
      <c r="K249" s="30" t="s">
        <v>2035</v>
      </c>
      <c r="L249" s="30" t="s">
        <v>455</v>
      </c>
      <c r="M249" s="18" t="s">
        <v>0</v>
      </c>
      <c r="N249" s="18">
        <v>0</v>
      </c>
      <c r="O249" s="18">
        <v>0</v>
      </c>
      <c r="P249" s="18">
        <v>0</v>
      </c>
      <c r="Q249" s="18">
        <v>1</v>
      </c>
      <c r="R249" s="67">
        <v>8</v>
      </c>
      <c r="S249" s="67">
        <v>119</v>
      </c>
    </row>
    <row r="250" spans="1:19" hidden="1" x14ac:dyDescent="0.2">
      <c r="A250" s="18" t="s">
        <v>2061</v>
      </c>
      <c r="B250" s="18" t="s">
        <v>449</v>
      </c>
      <c r="C250" s="41" t="s">
        <v>2062</v>
      </c>
      <c r="D250" s="41" t="s">
        <v>2073</v>
      </c>
      <c r="E250" s="18" t="s">
        <v>0</v>
      </c>
      <c r="F250" s="18"/>
      <c r="G250" s="18" t="s">
        <v>451</v>
      </c>
      <c r="H250" s="18"/>
      <c r="I250" s="30" t="s">
        <v>452</v>
      </c>
      <c r="J250" s="30" t="s">
        <v>2026</v>
      </c>
      <c r="K250" s="30" t="s">
        <v>2050</v>
      </c>
      <c r="L250" s="30" t="s">
        <v>455</v>
      </c>
      <c r="M250" s="18" t="s">
        <v>0</v>
      </c>
      <c r="N250" s="18">
        <v>0</v>
      </c>
      <c r="O250" s="18">
        <v>0</v>
      </c>
      <c r="P250" s="18">
        <v>0</v>
      </c>
      <c r="Q250" s="18">
        <v>1</v>
      </c>
      <c r="R250" s="67">
        <v>8</v>
      </c>
      <c r="S250" s="67">
        <v>119</v>
      </c>
    </row>
    <row r="251" spans="1:19" hidden="1" x14ac:dyDescent="0.2">
      <c r="A251" s="32" t="s">
        <v>2068</v>
      </c>
      <c r="B251" s="32" t="s">
        <v>449</v>
      </c>
      <c r="C251" s="33" t="s">
        <v>2069</v>
      </c>
      <c r="D251" s="33" t="s">
        <v>2090</v>
      </c>
      <c r="E251" s="32" t="s">
        <v>458</v>
      </c>
      <c r="F251" s="32" t="s">
        <v>365</v>
      </c>
      <c r="G251" s="32" t="s">
        <v>451</v>
      </c>
      <c r="H251" s="32"/>
      <c r="I251" s="30" t="s">
        <v>452</v>
      </c>
      <c r="J251" s="30" t="s">
        <v>2026</v>
      </c>
      <c r="K251" s="30" t="s">
        <v>2050</v>
      </c>
      <c r="L251" s="30" t="s">
        <v>455</v>
      </c>
      <c r="M251" s="15" t="s">
        <v>458</v>
      </c>
      <c r="N251" s="15">
        <v>0</v>
      </c>
      <c r="O251" s="15">
        <v>1</v>
      </c>
      <c r="P251" s="15">
        <v>1</v>
      </c>
      <c r="Q251" s="15">
        <v>2</v>
      </c>
      <c r="R251" s="67">
        <v>8</v>
      </c>
      <c r="S251" s="67">
        <v>120</v>
      </c>
    </row>
    <row r="252" spans="1:19" hidden="1" x14ac:dyDescent="0.2">
      <c r="A252" s="18" t="s">
        <v>2048</v>
      </c>
      <c r="B252" s="18" t="s">
        <v>449</v>
      </c>
      <c r="C252" s="41" t="s">
        <v>2049</v>
      </c>
      <c r="D252" s="41" t="s">
        <v>2098</v>
      </c>
      <c r="E252" s="18" t="s">
        <v>458</v>
      </c>
      <c r="F252" s="18" t="s">
        <v>361</v>
      </c>
      <c r="G252" s="18" t="s">
        <v>451</v>
      </c>
      <c r="H252" s="18"/>
      <c r="I252" s="30" t="s">
        <v>452</v>
      </c>
      <c r="J252" s="30" t="s">
        <v>2026</v>
      </c>
      <c r="K252" s="30" t="s">
        <v>2050</v>
      </c>
      <c r="L252" s="30" t="s">
        <v>455</v>
      </c>
      <c r="M252" s="18" t="s">
        <v>458</v>
      </c>
      <c r="N252" s="18">
        <v>0</v>
      </c>
      <c r="O252" s="18">
        <v>1</v>
      </c>
      <c r="P252" s="18">
        <v>1</v>
      </c>
      <c r="Q252" s="18">
        <v>2</v>
      </c>
      <c r="R252" s="67">
        <v>8</v>
      </c>
      <c r="S252" s="67">
        <v>121</v>
      </c>
    </row>
    <row r="253" spans="1:19" hidden="1" x14ac:dyDescent="0.2">
      <c r="A253" s="32" t="s">
        <v>2009</v>
      </c>
      <c r="B253" s="32" t="s">
        <v>449</v>
      </c>
      <c r="C253" s="33" t="s">
        <v>2010</v>
      </c>
      <c r="D253" s="33" t="s">
        <v>2383</v>
      </c>
      <c r="E253" s="32" t="s">
        <v>0</v>
      </c>
      <c r="F253" s="32"/>
      <c r="G253" s="32" t="s">
        <v>451</v>
      </c>
      <c r="H253" s="32"/>
      <c r="I253" s="30" t="s">
        <v>2011</v>
      </c>
      <c r="J253" s="30" t="s">
        <v>2012</v>
      </c>
      <c r="K253" s="30" t="s">
        <v>2013</v>
      </c>
      <c r="L253" s="30" t="s">
        <v>455</v>
      </c>
      <c r="M253" s="15" t="s">
        <v>0</v>
      </c>
      <c r="N253" s="15">
        <v>0</v>
      </c>
      <c r="O253" s="15">
        <v>0</v>
      </c>
      <c r="P253" s="15">
        <v>0</v>
      </c>
      <c r="Q253" s="15">
        <v>1</v>
      </c>
      <c r="R253" s="67">
        <v>8</v>
      </c>
      <c r="S253" s="67">
        <v>122</v>
      </c>
    </row>
    <row r="254" spans="1:19" hidden="1" x14ac:dyDescent="0.2">
      <c r="A254" s="18" t="s">
        <v>2100</v>
      </c>
      <c r="B254" s="18" t="s">
        <v>449</v>
      </c>
      <c r="C254" s="41" t="s">
        <v>2101</v>
      </c>
      <c r="D254" s="41" t="s">
        <v>2113</v>
      </c>
      <c r="E254" s="18" t="s">
        <v>0</v>
      </c>
      <c r="F254" s="18"/>
      <c r="G254" s="18" t="s">
        <v>451</v>
      </c>
      <c r="H254" s="18"/>
      <c r="I254" s="30" t="s">
        <v>2011</v>
      </c>
      <c r="J254" s="30" t="s">
        <v>2012</v>
      </c>
      <c r="K254" s="30" t="s">
        <v>2102</v>
      </c>
      <c r="L254" s="30" t="s">
        <v>455</v>
      </c>
      <c r="M254" s="18" t="s">
        <v>0</v>
      </c>
      <c r="N254" s="18">
        <v>0</v>
      </c>
      <c r="O254" s="18">
        <v>0</v>
      </c>
      <c r="P254" s="18">
        <v>0</v>
      </c>
      <c r="Q254" s="18">
        <v>1</v>
      </c>
      <c r="R254" s="67">
        <v>8</v>
      </c>
      <c r="S254" s="67">
        <v>122</v>
      </c>
    </row>
    <row r="255" spans="1:19" hidden="1" x14ac:dyDescent="0.2">
      <c r="A255" s="15" t="s">
        <v>1987</v>
      </c>
      <c r="B255" s="15" t="s">
        <v>449</v>
      </c>
      <c r="C255" s="44" t="s">
        <v>1988</v>
      </c>
      <c r="D255" s="44" t="s">
        <v>2001</v>
      </c>
      <c r="E255" s="15" t="s">
        <v>0</v>
      </c>
      <c r="F255" s="15"/>
      <c r="G255" s="15" t="s">
        <v>451</v>
      </c>
      <c r="H255" s="15"/>
      <c r="I255" s="30" t="s">
        <v>1989</v>
      </c>
      <c r="J255" s="30" t="s">
        <v>1990</v>
      </c>
      <c r="K255" s="30" t="s">
        <v>1991</v>
      </c>
      <c r="L255" s="30" t="s">
        <v>455</v>
      </c>
      <c r="M255" s="15" t="s">
        <v>0</v>
      </c>
      <c r="N255" s="15">
        <v>0</v>
      </c>
      <c r="O255" s="15">
        <v>0</v>
      </c>
      <c r="P255" s="15">
        <v>0</v>
      </c>
      <c r="Q255" s="15">
        <v>1</v>
      </c>
      <c r="R255" s="67">
        <v>8</v>
      </c>
      <c r="S255" s="67">
        <v>123</v>
      </c>
    </row>
    <row r="256" spans="1:19" hidden="1" x14ac:dyDescent="0.2">
      <c r="A256" s="10" t="s">
        <v>1997</v>
      </c>
      <c r="B256" s="10" t="s">
        <v>449</v>
      </c>
      <c r="C256" s="29" t="s">
        <v>1998</v>
      </c>
      <c r="D256" s="29" t="s">
        <v>2128</v>
      </c>
      <c r="E256" s="10" t="s">
        <v>0</v>
      </c>
      <c r="F256" s="10"/>
      <c r="G256" s="10" t="s">
        <v>451</v>
      </c>
      <c r="H256" s="10"/>
      <c r="I256" s="30" t="s">
        <v>1989</v>
      </c>
      <c r="J256" s="30" t="s">
        <v>1990</v>
      </c>
      <c r="K256" s="30" t="s">
        <v>1991</v>
      </c>
      <c r="L256" s="30" t="s">
        <v>455</v>
      </c>
      <c r="M256" s="18" t="s">
        <v>0</v>
      </c>
      <c r="N256" s="18">
        <v>0</v>
      </c>
      <c r="O256" s="18">
        <v>0</v>
      </c>
      <c r="P256" s="18">
        <v>0</v>
      </c>
      <c r="Q256" s="18">
        <v>1</v>
      </c>
      <c r="R256" s="67">
        <v>8</v>
      </c>
      <c r="S256" s="67">
        <v>123</v>
      </c>
    </row>
    <row r="257" spans="1:19" hidden="1" x14ac:dyDescent="0.2">
      <c r="A257" s="32" t="s">
        <v>2003</v>
      </c>
      <c r="B257" s="32" t="s">
        <v>449</v>
      </c>
      <c r="C257" s="33" t="s">
        <v>2004</v>
      </c>
      <c r="D257" s="33" t="s">
        <v>2123</v>
      </c>
      <c r="E257" s="32" t="s">
        <v>0</v>
      </c>
      <c r="F257" s="32"/>
      <c r="G257" s="32" t="s">
        <v>451</v>
      </c>
      <c r="H257" s="32" t="s">
        <v>2005</v>
      </c>
      <c r="I257" s="30" t="s">
        <v>1989</v>
      </c>
      <c r="J257" s="30" t="s">
        <v>1990</v>
      </c>
      <c r="K257" s="30" t="s">
        <v>1991</v>
      </c>
      <c r="L257" s="30" t="s">
        <v>455</v>
      </c>
      <c r="M257" s="15" t="s">
        <v>0</v>
      </c>
      <c r="N257" s="15">
        <v>0</v>
      </c>
      <c r="O257" s="15">
        <v>0</v>
      </c>
      <c r="P257" s="15">
        <v>0</v>
      </c>
      <c r="Q257" s="15">
        <v>1</v>
      </c>
      <c r="R257" s="67">
        <v>8</v>
      </c>
      <c r="S257" s="67">
        <v>123</v>
      </c>
    </row>
    <row r="258" spans="1:19" hidden="1" x14ac:dyDescent="0.2">
      <c r="A258" s="18" t="s">
        <v>1908</v>
      </c>
      <c r="B258" s="18" t="s">
        <v>449</v>
      </c>
      <c r="C258" s="41" t="s">
        <v>1909</v>
      </c>
      <c r="D258" s="41" t="s">
        <v>406</v>
      </c>
      <c r="E258" s="18" t="s">
        <v>0</v>
      </c>
      <c r="F258" s="18"/>
      <c r="G258" s="18" t="s">
        <v>451</v>
      </c>
      <c r="H258" s="18"/>
      <c r="I258" s="30" t="s">
        <v>1498</v>
      </c>
      <c r="J258" s="30" t="s">
        <v>1910</v>
      </c>
      <c r="K258" s="30" t="s">
        <v>1911</v>
      </c>
      <c r="L258" s="30" t="s">
        <v>455</v>
      </c>
      <c r="M258" s="18" t="s">
        <v>0</v>
      </c>
      <c r="N258" s="18">
        <v>0</v>
      </c>
      <c r="O258" s="18">
        <v>0</v>
      </c>
      <c r="P258" s="18">
        <v>0</v>
      </c>
      <c r="Q258" s="18">
        <v>1</v>
      </c>
      <c r="R258" s="67">
        <v>8</v>
      </c>
      <c r="S258" s="67">
        <v>124</v>
      </c>
    </row>
    <row r="259" spans="1:19" hidden="1" x14ac:dyDescent="0.2">
      <c r="A259" s="10" t="s">
        <v>1922</v>
      </c>
      <c r="B259" s="10" t="s">
        <v>449</v>
      </c>
      <c r="C259" s="29" t="s">
        <v>1923</v>
      </c>
      <c r="D259" s="29" t="s">
        <v>2384</v>
      </c>
      <c r="E259" s="10" t="s">
        <v>0</v>
      </c>
      <c r="F259" s="10"/>
      <c r="G259" s="10" t="s">
        <v>451</v>
      </c>
      <c r="H259" s="10"/>
      <c r="I259" s="30" t="s">
        <v>2380</v>
      </c>
      <c r="J259" s="30" t="s">
        <v>1924</v>
      </c>
      <c r="K259" s="30" t="s">
        <v>1925</v>
      </c>
      <c r="L259" s="30" t="s">
        <v>455</v>
      </c>
      <c r="M259" s="18" t="s">
        <v>0</v>
      </c>
      <c r="N259" s="18">
        <v>0</v>
      </c>
      <c r="O259" s="18">
        <v>0</v>
      </c>
      <c r="P259" s="18">
        <v>0</v>
      </c>
      <c r="Q259" s="18">
        <v>1</v>
      </c>
      <c r="R259" s="67">
        <v>8</v>
      </c>
      <c r="S259" s="67">
        <v>124</v>
      </c>
    </row>
    <row r="260" spans="1:19" hidden="1" x14ac:dyDescent="0.2">
      <c r="A260" s="10" t="s">
        <v>1895</v>
      </c>
      <c r="B260" s="10" t="s">
        <v>449</v>
      </c>
      <c r="C260" s="29" t="s">
        <v>1896</v>
      </c>
      <c r="D260" s="29" t="s">
        <v>2139</v>
      </c>
      <c r="E260" s="10" t="s">
        <v>0</v>
      </c>
      <c r="F260" s="10"/>
      <c r="G260" s="10" t="s">
        <v>451</v>
      </c>
      <c r="H260" s="10"/>
      <c r="I260" s="30" t="s">
        <v>452</v>
      </c>
      <c r="J260" s="30" t="s">
        <v>453</v>
      </c>
      <c r="K260" s="30" t="s">
        <v>1897</v>
      </c>
      <c r="L260" s="30" t="s">
        <v>455</v>
      </c>
      <c r="M260" s="18" t="s">
        <v>0</v>
      </c>
      <c r="N260" s="18">
        <v>0</v>
      </c>
      <c r="O260" s="18">
        <v>0</v>
      </c>
      <c r="P260" s="18">
        <v>0</v>
      </c>
      <c r="Q260" s="18">
        <v>1</v>
      </c>
      <c r="R260" s="67">
        <v>8</v>
      </c>
      <c r="S260" s="67">
        <v>125</v>
      </c>
    </row>
    <row r="261" spans="1:19" hidden="1" x14ac:dyDescent="0.2">
      <c r="A261" s="32" t="s">
        <v>1901</v>
      </c>
      <c r="B261" s="32" t="s">
        <v>449</v>
      </c>
      <c r="C261" s="33" t="s">
        <v>1902</v>
      </c>
      <c r="D261" s="33" t="s">
        <v>2151</v>
      </c>
      <c r="E261" s="32" t="s">
        <v>0</v>
      </c>
      <c r="F261" s="32"/>
      <c r="G261" s="32" t="s">
        <v>451</v>
      </c>
      <c r="H261" s="32"/>
      <c r="I261" s="30" t="s">
        <v>1498</v>
      </c>
      <c r="J261" s="30" t="s">
        <v>1903</v>
      </c>
      <c r="K261" s="30" t="s">
        <v>1620</v>
      </c>
      <c r="L261" s="30" t="s">
        <v>455</v>
      </c>
      <c r="M261" s="15" t="s">
        <v>0</v>
      </c>
      <c r="N261" s="15">
        <v>0</v>
      </c>
      <c r="O261" s="15">
        <v>0</v>
      </c>
      <c r="P261" s="15">
        <v>0</v>
      </c>
      <c r="Q261" s="15">
        <v>1</v>
      </c>
      <c r="R261" s="67">
        <v>8</v>
      </c>
      <c r="S261" s="67">
        <v>125</v>
      </c>
    </row>
    <row r="262" spans="1:19" hidden="1" x14ac:dyDescent="0.2">
      <c r="A262" s="10" t="s">
        <v>1963</v>
      </c>
      <c r="B262" s="10" t="s">
        <v>449</v>
      </c>
      <c r="C262" s="29" t="s">
        <v>1580</v>
      </c>
      <c r="D262" s="29" t="s">
        <v>1581</v>
      </c>
      <c r="E262" s="10" t="s">
        <v>0</v>
      </c>
      <c r="F262" s="10"/>
      <c r="G262" s="10" t="s">
        <v>451</v>
      </c>
      <c r="H262" s="10"/>
      <c r="I262" s="30" t="s">
        <v>1498</v>
      </c>
      <c r="J262" s="30" t="s">
        <v>1697</v>
      </c>
      <c r="K262" s="30" t="s">
        <v>1508</v>
      </c>
      <c r="L262" s="30" t="s">
        <v>455</v>
      </c>
      <c r="M262" s="18" t="s">
        <v>0</v>
      </c>
      <c r="N262" s="18">
        <v>0</v>
      </c>
      <c r="O262" s="18">
        <v>0</v>
      </c>
      <c r="P262" s="18">
        <v>0</v>
      </c>
      <c r="Q262" s="18">
        <v>1</v>
      </c>
      <c r="R262" s="67">
        <v>8</v>
      </c>
      <c r="S262" s="67">
        <v>126</v>
      </c>
    </row>
    <row r="263" spans="1:19" hidden="1" x14ac:dyDescent="0.2">
      <c r="A263" s="10" t="s">
        <v>1972</v>
      </c>
      <c r="B263" s="10" t="s">
        <v>449</v>
      </c>
      <c r="C263" s="29" t="s">
        <v>1574</v>
      </c>
      <c r="D263" s="29" t="s">
        <v>1575</v>
      </c>
      <c r="E263" s="10" t="s">
        <v>0</v>
      </c>
      <c r="F263" s="10"/>
      <c r="G263" s="10" t="s">
        <v>451</v>
      </c>
      <c r="H263" s="10"/>
      <c r="I263" s="30" t="s">
        <v>1498</v>
      </c>
      <c r="J263" s="30" t="s">
        <v>1697</v>
      </c>
      <c r="K263" s="30" t="s">
        <v>1527</v>
      </c>
      <c r="L263" s="30" t="s">
        <v>455</v>
      </c>
      <c r="M263" s="18" t="s">
        <v>0</v>
      </c>
      <c r="N263" s="18">
        <v>0</v>
      </c>
      <c r="O263" s="18">
        <v>0</v>
      </c>
      <c r="P263" s="18">
        <v>0</v>
      </c>
      <c r="Q263" s="18">
        <v>1</v>
      </c>
      <c r="R263" s="67">
        <v>8</v>
      </c>
      <c r="S263" s="67">
        <v>126</v>
      </c>
    </row>
    <row r="264" spans="1:19" hidden="1" x14ac:dyDescent="0.2">
      <c r="A264" s="32" t="s">
        <v>1967</v>
      </c>
      <c r="B264" s="32" t="s">
        <v>449</v>
      </c>
      <c r="C264" s="33" t="s">
        <v>1594</v>
      </c>
      <c r="D264" s="33" t="s">
        <v>1595</v>
      </c>
      <c r="E264" s="32" t="s">
        <v>0</v>
      </c>
      <c r="F264" s="32"/>
      <c r="G264" s="32" t="s">
        <v>451</v>
      </c>
      <c r="H264" s="32"/>
      <c r="I264" s="30" t="s">
        <v>1498</v>
      </c>
      <c r="J264" s="30" t="s">
        <v>1697</v>
      </c>
      <c r="K264" s="30" t="s">
        <v>1527</v>
      </c>
      <c r="L264" s="30" t="s">
        <v>455</v>
      </c>
      <c r="M264" s="15" t="s">
        <v>0</v>
      </c>
      <c r="N264" s="15">
        <v>0</v>
      </c>
      <c r="O264" s="15">
        <v>0</v>
      </c>
      <c r="P264" s="15">
        <v>0</v>
      </c>
      <c r="Q264" s="15">
        <v>1</v>
      </c>
      <c r="R264" s="67">
        <v>8</v>
      </c>
      <c r="S264" s="67">
        <v>127</v>
      </c>
    </row>
    <row r="265" spans="1:19" hidden="1" x14ac:dyDescent="0.2">
      <c r="A265" s="53" t="s">
        <v>2298</v>
      </c>
      <c r="B265" s="47" t="s">
        <v>449</v>
      </c>
      <c r="C265" s="54" t="s">
        <v>2245</v>
      </c>
      <c r="D265" s="54" t="s">
        <v>2246</v>
      </c>
      <c r="E265" s="53" t="s">
        <v>0</v>
      </c>
      <c r="F265" s="53"/>
      <c r="G265" s="53" t="s">
        <v>1137</v>
      </c>
      <c r="H265" s="53"/>
      <c r="I265" s="45" t="s">
        <v>452</v>
      </c>
      <c r="J265" s="45" t="s">
        <v>453</v>
      </c>
      <c r="K265" s="45" t="s">
        <v>959</v>
      </c>
      <c r="L265" s="45" t="s">
        <v>455</v>
      </c>
      <c r="M265" s="47" t="s">
        <v>0</v>
      </c>
      <c r="N265" s="47">
        <v>0</v>
      </c>
      <c r="O265" s="47">
        <v>0</v>
      </c>
      <c r="P265" s="47">
        <v>0</v>
      </c>
      <c r="Q265" s="47">
        <v>1</v>
      </c>
      <c r="R265" s="45" t="s">
        <v>2361</v>
      </c>
      <c r="S265" s="70">
        <v>55</v>
      </c>
    </row>
    <row r="266" spans="1:19" hidden="1" x14ac:dyDescent="0.2">
      <c r="A266" s="51" t="s">
        <v>2183</v>
      </c>
      <c r="B266" s="51" t="s">
        <v>449</v>
      </c>
      <c r="C266" s="52" t="s">
        <v>2184</v>
      </c>
      <c r="D266" s="52" t="s">
        <v>2204</v>
      </c>
      <c r="E266" s="51" t="s">
        <v>458</v>
      </c>
      <c r="F266" s="51" t="s">
        <v>2185</v>
      </c>
      <c r="G266" s="51" t="s">
        <v>1137</v>
      </c>
      <c r="H266" s="51"/>
      <c r="I266" s="45" t="s">
        <v>452</v>
      </c>
      <c r="J266" s="45" t="s">
        <v>453</v>
      </c>
      <c r="K266" s="45" t="s">
        <v>959</v>
      </c>
      <c r="L266" s="45" t="s">
        <v>455</v>
      </c>
      <c r="M266" s="45" t="s">
        <v>458</v>
      </c>
      <c r="N266" s="45">
        <v>0</v>
      </c>
      <c r="O266" s="45">
        <v>1</v>
      </c>
      <c r="P266" s="45">
        <v>1</v>
      </c>
      <c r="Q266" s="45">
        <v>2</v>
      </c>
      <c r="R266" s="45" t="s">
        <v>2361</v>
      </c>
      <c r="S266" s="45">
        <v>77</v>
      </c>
    </row>
    <row r="267" spans="1:19" hidden="1" x14ac:dyDescent="0.2">
      <c r="A267" s="51" t="s">
        <v>2152</v>
      </c>
      <c r="B267" s="51" t="s">
        <v>449</v>
      </c>
      <c r="C267" s="52" t="s">
        <v>2153</v>
      </c>
      <c r="D267" s="52" t="s">
        <v>2250</v>
      </c>
      <c r="E267" s="51" t="s">
        <v>0</v>
      </c>
      <c r="F267" s="51"/>
      <c r="G267" s="51" t="s">
        <v>1137</v>
      </c>
      <c r="H267" s="51"/>
      <c r="I267" s="45" t="s">
        <v>452</v>
      </c>
      <c r="J267" s="45" t="s">
        <v>453</v>
      </c>
      <c r="K267" s="45" t="s">
        <v>692</v>
      </c>
      <c r="L267" s="45" t="s">
        <v>455</v>
      </c>
      <c r="M267" s="45" t="s">
        <v>0</v>
      </c>
      <c r="N267" s="45">
        <v>0</v>
      </c>
      <c r="O267" s="45">
        <v>0</v>
      </c>
      <c r="P267" s="45">
        <v>0</v>
      </c>
      <c r="Q267" s="45">
        <v>1</v>
      </c>
      <c r="R267" s="45" t="s">
        <v>2361</v>
      </c>
      <c r="S267" s="45">
        <v>78</v>
      </c>
    </row>
    <row r="268" spans="1:19" x14ac:dyDescent="0.2">
      <c r="A268" s="53" t="s">
        <v>2313</v>
      </c>
      <c r="B268" s="53" t="s">
        <v>449</v>
      </c>
      <c r="C268" s="54" t="s">
        <v>2254</v>
      </c>
      <c r="D268" s="54" t="s">
        <v>2255</v>
      </c>
      <c r="E268" s="53" t="s">
        <v>0</v>
      </c>
      <c r="F268" s="53"/>
      <c r="G268" s="53" t="s">
        <v>1137</v>
      </c>
      <c r="H268" s="53"/>
      <c r="I268" s="45" t="s">
        <v>452</v>
      </c>
      <c r="J268" s="45" t="s">
        <v>453</v>
      </c>
      <c r="K268" s="45" t="s">
        <v>751</v>
      </c>
      <c r="L268" s="45" t="s">
        <v>455</v>
      </c>
      <c r="M268" s="47" t="s">
        <v>0</v>
      </c>
      <c r="N268" s="47">
        <v>0</v>
      </c>
      <c r="O268" s="47">
        <v>0</v>
      </c>
      <c r="P268" s="47">
        <v>0</v>
      </c>
      <c r="Q268" s="47">
        <v>1</v>
      </c>
      <c r="R268" s="45" t="s">
        <v>2361</v>
      </c>
      <c r="S268" s="47">
        <v>78</v>
      </c>
    </row>
    <row r="269" spans="1:19" hidden="1" x14ac:dyDescent="0.2">
      <c r="A269" s="47" t="s">
        <v>2118</v>
      </c>
      <c r="B269" s="47" t="s">
        <v>449</v>
      </c>
      <c r="C269" s="48" t="s">
        <v>2119</v>
      </c>
      <c r="D269" s="48" t="s">
        <v>2222</v>
      </c>
      <c r="E269" s="47" t="s">
        <v>0</v>
      </c>
      <c r="F269" s="47"/>
      <c r="G269" s="47" t="s">
        <v>1137</v>
      </c>
      <c r="H269" s="47"/>
      <c r="I269" s="45" t="s">
        <v>1498</v>
      </c>
      <c r="J269" s="45" t="s">
        <v>1951</v>
      </c>
      <c r="K269" s="45" t="s">
        <v>1952</v>
      </c>
      <c r="L269" s="45" t="s">
        <v>455</v>
      </c>
      <c r="M269" s="47" t="s">
        <v>0</v>
      </c>
      <c r="N269" s="47">
        <v>0</v>
      </c>
      <c r="O269" s="47">
        <v>0</v>
      </c>
      <c r="P269" s="47">
        <v>0</v>
      </c>
      <c r="Q269" s="47">
        <v>1</v>
      </c>
      <c r="R269" s="45" t="s">
        <v>2361</v>
      </c>
      <c r="S269" s="47">
        <v>92</v>
      </c>
    </row>
    <row r="270" spans="1:19" hidden="1" x14ac:dyDescent="0.2">
      <c r="A270" s="45" t="s">
        <v>2129</v>
      </c>
      <c r="B270" s="45" t="s">
        <v>449</v>
      </c>
      <c r="C270" s="49" t="s">
        <v>2130</v>
      </c>
      <c r="D270" s="49" t="s">
        <v>2264</v>
      </c>
      <c r="E270" s="45" t="s">
        <v>0</v>
      </c>
      <c r="F270" s="45"/>
      <c r="G270" s="45" t="s">
        <v>1137</v>
      </c>
      <c r="H270" s="45"/>
      <c r="I270" s="45" t="s">
        <v>1498</v>
      </c>
      <c r="J270" s="45" t="s">
        <v>1938</v>
      </c>
      <c r="K270" s="45" t="s">
        <v>2131</v>
      </c>
      <c r="L270" s="45" t="s">
        <v>455</v>
      </c>
      <c r="M270" s="45" t="s">
        <v>0</v>
      </c>
      <c r="N270" s="45">
        <v>0</v>
      </c>
      <c r="O270" s="45">
        <v>0</v>
      </c>
      <c r="P270" s="45">
        <v>0</v>
      </c>
      <c r="Q270" s="45">
        <v>1</v>
      </c>
      <c r="R270" s="45" t="s">
        <v>2361</v>
      </c>
      <c r="S270" s="45">
        <v>92</v>
      </c>
    </row>
    <row r="271" spans="1:19" hidden="1" x14ac:dyDescent="0.2">
      <c r="A271" s="45" t="s">
        <v>2147</v>
      </c>
      <c r="B271" s="45" t="s">
        <v>449</v>
      </c>
      <c r="C271" s="49" t="s">
        <v>2148</v>
      </c>
      <c r="D271" s="49" t="s">
        <v>2209</v>
      </c>
      <c r="E271" s="45" t="s">
        <v>458</v>
      </c>
      <c r="F271" s="45" t="s">
        <v>375</v>
      </c>
      <c r="G271" s="45" t="s">
        <v>1137</v>
      </c>
      <c r="H271" s="45"/>
      <c r="I271" s="45" t="s">
        <v>1498</v>
      </c>
      <c r="J271" s="45" t="s">
        <v>1515</v>
      </c>
      <c r="K271" s="45" t="s">
        <v>1508</v>
      </c>
      <c r="L271" s="45" t="s">
        <v>455</v>
      </c>
      <c r="M271" s="45" t="s">
        <v>458</v>
      </c>
      <c r="N271" s="45">
        <v>1</v>
      </c>
      <c r="O271" s="45">
        <v>1</v>
      </c>
      <c r="P271" s="45">
        <v>2</v>
      </c>
      <c r="Q271" s="45">
        <v>3</v>
      </c>
      <c r="R271" s="45" t="s">
        <v>2361</v>
      </c>
      <c r="S271" s="45">
        <v>93</v>
      </c>
    </row>
    <row r="272" spans="1:19" hidden="1" x14ac:dyDescent="0.2">
      <c r="A272" s="53" t="s">
        <v>2290</v>
      </c>
      <c r="B272" s="53" t="s">
        <v>449</v>
      </c>
      <c r="C272" s="54" t="s">
        <v>2226</v>
      </c>
      <c r="D272" s="54" t="s">
        <v>2227</v>
      </c>
      <c r="E272" s="53" t="s">
        <v>0</v>
      </c>
      <c r="F272" s="53"/>
      <c r="G272" s="53" t="s">
        <v>1137</v>
      </c>
      <c r="H272" s="53"/>
      <c r="I272" s="45" t="s">
        <v>1498</v>
      </c>
      <c r="J272" s="45" t="s">
        <v>1627</v>
      </c>
      <c r="K272" s="45" t="s">
        <v>1628</v>
      </c>
      <c r="L272" s="45" t="s">
        <v>455</v>
      </c>
      <c r="M272" s="47" t="s">
        <v>0</v>
      </c>
      <c r="N272" s="47">
        <v>0</v>
      </c>
      <c r="O272" s="47">
        <v>0</v>
      </c>
      <c r="P272" s="47">
        <v>0</v>
      </c>
      <c r="Q272" s="47">
        <v>1</v>
      </c>
      <c r="R272" s="45" t="s">
        <v>2361</v>
      </c>
      <c r="S272" s="47">
        <v>135</v>
      </c>
    </row>
  </sheetData>
  <autoFilter ref="A1:S272" xr:uid="{805FF7C5-848B-4248-9AD5-1EDD00DD5A07}">
    <filterColumn colId="10">
      <filters>
        <filter val="LA Thuy My Hao"/>
      </filters>
    </filterColumn>
    <sortState xmlns:xlrd2="http://schemas.microsoft.com/office/spreadsheetml/2017/richdata2" ref="A42:S268">
      <sortCondition ref="S1:S272"/>
    </sortState>
  </autoFilter>
  <conditionalFormatting sqref="A1:A272">
    <cfRule type="duplicateValues" dxfId="9" priority="3"/>
    <cfRule type="duplicateValues" dxfId="8" priority="4"/>
  </conditionalFormatting>
  <conditionalFormatting sqref="Z1:Z3 Z133:Z1048576">
    <cfRule type="cellIs" dxfId="7" priority="2" operator="equal">
      <formula>3</formula>
    </cfRule>
  </conditionalFormatting>
  <conditionalFormatting sqref="AC1:AC1048576">
    <cfRule type="cellIs" dxfId="6" priority="1" operator="greaterThan">
      <formula>2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0499F5-42A9-45F3-9650-4E1D4202D044}">
  <dimension ref="A1:AP288"/>
  <sheetViews>
    <sheetView zoomScale="85" zoomScaleNormal="100" workbookViewId="0">
      <selection activeCell="P10" sqref="P10"/>
    </sheetView>
  </sheetViews>
  <sheetFormatPr baseColWidth="10" defaultColWidth="8.83203125" defaultRowHeight="15" x14ac:dyDescent="0.2"/>
  <cols>
    <col min="1" max="1" width="47.1640625" bestFit="1" customWidth="1"/>
    <col min="2" max="2" width="19.5" bestFit="1" customWidth="1"/>
    <col min="3" max="3" width="29.5" bestFit="1" customWidth="1"/>
    <col min="4" max="4" width="34.5" bestFit="1" customWidth="1"/>
    <col min="5" max="6" width="33.33203125" bestFit="1" customWidth="1"/>
    <col min="7" max="8" width="13.5" bestFit="1" customWidth="1"/>
    <col min="9" max="9" width="15.5" bestFit="1" customWidth="1"/>
    <col min="10" max="11" width="9.5" customWidth="1"/>
    <col min="12" max="13" width="11.5" customWidth="1"/>
    <col min="16" max="16" width="10" bestFit="1" customWidth="1"/>
    <col min="17" max="17" width="12.6640625" bestFit="1" customWidth="1"/>
    <col min="18" max="18" width="73.6640625" bestFit="1" customWidth="1"/>
    <col min="19" max="19" width="25.6640625" bestFit="1" customWidth="1"/>
    <col min="20" max="20" width="22.5" customWidth="1"/>
    <col min="31" max="31" width="41" bestFit="1" customWidth="1"/>
    <col min="32" max="32" width="29.83203125" bestFit="1" customWidth="1"/>
    <col min="33" max="33" width="12.1640625" bestFit="1" customWidth="1"/>
    <col min="34" max="34" width="32.1640625" bestFit="1" customWidth="1"/>
    <col min="35" max="35" width="30.33203125" bestFit="1" customWidth="1"/>
    <col min="36" max="36" width="29.83203125" bestFit="1" customWidth="1"/>
    <col min="37" max="37" width="38.33203125" bestFit="1" customWidth="1"/>
    <col min="38" max="38" width="33.33203125" bestFit="1" customWidth="1"/>
    <col min="39" max="39" width="12.83203125" bestFit="1" customWidth="1"/>
    <col min="40" max="40" width="13.1640625" bestFit="1" customWidth="1"/>
    <col min="41" max="41" width="13.33203125" bestFit="1" customWidth="1"/>
    <col min="42" max="42" width="14.6640625" bestFit="1" customWidth="1"/>
  </cols>
  <sheetData>
    <row r="1" spans="1:42" x14ac:dyDescent="0.2">
      <c r="A1" s="9" t="s">
        <v>418</v>
      </c>
      <c r="B1" t="s">
        <v>449</v>
      </c>
      <c r="O1" t="s">
        <v>2391</v>
      </c>
      <c r="Q1" t="s">
        <v>2392</v>
      </c>
      <c r="AE1" s="9" t="s">
        <v>418</v>
      </c>
      <c r="AF1" t="s">
        <v>449</v>
      </c>
    </row>
    <row r="2" spans="1:42" x14ac:dyDescent="0.2">
      <c r="O2" t="s">
        <v>2393</v>
      </c>
    </row>
    <row r="3" spans="1:42" x14ac:dyDescent="0.2">
      <c r="A3" s="9" t="s">
        <v>423</v>
      </c>
      <c r="B3" s="9" t="s">
        <v>434</v>
      </c>
      <c r="C3" s="9" t="s">
        <v>425</v>
      </c>
      <c r="D3" s="9" t="s">
        <v>426</v>
      </c>
      <c r="E3" s="9" t="s">
        <v>427</v>
      </c>
      <c r="F3" s="9" t="s">
        <v>417</v>
      </c>
      <c r="G3" t="s">
        <v>2394</v>
      </c>
      <c r="H3" t="s">
        <v>2395</v>
      </c>
      <c r="I3" t="s">
        <v>2350</v>
      </c>
      <c r="J3" t="s">
        <v>434</v>
      </c>
      <c r="K3" t="s">
        <v>2396</v>
      </c>
      <c r="L3" t="s">
        <v>429</v>
      </c>
      <c r="O3" t="s">
        <v>4</v>
      </c>
      <c r="P3" t="s">
        <v>2397</v>
      </c>
      <c r="Q3" t="s">
        <v>2398</v>
      </c>
      <c r="R3" t="s">
        <v>438</v>
      </c>
      <c r="S3" t="s">
        <v>2399</v>
      </c>
      <c r="T3" t="s">
        <v>2400</v>
      </c>
      <c r="V3" t="s">
        <v>399</v>
      </c>
      <c r="W3">
        <v>902891404</v>
      </c>
      <c r="AE3" s="9" t="s">
        <v>6</v>
      </c>
      <c r="AF3" s="9" t="s">
        <v>429</v>
      </c>
      <c r="AG3" s="9" t="s">
        <v>435</v>
      </c>
      <c r="AH3" s="9" t="s">
        <v>425</v>
      </c>
      <c r="AI3" s="9" t="s">
        <v>426</v>
      </c>
      <c r="AJ3" s="9" t="s">
        <v>427</v>
      </c>
      <c r="AK3" s="9" t="s">
        <v>1</v>
      </c>
      <c r="AL3" s="9" t="s">
        <v>417</v>
      </c>
      <c r="AM3" t="s">
        <v>2394</v>
      </c>
      <c r="AN3" t="s">
        <v>2395</v>
      </c>
      <c r="AO3" t="s">
        <v>2349</v>
      </c>
      <c r="AP3" t="s">
        <v>2350</v>
      </c>
    </row>
    <row r="4" spans="1:42" x14ac:dyDescent="0.2">
      <c r="A4" t="s">
        <v>1137</v>
      </c>
      <c r="B4" t="s">
        <v>2366</v>
      </c>
      <c r="G4" s="12">
        <v>1</v>
      </c>
      <c r="H4" s="12">
        <v>2</v>
      </c>
      <c r="I4" s="12">
        <v>13</v>
      </c>
      <c r="L4">
        <f t="shared" ref="L4:L67" si="0">IF(E4="",0,IF(I4=1,0.5,1))</f>
        <v>0</v>
      </c>
      <c r="N4" s="5"/>
      <c r="O4" s="5">
        <v>1</v>
      </c>
      <c r="P4" s="5">
        <f>SUMIFS(I:I,B:B,Table5[[#This Row],[Bus]])</f>
        <v>38</v>
      </c>
      <c r="Q4" s="5">
        <f>45-Table5[[#This Row],[Current]]</f>
        <v>7</v>
      </c>
      <c r="R4" t="s">
        <v>2401</v>
      </c>
      <c r="S4" t="s">
        <v>399</v>
      </c>
      <c r="U4">
        <v>1</v>
      </c>
      <c r="V4" t="s">
        <v>62</v>
      </c>
      <c r="W4" t="s">
        <v>399</v>
      </c>
      <c r="X4">
        <v>902891404</v>
      </c>
      <c r="AE4" t="s">
        <v>456</v>
      </c>
      <c r="AF4" t="s">
        <v>0</v>
      </c>
      <c r="AG4">
        <v>1</v>
      </c>
      <c r="AH4" t="s">
        <v>452</v>
      </c>
      <c r="AI4" t="s">
        <v>453</v>
      </c>
      <c r="AJ4" t="s">
        <v>468</v>
      </c>
      <c r="AK4" t="s">
        <v>12</v>
      </c>
      <c r="AL4" t="s">
        <v>467</v>
      </c>
      <c r="AM4">
        <v>0</v>
      </c>
      <c r="AN4">
        <v>0</v>
      </c>
      <c r="AO4">
        <v>0</v>
      </c>
      <c r="AP4">
        <v>1</v>
      </c>
    </row>
    <row r="5" spans="1:42" x14ac:dyDescent="0.2">
      <c r="A5" t="s">
        <v>2402</v>
      </c>
      <c r="G5" s="12">
        <v>1</v>
      </c>
      <c r="H5" s="12">
        <v>2</v>
      </c>
      <c r="I5" s="12">
        <v>13</v>
      </c>
      <c r="L5">
        <f t="shared" si="0"/>
        <v>0</v>
      </c>
      <c r="N5" s="5"/>
      <c r="O5" s="22">
        <v>2</v>
      </c>
      <c r="P5" s="22">
        <f>SUMIFS(I:I,B:B,Table5[[#This Row],[Bus]])</f>
        <v>37</v>
      </c>
      <c r="Q5" s="22">
        <f>45-Table5[[#This Row],[Current]]</f>
        <v>8</v>
      </c>
      <c r="R5" s="22" t="s">
        <v>2403</v>
      </c>
      <c r="S5" t="s">
        <v>401</v>
      </c>
      <c r="U5">
        <v>2</v>
      </c>
      <c r="V5" t="s">
        <v>121</v>
      </c>
      <c r="W5" t="s">
        <v>401</v>
      </c>
      <c r="X5">
        <v>375225989</v>
      </c>
      <c r="AE5" t="s">
        <v>456</v>
      </c>
      <c r="AF5" t="s">
        <v>0</v>
      </c>
      <c r="AG5">
        <v>1</v>
      </c>
      <c r="AH5" t="s">
        <v>452</v>
      </c>
      <c r="AI5" t="s">
        <v>453</v>
      </c>
      <c r="AJ5" t="s">
        <v>959</v>
      </c>
      <c r="AK5" t="s">
        <v>144</v>
      </c>
      <c r="AL5" t="s">
        <v>988</v>
      </c>
      <c r="AM5">
        <v>0</v>
      </c>
      <c r="AN5">
        <v>0</v>
      </c>
      <c r="AO5">
        <v>0</v>
      </c>
      <c r="AP5">
        <v>1</v>
      </c>
    </row>
    <row r="6" spans="1:42" x14ac:dyDescent="0.2">
      <c r="A6" t="s">
        <v>451</v>
      </c>
      <c r="B6">
        <v>1</v>
      </c>
      <c r="G6" s="12">
        <v>1</v>
      </c>
      <c r="H6" s="12">
        <v>1</v>
      </c>
      <c r="I6" s="12">
        <v>38</v>
      </c>
      <c r="L6">
        <f t="shared" si="0"/>
        <v>0</v>
      </c>
      <c r="N6" s="5"/>
      <c r="O6">
        <v>3</v>
      </c>
      <c r="P6">
        <f>SUMIFS(I:I,B:B,Table5[[#This Row],[Bus]])</f>
        <v>38</v>
      </c>
      <c r="Q6">
        <f>45-Table5[[#This Row],[Current]]</f>
        <v>7</v>
      </c>
      <c r="R6" t="s">
        <v>2404</v>
      </c>
      <c r="S6" t="s">
        <v>2405</v>
      </c>
      <c r="U6">
        <v>3</v>
      </c>
      <c r="V6" t="s">
        <v>162</v>
      </c>
      <c r="W6" t="s">
        <v>403</v>
      </c>
      <c r="X6">
        <v>397459642</v>
      </c>
      <c r="AE6" t="s">
        <v>456</v>
      </c>
      <c r="AF6" t="s">
        <v>0</v>
      </c>
      <c r="AG6">
        <v>2</v>
      </c>
      <c r="AH6" t="s">
        <v>452</v>
      </c>
      <c r="AI6" t="s">
        <v>453</v>
      </c>
      <c r="AJ6" t="s">
        <v>468</v>
      </c>
      <c r="AK6" t="s">
        <v>15</v>
      </c>
      <c r="AL6" t="s">
        <v>475</v>
      </c>
      <c r="AM6">
        <v>0</v>
      </c>
      <c r="AN6">
        <v>0</v>
      </c>
      <c r="AO6">
        <v>0</v>
      </c>
      <c r="AP6">
        <v>1</v>
      </c>
    </row>
    <row r="7" spans="1:42" x14ac:dyDescent="0.2">
      <c r="A7" t="s">
        <v>451</v>
      </c>
      <c r="B7">
        <v>2</v>
      </c>
      <c r="G7" s="12">
        <v>0</v>
      </c>
      <c r="H7" s="12">
        <v>0</v>
      </c>
      <c r="I7" s="12">
        <v>37</v>
      </c>
      <c r="L7">
        <f t="shared" si="0"/>
        <v>0</v>
      </c>
      <c r="N7" s="5"/>
      <c r="O7">
        <v>4</v>
      </c>
      <c r="P7">
        <f>SUMIFS(I:I,B:B,Table5[[#This Row],[Bus]])</f>
        <v>37</v>
      </c>
      <c r="Q7">
        <f>45-Table5[[#This Row],[Current]]</f>
        <v>8</v>
      </c>
      <c r="R7" t="s">
        <v>2406</v>
      </c>
      <c r="S7" t="s">
        <v>2407</v>
      </c>
      <c r="U7">
        <v>4</v>
      </c>
      <c r="V7" t="s">
        <v>187</v>
      </c>
      <c r="W7" t="s">
        <v>405</v>
      </c>
      <c r="X7">
        <v>945745944</v>
      </c>
      <c r="AE7" t="s">
        <v>456</v>
      </c>
      <c r="AF7" t="s">
        <v>0</v>
      </c>
      <c r="AG7">
        <v>2</v>
      </c>
      <c r="AH7" t="s">
        <v>452</v>
      </c>
      <c r="AI7" t="s">
        <v>453</v>
      </c>
      <c r="AJ7" t="s">
        <v>468</v>
      </c>
      <c r="AK7" t="s">
        <v>17</v>
      </c>
      <c r="AL7" t="s">
        <v>480</v>
      </c>
      <c r="AM7">
        <v>0</v>
      </c>
      <c r="AN7">
        <v>0</v>
      </c>
      <c r="AO7">
        <v>0</v>
      </c>
      <c r="AP7">
        <v>1</v>
      </c>
    </row>
    <row r="8" spans="1:42" x14ac:dyDescent="0.2">
      <c r="A8" t="s">
        <v>451</v>
      </c>
      <c r="B8">
        <v>3</v>
      </c>
      <c r="G8" s="12">
        <v>5</v>
      </c>
      <c r="H8" s="12">
        <v>6</v>
      </c>
      <c r="I8" s="12">
        <v>38</v>
      </c>
      <c r="L8">
        <f t="shared" si="0"/>
        <v>0</v>
      </c>
      <c r="N8" s="5"/>
      <c r="O8">
        <v>5</v>
      </c>
      <c r="P8">
        <f>SUMIFS(I:I,B:B,Table5[[#This Row],[Bus]])</f>
        <v>31</v>
      </c>
      <c r="Q8">
        <f>45-Table5[[#This Row],[Current]]</f>
        <v>14</v>
      </c>
      <c r="R8" t="s">
        <v>2408</v>
      </c>
      <c r="S8" t="s">
        <v>2409</v>
      </c>
      <c r="U8">
        <v>5</v>
      </c>
      <c r="V8" t="s">
        <v>242</v>
      </c>
      <c r="W8" t="s">
        <v>409</v>
      </c>
      <c r="X8">
        <v>355327017</v>
      </c>
      <c r="AE8" t="s">
        <v>456</v>
      </c>
      <c r="AF8" t="s">
        <v>0</v>
      </c>
      <c r="AG8">
        <v>31</v>
      </c>
      <c r="AH8" t="s">
        <v>452</v>
      </c>
      <c r="AI8" t="s">
        <v>453</v>
      </c>
      <c r="AJ8" t="s">
        <v>726</v>
      </c>
      <c r="AK8" t="s">
        <v>80</v>
      </c>
      <c r="AL8" t="s">
        <v>745</v>
      </c>
      <c r="AM8">
        <v>0</v>
      </c>
      <c r="AN8">
        <v>0</v>
      </c>
      <c r="AO8">
        <v>0</v>
      </c>
      <c r="AP8">
        <v>1</v>
      </c>
    </row>
    <row r="9" spans="1:42" x14ac:dyDescent="0.2">
      <c r="A9" t="s">
        <v>451</v>
      </c>
      <c r="B9">
        <v>4</v>
      </c>
      <c r="G9" s="12">
        <v>0</v>
      </c>
      <c r="H9" s="12">
        <v>2</v>
      </c>
      <c r="I9" s="12">
        <v>37</v>
      </c>
      <c r="L9">
        <f t="shared" si="0"/>
        <v>0</v>
      </c>
      <c r="N9" s="5"/>
      <c r="O9">
        <v>6</v>
      </c>
      <c r="P9">
        <f>SUMIFS(I:I,B:B,Table5[[#This Row],[Bus]])</f>
        <v>37</v>
      </c>
      <c r="Q9">
        <f>45-Table5[[#This Row],[Current]]</f>
        <v>8</v>
      </c>
      <c r="R9" t="s">
        <v>2410</v>
      </c>
      <c r="S9" t="s">
        <v>2411</v>
      </c>
      <c r="U9">
        <v>6</v>
      </c>
      <c r="V9" t="s">
        <v>295</v>
      </c>
      <c r="W9" t="s">
        <v>411</v>
      </c>
      <c r="X9">
        <v>886311686</v>
      </c>
      <c r="AE9" t="s">
        <v>456</v>
      </c>
      <c r="AF9" t="s">
        <v>0</v>
      </c>
      <c r="AG9">
        <v>31</v>
      </c>
      <c r="AH9" t="s">
        <v>452</v>
      </c>
      <c r="AI9" t="s">
        <v>453</v>
      </c>
      <c r="AJ9" t="s">
        <v>751</v>
      </c>
      <c r="AK9" t="s">
        <v>82</v>
      </c>
      <c r="AL9" t="s">
        <v>750</v>
      </c>
      <c r="AM9">
        <v>0</v>
      </c>
      <c r="AN9">
        <v>0</v>
      </c>
      <c r="AO9">
        <v>0</v>
      </c>
      <c r="AP9">
        <v>1</v>
      </c>
    </row>
    <row r="10" spans="1:42" x14ac:dyDescent="0.2">
      <c r="A10" t="s">
        <v>451</v>
      </c>
      <c r="B10">
        <v>5</v>
      </c>
      <c r="G10" s="12">
        <v>0</v>
      </c>
      <c r="H10" s="12">
        <v>1</v>
      </c>
      <c r="I10" s="12">
        <v>31</v>
      </c>
      <c r="L10">
        <f t="shared" si="0"/>
        <v>0</v>
      </c>
      <c r="N10" s="5"/>
      <c r="O10" s="5">
        <v>7</v>
      </c>
      <c r="P10" s="5">
        <f>SUMIFS(I:I,B:B,Table5[[#This Row],[Bus]])</f>
        <v>29</v>
      </c>
      <c r="Q10" s="5">
        <f>45-Table5[[#This Row],[Current]]</f>
        <v>16</v>
      </c>
      <c r="R10" s="5" t="s">
        <v>2412</v>
      </c>
      <c r="S10" t="s">
        <v>413</v>
      </c>
      <c r="U10">
        <v>7</v>
      </c>
      <c r="V10" t="s">
        <v>299</v>
      </c>
      <c r="W10" t="s">
        <v>413</v>
      </c>
      <c r="X10">
        <v>799010869</v>
      </c>
      <c r="AE10" t="s">
        <v>456</v>
      </c>
      <c r="AF10" t="s">
        <v>0</v>
      </c>
      <c r="AG10">
        <v>32</v>
      </c>
      <c r="AH10" t="s">
        <v>452</v>
      </c>
      <c r="AI10" t="s">
        <v>453</v>
      </c>
      <c r="AJ10" t="s">
        <v>751</v>
      </c>
      <c r="AK10" t="s">
        <v>88</v>
      </c>
      <c r="AL10" t="s">
        <v>777</v>
      </c>
      <c r="AM10">
        <v>0</v>
      </c>
      <c r="AN10">
        <v>0</v>
      </c>
      <c r="AO10">
        <v>0</v>
      </c>
      <c r="AP10">
        <v>1</v>
      </c>
    </row>
    <row r="11" spans="1:42" x14ac:dyDescent="0.2">
      <c r="A11" t="s">
        <v>451</v>
      </c>
      <c r="B11">
        <v>6</v>
      </c>
      <c r="G11" s="12">
        <v>1</v>
      </c>
      <c r="H11" s="12">
        <v>1</v>
      </c>
      <c r="I11" s="12">
        <v>37</v>
      </c>
      <c r="L11">
        <f t="shared" si="0"/>
        <v>0</v>
      </c>
      <c r="N11" s="5"/>
      <c r="O11">
        <v>8</v>
      </c>
      <c r="P11">
        <f>SUMIFS(I:I,B:B,Table5[[#This Row],[Bus]])</f>
        <v>34</v>
      </c>
      <c r="Q11">
        <f>45-Table5[[#This Row],[Current]]</f>
        <v>11</v>
      </c>
      <c r="R11" t="s">
        <v>2413</v>
      </c>
      <c r="S11" t="s">
        <v>2414</v>
      </c>
      <c r="U11">
        <v>8</v>
      </c>
      <c r="V11" t="s">
        <v>349</v>
      </c>
      <c r="W11" t="s">
        <v>1972</v>
      </c>
      <c r="X11">
        <v>763889811</v>
      </c>
      <c r="AE11" t="s">
        <v>456</v>
      </c>
      <c r="AF11" t="s">
        <v>0</v>
      </c>
      <c r="AG11">
        <v>32</v>
      </c>
      <c r="AH11" t="s">
        <v>452</v>
      </c>
      <c r="AI11" t="s">
        <v>453</v>
      </c>
      <c r="AJ11" t="s">
        <v>751</v>
      </c>
      <c r="AK11" t="s">
        <v>85</v>
      </c>
      <c r="AL11" t="s">
        <v>765</v>
      </c>
      <c r="AM11">
        <v>0</v>
      </c>
      <c r="AN11">
        <v>0</v>
      </c>
      <c r="AO11">
        <v>0</v>
      </c>
      <c r="AP11">
        <v>1</v>
      </c>
    </row>
    <row r="12" spans="1:42" x14ac:dyDescent="0.2">
      <c r="A12" t="s">
        <v>451</v>
      </c>
      <c r="B12">
        <v>7</v>
      </c>
      <c r="G12" s="12">
        <v>0</v>
      </c>
      <c r="H12" s="12">
        <v>0</v>
      </c>
      <c r="I12" s="12">
        <v>29</v>
      </c>
      <c r="L12">
        <f t="shared" si="0"/>
        <v>0</v>
      </c>
      <c r="N12" s="5"/>
      <c r="AE12" t="s">
        <v>456</v>
      </c>
      <c r="AF12" t="s">
        <v>0</v>
      </c>
      <c r="AG12">
        <v>33</v>
      </c>
      <c r="AH12" t="s">
        <v>452</v>
      </c>
      <c r="AI12" t="s">
        <v>453</v>
      </c>
      <c r="AJ12" t="s">
        <v>751</v>
      </c>
      <c r="AK12" t="s">
        <v>100</v>
      </c>
      <c r="AL12" t="s">
        <v>828</v>
      </c>
      <c r="AM12">
        <v>0</v>
      </c>
      <c r="AN12">
        <v>0</v>
      </c>
      <c r="AO12">
        <v>0</v>
      </c>
      <c r="AP12">
        <v>1</v>
      </c>
    </row>
    <row r="13" spans="1:42" x14ac:dyDescent="0.2">
      <c r="A13" t="s">
        <v>451</v>
      </c>
      <c r="B13">
        <v>8</v>
      </c>
      <c r="C13" t="s">
        <v>2380</v>
      </c>
      <c r="D13" t="s">
        <v>1924</v>
      </c>
      <c r="E13" t="s">
        <v>1925</v>
      </c>
      <c r="F13" t="s">
        <v>1922</v>
      </c>
      <c r="G13" s="12">
        <v>0</v>
      </c>
      <c r="H13" s="12">
        <v>0</v>
      </c>
      <c r="I13" s="12">
        <v>1</v>
      </c>
      <c r="L13">
        <f t="shared" si="0"/>
        <v>0.5</v>
      </c>
      <c r="AE13" t="s">
        <v>456</v>
      </c>
      <c r="AF13" t="s">
        <v>0</v>
      </c>
      <c r="AG13">
        <v>33</v>
      </c>
      <c r="AH13" t="s">
        <v>452</v>
      </c>
      <c r="AI13" t="s">
        <v>453</v>
      </c>
      <c r="AJ13" t="s">
        <v>751</v>
      </c>
      <c r="AK13" t="s">
        <v>116</v>
      </c>
      <c r="AL13" t="s">
        <v>881</v>
      </c>
      <c r="AM13">
        <v>0</v>
      </c>
      <c r="AN13">
        <v>0</v>
      </c>
      <c r="AO13">
        <v>0</v>
      </c>
      <c r="AP13">
        <v>1</v>
      </c>
    </row>
    <row r="14" spans="1:42" x14ac:dyDescent="0.2">
      <c r="A14" t="s">
        <v>451</v>
      </c>
      <c r="B14">
        <v>8</v>
      </c>
      <c r="C14" t="s">
        <v>2380</v>
      </c>
      <c r="D14" t="s">
        <v>1924</v>
      </c>
      <c r="E14" t="s">
        <v>1925</v>
      </c>
      <c r="F14" t="s">
        <v>1931</v>
      </c>
      <c r="G14" s="12">
        <v>0</v>
      </c>
      <c r="H14" s="12">
        <v>0</v>
      </c>
      <c r="I14" s="12">
        <v>1</v>
      </c>
      <c r="L14">
        <f t="shared" si="0"/>
        <v>0.5</v>
      </c>
      <c r="AE14" t="s">
        <v>456</v>
      </c>
      <c r="AF14" t="s">
        <v>0</v>
      </c>
      <c r="AG14">
        <v>34</v>
      </c>
      <c r="AH14" t="s">
        <v>452</v>
      </c>
      <c r="AI14" t="s">
        <v>453</v>
      </c>
      <c r="AJ14" t="s">
        <v>751</v>
      </c>
      <c r="AK14" t="s">
        <v>110</v>
      </c>
      <c r="AL14" t="s">
        <v>859</v>
      </c>
      <c r="AM14">
        <v>0</v>
      </c>
      <c r="AN14">
        <v>0</v>
      </c>
      <c r="AO14">
        <v>0</v>
      </c>
      <c r="AP14">
        <v>1</v>
      </c>
    </row>
    <row r="15" spans="1:42" x14ac:dyDescent="0.2">
      <c r="A15" t="s">
        <v>451</v>
      </c>
      <c r="B15">
        <v>8</v>
      </c>
      <c r="C15" t="s">
        <v>1283</v>
      </c>
      <c r="D15" t="s">
        <v>1375</v>
      </c>
      <c r="E15" t="s">
        <v>1376</v>
      </c>
      <c r="F15" t="s">
        <v>1373</v>
      </c>
      <c r="G15" s="12">
        <v>0</v>
      </c>
      <c r="H15" s="12">
        <v>0</v>
      </c>
      <c r="I15" s="12">
        <v>1</v>
      </c>
      <c r="L15">
        <f t="shared" si="0"/>
        <v>0.5</v>
      </c>
      <c r="R15" t="s">
        <v>2415</v>
      </c>
      <c r="AE15" t="s">
        <v>456</v>
      </c>
      <c r="AF15" t="s">
        <v>0</v>
      </c>
      <c r="AG15">
        <v>34</v>
      </c>
      <c r="AH15" t="s">
        <v>452</v>
      </c>
      <c r="AI15" t="s">
        <v>453</v>
      </c>
      <c r="AJ15" t="s">
        <v>751</v>
      </c>
      <c r="AK15" t="s">
        <v>104</v>
      </c>
      <c r="AL15" t="s">
        <v>838</v>
      </c>
      <c r="AM15">
        <v>0</v>
      </c>
      <c r="AN15">
        <v>0</v>
      </c>
      <c r="AO15">
        <v>0</v>
      </c>
      <c r="AP15">
        <v>1</v>
      </c>
    </row>
    <row r="16" spans="1:42" x14ac:dyDescent="0.2">
      <c r="A16" t="s">
        <v>451</v>
      </c>
      <c r="B16">
        <v>8</v>
      </c>
      <c r="C16" t="s">
        <v>452</v>
      </c>
      <c r="D16" t="s">
        <v>453</v>
      </c>
      <c r="E16" t="s">
        <v>1897</v>
      </c>
      <c r="F16" t="s">
        <v>1895</v>
      </c>
      <c r="G16" s="12">
        <v>0</v>
      </c>
      <c r="H16" s="12">
        <v>0</v>
      </c>
      <c r="I16" s="12">
        <v>1</v>
      </c>
      <c r="L16">
        <f t="shared" si="0"/>
        <v>0.5</v>
      </c>
      <c r="R16" t="s">
        <v>2416</v>
      </c>
      <c r="S16" t="s">
        <v>2417</v>
      </c>
      <c r="AE16" t="s">
        <v>456</v>
      </c>
      <c r="AF16" t="s">
        <v>0</v>
      </c>
      <c r="AG16">
        <v>44</v>
      </c>
      <c r="AH16" t="s">
        <v>452</v>
      </c>
      <c r="AI16" t="s">
        <v>453</v>
      </c>
      <c r="AJ16" t="s">
        <v>959</v>
      </c>
      <c r="AK16" t="s">
        <v>137</v>
      </c>
      <c r="AL16" t="s">
        <v>964</v>
      </c>
      <c r="AM16">
        <v>0</v>
      </c>
      <c r="AN16">
        <v>0</v>
      </c>
      <c r="AO16">
        <v>0</v>
      </c>
      <c r="AP16">
        <v>1</v>
      </c>
    </row>
    <row r="17" spans="1:42" x14ac:dyDescent="0.2">
      <c r="A17" t="s">
        <v>451</v>
      </c>
      <c r="B17">
        <v>8</v>
      </c>
      <c r="C17" t="s">
        <v>452</v>
      </c>
      <c r="D17" t="s">
        <v>2026</v>
      </c>
      <c r="E17" t="s">
        <v>2027</v>
      </c>
      <c r="F17" t="s">
        <v>2025</v>
      </c>
      <c r="G17" s="12">
        <v>0</v>
      </c>
      <c r="H17" s="12">
        <v>0</v>
      </c>
      <c r="I17" s="12">
        <v>1</v>
      </c>
      <c r="L17">
        <f t="shared" si="0"/>
        <v>0.5</v>
      </c>
      <c r="R17" t="s">
        <v>2418</v>
      </c>
      <c r="AE17" t="s">
        <v>456</v>
      </c>
      <c r="AF17" t="s">
        <v>0</v>
      </c>
      <c r="AG17">
        <v>44</v>
      </c>
      <c r="AH17" t="s">
        <v>452</v>
      </c>
      <c r="AI17" t="s">
        <v>453</v>
      </c>
      <c r="AJ17" t="s">
        <v>959</v>
      </c>
      <c r="AK17" t="s">
        <v>303</v>
      </c>
      <c r="AL17" t="s">
        <v>1736</v>
      </c>
      <c r="AM17">
        <v>0</v>
      </c>
      <c r="AN17">
        <v>0</v>
      </c>
      <c r="AO17">
        <v>0</v>
      </c>
      <c r="AP17">
        <v>1</v>
      </c>
    </row>
    <row r="18" spans="1:42" x14ac:dyDescent="0.2">
      <c r="A18" t="s">
        <v>451</v>
      </c>
      <c r="B18">
        <v>8</v>
      </c>
      <c r="C18" t="s">
        <v>452</v>
      </c>
      <c r="D18" t="s">
        <v>2026</v>
      </c>
      <c r="E18" t="s">
        <v>2035</v>
      </c>
      <c r="F18" t="s">
        <v>2033</v>
      </c>
      <c r="G18" s="12">
        <v>0</v>
      </c>
      <c r="H18" s="12">
        <v>0</v>
      </c>
      <c r="I18" s="12">
        <v>1</v>
      </c>
      <c r="L18">
        <f t="shared" si="0"/>
        <v>0.5</v>
      </c>
      <c r="R18" s="15" t="s">
        <v>2419</v>
      </c>
      <c r="AE18" t="s">
        <v>456</v>
      </c>
      <c r="AF18" t="s">
        <v>0</v>
      </c>
      <c r="AG18">
        <v>45</v>
      </c>
      <c r="AH18" t="s">
        <v>452</v>
      </c>
      <c r="AI18" t="s">
        <v>453</v>
      </c>
      <c r="AJ18" t="s">
        <v>454</v>
      </c>
      <c r="AK18" t="s">
        <v>9</v>
      </c>
      <c r="AL18" t="s">
        <v>448</v>
      </c>
      <c r="AM18">
        <v>0</v>
      </c>
      <c r="AN18">
        <v>0</v>
      </c>
      <c r="AO18">
        <v>0</v>
      </c>
      <c r="AP18">
        <v>1</v>
      </c>
    </row>
    <row r="19" spans="1:42" x14ac:dyDescent="0.2">
      <c r="A19" t="s">
        <v>451</v>
      </c>
      <c r="B19">
        <v>8</v>
      </c>
      <c r="C19" t="s">
        <v>452</v>
      </c>
      <c r="D19" t="s">
        <v>2026</v>
      </c>
      <c r="E19" t="s">
        <v>2050</v>
      </c>
      <c r="F19" t="s">
        <v>2055</v>
      </c>
      <c r="G19" s="12">
        <v>0</v>
      </c>
      <c r="H19" s="12">
        <v>0</v>
      </c>
      <c r="I19" s="12">
        <v>1</v>
      </c>
      <c r="L19">
        <f t="shared" si="0"/>
        <v>0.5</v>
      </c>
      <c r="R19" t="s">
        <v>2420</v>
      </c>
      <c r="AE19" t="s">
        <v>456</v>
      </c>
      <c r="AF19" t="s">
        <v>0</v>
      </c>
      <c r="AG19">
        <v>45</v>
      </c>
      <c r="AH19" t="s">
        <v>452</v>
      </c>
      <c r="AI19" t="s">
        <v>453</v>
      </c>
      <c r="AJ19" t="s">
        <v>919</v>
      </c>
      <c r="AK19" t="s">
        <v>125</v>
      </c>
      <c r="AL19" t="s">
        <v>917</v>
      </c>
      <c r="AM19">
        <v>0</v>
      </c>
      <c r="AN19">
        <v>0</v>
      </c>
      <c r="AO19">
        <v>0</v>
      </c>
      <c r="AP19">
        <v>1</v>
      </c>
    </row>
    <row r="20" spans="1:42" x14ac:dyDescent="0.2">
      <c r="A20" t="s">
        <v>451</v>
      </c>
      <c r="B20">
        <v>8</v>
      </c>
      <c r="C20" t="s">
        <v>452</v>
      </c>
      <c r="D20" t="s">
        <v>2026</v>
      </c>
      <c r="E20" t="s">
        <v>2050</v>
      </c>
      <c r="F20" t="s">
        <v>2048</v>
      </c>
      <c r="G20" s="12">
        <v>0</v>
      </c>
      <c r="H20" s="12">
        <v>1</v>
      </c>
      <c r="I20" s="12">
        <v>2</v>
      </c>
      <c r="L20">
        <f t="shared" si="0"/>
        <v>1</v>
      </c>
      <c r="AE20" t="s">
        <v>456</v>
      </c>
      <c r="AF20" t="s">
        <v>0</v>
      </c>
      <c r="AG20">
        <v>60</v>
      </c>
      <c r="AH20" t="s">
        <v>452</v>
      </c>
      <c r="AI20" t="s">
        <v>453</v>
      </c>
      <c r="AJ20" t="s">
        <v>492</v>
      </c>
      <c r="AK20" t="s">
        <v>334</v>
      </c>
      <c r="AL20" t="s">
        <v>1873</v>
      </c>
      <c r="AM20">
        <v>0</v>
      </c>
      <c r="AN20">
        <v>0</v>
      </c>
      <c r="AO20">
        <v>0</v>
      </c>
      <c r="AP20">
        <v>1</v>
      </c>
    </row>
    <row r="21" spans="1:42" x14ac:dyDescent="0.2">
      <c r="A21" t="s">
        <v>451</v>
      </c>
      <c r="B21">
        <v>8</v>
      </c>
      <c r="C21" t="s">
        <v>452</v>
      </c>
      <c r="D21" t="s">
        <v>2026</v>
      </c>
      <c r="E21" t="s">
        <v>2050</v>
      </c>
      <c r="F21" t="s">
        <v>2061</v>
      </c>
      <c r="G21" s="12">
        <v>0</v>
      </c>
      <c r="H21" s="12">
        <v>0</v>
      </c>
      <c r="I21" s="12">
        <v>1</v>
      </c>
      <c r="L21">
        <f t="shared" si="0"/>
        <v>0.5</v>
      </c>
      <c r="AE21" t="s">
        <v>456</v>
      </c>
      <c r="AF21" t="s">
        <v>0</v>
      </c>
      <c r="AG21">
        <v>60</v>
      </c>
      <c r="AH21" t="s">
        <v>452</v>
      </c>
      <c r="AI21" t="s">
        <v>453</v>
      </c>
      <c r="AJ21" t="s">
        <v>1123</v>
      </c>
      <c r="AK21" t="s">
        <v>195</v>
      </c>
      <c r="AL21" t="s">
        <v>1148</v>
      </c>
      <c r="AM21">
        <v>0</v>
      </c>
      <c r="AN21">
        <v>0</v>
      </c>
      <c r="AO21">
        <v>0</v>
      </c>
      <c r="AP21">
        <v>1</v>
      </c>
    </row>
    <row r="22" spans="1:42" x14ac:dyDescent="0.2">
      <c r="A22" t="s">
        <v>451</v>
      </c>
      <c r="B22">
        <v>8</v>
      </c>
      <c r="C22" t="s">
        <v>452</v>
      </c>
      <c r="D22" t="s">
        <v>2026</v>
      </c>
      <c r="E22" t="s">
        <v>2050</v>
      </c>
      <c r="F22" t="s">
        <v>2068</v>
      </c>
      <c r="G22" s="12">
        <v>0</v>
      </c>
      <c r="H22" s="12">
        <v>1</v>
      </c>
      <c r="I22" s="12">
        <v>2</v>
      </c>
      <c r="L22">
        <f t="shared" si="0"/>
        <v>1</v>
      </c>
      <c r="AE22" t="s">
        <v>456</v>
      </c>
      <c r="AF22" t="s">
        <v>0</v>
      </c>
      <c r="AG22">
        <v>61</v>
      </c>
      <c r="AH22" t="s">
        <v>452</v>
      </c>
      <c r="AI22" t="s">
        <v>453</v>
      </c>
      <c r="AJ22" t="s">
        <v>959</v>
      </c>
      <c r="AK22" t="s">
        <v>218</v>
      </c>
      <c r="AL22" t="s">
        <v>1231</v>
      </c>
      <c r="AM22">
        <v>0</v>
      </c>
      <c r="AN22">
        <v>0</v>
      </c>
      <c r="AO22">
        <v>0</v>
      </c>
      <c r="AP22">
        <v>1</v>
      </c>
    </row>
    <row r="23" spans="1:42" x14ac:dyDescent="0.2">
      <c r="A23" t="s">
        <v>451</v>
      </c>
      <c r="B23">
        <v>8</v>
      </c>
      <c r="C23" t="s">
        <v>452</v>
      </c>
      <c r="D23" t="s">
        <v>2026</v>
      </c>
      <c r="E23" t="s">
        <v>2075</v>
      </c>
      <c r="F23" t="s">
        <v>2079</v>
      </c>
      <c r="G23" s="12">
        <v>0</v>
      </c>
      <c r="H23" s="12">
        <v>0</v>
      </c>
      <c r="I23" s="12">
        <v>1</v>
      </c>
      <c r="L23">
        <f t="shared" si="0"/>
        <v>0.5</v>
      </c>
      <c r="O23" s="13" t="s">
        <v>4</v>
      </c>
      <c r="P23" s="14" t="s">
        <v>2397</v>
      </c>
      <c r="Q23" s="14" t="s">
        <v>2398</v>
      </c>
      <c r="R23" s="14" t="s">
        <v>438</v>
      </c>
      <c r="AE23" t="s">
        <v>456</v>
      </c>
      <c r="AF23" t="s">
        <v>0</v>
      </c>
      <c r="AG23">
        <v>61</v>
      </c>
      <c r="AH23" t="s">
        <v>452</v>
      </c>
      <c r="AI23" t="s">
        <v>904</v>
      </c>
      <c r="AJ23" t="s">
        <v>900</v>
      </c>
      <c r="AK23" t="s">
        <v>133</v>
      </c>
      <c r="AL23" t="s">
        <v>951</v>
      </c>
      <c r="AM23">
        <v>0</v>
      </c>
      <c r="AN23">
        <v>0</v>
      </c>
      <c r="AO23">
        <v>0</v>
      </c>
      <c r="AP23">
        <v>1</v>
      </c>
    </row>
    <row r="24" spans="1:42" x14ac:dyDescent="0.2">
      <c r="A24" t="s">
        <v>451</v>
      </c>
      <c r="B24">
        <v>8</v>
      </c>
      <c r="C24" t="s">
        <v>452</v>
      </c>
      <c r="D24" t="s">
        <v>2026</v>
      </c>
      <c r="E24" t="s">
        <v>2075</v>
      </c>
      <c r="F24" t="s">
        <v>2074</v>
      </c>
      <c r="G24" s="12">
        <v>0</v>
      </c>
      <c r="H24" s="12">
        <v>0</v>
      </c>
      <c r="I24" s="12">
        <v>1</v>
      </c>
      <c r="L24">
        <f t="shared" si="0"/>
        <v>0.5</v>
      </c>
      <c r="O24" s="16">
        <v>1</v>
      </c>
      <c r="P24" s="17">
        <f>SUMIFS(I:I,B:B,Table5[[#This Row],[Bus]])</f>
        <v>0</v>
      </c>
      <c r="Q24" s="17" t="e">
        <f>45-Table5[[#This Row],[Current]]</f>
        <v>#VALUE!</v>
      </c>
      <c r="R24" s="18" t="s">
        <v>2421</v>
      </c>
      <c r="AE24" t="s">
        <v>456</v>
      </c>
      <c r="AF24" t="s">
        <v>0</v>
      </c>
      <c r="AG24">
        <v>62</v>
      </c>
      <c r="AH24" t="s">
        <v>452</v>
      </c>
      <c r="AI24" t="s">
        <v>453</v>
      </c>
      <c r="AJ24" t="s">
        <v>959</v>
      </c>
      <c r="AK24" t="s">
        <v>210</v>
      </c>
      <c r="AL24" t="s">
        <v>1200</v>
      </c>
      <c r="AM24">
        <v>0</v>
      </c>
      <c r="AN24">
        <v>0</v>
      </c>
      <c r="AO24">
        <v>0</v>
      </c>
      <c r="AP24">
        <v>1</v>
      </c>
    </row>
    <row r="25" spans="1:42" x14ac:dyDescent="0.2">
      <c r="A25" t="s">
        <v>451</v>
      </c>
      <c r="B25">
        <v>8</v>
      </c>
      <c r="C25" t="s">
        <v>452</v>
      </c>
      <c r="D25" t="s">
        <v>2026</v>
      </c>
      <c r="E25" t="s">
        <v>2075</v>
      </c>
      <c r="F25" t="s">
        <v>2087</v>
      </c>
      <c r="G25" s="12">
        <v>0</v>
      </c>
      <c r="H25" s="12">
        <v>0</v>
      </c>
      <c r="I25" s="12">
        <v>1</v>
      </c>
      <c r="L25">
        <f t="shared" si="0"/>
        <v>0.5</v>
      </c>
      <c r="O25" s="19">
        <v>2</v>
      </c>
      <c r="P25" s="15">
        <f>SUMIFS(I:I,B:B,Table5[[#This Row],[Bus]])</f>
        <v>0</v>
      </c>
      <c r="Q25" s="15" t="e">
        <f>45-Table5[[#This Row],[Current]]</f>
        <v>#VALUE!</v>
      </c>
      <c r="R25" s="15" t="s">
        <v>2403</v>
      </c>
      <c r="AE25" t="s">
        <v>456</v>
      </c>
      <c r="AF25" t="s">
        <v>0</v>
      </c>
      <c r="AG25">
        <v>62</v>
      </c>
      <c r="AH25" t="s">
        <v>452</v>
      </c>
      <c r="AI25" t="s">
        <v>453</v>
      </c>
      <c r="AJ25" t="s">
        <v>959</v>
      </c>
      <c r="AK25" t="s">
        <v>301</v>
      </c>
      <c r="AL25" t="s">
        <v>1726</v>
      </c>
      <c r="AM25">
        <v>0</v>
      </c>
      <c r="AN25">
        <v>0</v>
      </c>
      <c r="AO25">
        <v>0</v>
      </c>
      <c r="AP25">
        <v>1</v>
      </c>
    </row>
    <row r="26" spans="1:42" x14ac:dyDescent="0.2">
      <c r="A26" t="s">
        <v>451</v>
      </c>
      <c r="B26">
        <v>8</v>
      </c>
      <c r="C26" t="s">
        <v>452</v>
      </c>
      <c r="D26" t="s">
        <v>2026</v>
      </c>
      <c r="E26" t="s">
        <v>2094</v>
      </c>
      <c r="F26" t="s">
        <v>2092</v>
      </c>
      <c r="G26" s="12">
        <v>0</v>
      </c>
      <c r="H26" s="12">
        <v>0</v>
      </c>
      <c r="I26" s="12">
        <v>1</v>
      </c>
      <c r="L26">
        <f t="shared" si="0"/>
        <v>0.5</v>
      </c>
      <c r="O26" s="20">
        <v>3</v>
      </c>
      <c r="P26" s="18">
        <f>SUMIFS(I:I,B:B,Table5[[#This Row],[Bus]])</f>
        <v>0</v>
      </c>
      <c r="Q26" s="18" t="e">
        <f>45-Table5[[#This Row],[Current]]</f>
        <v>#VALUE!</v>
      </c>
      <c r="R26" s="18" t="s">
        <v>2422</v>
      </c>
      <c r="AE26" t="s">
        <v>456</v>
      </c>
      <c r="AF26" t="s">
        <v>0</v>
      </c>
      <c r="AG26">
        <v>68</v>
      </c>
      <c r="AH26" t="s">
        <v>452</v>
      </c>
      <c r="AI26" t="s">
        <v>491</v>
      </c>
      <c r="AJ26" t="s">
        <v>911</v>
      </c>
      <c r="AK26" t="s">
        <v>336</v>
      </c>
      <c r="AL26" t="s">
        <v>1882</v>
      </c>
      <c r="AM26">
        <v>0</v>
      </c>
      <c r="AN26">
        <v>0</v>
      </c>
      <c r="AO26">
        <v>0</v>
      </c>
      <c r="AP26">
        <v>1</v>
      </c>
    </row>
    <row r="27" spans="1:42" x14ac:dyDescent="0.2">
      <c r="A27" t="s">
        <v>451</v>
      </c>
      <c r="B27">
        <v>8</v>
      </c>
      <c r="C27" t="s">
        <v>452</v>
      </c>
      <c r="D27" t="s">
        <v>904</v>
      </c>
      <c r="E27" s="5" t="s">
        <v>2019</v>
      </c>
      <c r="F27" s="5" t="s">
        <v>2017</v>
      </c>
      <c r="G27" s="12">
        <v>0</v>
      </c>
      <c r="H27" s="12">
        <v>0</v>
      </c>
      <c r="I27" s="12">
        <v>1</v>
      </c>
      <c r="L27">
        <f t="shared" si="0"/>
        <v>0.5</v>
      </c>
      <c r="O27" s="19">
        <v>4</v>
      </c>
      <c r="P27" s="15">
        <f>SUMIFS(I:I,B:B,Table5[[#This Row],[Bus]])</f>
        <v>0</v>
      </c>
      <c r="Q27" s="15" t="e">
        <f>45-Table5[[#This Row],[Current]]</f>
        <v>#VALUE!</v>
      </c>
      <c r="R27" s="15" t="s">
        <v>2423</v>
      </c>
      <c r="AE27" t="s">
        <v>456</v>
      </c>
      <c r="AF27" t="s">
        <v>0</v>
      </c>
      <c r="AG27">
        <v>69</v>
      </c>
      <c r="AH27" t="s">
        <v>452</v>
      </c>
      <c r="AI27" t="s">
        <v>453</v>
      </c>
      <c r="AJ27" t="s">
        <v>959</v>
      </c>
      <c r="AK27" t="s">
        <v>220</v>
      </c>
      <c r="AL27" t="s">
        <v>1241</v>
      </c>
      <c r="AM27">
        <v>0</v>
      </c>
      <c r="AN27">
        <v>0</v>
      </c>
      <c r="AO27">
        <v>0</v>
      </c>
      <c r="AP27">
        <v>1</v>
      </c>
    </row>
    <row r="28" spans="1:42" x14ac:dyDescent="0.2">
      <c r="A28" t="s">
        <v>451</v>
      </c>
      <c r="B28">
        <v>8</v>
      </c>
      <c r="C28" t="s">
        <v>452</v>
      </c>
      <c r="D28" t="s">
        <v>904</v>
      </c>
      <c r="E28" t="s">
        <v>1890</v>
      </c>
      <c r="F28" t="s">
        <v>1888</v>
      </c>
      <c r="G28" s="12">
        <v>0</v>
      </c>
      <c r="H28" s="12">
        <v>0</v>
      </c>
      <c r="I28" s="12">
        <v>1</v>
      </c>
      <c r="L28">
        <f t="shared" si="0"/>
        <v>0.5</v>
      </c>
      <c r="O28" s="20">
        <v>5</v>
      </c>
      <c r="P28" s="18">
        <f>SUMIFS(I:I,B:B,Table5[[#This Row],[Bus]])</f>
        <v>0</v>
      </c>
      <c r="Q28" s="18" t="e">
        <f>45-Table5[[#This Row],[Current]]</f>
        <v>#VALUE!</v>
      </c>
      <c r="R28" s="18" t="s">
        <v>2408</v>
      </c>
      <c r="AE28" t="s">
        <v>456</v>
      </c>
      <c r="AF28" t="s">
        <v>0</v>
      </c>
      <c r="AG28">
        <v>69</v>
      </c>
      <c r="AH28" t="s">
        <v>452</v>
      </c>
      <c r="AI28" t="s">
        <v>453</v>
      </c>
      <c r="AJ28" t="s">
        <v>959</v>
      </c>
      <c r="AK28" t="s">
        <v>297</v>
      </c>
      <c r="AL28" t="s">
        <v>1717</v>
      </c>
      <c r="AM28">
        <v>0</v>
      </c>
      <c r="AN28">
        <v>0</v>
      </c>
      <c r="AO28">
        <v>0</v>
      </c>
      <c r="AP28">
        <v>1</v>
      </c>
    </row>
    <row r="29" spans="1:42" x14ac:dyDescent="0.2">
      <c r="A29" t="s">
        <v>451</v>
      </c>
      <c r="B29">
        <v>8</v>
      </c>
      <c r="C29" t="s">
        <v>452</v>
      </c>
      <c r="D29" t="s">
        <v>491</v>
      </c>
      <c r="E29" t="s">
        <v>492</v>
      </c>
      <c r="F29" t="s">
        <v>665</v>
      </c>
      <c r="G29" s="12">
        <v>0</v>
      </c>
      <c r="H29" s="12">
        <v>0</v>
      </c>
      <c r="I29" s="12">
        <v>1</v>
      </c>
      <c r="L29">
        <f t="shared" si="0"/>
        <v>0.5</v>
      </c>
      <c r="O29" s="19">
        <v>6</v>
      </c>
      <c r="P29" s="15">
        <f>SUMIFS(I:I,B:B,Table5[[#This Row],[Bus]])</f>
        <v>0</v>
      </c>
      <c r="Q29" s="15" t="e">
        <f>45-Table5[[#This Row],[Current]]</f>
        <v>#VALUE!</v>
      </c>
      <c r="R29" s="15" t="s">
        <v>2410</v>
      </c>
      <c r="AE29" t="s">
        <v>456</v>
      </c>
      <c r="AF29" t="s">
        <v>0</v>
      </c>
      <c r="AG29">
        <v>82</v>
      </c>
      <c r="AH29" t="s">
        <v>1745</v>
      </c>
      <c r="AI29" t="s">
        <v>1781</v>
      </c>
      <c r="AJ29" t="s">
        <v>1782</v>
      </c>
      <c r="AK29" t="s">
        <v>312</v>
      </c>
      <c r="AL29" t="s">
        <v>1778</v>
      </c>
      <c r="AM29">
        <v>0</v>
      </c>
      <c r="AN29">
        <v>0</v>
      </c>
      <c r="AO29">
        <v>0</v>
      </c>
      <c r="AP29">
        <v>1</v>
      </c>
    </row>
    <row r="30" spans="1:42" x14ac:dyDescent="0.2">
      <c r="A30" t="s">
        <v>451</v>
      </c>
      <c r="B30">
        <v>8</v>
      </c>
      <c r="C30" t="s">
        <v>452</v>
      </c>
      <c r="D30" t="s">
        <v>1705</v>
      </c>
      <c r="E30" s="5" t="s">
        <v>2042</v>
      </c>
      <c r="F30" s="5" t="s">
        <v>2040</v>
      </c>
      <c r="G30" s="12">
        <v>0</v>
      </c>
      <c r="H30" s="12">
        <v>0</v>
      </c>
      <c r="I30" s="12">
        <v>1</v>
      </c>
      <c r="L30">
        <f t="shared" si="0"/>
        <v>0.5</v>
      </c>
      <c r="O30" s="16">
        <v>7</v>
      </c>
      <c r="P30" s="17">
        <f>SUMIFS(I:I,B:B,Table5[[#This Row],[Bus]])</f>
        <v>0</v>
      </c>
      <c r="Q30" s="17" t="e">
        <f>45-Table5[[#This Row],[Current]]</f>
        <v>#VALUE!</v>
      </c>
      <c r="R30" s="17" t="s">
        <v>2424</v>
      </c>
      <c r="AE30" t="s">
        <v>456</v>
      </c>
      <c r="AF30" t="s">
        <v>0</v>
      </c>
      <c r="AG30">
        <v>82</v>
      </c>
      <c r="AH30" t="s">
        <v>1745</v>
      </c>
      <c r="AI30" t="s">
        <v>1773</v>
      </c>
      <c r="AJ30" t="s">
        <v>1831</v>
      </c>
      <c r="AK30" t="s">
        <v>324</v>
      </c>
      <c r="AL30" t="s">
        <v>1829</v>
      </c>
      <c r="AM30">
        <v>0</v>
      </c>
      <c r="AN30">
        <v>0</v>
      </c>
      <c r="AO30">
        <v>0</v>
      </c>
      <c r="AP30">
        <v>1</v>
      </c>
    </row>
    <row r="31" spans="1:42" x14ac:dyDescent="0.2">
      <c r="A31" t="s">
        <v>451</v>
      </c>
      <c r="B31">
        <v>8</v>
      </c>
      <c r="C31" t="s">
        <v>452</v>
      </c>
      <c r="D31" t="s">
        <v>1705</v>
      </c>
      <c r="E31" s="5" t="s">
        <v>1706</v>
      </c>
      <c r="F31" s="5" t="s">
        <v>1702</v>
      </c>
      <c r="G31" s="12">
        <v>0</v>
      </c>
      <c r="H31" s="12">
        <v>0</v>
      </c>
      <c r="I31" s="12">
        <v>1</v>
      </c>
      <c r="L31">
        <f t="shared" si="0"/>
        <v>0.5</v>
      </c>
      <c r="O31" s="19">
        <v>8</v>
      </c>
      <c r="P31" s="15">
        <f>SUMIFS(I:I,B:B,Table5[[#This Row],[Bus]])</f>
        <v>0</v>
      </c>
      <c r="Q31" s="15" t="e">
        <f>45-Table5[[#This Row],[Current]]</f>
        <v>#VALUE!</v>
      </c>
      <c r="R31" s="15" t="s">
        <v>2425</v>
      </c>
      <c r="AE31" t="s">
        <v>456</v>
      </c>
      <c r="AF31" t="s">
        <v>0</v>
      </c>
      <c r="AG31">
        <v>83</v>
      </c>
      <c r="AH31" t="s">
        <v>1745</v>
      </c>
      <c r="AI31" t="s">
        <v>1746</v>
      </c>
      <c r="AJ31" t="s">
        <v>1747</v>
      </c>
      <c r="AK31" t="s">
        <v>304</v>
      </c>
      <c r="AL31" t="s">
        <v>1743</v>
      </c>
      <c r="AM31">
        <v>0</v>
      </c>
      <c r="AN31">
        <v>0</v>
      </c>
      <c r="AO31">
        <v>0</v>
      </c>
      <c r="AP31">
        <v>1</v>
      </c>
    </row>
    <row r="32" spans="1:42" x14ac:dyDescent="0.2">
      <c r="A32" t="s">
        <v>451</v>
      </c>
      <c r="B32">
        <v>8</v>
      </c>
      <c r="C32" t="s">
        <v>1498</v>
      </c>
      <c r="D32" t="s">
        <v>1499</v>
      </c>
      <c r="E32" t="s">
        <v>1500</v>
      </c>
      <c r="F32" t="s">
        <v>1495</v>
      </c>
      <c r="G32" s="12">
        <v>0</v>
      </c>
      <c r="H32" s="12">
        <v>0</v>
      </c>
      <c r="I32" s="12">
        <v>1</v>
      </c>
      <c r="L32">
        <f t="shared" si="0"/>
        <v>0.5</v>
      </c>
      <c r="AE32" t="s">
        <v>456</v>
      </c>
      <c r="AF32" t="s">
        <v>0</v>
      </c>
      <c r="AG32">
        <v>83</v>
      </c>
      <c r="AH32" t="s">
        <v>1745</v>
      </c>
      <c r="AI32" t="s">
        <v>1773</v>
      </c>
      <c r="AJ32" t="s">
        <v>1831</v>
      </c>
      <c r="AK32" t="s">
        <v>325</v>
      </c>
      <c r="AL32" t="s">
        <v>1835</v>
      </c>
      <c r="AM32">
        <v>0</v>
      </c>
      <c r="AN32">
        <v>0</v>
      </c>
      <c r="AO32">
        <v>0</v>
      </c>
      <c r="AP32">
        <v>1</v>
      </c>
    </row>
    <row r="33" spans="1:42" x14ac:dyDescent="0.2">
      <c r="A33" t="s">
        <v>451</v>
      </c>
      <c r="B33">
        <v>8</v>
      </c>
      <c r="C33" t="s">
        <v>1498</v>
      </c>
      <c r="D33" t="s">
        <v>1938</v>
      </c>
      <c r="E33" t="s">
        <v>1939</v>
      </c>
      <c r="F33" t="s">
        <v>1936</v>
      </c>
      <c r="G33" s="12">
        <v>0</v>
      </c>
      <c r="H33" s="12">
        <v>0</v>
      </c>
      <c r="I33" s="12">
        <v>1</v>
      </c>
      <c r="L33">
        <f t="shared" si="0"/>
        <v>0.5</v>
      </c>
      <c r="AE33" t="s">
        <v>456</v>
      </c>
      <c r="AF33" t="s">
        <v>0</v>
      </c>
      <c r="AG33">
        <v>84</v>
      </c>
      <c r="AH33" t="s">
        <v>1745</v>
      </c>
      <c r="AI33" t="s">
        <v>1821</v>
      </c>
      <c r="AJ33" t="s">
        <v>1822</v>
      </c>
      <c r="AK33" t="s">
        <v>322</v>
      </c>
      <c r="AL33" t="s">
        <v>1819</v>
      </c>
      <c r="AM33">
        <v>0</v>
      </c>
      <c r="AN33">
        <v>0</v>
      </c>
      <c r="AO33">
        <v>0</v>
      </c>
      <c r="AP33">
        <v>1</v>
      </c>
    </row>
    <row r="34" spans="1:42" x14ac:dyDescent="0.2">
      <c r="A34" t="s">
        <v>451</v>
      </c>
      <c r="B34">
        <v>8</v>
      </c>
      <c r="C34" t="s">
        <v>1498</v>
      </c>
      <c r="D34" t="s">
        <v>1951</v>
      </c>
      <c r="E34" t="s">
        <v>1952</v>
      </c>
      <c r="F34" t="s">
        <v>1949</v>
      </c>
      <c r="G34" s="12">
        <v>0</v>
      </c>
      <c r="H34" s="12">
        <v>0</v>
      </c>
      <c r="I34" s="12">
        <v>1</v>
      </c>
      <c r="L34">
        <f t="shared" si="0"/>
        <v>0.5</v>
      </c>
      <c r="AE34" t="s">
        <v>456</v>
      </c>
      <c r="AF34" t="s">
        <v>0</v>
      </c>
      <c r="AG34">
        <v>84</v>
      </c>
      <c r="AH34" t="s">
        <v>1745</v>
      </c>
      <c r="AI34" t="s">
        <v>1773</v>
      </c>
      <c r="AJ34" t="s">
        <v>1845</v>
      </c>
      <c r="AK34" t="s">
        <v>326</v>
      </c>
      <c r="AL34" t="s">
        <v>1842</v>
      </c>
      <c r="AM34">
        <v>0</v>
      </c>
      <c r="AN34">
        <v>0</v>
      </c>
      <c r="AO34">
        <v>0</v>
      </c>
      <c r="AP34">
        <v>1</v>
      </c>
    </row>
    <row r="35" spans="1:42" x14ac:dyDescent="0.2">
      <c r="A35" t="s">
        <v>451</v>
      </c>
      <c r="B35">
        <v>8</v>
      </c>
      <c r="C35" t="s">
        <v>1498</v>
      </c>
      <c r="D35" t="s">
        <v>1910</v>
      </c>
      <c r="E35" t="s">
        <v>1911</v>
      </c>
      <c r="F35" t="s">
        <v>1908</v>
      </c>
      <c r="G35" s="12">
        <v>0</v>
      </c>
      <c r="H35" s="12">
        <v>0</v>
      </c>
      <c r="I35" s="12">
        <v>1</v>
      </c>
      <c r="L35">
        <f t="shared" si="0"/>
        <v>0.5</v>
      </c>
      <c r="AE35" t="s">
        <v>456</v>
      </c>
      <c r="AF35" t="s">
        <v>0</v>
      </c>
      <c r="AG35">
        <v>85</v>
      </c>
      <c r="AH35" t="s">
        <v>452</v>
      </c>
      <c r="AI35" t="s">
        <v>506</v>
      </c>
      <c r="AJ35" t="s">
        <v>507</v>
      </c>
      <c r="AK35" t="s">
        <v>22</v>
      </c>
      <c r="AL35" t="s">
        <v>504</v>
      </c>
      <c r="AM35">
        <v>0</v>
      </c>
      <c r="AN35">
        <v>0</v>
      </c>
      <c r="AO35">
        <v>0</v>
      </c>
      <c r="AP35">
        <v>1</v>
      </c>
    </row>
    <row r="36" spans="1:42" x14ac:dyDescent="0.2">
      <c r="A36" t="s">
        <v>451</v>
      </c>
      <c r="B36">
        <v>8</v>
      </c>
      <c r="C36" t="s">
        <v>1498</v>
      </c>
      <c r="D36" t="s">
        <v>1910</v>
      </c>
      <c r="E36" t="s">
        <v>1911</v>
      </c>
      <c r="F36" t="s">
        <v>1915</v>
      </c>
      <c r="G36" s="12">
        <v>0</v>
      </c>
      <c r="H36" s="12">
        <v>0</v>
      </c>
      <c r="I36" s="12">
        <v>1</v>
      </c>
      <c r="L36">
        <f t="shared" si="0"/>
        <v>0.5</v>
      </c>
      <c r="AE36" t="s">
        <v>456</v>
      </c>
      <c r="AF36" t="s">
        <v>0</v>
      </c>
      <c r="AG36">
        <v>85</v>
      </c>
      <c r="AH36" t="s">
        <v>452</v>
      </c>
      <c r="AI36" t="s">
        <v>491</v>
      </c>
      <c r="AJ36" t="s">
        <v>492</v>
      </c>
      <c r="AK36" t="s">
        <v>18</v>
      </c>
      <c r="AL36" t="s">
        <v>489</v>
      </c>
      <c r="AM36">
        <v>0</v>
      </c>
      <c r="AN36">
        <v>0</v>
      </c>
      <c r="AO36">
        <v>0</v>
      </c>
      <c r="AP36">
        <v>1</v>
      </c>
    </row>
    <row r="37" spans="1:42" x14ac:dyDescent="0.2">
      <c r="A37" t="s">
        <v>451</v>
      </c>
      <c r="B37">
        <v>8</v>
      </c>
      <c r="C37" t="s">
        <v>1498</v>
      </c>
      <c r="D37" t="s">
        <v>1903</v>
      </c>
      <c r="E37" t="s">
        <v>1620</v>
      </c>
      <c r="F37" t="s">
        <v>1901</v>
      </c>
      <c r="G37" s="12">
        <v>0</v>
      </c>
      <c r="H37" s="12">
        <v>0</v>
      </c>
      <c r="I37" s="12">
        <v>1</v>
      </c>
      <c r="L37">
        <f t="shared" si="0"/>
        <v>0.5</v>
      </c>
      <c r="AE37" t="s">
        <v>456</v>
      </c>
      <c r="AF37" t="s">
        <v>0</v>
      </c>
      <c r="AG37">
        <v>86</v>
      </c>
      <c r="AH37" t="s">
        <v>452</v>
      </c>
      <c r="AI37" t="s">
        <v>904</v>
      </c>
      <c r="AJ37" t="s">
        <v>900</v>
      </c>
      <c r="AK37" t="s">
        <v>121</v>
      </c>
      <c r="AL37" t="s">
        <v>401</v>
      </c>
      <c r="AM37">
        <v>0</v>
      </c>
      <c r="AN37">
        <v>0</v>
      </c>
      <c r="AO37">
        <v>0</v>
      </c>
      <c r="AP37">
        <v>1</v>
      </c>
    </row>
    <row r="38" spans="1:42" x14ac:dyDescent="0.2">
      <c r="A38" t="s">
        <v>451</v>
      </c>
      <c r="B38">
        <v>8</v>
      </c>
      <c r="C38" t="s">
        <v>2107</v>
      </c>
      <c r="D38" t="s">
        <v>2108</v>
      </c>
      <c r="E38" t="s">
        <v>2109</v>
      </c>
      <c r="F38" t="s">
        <v>2106</v>
      </c>
      <c r="G38" s="12">
        <v>0</v>
      </c>
      <c r="H38" s="12">
        <v>0</v>
      </c>
      <c r="I38" s="12">
        <v>1</v>
      </c>
      <c r="L38">
        <f t="shared" si="0"/>
        <v>0.5</v>
      </c>
      <c r="AE38" t="s">
        <v>456</v>
      </c>
      <c r="AF38" t="s">
        <v>0</v>
      </c>
      <c r="AG38">
        <v>86</v>
      </c>
      <c r="AH38" t="s">
        <v>452</v>
      </c>
      <c r="AI38" t="s">
        <v>491</v>
      </c>
      <c r="AJ38" t="s">
        <v>1117</v>
      </c>
      <c r="AK38" t="s">
        <v>187</v>
      </c>
      <c r="AL38" t="s">
        <v>405</v>
      </c>
      <c r="AM38">
        <v>0</v>
      </c>
      <c r="AN38">
        <v>0</v>
      </c>
      <c r="AO38">
        <v>0</v>
      </c>
      <c r="AP38">
        <v>1</v>
      </c>
    </row>
    <row r="39" spans="1:42" x14ac:dyDescent="0.2">
      <c r="A39" t="s">
        <v>451</v>
      </c>
      <c r="B39">
        <v>8</v>
      </c>
      <c r="C39" t="s">
        <v>2107</v>
      </c>
      <c r="D39" t="s">
        <v>2108</v>
      </c>
      <c r="E39" t="s">
        <v>2109</v>
      </c>
      <c r="F39" t="s">
        <v>2114</v>
      </c>
      <c r="G39" s="12">
        <v>0</v>
      </c>
      <c r="H39" s="12">
        <v>0</v>
      </c>
      <c r="I39" s="12">
        <v>1</v>
      </c>
      <c r="L39">
        <f t="shared" si="0"/>
        <v>0.5</v>
      </c>
      <c r="AE39" t="s">
        <v>456</v>
      </c>
      <c r="AF39" t="s">
        <v>0</v>
      </c>
      <c r="AG39">
        <v>87</v>
      </c>
      <c r="AH39" t="s">
        <v>452</v>
      </c>
      <c r="AI39" t="s">
        <v>453</v>
      </c>
      <c r="AJ39" t="s">
        <v>959</v>
      </c>
      <c r="AK39" t="s">
        <v>148</v>
      </c>
      <c r="AL39" t="s">
        <v>1006</v>
      </c>
      <c r="AM39">
        <v>0</v>
      </c>
      <c r="AN39">
        <v>0</v>
      </c>
      <c r="AO39">
        <v>0</v>
      </c>
      <c r="AP39">
        <v>1</v>
      </c>
    </row>
    <row r="40" spans="1:42" x14ac:dyDescent="0.2">
      <c r="A40" t="s">
        <v>451</v>
      </c>
      <c r="B40">
        <v>8</v>
      </c>
      <c r="C40" t="s">
        <v>1989</v>
      </c>
      <c r="D40" t="s">
        <v>1990</v>
      </c>
      <c r="E40" t="s">
        <v>1991</v>
      </c>
      <c r="F40" t="s">
        <v>1987</v>
      </c>
      <c r="G40" s="12">
        <v>0</v>
      </c>
      <c r="H40" s="12">
        <v>0</v>
      </c>
      <c r="I40" s="12">
        <v>1</v>
      </c>
      <c r="L40">
        <f t="shared" si="0"/>
        <v>0.5</v>
      </c>
      <c r="AE40" t="s">
        <v>456</v>
      </c>
      <c r="AF40" t="s">
        <v>0</v>
      </c>
      <c r="AG40">
        <v>87</v>
      </c>
      <c r="AH40" t="s">
        <v>452</v>
      </c>
      <c r="AI40" t="s">
        <v>904</v>
      </c>
      <c r="AJ40" t="s">
        <v>911</v>
      </c>
      <c r="AK40" t="s">
        <v>123</v>
      </c>
      <c r="AL40" t="s">
        <v>909</v>
      </c>
      <c r="AM40">
        <v>0</v>
      </c>
      <c r="AN40">
        <v>0</v>
      </c>
      <c r="AO40">
        <v>0</v>
      </c>
      <c r="AP40">
        <v>1</v>
      </c>
    </row>
    <row r="41" spans="1:42" x14ac:dyDescent="0.2">
      <c r="A41" t="s">
        <v>451</v>
      </c>
      <c r="B41">
        <v>8</v>
      </c>
      <c r="C41" t="s">
        <v>1989</v>
      </c>
      <c r="D41" t="s">
        <v>1990</v>
      </c>
      <c r="E41" t="s">
        <v>1991</v>
      </c>
      <c r="F41" t="s">
        <v>2003</v>
      </c>
      <c r="G41" s="12">
        <v>0</v>
      </c>
      <c r="H41" s="12">
        <v>0</v>
      </c>
      <c r="I41" s="12">
        <v>1</v>
      </c>
      <c r="L41">
        <f t="shared" si="0"/>
        <v>0.5</v>
      </c>
      <c r="AE41" t="s">
        <v>456</v>
      </c>
      <c r="AF41" t="s">
        <v>0</v>
      </c>
      <c r="AG41">
        <v>88</v>
      </c>
      <c r="AH41" t="s">
        <v>452</v>
      </c>
      <c r="AI41" t="s">
        <v>491</v>
      </c>
      <c r="AJ41" t="s">
        <v>1117</v>
      </c>
      <c r="AK41" t="s">
        <v>321</v>
      </c>
      <c r="AL41" t="s">
        <v>1812</v>
      </c>
      <c r="AM41">
        <v>0</v>
      </c>
      <c r="AN41">
        <v>0</v>
      </c>
      <c r="AO41">
        <v>0</v>
      </c>
      <c r="AP41">
        <v>1</v>
      </c>
    </row>
    <row r="42" spans="1:42" x14ac:dyDescent="0.2">
      <c r="A42" t="s">
        <v>451</v>
      </c>
      <c r="B42">
        <v>8</v>
      </c>
      <c r="C42" t="s">
        <v>1989</v>
      </c>
      <c r="D42" t="s">
        <v>1990</v>
      </c>
      <c r="E42" t="s">
        <v>1991</v>
      </c>
      <c r="F42" t="s">
        <v>1997</v>
      </c>
      <c r="G42" s="12">
        <v>0</v>
      </c>
      <c r="H42" s="12">
        <v>0</v>
      </c>
      <c r="I42" s="12">
        <v>1</v>
      </c>
      <c r="L42">
        <f t="shared" si="0"/>
        <v>0.5</v>
      </c>
      <c r="AE42" t="s">
        <v>456</v>
      </c>
      <c r="AF42" t="s">
        <v>0</v>
      </c>
      <c r="AG42">
        <v>88</v>
      </c>
      <c r="AH42" t="s">
        <v>452</v>
      </c>
      <c r="AI42" t="s">
        <v>491</v>
      </c>
      <c r="AJ42" t="s">
        <v>492</v>
      </c>
      <c r="AK42" t="s">
        <v>20</v>
      </c>
      <c r="AL42" t="s">
        <v>497</v>
      </c>
      <c r="AM42">
        <v>0</v>
      </c>
      <c r="AN42">
        <v>0</v>
      </c>
      <c r="AO42">
        <v>0</v>
      </c>
      <c r="AP42">
        <v>1</v>
      </c>
    </row>
    <row r="43" spans="1:42" x14ac:dyDescent="0.2">
      <c r="A43" t="s">
        <v>451</v>
      </c>
      <c r="B43">
        <v>8</v>
      </c>
      <c r="C43" t="s">
        <v>2011</v>
      </c>
      <c r="D43" t="s">
        <v>2012</v>
      </c>
      <c r="E43" t="s">
        <v>2013</v>
      </c>
      <c r="F43" t="s">
        <v>2009</v>
      </c>
      <c r="G43" s="12">
        <v>0</v>
      </c>
      <c r="H43" s="12">
        <v>0</v>
      </c>
      <c r="I43" s="12">
        <v>1</v>
      </c>
      <c r="L43">
        <f t="shared" si="0"/>
        <v>0.5</v>
      </c>
      <c r="AE43" t="s">
        <v>456</v>
      </c>
      <c r="AF43" t="s">
        <v>0</v>
      </c>
      <c r="AG43">
        <v>89</v>
      </c>
      <c r="AH43" t="s">
        <v>452</v>
      </c>
      <c r="AI43" t="s">
        <v>453</v>
      </c>
      <c r="AJ43" t="s">
        <v>1077</v>
      </c>
      <c r="AK43" t="s">
        <v>186</v>
      </c>
      <c r="AL43" t="s">
        <v>1111</v>
      </c>
      <c r="AM43">
        <v>0</v>
      </c>
      <c r="AN43">
        <v>0</v>
      </c>
      <c r="AO43">
        <v>0</v>
      </c>
      <c r="AP43">
        <v>1</v>
      </c>
    </row>
    <row r="44" spans="1:42" x14ac:dyDescent="0.2">
      <c r="A44" t="s">
        <v>451</v>
      </c>
      <c r="B44">
        <v>8</v>
      </c>
      <c r="C44" t="s">
        <v>2011</v>
      </c>
      <c r="D44" t="s">
        <v>2012</v>
      </c>
      <c r="E44" t="s">
        <v>2102</v>
      </c>
      <c r="F44" t="s">
        <v>2100</v>
      </c>
      <c r="G44" s="12">
        <v>0</v>
      </c>
      <c r="H44" s="12">
        <v>0</v>
      </c>
      <c r="I44" s="12">
        <v>1</v>
      </c>
      <c r="L44">
        <f t="shared" si="0"/>
        <v>0.5</v>
      </c>
      <c r="AE44" t="s">
        <v>456</v>
      </c>
      <c r="AF44" t="s">
        <v>0</v>
      </c>
      <c r="AG44">
        <v>89</v>
      </c>
      <c r="AH44" t="s">
        <v>452</v>
      </c>
      <c r="AI44" t="s">
        <v>2026</v>
      </c>
      <c r="AJ44" t="s">
        <v>2094</v>
      </c>
      <c r="AK44" t="s">
        <v>2091</v>
      </c>
      <c r="AL44" t="s">
        <v>2092</v>
      </c>
      <c r="AM44">
        <v>0</v>
      </c>
      <c r="AN44">
        <v>0</v>
      </c>
      <c r="AO44">
        <v>0</v>
      </c>
      <c r="AP44">
        <v>1</v>
      </c>
    </row>
    <row r="45" spans="1:42" x14ac:dyDescent="0.2">
      <c r="A45" t="s">
        <v>2426</v>
      </c>
      <c r="G45" s="12">
        <v>7</v>
      </c>
      <c r="H45" s="12">
        <v>13</v>
      </c>
      <c r="I45" s="12">
        <v>281</v>
      </c>
      <c r="L45">
        <f t="shared" si="0"/>
        <v>0</v>
      </c>
      <c r="AE45" t="s">
        <v>456</v>
      </c>
      <c r="AF45" t="s">
        <v>0</v>
      </c>
      <c r="AG45">
        <v>94</v>
      </c>
      <c r="AH45" t="s">
        <v>1283</v>
      </c>
      <c r="AI45" t="s">
        <v>1284</v>
      </c>
      <c r="AJ45" t="s">
        <v>1448</v>
      </c>
      <c r="AK45" t="s">
        <v>256</v>
      </c>
      <c r="AL45" t="s">
        <v>1454</v>
      </c>
      <c r="AM45">
        <v>0</v>
      </c>
      <c r="AN45">
        <v>0</v>
      </c>
      <c r="AO45">
        <v>0</v>
      </c>
      <c r="AP45">
        <v>1</v>
      </c>
    </row>
    <row r="46" spans="1:42" x14ac:dyDescent="0.2">
      <c r="A46" t="s">
        <v>2367</v>
      </c>
      <c r="G46" s="12">
        <v>8</v>
      </c>
      <c r="H46" s="12">
        <v>15</v>
      </c>
      <c r="I46" s="12">
        <v>294</v>
      </c>
      <c r="L46">
        <f t="shared" si="0"/>
        <v>0</v>
      </c>
      <c r="AE46" t="s">
        <v>456</v>
      </c>
      <c r="AF46" t="s">
        <v>0</v>
      </c>
      <c r="AG46">
        <v>94</v>
      </c>
      <c r="AH46" t="s">
        <v>1283</v>
      </c>
      <c r="AI46" t="s">
        <v>1284</v>
      </c>
      <c r="AJ46" t="s">
        <v>1460</v>
      </c>
      <c r="AK46" t="s">
        <v>260</v>
      </c>
      <c r="AL46" t="s">
        <v>1469</v>
      </c>
      <c r="AM46">
        <v>0</v>
      </c>
      <c r="AN46">
        <v>0</v>
      </c>
      <c r="AO46">
        <v>0</v>
      </c>
      <c r="AP46">
        <v>1</v>
      </c>
    </row>
    <row r="47" spans="1:42" x14ac:dyDescent="0.2">
      <c r="L47">
        <f t="shared" si="0"/>
        <v>0</v>
      </c>
      <c r="AE47" t="s">
        <v>456</v>
      </c>
      <c r="AF47" t="s">
        <v>0</v>
      </c>
      <c r="AG47">
        <v>95</v>
      </c>
      <c r="AH47" t="s">
        <v>1283</v>
      </c>
      <c r="AI47" t="s">
        <v>1284</v>
      </c>
      <c r="AJ47" t="s">
        <v>1460</v>
      </c>
      <c r="AK47" t="s">
        <v>259</v>
      </c>
      <c r="AL47" t="s">
        <v>1465</v>
      </c>
      <c r="AM47">
        <v>0</v>
      </c>
      <c r="AN47">
        <v>0</v>
      </c>
      <c r="AO47">
        <v>0</v>
      </c>
      <c r="AP47">
        <v>1</v>
      </c>
    </row>
    <row r="48" spans="1:42" x14ac:dyDescent="0.2">
      <c r="L48">
        <f t="shared" si="0"/>
        <v>0</v>
      </c>
      <c r="AE48" t="s">
        <v>456</v>
      </c>
      <c r="AF48" t="s">
        <v>0</v>
      </c>
      <c r="AG48">
        <v>95</v>
      </c>
      <c r="AH48" t="s">
        <v>1283</v>
      </c>
      <c r="AI48" t="s">
        <v>1429</v>
      </c>
      <c r="AJ48" t="s">
        <v>1430</v>
      </c>
      <c r="AK48" t="s">
        <v>252</v>
      </c>
      <c r="AL48" t="s">
        <v>1436</v>
      </c>
      <c r="AM48">
        <v>0</v>
      </c>
      <c r="AN48">
        <v>0</v>
      </c>
      <c r="AO48">
        <v>0</v>
      </c>
      <c r="AP48">
        <v>1</v>
      </c>
    </row>
    <row r="49" spans="12:42" x14ac:dyDescent="0.2">
      <c r="L49">
        <f t="shared" si="0"/>
        <v>0</v>
      </c>
      <c r="AE49" t="s">
        <v>456</v>
      </c>
      <c r="AF49" t="s">
        <v>0</v>
      </c>
      <c r="AG49">
        <v>96</v>
      </c>
      <c r="AH49" t="s">
        <v>1283</v>
      </c>
      <c r="AI49" t="s">
        <v>1284</v>
      </c>
      <c r="AJ49" t="s">
        <v>1292</v>
      </c>
      <c r="AK49" t="s">
        <v>235</v>
      </c>
      <c r="AL49" t="s">
        <v>1323</v>
      </c>
      <c r="AM49">
        <v>0</v>
      </c>
      <c r="AN49">
        <v>0</v>
      </c>
      <c r="AO49">
        <v>0</v>
      </c>
      <c r="AP49">
        <v>1</v>
      </c>
    </row>
    <row r="50" spans="12:42" x14ac:dyDescent="0.2">
      <c r="L50">
        <f t="shared" si="0"/>
        <v>0</v>
      </c>
      <c r="AE50" t="s">
        <v>456</v>
      </c>
      <c r="AF50" t="s">
        <v>0</v>
      </c>
      <c r="AG50">
        <v>96</v>
      </c>
      <c r="AH50" t="s">
        <v>1283</v>
      </c>
      <c r="AI50" t="s">
        <v>1375</v>
      </c>
      <c r="AJ50" t="s">
        <v>1389</v>
      </c>
      <c r="AK50" t="s">
        <v>246</v>
      </c>
      <c r="AL50" t="s">
        <v>1388</v>
      </c>
      <c r="AM50">
        <v>0</v>
      </c>
      <c r="AN50">
        <v>0</v>
      </c>
      <c r="AO50">
        <v>0</v>
      </c>
      <c r="AP50">
        <v>1</v>
      </c>
    </row>
    <row r="51" spans="12:42" x14ac:dyDescent="0.2">
      <c r="L51">
        <f t="shared" si="0"/>
        <v>0</v>
      </c>
      <c r="AE51" t="s">
        <v>456</v>
      </c>
      <c r="AF51" t="s">
        <v>0</v>
      </c>
      <c r="AG51">
        <v>97</v>
      </c>
      <c r="AH51" t="s">
        <v>1283</v>
      </c>
      <c r="AI51" t="s">
        <v>1284</v>
      </c>
      <c r="AJ51" t="s">
        <v>1292</v>
      </c>
      <c r="AK51" t="s">
        <v>234</v>
      </c>
      <c r="AL51" t="s">
        <v>1315</v>
      </c>
      <c r="AM51">
        <v>0</v>
      </c>
      <c r="AN51">
        <v>0</v>
      </c>
      <c r="AO51">
        <v>0</v>
      </c>
      <c r="AP51">
        <v>1</v>
      </c>
    </row>
    <row r="52" spans="12:42" x14ac:dyDescent="0.2">
      <c r="L52">
        <f t="shared" si="0"/>
        <v>0</v>
      </c>
      <c r="AE52" t="s">
        <v>456</v>
      </c>
      <c r="AF52" t="s">
        <v>0</v>
      </c>
      <c r="AG52">
        <v>97</v>
      </c>
      <c r="AH52" t="s">
        <v>1283</v>
      </c>
      <c r="AI52" t="s">
        <v>1284</v>
      </c>
      <c r="AJ52" t="s">
        <v>1292</v>
      </c>
      <c r="AK52" t="s">
        <v>232</v>
      </c>
      <c r="AL52" t="s">
        <v>1310</v>
      </c>
      <c r="AM52">
        <v>0</v>
      </c>
      <c r="AN52">
        <v>0</v>
      </c>
      <c r="AO52">
        <v>0</v>
      </c>
      <c r="AP52">
        <v>1</v>
      </c>
    </row>
    <row r="53" spans="12:42" x14ac:dyDescent="0.2">
      <c r="L53">
        <f t="shared" si="0"/>
        <v>0</v>
      </c>
      <c r="AE53" t="s">
        <v>456</v>
      </c>
      <c r="AF53" t="s">
        <v>0</v>
      </c>
      <c r="AG53">
        <v>98</v>
      </c>
      <c r="AH53" t="s">
        <v>1283</v>
      </c>
      <c r="AI53" t="s">
        <v>1284</v>
      </c>
      <c r="AJ53" t="s">
        <v>1292</v>
      </c>
      <c r="AK53" t="s">
        <v>231</v>
      </c>
      <c r="AL53" t="s">
        <v>1304</v>
      </c>
      <c r="AM53">
        <v>0</v>
      </c>
      <c r="AN53">
        <v>0</v>
      </c>
      <c r="AO53">
        <v>0</v>
      </c>
      <c r="AP53">
        <v>1</v>
      </c>
    </row>
    <row r="54" spans="12:42" x14ac:dyDescent="0.2">
      <c r="L54">
        <f t="shared" si="0"/>
        <v>0</v>
      </c>
      <c r="AE54" t="s">
        <v>456</v>
      </c>
      <c r="AF54" t="s">
        <v>0</v>
      </c>
      <c r="AG54">
        <v>98</v>
      </c>
      <c r="AH54" t="s">
        <v>1283</v>
      </c>
      <c r="AI54" t="s">
        <v>1284</v>
      </c>
      <c r="AJ54" t="s">
        <v>1292</v>
      </c>
      <c r="AK54" t="s">
        <v>228</v>
      </c>
      <c r="AL54" t="s">
        <v>1290</v>
      </c>
      <c r="AM54">
        <v>0</v>
      </c>
      <c r="AN54">
        <v>0</v>
      </c>
      <c r="AO54">
        <v>0</v>
      </c>
      <c r="AP54">
        <v>1</v>
      </c>
    </row>
    <row r="55" spans="12:42" x14ac:dyDescent="0.2">
      <c r="L55">
        <f t="shared" si="0"/>
        <v>0</v>
      </c>
      <c r="AE55" t="s">
        <v>456</v>
      </c>
      <c r="AF55" t="s">
        <v>0</v>
      </c>
      <c r="AG55">
        <v>99</v>
      </c>
      <c r="AH55" t="s">
        <v>1283</v>
      </c>
      <c r="AI55" t="s">
        <v>1331</v>
      </c>
      <c r="AJ55" t="s">
        <v>1332</v>
      </c>
      <c r="AK55" t="s">
        <v>240</v>
      </c>
      <c r="AL55" t="s">
        <v>1344</v>
      </c>
      <c r="AM55">
        <v>0</v>
      </c>
      <c r="AN55">
        <v>0</v>
      </c>
      <c r="AO55">
        <v>0</v>
      </c>
      <c r="AP55">
        <v>1</v>
      </c>
    </row>
    <row r="56" spans="12:42" x14ac:dyDescent="0.2">
      <c r="L56">
        <f t="shared" si="0"/>
        <v>0</v>
      </c>
      <c r="AE56" t="s">
        <v>456</v>
      </c>
      <c r="AF56" t="s">
        <v>0</v>
      </c>
      <c r="AG56">
        <v>99</v>
      </c>
      <c r="AH56" t="s">
        <v>1283</v>
      </c>
      <c r="AI56" t="s">
        <v>1331</v>
      </c>
      <c r="AJ56" t="s">
        <v>1332</v>
      </c>
      <c r="AK56" t="s">
        <v>238</v>
      </c>
      <c r="AL56" t="s">
        <v>1338</v>
      </c>
      <c r="AM56">
        <v>0</v>
      </c>
      <c r="AN56">
        <v>0</v>
      </c>
      <c r="AO56">
        <v>0</v>
      </c>
      <c r="AP56">
        <v>1</v>
      </c>
    </row>
    <row r="57" spans="12:42" x14ac:dyDescent="0.2">
      <c r="L57">
        <f t="shared" si="0"/>
        <v>0</v>
      </c>
      <c r="AE57" t="s">
        <v>456</v>
      </c>
      <c r="AF57" t="s">
        <v>0</v>
      </c>
      <c r="AG57">
        <v>100</v>
      </c>
      <c r="AH57" t="s">
        <v>1283</v>
      </c>
      <c r="AI57" t="s">
        <v>1331</v>
      </c>
      <c r="AJ57" t="s">
        <v>2334</v>
      </c>
      <c r="AK57" t="s">
        <v>388</v>
      </c>
      <c r="AL57" t="s">
        <v>1332</v>
      </c>
      <c r="AM57">
        <v>0</v>
      </c>
      <c r="AN57">
        <v>0</v>
      </c>
      <c r="AO57">
        <v>0</v>
      </c>
      <c r="AP57">
        <v>1</v>
      </c>
    </row>
    <row r="58" spans="12:42" x14ac:dyDescent="0.2">
      <c r="L58">
        <f t="shared" si="0"/>
        <v>0</v>
      </c>
      <c r="AE58" t="s">
        <v>456</v>
      </c>
      <c r="AF58" t="s">
        <v>0</v>
      </c>
      <c r="AG58">
        <v>100</v>
      </c>
      <c r="AH58" t="s">
        <v>1283</v>
      </c>
      <c r="AI58" t="s">
        <v>1429</v>
      </c>
      <c r="AJ58" t="s">
        <v>1441</v>
      </c>
      <c r="AK58" t="s">
        <v>254</v>
      </c>
      <c r="AL58" t="s">
        <v>1430</v>
      </c>
      <c r="AM58">
        <v>0</v>
      </c>
      <c r="AN58">
        <v>0</v>
      </c>
      <c r="AO58">
        <v>0</v>
      </c>
      <c r="AP58">
        <v>1</v>
      </c>
    </row>
    <row r="59" spans="12:42" x14ac:dyDescent="0.2">
      <c r="L59">
        <f t="shared" si="0"/>
        <v>0</v>
      </c>
      <c r="AE59" t="s">
        <v>456</v>
      </c>
      <c r="AF59" t="s">
        <v>0</v>
      </c>
      <c r="AG59">
        <v>101</v>
      </c>
      <c r="AH59" t="s">
        <v>1283</v>
      </c>
      <c r="AI59" t="s">
        <v>1284</v>
      </c>
      <c r="AJ59" t="s">
        <v>1285</v>
      </c>
      <c r="AK59" t="s">
        <v>227</v>
      </c>
      <c r="AL59" t="s">
        <v>1281</v>
      </c>
      <c r="AM59">
        <v>0</v>
      </c>
      <c r="AN59">
        <v>0</v>
      </c>
      <c r="AO59">
        <v>0</v>
      </c>
      <c r="AP59">
        <v>1</v>
      </c>
    </row>
    <row r="60" spans="12:42" x14ac:dyDescent="0.2">
      <c r="L60">
        <f t="shared" si="0"/>
        <v>0</v>
      </c>
      <c r="AE60" t="s">
        <v>456</v>
      </c>
      <c r="AF60" t="s">
        <v>0</v>
      </c>
      <c r="AG60">
        <v>101</v>
      </c>
      <c r="AH60" t="s">
        <v>452</v>
      </c>
      <c r="AI60" t="s">
        <v>453</v>
      </c>
      <c r="AJ60" t="s">
        <v>1897</v>
      </c>
      <c r="AK60" t="s">
        <v>337</v>
      </c>
      <c r="AL60" t="s">
        <v>1895</v>
      </c>
      <c r="AM60">
        <v>0</v>
      </c>
      <c r="AN60">
        <v>0</v>
      </c>
      <c r="AO60">
        <v>0</v>
      </c>
      <c r="AP60">
        <v>1</v>
      </c>
    </row>
    <row r="61" spans="12:42" x14ac:dyDescent="0.2">
      <c r="L61">
        <f t="shared" si="0"/>
        <v>0</v>
      </c>
      <c r="AE61" t="s">
        <v>456</v>
      </c>
      <c r="AF61" t="s">
        <v>0</v>
      </c>
      <c r="AG61">
        <v>102</v>
      </c>
      <c r="AH61" t="s">
        <v>1283</v>
      </c>
      <c r="AI61" t="s">
        <v>1284</v>
      </c>
      <c r="AJ61" t="s">
        <v>1460</v>
      </c>
      <c r="AK61" t="s">
        <v>258</v>
      </c>
      <c r="AL61" t="s">
        <v>1459</v>
      </c>
      <c r="AM61">
        <v>0</v>
      </c>
      <c r="AN61">
        <v>0</v>
      </c>
      <c r="AO61">
        <v>0</v>
      </c>
      <c r="AP61">
        <v>1</v>
      </c>
    </row>
    <row r="62" spans="12:42" x14ac:dyDescent="0.2">
      <c r="L62">
        <f t="shared" si="0"/>
        <v>0</v>
      </c>
      <c r="AE62" t="s">
        <v>456</v>
      </c>
      <c r="AF62" t="s">
        <v>0</v>
      </c>
      <c r="AG62">
        <v>102</v>
      </c>
      <c r="AH62" t="s">
        <v>1283</v>
      </c>
      <c r="AI62" t="s">
        <v>1284</v>
      </c>
      <c r="AJ62" t="s">
        <v>1484</v>
      </c>
      <c r="AK62" t="s">
        <v>262</v>
      </c>
      <c r="AL62" t="s">
        <v>1483</v>
      </c>
      <c r="AM62">
        <v>0</v>
      </c>
      <c r="AN62">
        <v>0</v>
      </c>
      <c r="AO62">
        <v>0</v>
      </c>
      <c r="AP62">
        <v>1</v>
      </c>
    </row>
    <row r="63" spans="12:42" x14ac:dyDescent="0.2">
      <c r="L63">
        <f t="shared" si="0"/>
        <v>0</v>
      </c>
      <c r="AE63" t="s">
        <v>456</v>
      </c>
      <c r="AF63" t="s">
        <v>0</v>
      </c>
      <c r="AG63">
        <v>103</v>
      </c>
      <c r="AH63" t="s">
        <v>1283</v>
      </c>
      <c r="AI63" t="s">
        <v>1284</v>
      </c>
      <c r="AJ63" t="s">
        <v>1402</v>
      </c>
      <c r="AK63" t="s">
        <v>249</v>
      </c>
      <c r="AL63" t="s">
        <v>1400</v>
      </c>
      <c r="AM63">
        <v>0</v>
      </c>
      <c r="AN63">
        <v>0</v>
      </c>
      <c r="AO63">
        <v>0</v>
      </c>
      <c r="AP63">
        <v>1</v>
      </c>
    </row>
    <row r="64" spans="12:42" x14ac:dyDescent="0.2">
      <c r="L64">
        <f t="shared" si="0"/>
        <v>0</v>
      </c>
      <c r="AE64" t="s">
        <v>456</v>
      </c>
      <c r="AF64" t="s">
        <v>0</v>
      </c>
      <c r="AG64">
        <v>103</v>
      </c>
      <c r="AH64" t="s">
        <v>1283</v>
      </c>
      <c r="AI64" t="s">
        <v>1284</v>
      </c>
      <c r="AJ64" t="s">
        <v>1448</v>
      </c>
      <c r="AK64" t="s">
        <v>255</v>
      </c>
      <c r="AL64" t="s">
        <v>1446</v>
      </c>
      <c r="AM64">
        <v>0</v>
      </c>
      <c r="AN64">
        <v>0</v>
      </c>
      <c r="AO64">
        <v>0</v>
      </c>
      <c r="AP64">
        <v>1</v>
      </c>
    </row>
    <row r="65" spans="12:42" x14ac:dyDescent="0.2">
      <c r="L65">
        <f t="shared" si="0"/>
        <v>0</v>
      </c>
      <c r="AE65" t="s">
        <v>456</v>
      </c>
      <c r="AF65" t="s">
        <v>0</v>
      </c>
      <c r="AG65">
        <v>104</v>
      </c>
      <c r="AH65" t="s">
        <v>1283</v>
      </c>
      <c r="AI65" t="s">
        <v>1284</v>
      </c>
      <c r="AJ65" t="s">
        <v>1367</v>
      </c>
      <c r="AK65" t="s">
        <v>243</v>
      </c>
      <c r="AL65" t="s">
        <v>1365</v>
      </c>
      <c r="AM65">
        <v>0</v>
      </c>
      <c r="AN65">
        <v>0</v>
      </c>
      <c r="AO65">
        <v>0</v>
      </c>
      <c r="AP65">
        <v>1</v>
      </c>
    </row>
    <row r="66" spans="12:42" x14ac:dyDescent="0.2">
      <c r="L66">
        <f t="shared" si="0"/>
        <v>0</v>
      </c>
      <c r="AE66" t="s">
        <v>456</v>
      </c>
      <c r="AF66" t="s">
        <v>0</v>
      </c>
      <c r="AG66">
        <v>104</v>
      </c>
      <c r="AH66" t="s">
        <v>1989</v>
      </c>
      <c r="AI66" t="s">
        <v>1990</v>
      </c>
      <c r="AJ66" t="s">
        <v>1991</v>
      </c>
      <c r="AK66" t="s">
        <v>351</v>
      </c>
      <c r="AL66" t="s">
        <v>1987</v>
      </c>
      <c r="AM66">
        <v>0</v>
      </c>
      <c r="AN66">
        <v>0</v>
      </c>
      <c r="AO66">
        <v>0</v>
      </c>
      <c r="AP66">
        <v>1</v>
      </c>
    </row>
    <row r="67" spans="12:42" x14ac:dyDescent="0.2">
      <c r="L67">
        <f t="shared" si="0"/>
        <v>0</v>
      </c>
      <c r="AE67" t="s">
        <v>456</v>
      </c>
      <c r="AF67" t="s">
        <v>0</v>
      </c>
      <c r="AG67">
        <v>116</v>
      </c>
      <c r="AH67" t="s">
        <v>2107</v>
      </c>
      <c r="AI67" t="s">
        <v>2108</v>
      </c>
      <c r="AJ67" t="s">
        <v>2109</v>
      </c>
      <c r="AK67" t="s">
        <v>370</v>
      </c>
      <c r="AL67" t="s">
        <v>2106</v>
      </c>
      <c r="AM67">
        <v>0</v>
      </c>
      <c r="AN67">
        <v>0</v>
      </c>
      <c r="AO67">
        <v>0</v>
      </c>
      <c r="AP67">
        <v>1</v>
      </c>
    </row>
    <row r="68" spans="12:42" x14ac:dyDescent="0.2">
      <c r="L68">
        <f t="shared" ref="L68:L131" si="1">IF(E68="",0,IF(I68=1,0.5,1))</f>
        <v>0</v>
      </c>
      <c r="AE68" t="s">
        <v>456</v>
      </c>
      <c r="AF68" t="s">
        <v>0</v>
      </c>
      <c r="AG68">
        <v>116</v>
      </c>
      <c r="AH68" t="s">
        <v>2107</v>
      </c>
      <c r="AI68" t="s">
        <v>2108</v>
      </c>
      <c r="AJ68" t="s">
        <v>2109</v>
      </c>
      <c r="AK68" t="s">
        <v>371</v>
      </c>
      <c r="AL68" t="s">
        <v>2114</v>
      </c>
      <c r="AM68">
        <v>0</v>
      </c>
      <c r="AN68">
        <v>0</v>
      </c>
      <c r="AO68">
        <v>0</v>
      </c>
      <c r="AP68">
        <v>1</v>
      </c>
    </row>
    <row r="69" spans="12:42" x14ac:dyDescent="0.2">
      <c r="L69">
        <f t="shared" si="1"/>
        <v>0</v>
      </c>
      <c r="AE69" t="s">
        <v>456</v>
      </c>
      <c r="AF69" t="s">
        <v>0</v>
      </c>
      <c r="AG69">
        <v>117</v>
      </c>
      <c r="AH69" t="s">
        <v>452</v>
      </c>
      <c r="AI69" t="s">
        <v>2026</v>
      </c>
      <c r="AJ69" t="s">
        <v>2075</v>
      </c>
      <c r="AK69" t="s">
        <v>366</v>
      </c>
      <c r="AL69" t="s">
        <v>2074</v>
      </c>
      <c r="AM69">
        <v>0</v>
      </c>
      <c r="AN69">
        <v>0</v>
      </c>
      <c r="AO69">
        <v>0</v>
      </c>
      <c r="AP69">
        <v>1</v>
      </c>
    </row>
    <row r="70" spans="12:42" x14ac:dyDescent="0.2">
      <c r="L70">
        <f t="shared" si="1"/>
        <v>0</v>
      </c>
      <c r="AE70" t="s">
        <v>456</v>
      </c>
      <c r="AF70" t="s">
        <v>0</v>
      </c>
      <c r="AG70">
        <v>117</v>
      </c>
      <c r="AH70" t="s">
        <v>452</v>
      </c>
      <c r="AI70" t="s">
        <v>2026</v>
      </c>
      <c r="AJ70" t="s">
        <v>2075</v>
      </c>
      <c r="AK70" t="s">
        <v>368</v>
      </c>
      <c r="AL70" t="s">
        <v>2087</v>
      </c>
      <c r="AM70">
        <v>0</v>
      </c>
      <c r="AN70">
        <v>0</v>
      </c>
      <c r="AO70">
        <v>0</v>
      </c>
      <c r="AP70">
        <v>1</v>
      </c>
    </row>
    <row r="71" spans="12:42" x14ac:dyDescent="0.2">
      <c r="L71">
        <f t="shared" si="1"/>
        <v>0</v>
      </c>
      <c r="AE71" t="s">
        <v>456</v>
      </c>
      <c r="AF71" t="s">
        <v>0</v>
      </c>
      <c r="AG71">
        <v>118</v>
      </c>
      <c r="AH71" t="s">
        <v>452</v>
      </c>
      <c r="AI71" t="s">
        <v>2026</v>
      </c>
      <c r="AJ71" t="s">
        <v>2027</v>
      </c>
      <c r="AK71" t="s">
        <v>357</v>
      </c>
      <c r="AL71" t="s">
        <v>2025</v>
      </c>
      <c r="AM71">
        <v>0</v>
      </c>
      <c r="AN71">
        <v>0</v>
      </c>
      <c r="AO71">
        <v>0</v>
      </c>
      <c r="AP71">
        <v>1</v>
      </c>
    </row>
    <row r="72" spans="12:42" x14ac:dyDescent="0.2">
      <c r="L72">
        <f t="shared" si="1"/>
        <v>0</v>
      </c>
      <c r="AE72" t="s">
        <v>456</v>
      </c>
      <c r="AF72" t="s">
        <v>0</v>
      </c>
      <c r="AG72">
        <v>118</v>
      </c>
      <c r="AH72" t="s">
        <v>452</v>
      </c>
      <c r="AI72" t="s">
        <v>2026</v>
      </c>
      <c r="AJ72" t="s">
        <v>2050</v>
      </c>
      <c r="AK72" t="s">
        <v>362</v>
      </c>
      <c r="AL72" t="s">
        <v>2055</v>
      </c>
      <c r="AM72">
        <v>0</v>
      </c>
      <c r="AN72">
        <v>0</v>
      </c>
      <c r="AO72">
        <v>0</v>
      </c>
      <c r="AP72">
        <v>1</v>
      </c>
    </row>
    <row r="73" spans="12:42" x14ac:dyDescent="0.2">
      <c r="L73">
        <f t="shared" si="1"/>
        <v>0</v>
      </c>
      <c r="AE73" t="s">
        <v>456</v>
      </c>
      <c r="AF73" t="s">
        <v>0</v>
      </c>
      <c r="AG73">
        <v>119</v>
      </c>
      <c r="AH73" t="s">
        <v>452</v>
      </c>
      <c r="AI73" t="s">
        <v>2026</v>
      </c>
      <c r="AJ73" t="s">
        <v>2035</v>
      </c>
      <c r="AK73" t="s">
        <v>358</v>
      </c>
      <c r="AL73" t="s">
        <v>2033</v>
      </c>
      <c r="AM73">
        <v>0</v>
      </c>
      <c r="AN73">
        <v>0</v>
      </c>
      <c r="AO73">
        <v>0</v>
      </c>
      <c r="AP73">
        <v>1</v>
      </c>
    </row>
    <row r="74" spans="12:42" x14ac:dyDescent="0.2">
      <c r="L74">
        <f t="shared" si="1"/>
        <v>0</v>
      </c>
      <c r="AE74" t="s">
        <v>456</v>
      </c>
      <c r="AF74" t="s">
        <v>0</v>
      </c>
      <c r="AG74">
        <v>119</v>
      </c>
      <c r="AH74" t="s">
        <v>452</v>
      </c>
      <c r="AI74" t="s">
        <v>2026</v>
      </c>
      <c r="AJ74" t="s">
        <v>2050</v>
      </c>
      <c r="AK74" t="s">
        <v>363</v>
      </c>
      <c r="AL74" t="s">
        <v>2061</v>
      </c>
      <c r="AM74">
        <v>0</v>
      </c>
      <c r="AN74">
        <v>0</v>
      </c>
      <c r="AO74">
        <v>0</v>
      </c>
      <c r="AP74">
        <v>1</v>
      </c>
    </row>
    <row r="75" spans="12:42" x14ac:dyDescent="0.2">
      <c r="L75">
        <f t="shared" si="1"/>
        <v>0</v>
      </c>
      <c r="AE75" t="s">
        <v>456</v>
      </c>
      <c r="AF75" t="s">
        <v>0</v>
      </c>
      <c r="AG75">
        <v>122</v>
      </c>
      <c r="AH75" t="s">
        <v>2011</v>
      </c>
      <c r="AI75" t="s">
        <v>2012</v>
      </c>
      <c r="AJ75" t="s">
        <v>2013</v>
      </c>
      <c r="AK75" t="s">
        <v>354</v>
      </c>
      <c r="AL75" t="s">
        <v>2009</v>
      </c>
      <c r="AM75">
        <v>0</v>
      </c>
      <c r="AN75">
        <v>0</v>
      </c>
      <c r="AO75">
        <v>0</v>
      </c>
      <c r="AP75">
        <v>1</v>
      </c>
    </row>
    <row r="76" spans="12:42" x14ac:dyDescent="0.2">
      <c r="L76">
        <f t="shared" si="1"/>
        <v>0</v>
      </c>
      <c r="AE76" t="s">
        <v>456</v>
      </c>
      <c r="AF76" t="s">
        <v>0</v>
      </c>
      <c r="AG76">
        <v>122</v>
      </c>
      <c r="AH76" t="s">
        <v>2011</v>
      </c>
      <c r="AI76" t="s">
        <v>2012</v>
      </c>
      <c r="AJ76" t="s">
        <v>2102</v>
      </c>
      <c r="AK76" t="s">
        <v>369</v>
      </c>
      <c r="AL76" t="s">
        <v>2100</v>
      </c>
      <c r="AM76">
        <v>0</v>
      </c>
      <c r="AN76">
        <v>0</v>
      </c>
      <c r="AO76">
        <v>0</v>
      </c>
      <c r="AP76">
        <v>1</v>
      </c>
    </row>
    <row r="77" spans="12:42" x14ac:dyDescent="0.2">
      <c r="L77">
        <f t="shared" si="1"/>
        <v>0</v>
      </c>
      <c r="AE77" t="s">
        <v>456</v>
      </c>
      <c r="AF77" t="s">
        <v>0</v>
      </c>
      <c r="AG77">
        <v>123</v>
      </c>
      <c r="AH77" t="s">
        <v>1989</v>
      </c>
      <c r="AI77" t="s">
        <v>1990</v>
      </c>
      <c r="AJ77" t="s">
        <v>1991</v>
      </c>
      <c r="AK77" t="s">
        <v>353</v>
      </c>
      <c r="AL77" t="s">
        <v>2003</v>
      </c>
      <c r="AM77">
        <v>0</v>
      </c>
      <c r="AN77">
        <v>0</v>
      </c>
      <c r="AO77">
        <v>0</v>
      </c>
      <c r="AP77">
        <v>1</v>
      </c>
    </row>
    <row r="78" spans="12:42" x14ac:dyDescent="0.2">
      <c r="L78">
        <f t="shared" si="1"/>
        <v>0</v>
      </c>
      <c r="AE78" t="s">
        <v>456</v>
      </c>
      <c r="AF78" t="s">
        <v>0</v>
      </c>
      <c r="AG78">
        <v>123</v>
      </c>
      <c r="AH78" t="s">
        <v>1989</v>
      </c>
      <c r="AI78" t="s">
        <v>1990</v>
      </c>
      <c r="AJ78" t="s">
        <v>1991</v>
      </c>
      <c r="AK78" t="s">
        <v>352</v>
      </c>
      <c r="AL78" t="s">
        <v>1997</v>
      </c>
      <c r="AM78">
        <v>0</v>
      </c>
      <c r="AN78">
        <v>0</v>
      </c>
      <c r="AO78">
        <v>0</v>
      </c>
      <c r="AP78">
        <v>1</v>
      </c>
    </row>
    <row r="79" spans="12:42" x14ac:dyDescent="0.2">
      <c r="L79">
        <f t="shared" si="1"/>
        <v>0</v>
      </c>
      <c r="AE79" t="s">
        <v>456</v>
      </c>
      <c r="AF79" t="s">
        <v>0</v>
      </c>
      <c r="AG79">
        <v>124</v>
      </c>
      <c r="AH79" t="s">
        <v>2380</v>
      </c>
      <c r="AI79" t="s">
        <v>1924</v>
      </c>
      <c r="AJ79" t="s">
        <v>1925</v>
      </c>
      <c r="AK79" t="s">
        <v>341</v>
      </c>
      <c r="AL79" t="s">
        <v>1922</v>
      </c>
      <c r="AM79">
        <v>0</v>
      </c>
      <c r="AN79">
        <v>0</v>
      </c>
      <c r="AO79">
        <v>0</v>
      </c>
      <c r="AP79">
        <v>1</v>
      </c>
    </row>
    <row r="80" spans="12:42" x14ac:dyDescent="0.2">
      <c r="L80">
        <f t="shared" si="1"/>
        <v>0</v>
      </c>
      <c r="AE80" t="s">
        <v>456</v>
      </c>
      <c r="AF80" t="s">
        <v>0</v>
      </c>
      <c r="AG80">
        <v>124</v>
      </c>
      <c r="AH80" t="s">
        <v>1498</v>
      </c>
      <c r="AI80" t="s">
        <v>1910</v>
      </c>
      <c r="AJ80" t="s">
        <v>1911</v>
      </c>
      <c r="AK80" t="s">
        <v>339</v>
      </c>
      <c r="AL80" t="s">
        <v>1908</v>
      </c>
      <c r="AM80">
        <v>0</v>
      </c>
      <c r="AN80">
        <v>0</v>
      </c>
      <c r="AO80">
        <v>0</v>
      </c>
      <c r="AP80">
        <v>1</v>
      </c>
    </row>
    <row r="81" spans="12:42" x14ac:dyDescent="0.2">
      <c r="L81">
        <f t="shared" si="1"/>
        <v>0</v>
      </c>
      <c r="AE81" t="s">
        <v>456</v>
      </c>
      <c r="AF81" t="s">
        <v>0</v>
      </c>
      <c r="AG81">
        <v>125</v>
      </c>
      <c r="AH81" t="s">
        <v>1498</v>
      </c>
      <c r="AI81" t="s">
        <v>1903</v>
      </c>
      <c r="AJ81" t="s">
        <v>1620</v>
      </c>
      <c r="AK81" t="s">
        <v>338</v>
      </c>
      <c r="AL81" t="s">
        <v>1901</v>
      </c>
      <c r="AM81">
        <v>0</v>
      </c>
      <c r="AN81">
        <v>0</v>
      </c>
      <c r="AO81">
        <v>0</v>
      </c>
      <c r="AP81">
        <v>1</v>
      </c>
    </row>
    <row r="82" spans="12:42" x14ac:dyDescent="0.2">
      <c r="L82">
        <f t="shared" si="1"/>
        <v>0</v>
      </c>
      <c r="AE82" t="s">
        <v>456</v>
      </c>
      <c r="AF82" t="s">
        <v>0</v>
      </c>
      <c r="AG82">
        <v>125</v>
      </c>
      <c r="AH82" t="s">
        <v>1414</v>
      </c>
      <c r="AI82" t="s">
        <v>1415</v>
      </c>
      <c r="AJ82" t="s">
        <v>900</v>
      </c>
      <c r="AK82" t="s">
        <v>250</v>
      </c>
      <c r="AL82" t="s">
        <v>1412</v>
      </c>
      <c r="AM82">
        <v>0</v>
      </c>
      <c r="AN82">
        <v>0</v>
      </c>
      <c r="AO82">
        <v>0</v>
      </c>
      <c r="AP82">
        <v>1</v>
      </c>
    </row>
    <row r="83" spans="12:42" x14ac:dyDescent="0.2">
      <c r="L83">
        <f t="shared" si="1"/>
        <v>0</v>
      </c>
      <c r="AE83" t="s">
        <v>456</v>
      </c>
      <c r="AF83" t="s">
        <v>0</v>
      </c>
      <c r="AG83">
        <v>126</v>
      </c>
      <c r="AH83" t="s">
        <v>1498</v>
      </c>
      <c r="AI83" t="s">
        <v>1697</v>
      </c>
      <c r="AJ83" t="s">
        <v>1508</v>
      </c>
      <c r="AK83" t="s">
        <v>347</v>
      </c>
      <c r="AL83" t="s">
        <v>1963</v>
      </c>
      <c r="AM83">
        <v>0</v>
      </c>
      <c r="AN83">
        <v>0</v>
      </c>
      <c r="AO83">
        <v>0</v>
      </c>
      <c r="AP83">
        <v>1</v>
      </c>
    </row>
    <row r="84" spans="12:42" x14ac:dyDescent="0.2">
      <c r="L84">
        <f t="shared" si="1"/>
        <v>0</v>
      </c>
      <c r="AE84" t="s">
        <v>456</v>
      </c>
      <c r="AF84" t="s">
        <v>0</v>
      </c>
      <c r="AG84">
        <v>126</v>
      </c>
      <c r="AH84" t="s">
        <v>1498</v>
      </c>
      <c r="AI84" t="s">
        <v>1697</v>
      </c>
      <c r="AJ84" t="s">
        <v>1527</v>
      </c>
      <c r="AK84" t="s">
        <v>349</v>
      </c>
      <c r="AL84" t="s">
        <v>1972</v>
      </c>
      <c r="AM84">
        <v>0</v>
      </c>
      <c r="AN84">
        <v>0</v>
      </c>
      <c r="AO84">
        <v>0</v>
      </c>
      <c r="AP84">
        <v>1</v>
      </c>
    </row>
    <row r="85" spans="12:42" x14ac:dyDescent="0.2">
      <c r="L85">
        <f t="shared" si="1"/>
        <v>0</v>
      </c>
      <c r="AE85" t="s">
        <v>456</v>
      </c>
      <c r="AF85" t="s">
        <v>0</v>
      </c>
      <c r="AG85">
        <v>127</v>
      </c>
      <c r="AH85" t="s">
        <v>1498</v>
      </c>
      <c r="AI85" t="s">
        <v>1697</v>
      </c>
      <c r="AJ85" t="s">
        <v>1527</v>
      </c>
      <c r="AK85" t="s">
        <v>348</v>
      </c>
      <c r="AL85" t="s">
        <v>1967</v>
      </c>
      <c r="AM85">
        <v>0</v>
      </c>
      <c r="AN85">
        <v>0</v>
      </c>
      <c r="AO85">
        <v>0</v>
      </c>
      <c r="AP85">
        <v>1</v>
      </c>
    </row>
    <row r="86" spans="12:42" x14ac:dyDescent="0.2">
      <c r="L86">
        <f t="shared" si="1"/>
        <v>0</v>
      </c>
      <c r="AE86" t="s">
        <v>456</v>
      </c>
      <c r="AF86" t="s">
        <v>0</v>
      </c>
      <c r="AG86">
        <v>127</v>
      </c>
      <c r="AH86" t="s">
        <v>1498</v>
      </c>
      <c r="AI86" t="s">
        <v>1507</v>
      </c>
      <c r="AJ86" t="s">
        <v>1690</v>
      </c>
      <c r="AK86" t="s">
        <v>294</v>
      </c>
      <c r="AL86" t="s">
        <v>1688</v>
      </c>
      <c r="AM86">
        <v>0</v>
      </c>
      <c r="AN86">
        <v>0</v>
      </c>
      <c r="AO86">
        <v>0</v>
      </c>
      <c r="AP86">
        <v>1</v>
      </c>
    </row>
    <row r="87" spans="12:42" x14ac:dyDescent="0.2">
      <c r="L87">
        <f t="shared" si="1"/>
        <v>0</v>
      </c>
      <c r="AE87" t="s">
        <v>456</v>
      </c>
      <c r="AF87" t="s">
        <v>0</v>
      </c>
      <c r="AG87">
        <v>128</v>
      </c>
      <c r="AH87" t="s">
        <v>452</v>
      </c>
      <c r="AI87" t="s">
        <v>1705</v>
      </c>
      <c r="AJ87" t="s">
        <v>1706</v>
      </c>
      <c r="AK87" t="s">
        <v>296</v>
      </c>
      <c r="AL87" t="s">
        <v>1702</v>
      </c>
      <c r="AM87">
        <v>0</v>
      </c>
      <c r="AN87">
        <v>0</v>
      </c>
      <c r="AO87">
        <v>0</v>
      </c>
      <c r="AP87">
        <v>1</v>
      </c>
    </row>
    <row r="88" spans="12:42" x14ac:dyDescent="0.2">
      <c r="L88">
        <f t="shared" si="1"/>
        <v>0</v>
      </c>
      <c r="AE88" t="s">
        <v>456</v>
      </c>
      <c r="AF88" t="s">
        <v>0</v>
      </c>
      <c r="AG88">
        <v>128</v>
      </c>
      <c r="AH88" t="s">
        <v>1498</v>
      </c>
      <c r="AI88" t="s">
        <v>1697</v>
      </c>
      <c r="AJ88" t="s">
        <v>1634</v>
      </c>
      <c r="AK88" t="s">
        <v>295</v>
      </c>
      <c r="AL88" t="s">
        <v>1696</v>
      </c>
      <c r="AM88">
        <v>0</v>
      </c>
      <c r="AN88">
        <v>0</v>
      </c>
      <c r="AO88">
        <v>0</v>
      </c>
      <c r="AP88">
        <v>1</v>
      </c>
    </row>
    <row r="89" spans="12:42" x14ac:dyDescent="0.2">
      <c r="L89">
        <f t="shared" si="1"/>
        <v>0</v>
      </c>
      <c r="AE89" t="s">
        <v>456</v>
      </c>
      <c r="AF89" t="s">
        <v>0</v>
      </c>
      <c r="AG89">
        <v>129</v>
      </c>
      <c r="AH89" t="s">
        <v>1498</v>
      </c>
      <c r="AI89" t="s">
        <v>1507</v>
      </c>
      <c r="AJ89" t="s">
        <v>1634</v>
      </c>
      <c r="AK89" t="s">
        <v>285</v>
      </c>
      <c r="AL89" t="s">
        <v>1633</v>
      </c>
      <c r="AM89">
        <v>0</v>
      </c>
      <c r="AN89">
        <v>0</v>
      </c>
      <c r="AO89">
        <v>0</v>
      </c>
      <c r="AP89">
        <v>1</v>
      </c>
    </row>
    <row r="90" spans="12:42" x14ac:dyDescent="0.2">
      <c r="L90">
        <f t="shared" si="1"/>
        <v>0</v>
      </c>
      <c r="AE90" t="s">
        <v>456</v>
      </c>
      <c r="AF90" t="s">
        <v>0</v>
      </c>
      <c r="AG90">
        <v>129</v>
      </c>
      <c r="AH90" t="s">
        <v>1498</v>
      </c>
      <c r="AI90" t="s">
        <v>1515</v>
      </c>
      <c r="AJ90" t="s">
        <v>1648</v>
      </c>
      <c r="AK90" t="s">
        <v>290</v>
      </c>
      <c r="AL90" t="s">
        <v>1667</v>
      </c>
      <c r="AM90">
        <v>0</v>
      </c>
      <c r="AN90">
        <v>0</v>
      </c>
      <c r="AO90">
        <v>0</v>
      </c>
      <c r="AP90">
        <v>1</v>
      </c>
    </row>
    <row r="91" spans="12:42" x14ac:dyDescent="0.2">
      <c r="L91">
        <f t="shared" si="1"/>
        <v>0</v>
      </c>
      <c r="AE91" t="s">
        <v>456</v>
      </c>
      <c r="AF91" t="s">
        <v>0</v>
      </c>
      <c r="AG91">
        <v>130</v>
      </c>
      <c r="AH91" t="s">
        <v>1498</v>
      </c>
      <c r="AI91" t="s">
        <v>1507</v>
      </c>
      <c r="AJ91" t="s">
        <v>1527</v>
      </c>
      <c r="AK91" t="s">
        <v>269</v>
      </c>
      <c r="AL91" t="s">
        <v>1532</v>
      </c>
      <c r="AM91">
        <v>0</v>
      </c>
      <c r="AN91">
        <v>0</v>
      </c>
      <c r="AO91">
        <v>0</v>
      </c>
      <c r="AP91">
        <v>1</v>
      </c>
    </row>
    <row r="92" spans="12:42" x14ac:dyDescent="0.2">
      <c r="L92">
        <f t="shared" si="1"/>
        <v>0</v>
      </c>
      <c r="AE92" t="s">
        <v>456</v>
      </c>
      <c r="AF92" t="s">
        <v>0</v>
      </c>
      <c r="AG92">
        <v>130</v>
      </c>
      <c r="AH92" t="s">
        <v>1498</v>
      </c>
      <c r="AI92" t="s">
        <v>1515</v>
      </c>
      <c r="AJ92" t="s">
        <v>1545</v>
      </c>
      <c r="AK92" t="s">
        <v>274</v>
      </c>
      <c r="AL92" t="s">
        <v>1563</v>
      </c>
      <c r="AM92">
        <v>0</v>
      </c>
      <c r="AN92">
        <v>0</v>
      </c>
      <c r="AO92">
        <v>0</v>
      </c>
      <c r="AP92">
        <v>1</v>
      </c>
    </row>
    <row r="93" spans="12:42" x14ac:dyDescent="0.2">
      <c r="L93">
        <f t="shared" si="1"/>
        <v>0</v>
      </c>
      <c r="AE93" t="s">
        <v>456</v>
      </c>
      <c r="AF93" t="s">
        <v>0</v>
      </c>
      <c r="AG93">
        <v>131</v>
      </c>
      <c r="AH93" t="s">
        <v>1498</v>
      </c>
      <c r="AI93" t="s">
        <v>1526</v>
      </c>
      <c r="AJ93" t="s">
        <v>1527</v>
      </c>
      <c r="AK93" t="s">
        <v>268</v>
      </c>
      <c r="AL93" t="s">
        <v>1523</v>
      </c>
      <c r="AM93">
        <v>0</v>
      </c>
      <c r="AN93">
        <v>0</v>
      </c>
      <c r="AO93">
        <v>0</v>
      </c>
      <c r="AP93">
        <v>1</v>
      </c>
    </row>
    <row r="94" spans="12:42" x14ac:dyDescent="0.2">
      <c r="L94">
        <f t="shared" si="1"/>
        <v>0</v>
      </c>
      <c r="AE94" t="s">
        <v>456</v>
      </c>
      <c r="AF94" t="s">
        <v>0</v>
      </c>
      <c r="AG94">
        <v>131</v>
      </c>
      <c r="AH94" t="s">
        <v>1498</v>
      </c>
      <c r="AI94" t="s">
        <v>1507</v>
      </c>
      <c r="AJ94" t="s">
        <v>1508</v>
      </c>
      <c r="AK94" t="s">
        <v>265</v>
      </c>
      <c r="AL94" t="s">
        <v>1505</v>
      </c>
      <c r="AM94">
        <v>0</v>
      </c>
      <c r="AN94">
        <v>0</v>
      </c>
      <c r="AO94">
        <v>0</v>
      </c>
      <c r="AP94">
        <v>1</v>
      </c>
    </row>
    <row r="95" spans="12:42" x14ac:dyDescent="0.2">
      <c r="L95">
        <f t="shared" si="1"/>
        <v>0</v>
      </c>
      <c r="AE95" t="s">
        <v>456</v>
      </c>
      <c r="AF95" t="s">
        <v>458</v>
      </c>
      <c r="AG95">
        <v>43</v>
      </c>
      <c r="AH95" t="s">
        <v>452</v>
      </c>
      <c r="AI95" t="s">
        <v>453</v>
      </c>
      <c r="AJ95" t="s">
        <v>959</v>
      </c>
      <c r="AK95" t="s">
        <v>170</v>
      </c>
      <c r="AL95" t="s">
        <v>1061</v>
      </c>
      <c r="AM95">
        <v>0</v>
      </c>
      <c r="AN95">
        <v>1</v>
      </c>
      <c r="AO95">
        <v>1</v>
      </c>
      <c r="AP95">
        <v>2</v>
      </c>
    </row>
    <row r="96" spans="12:42" x14ac:dyDescent="0.2">
      <c r="L96">
        <f t="shared" si="1"/>
        <v>0</v>
      </c>
      <c r="AE96" t="s">
        <v>456</v>
      </c>
      <c r="AF96" t="s">
        <v>458</v>
      </c>
      <c r="AG96">
        <v>105</v>
      </c>
      <c r="AH96" t="s">
        <v>1283</v>
      </c>
      <c r="AI96" t="s">
        <v>1284</v>
      </c>
      <c r="AJ96" t="s">
        <v>1396</v>
      </c>
      <c r="AK96" t="s">
        <v>247</v>
      </c>
      <c r="AL96" t="s">
        <v>1394</v>
      </c>
      <c r="AM96">
        <v>0</v>
      </c>
      <c r="AN96">
        <v>1</v>
      </c>
      <c r="AO96">
        <v>1</v>
      </c>
      <c r="AP96">
        <v>2</v>
      </c>
    </row>
    <row r="97" spans="12:42" x14ac:dyDescent="0.2">
      <c r="L97">
        <f t="shared" si="1"/>
        <v>0</v>
      </c>
      <c r="AE97" t="s">
        <v>456</v>
      </c>
      <c r="AF97" t="s">
        <v>458</v>
      </c>
      <c r="AG97">
        <v>120</v>
      </c>
      <c r="AH97" t="s">
        <v>452</v>
      </c>
      <c r="AI97" t="s">
        <v>2026</v>
      </c>
      <c r="AJ97" t="s">
        <v>2050</v>
      </c>
      <c r="AK97" t="s">
        <v>364</v>
      </c>
      <c r="AL97" t="s">
        <v>2068</v>
      </c>
      <c r="AM97">
        <v>0</v>
      </c>
      <c r="AN97">
        <v>1</v>
      </c>
      <c r="AO97">
        <v>1</v>
      </c>
      <c r="AP97">
        <v>2</v>
      </c>
    </row>
    <row r="98" spans="12:42" x14ac:dyDescent="0.2">
      <c r="L98">
        <f t="shared" si="1"/>
        <v>0</v>
      </c>
      <c r="AE98" t="s">
        <v>456</v>
      </c>
      <c r="AF98" t="s">
        <v>458</v>
      </c>
      <c r="AG98">
        <v>121</v>
      </c>
      <c r="AH98" t="s">
        <v>452</v>
      </c>
      <c r="AI98" t="s">
        <v>2026</v>
      </c>
      <c r="AJ98" t="s">
        <v>2050</v>
      </c>
      <c r="AK98" t="s">
        <v>360</v>
      </c>
      <c r="AL98" t="s">
        <v>2048</v>
      </c>
      <c r="AM98">
        <v>0</v>
      </c>
      <c r="AN98">
        <v>1</v>
      </c>
      <c r="AO98">
        <v>1</v>
      </c>
      <c r="AP98">
        <v>2</v>
      </c>
    </row>
    <row r="99" spans="12:42" x14ac:dyDescent="0.2">
      <c r="L99">
        <f t="shared" si="1"/>
        <v>0</v>
      </c>
      <c r="AE99" t="s">
        <v>513</v>
      </c>
      <c r="AF99" t="s">
        <v>0</v>
      </c>
      <c r="AG99">
        <v>3</v>
      </c>
      <c r="AH99" t="s">
        <v>452</v>
      </c>
      <c r="AI99" t="s">
        <v>453</v>
      </c>
      <c r="AJ99" t="s">
        <v>454</v>
      </c>
      <c r="AK99" t="s">
        <v>28</v>
      </c>
      <c r="AL99" t="s">
        <v>530</v>
      </c>
      <c r="AM99">
        <v>0</v>
      </c>
      <c r="AN99">
        <v>0</v>
      </c>
      <c r="AO99">
        <v>0</v>
      </c>
      <c r="AP99">
        <v>1</v>
      </c>
    </row>
    <row r="100" spans="12:42" x14ac:dyDescent="0.2">
      <c r="L100">
        <f t="shared" si="1"/>
        <v>0</v>
      </c>
      <c r="AE100" t="s">
        <v>513</v>
      </c>
      <c r="AF100" t="s">
        <v>0</v>
      </c>
      <c r="AG100">
        <v>3</v>
      </c>
      <c r="AH100" t="s">
        <v>452</v>
      </c>
      <c r="AI100" t="s">
        <v>453</v>
      </c>
      <c r="AJ100" t="s">
        <v>454</v>
      </c>
      <c r="AK100" t="s">
        <v>30</v>
      </c>
      <c r="AL100" t="s">
        <v>537</v>
      </c>
      <c r="AM100">
        <v>0</v>
      </c>
      <c r="AN100">
        <v>0</v>
      </c>
      <c r="AO100">
        <v>0</v>
      </c>
      <c r="AP100">
        <v>1</v>
      </c>
    </row>
    <row r="101" spans="12:42" x14ac:dyDescent="0.2">
      <c r="L101">
        <f t="shared" si="1"/>
        <v>0</v>
      </c>
      <c r="AE101" t="s">
        <v>513</v>
      </c>
      <c r="AF101" t="s">
        <v>0</v>
      </c>
      <c r="AG101">
        <v>4</v>
      </c>
      <c r="AH101" t="s">
        <v>452</v>
      </c>
      <c r="AI101" t="s">
        <v>453</v>
      </c>
      <c r="AJ101" t="s">
        <v>454</v>
      </c>
      <c r="AK101" t="s">
        <v>23</v>
      </c>
      <c r="AL101" t="s">
        <v>511</v>
      </c>
      <c r="AM101">
        <v>0</v>
      </c>
      <c r="AN101">
        <v>0</v>
      </c>
      <c r="AO101">
        <v>0</v>
      </c>
      <c r="AP101">
        <v>1</v>
      </c>
    </row>
    <row r="102" spans="12:42" x14ac:dyDescent="0.2">
      <c r="L102">
        <f t="shared" si="1"/>
        <v>0</v>
      </c>
      <c r="AE102" t="s">
        <v>513</v>
      </c>
      <c r="AF102" t="s">
        <v>0</v>
      </c>
      <c r="AG102">
        <v>4</v>
      </c>
      <c r="AH102" t="s">
        <v>452</v>
      </c>
      <c r="AI102" t="s">
        <v>453</v>
      </c>
      <c r="AJ102" t="s">
        <v>454</v>
      </c>
      <c r="AK102" t="s">
        <v>25</v>
      </c>
      <c r="AL102" t="s">
        <v>519</v>
      </c>
      <c r="AM102">
        <v>0</v>
      </c>
      <c r="AN102">
        <v>0</v>
      </c>
      <c r="AO102">
        <v>0</v>
      </c>
      <c r="AP102">
        <v>1</v>
      </c>
    </row>
    <row r="103" spans="12:42" x14ac:dyDescent="0.2">
      <c r="L103">
        <f t="shared" si="1"/>
        <v>0</v>
      </c>
      <c r="AE103" t="s">
        <v>513</v>
      </c>
      <c r="AF103" t="s">
        <v>0</v>
      </c>
      <c r="AG103">
        <v>5</v>
      </c>
      <c r="AH103" t="s">
        <v>452</v>
      </c>
      <c r="AI103" t="s">
        <v>453</v>
      </c>
      <c r="AJ103" t="s">
        <v>454</v>
      </c>
      <c r="AK103" t="s">
        <v>31</v>
      </c>
      <c r="AL103" t="s">
        <v>543</v>
      </c>
      <c r="AM103">
        <v>0</v>
      </c>
      <c r="AN103">
        <v>0</v>
      </c>
      <c r="AO103">
        <v>0</v>
      </c>
      <c r="AP103">
        <v>1</v>
      </c>
    </row>
    <row r="104" spans="12:42" x14ac:dyDescent="0.2">
      <c r="L104">
        <f t="shared" si="1"/>
        <v>0</v>
      </c>
      <c r="AE104" t="s">
        <v>513</v>
      </c>
      <c r="AF104" t="s">
        <v>0</v>
      </c>
      <c r="AG104">
        <v>5</v>
      </c>
      <c r="AH104" t="s">
        <v>452</v>
      </c>
      <c r="AI104" t="s">
        <v>453</v>
      </c>
      <c r="AJ104" t="s">
        <v>454</v>
      </c>
      <c r="AK104" t="s">
        <v>26</v>
      </c>
      <c r="AL104" t="s">
        <v>525</v>
      </c>
      <c r="AM104">
        <v>0</v>
      </c>
      <c r="AN104">
        <v>0</v>
      </c>
      <c r="AO104">
        <v>0</v>
      </c>
      <c r="AP104">
        <v>1</v>
      </c>
    </row>
    <row r="105" spans="12:42" x14ac:dyDescent="0.2">
      <c r="L105">
        <f t="shared" si="1"/>
        <v>0</v>
      </c>
      <c r="AE105" t="s">
        <v>513</v>
      </c>
      <c r="AF105" t="s">
        <v>0</v>
      </c>
      <c r="AG105">
        <v>6</v>
      </c>
      <c r="AH105" t="s">
        <v>452</v>
      </c>
      <c r="AI105" t="s">
        <v>453</v>
      </c>
      <c r="AJ105" t="s">
        <v>454</v>
      </c>
      <c r="AK105" t="s">
        <v>36</v>
      </c>
      <c r="AL105" t="s">
        <v>561</v>
      </c>
      <c r="AM105">
        <v>0</v>
      </c>
      <c r="AN105">
        <v>0</v>
      </c>
      <c r="AO105">
        <v>0</v>
      </c>
      <c r="AP105">
        <v>1</v>
      </c>
    </row>
    <row r="106" spans="12:42" x14ac:dyDescent="0.2">
      <c r="L106">
        <f t="shared" si="1"/>
        <v>0</v>
      </c>
      <c r="AE106" t="s">
        <v>513</v>
      </c>
      <c r="AF106" t="s">
        <v>0</v>
      </c>
      <c r="AG106">
        <v>6</v>
      </c>
      <c r="AH106" t="s">
        <v>452</v>
      </c>
      <c r="AI106" t="s">
        <v>453</v>
      </c>
      <c r="AJ106" t="s">
        <v>454</v>
      </c>
      <c r="AK106" t="s">
        <v>32</v>
      </c>
      <c r="AL106" t="s">
        <v>550</v>
      </c>
      <c r="AM106">
        <v>0</v>
      </c>
      <c r="AN106">
        <v>0</v>
      </c>
      <c r="AO106">
        <v>0</v>
      </c>
      <c r="AP106">
        <v>1</v>
      </c>
    </row>
    <row r="107" spans="12:42" x14ac:dyDescent="0.2">
      <c r="L107">
        <f t="shared" si="1"/>
        <v>0</v>
      </c>
      <c r="AE107" t="s">
        <v>513</v>
      </c>
      <c r="AF107" t="s">
        <v>0</v>
      </c>
      <c r="AG107">
        <v>7</v>
      </c>
      <c r="AH107" t="s">
        <v>452</v>
      </c>
      <c r="AI107" t="s">
        <v>453</v>
      </c>
      <c r="AJ107" t="s">
        <v>454</v>
      </c>
      <c r="AK107" t="s">
        <v>39</v>
      </c>
      <c r="AL107" t="s">
        <v>571</v>
      </c>
      <c r="AM107">
        <v>0</v>
      </c>
      <c r="AN107">
        <v>0</v>
      </c>
      <c r="AO107">
        <v>0</v>
      </c>
      <c r="AP107">
        <v>1</v>
      </c>
    </row>
    <row r="108" spans="12:42" x14ac:dyDescent="0.2">
      <c r="L108">
        <f t="shared" si="1"/>
        <v>0</v>
      </c>
      <c r="AE108" t="s">
        <v>513</v>
      </c>
      <c r="AF108" t="s">
        <v>0</v>
      </c>
      <c r="AG108">
        <v>7</v>
      </c>
      <c r="AH108" t="s">
        <v>452</v>
      </c>
      <c r="AI108" t="s">
        <v>453</v>
      </c>
      <c r="AJ108" t="s">
        <v>454</v>
      </c>
      <c r="AK108" t="s">
        <v>34</v>
      </c>
      <c r="AL108" t="s">
        <v>555</v>
      </c>
      <c r="AM108">
        <v>0</v>
      </c>
      <c r="AN108">
        <v>0</v>
      </c>
      <c r="AO108">
        <v>0</v>
      </c>
      <c r="AP108">
        <v>1</v>
      </c>
    </row>
    <row r="109" spans="12:42" x14ac:dyDescent="0.2">
      <c r="L109">
        <f t="shared" si="1"/>
        <v>0</v>
      </c>
      <c r="AE109" t="s">
        <v>513</v>
      </c>
      <c r="AF109" t="s">
        <v>0</v>
      </c>
      <c r="AG109">
        <v>8</v>
      </c>
      <c r="AH109" t="s">
        <v>452</v>
      </c>
      <c r="AI109" t="s">
        <v>453</v>
      </c>
      <c r="AJ109" t="s">
        <v>454</v>
      </c>
      <c r="AK109" t="s">
        <v>37</v>
      </c>
      <c r="AL109" t="s">
        <v>566</v>
      </c>
      <c r="AM109">
        <v>0</v>
      </c>
      <c r="AN109">
        <v>0</v>
      </c>
      <c r="AO109">
        <v>0</v>
      </c>
      <c r="AP109">
        <v>1</v>
      </c>
    </row>
    <row r="110" spans="12:42" x14ac:dyDescent="0.2">
      <c r="L110">
        <f t="shared" si="1"/>
        <v>0</v>
      </c>
      <c r="AE110" t="s">
        <v>513</v>
      </c>
      <c r="AF110" t="s">
        <v>0</v>
      </c>
      <c r="AG110">
        <v>8</v>
      </c>
      <c r="AH110" t="s">
        <v>452</v>
      </c>
      <c r="AI110" t="s">
        <v>453</v>
      </c>
      <c r="AJ110" t="s">
        <v>468</v>
      </c>
      <c r="AK110" t="s">
        <v>42</v>
      </c>
      <c r="AL110" t="s">
        <v>582</v>
      </c>
      <c r="AM110">
        <v>0</v>
      </c>
      <c r="AN110">
        <v>0</v>
      </c>
      <c r="AO110">
        <v>0</v>
      </c>
      <c r="AP110">
        <v>1</v>
      </c>
    </row>
    <row r="111" spans="12:42" x14ac:dyDescent="0.2">
      <c r="L111">
        <f t="shared" si="1"/>
        <v>0</v>
      </c>
      <c r="AE111" t="s">
        <v>513</v>
      </c>
      <c r="AF111" t="s">
        <v>0</v>
      </c>
      <c r="AG111">
        <v>9</v>
      </c>
      <c r="AH111" t="s">
        <v>452</v>
      </c>
      <c r="AI111" t="s">
        <v>453</v>
      </c>
      <c r="AJ111" t="s">
        <v>468</v>
      </c>
      <c r="AK111" t="s">
        <v>43</v>
      </c>
      <c r="AL111" t="s">
        <v>588</v>
      </c>
      <c r="AM111">
        <v>0</v>
      </c>
      <c r="AN111">
        <v>0</v>
      </c>
      <c r="AO111">
        <v>0</v>
      </c>
      <c r="AP111">
        <v>1</v>
      </c>
    </row>
    <row r="112" spans="12:42" x14ac:dyDescent="0.2">
      <c r="L112">
        <f t="shared" si="1"/>
        <v>0</v>
      </c>
      <c r="AE112" t="s">
        <v>513</v>
      </c>
      <c r="AF112" t="s">
        <v>0</v>
      </c>
      <c r="AG112">
        <v>9</v>
      </c>
      <c r="AH112" t="s">
        <v>452</v>
      </c>
      <c r="AI112" t="s">
        <v>453</v>
      </c>
      <c r="AJ112" t="s">
        <v>468</v>
      </c>
      <c r="AK112" t="s">
        <v>54</v>
      </c>
      <c r="AL112" t="s">
        <v>623</v>
      </c>
      <c r="AM112">
        <v>0</v>
      </c>
      <c r="AN112">
        <v>0</v>
      </c>
      <c r="AO112">
        <v>0</v>
      </c>
      <c r="AP112">
        <v>1</v>
      </c>
    </row>
    <row r="113" spans="12:42" x14ac:dyDescent="0.2">
      <c r="L113">
        <f t="shared" si="1"/>
        <v>0</v>
      </c>
      <c r="AE113" t="s">
        <v>513</v>
      </c>
      <c r="AF113" t="s">
        <v>0</v>
      </c>
      <c r="AG113">
        <v>10</v>
      </c>
      <c r="AH113" t="s">
        <v>452</v>
      </c>
      <c r="AI113" t="s">
        <v>453</v>
      </c>
      <c r="AJ113" t="s">
        <v>468</v>
      </c>
      <c r="AK113" t="s">
        <v>52</v>
      </c>
      <c r="AL113" t="s">
        <v>617</v>
      </c>
      <c r="AM113">
        <v>0</v>
      </c>
      <c r="AN113">
        <v>0</v>
      </c>
      <c r="AO113">
        <v>0</v>
      </c>
      <c r="AP113">
        <v>1</v>
      </c>
    </row>
    <row r="114" spans="12:42" x14ac:dyDescent="0.2">
      <c r="L114">
        <f t="shared" si="1"/>
        <v>0</v>
      </c>
      <c r="AE114" t="s">
        <v>513</v>
      </c>
      <c r="AF114" t="s">
        <v>0</v>
      </c>
      <c r="AG114">
        <v>10</v>
      </c>
      <c r="AH114" t="s">
        <v>452</v>
      </c>
      <c r="AI114" t="s">
        <v>453</v>
      </c>
      <c r="AJ114" t="s">
        <v>468</v>
      </c>
      <c r="AK114" t="s">
        <v>55</v>
      </c>
      <c r="AL114" t="s">
        <v>637</v>
      </c>
      <c r="AM114">
        <v>0</v>
      </c>
      <c r="AN114">
        <v>0</v>
      </c>
      <c r="AO114">
        <v>0</v>
      </c>
      <c r="AP114">
        <v>1</v>
      </c>
    </row>
    <row r="115" spans="12:42" x14ac:dyDescent="0.2">
      <c r="L115">
        <f t="shared" si="1"/>
        <v>0</v>
      </c>
      <c r="AE115" t="s">
        <v>513</v>
      </c>
      <c r="AF115" t="s">
        <v>0</v>
      </c>
      <c r="AG115">
        <v>11</v>
      </c>
      <c r="AH115" t="s">
        <v>452</v>
      </c>
      <c r="AI115" t="s">
        <v>453</v>
      </c>
      <c r="AJ115" t="s">
        <v>468</v>
      </c>
      <c r="AK115" t="s">
        <v>47</v>
      </c>
      <c r="AL115" t="s">
        <v>600</v>
      </c>
      <c r="AM115">
        <v>0</v>
      </c>
      <c r="AN115">
        <v>0</v>
      </c>
      <c r="AO115">
        <v>0</v>
      </c>
      <c r="AP115">
        <v>1</v>
      </c>
    </row>
    <row r="116" spans="12:42" x14ac:dyDescent="0.2">
      <c r="L116">
        <f t="shared" si="1"/>
        <v>0</v>
      </c>
      <c r="AE116" t="s">
        <v>513</v>
      </c>
      <c r="AF116" t="s">
        <v>0</v>
      </c>
      <c r="AG116">
        <v>11</v>
      </c>
      <c r="AH116" t="s">
        <v>452</v>
      </c>
      <c r="AI116" t="s">
        <v>453</v>
      </c>
      <c r="AJ116" t="s">
        <v>468</v>
      </c>
      <c r="AK116" t="s">
        <v>60</v>
      </c>
      <c r="AL116" t="s">
        <v>659</v>
      </c>
      <c r="AM116">
        <v>0</v>
      </c>
      <c r="AN116">
        <v>0</v>
      </c>
      <c r="AO116">
        <v>0</v>
      </c>
      <c r="AP116">
        <v>1</v>
      </c>
    </row>
    <row r="117" spans="12:42" x14ac:dyDescent="0.2">
      <c r="L117">
        <f t="shared" si="1"/>
        <v>0</v>
      </c>
      <c r="AE117" t="s">
        <v>513</v>
      </c>
      <c r="AF117" t="s">
        <v>0</v>
      </c>
      <c r="AG117">
        <v>12</v>
      </c>
      <c r="AH117" t="s">
        <v>452</v>
      </c>
      <c r="AI117" t="s">
        <v>453</v>
      </c>
      <c r="AJ117" t="s">
        <v>468</v>
      </c>
      <c r="AK117" t="s">
        <v>49</v>
      </c>
      <c r="AL117" t="s">
        <v>605</v>
      </c>
      <c r="AM117">
        <v>0</v>
      </c>
      <c r="AN117">
        <v>0</v>
      </c>
      <c r="AO117">
        <v>0</v>
      </c>
      <c r="AP117">
        <v>1</v>
      </c>
    </row>
    <row r="118" spans="12:42" x14ac:dyDescent="0.2">
      <c r="L118">
        <f t="shared" si="1"/>
        <v>0</v>
      </c>
      <c r="AE118" t="s">
        <v>513</v>
      </c>
      <c r="AF118" t="s">
        <v>0</v>
      </c>
      <c r="AG118">
        <v>12</v>
      </c>
      <c r="AH118" t="s">
        <v>452</v>
      </c>
      <c r="AI118" t="s">
        <v>453</v>
      </c>
      <c r="AJ118" t="s">
        <v>468</v>
      </c>
      <c r="AK118" t="s">
        <v>59</v>
      </c>
      <c r="AL118" t="s">
        <v>647</v>
      </c>
      <c r="AM118">
        <v>0</v>
      </c>
      <c r="AN118">
        <v>0</v>
      </c>
      <c r="AO118">
        <v>0</v>
      </c>
      <c r="AP118">
        <v>1</v>
      </c>
    </row>
    <row r="119" spans="12:42" x14ac:dyDescent="0.2">
      <c r="L119">
        <f t="shared" si="1"/>
        <v>0</v>
      </c>
      <c r="AE119" t="s">
        <v>513</v>
      </c>
      <c r="AF119" t="s">
        <v>0</v>
      </c>
      <c r="AG119">
        <v>13</v>
      </c>
      <c r="AH119" t="s">
        <v>452</v>
      </c>
      <c r="AI119" t="s">
        <v>453</v>
      </c>
      <c r="AJ119" t="s">
        <v>468</v>
      </c>
      <c r="AK119" t="s">
        <v>51</v>
      </c>
      <c r="AL119" t="s">
        <v>612</v>
      </c>
      <c r="AM119">
        <v>0</v>
      </c>
      <c r="AN119">
        <v>0</v>
      </c>
      <c r="AO119">
        <v>0</v>
      </c>
      <c r="AP119">
        <v>1</v>
      </c>
    </row>
    <row r="120" spans="12:42" x14ac:dyDescent="0.2">
      <c r="L120">
        <f t="shared" si="1"/>
        <v>0</v>
      </c>
      <c r="AE120" t="s">
        <v>513</v>
      </c>
      <c r="AF120" t="s">
        <v>0</v>
      </c>
      <c r="AG120">
        <v>13</v>
      </c>
      <c r="AH120" t="s">
        <v>452</v>
      </c>
      <c r="AI120" t="s">
        <v>453</v>
      </c>
      <c r="AJ120" t="s">
        <v>468</v>
      </c>
      <c r="AK120" t="s">
        <v>40</v>
      </c>
      <c r="AL120" t="s">
        <v>577</v>
      </c>
      <c r="AM120">
        <v>0</v>
      </c>
      <c r="AN120">
        <v>0</v>
      </c>
      <c r="AO120">
        <v>0</v>
      </c>
      <c r="AP120">
        <v>1</v>
      </c>
    </row>
    <row r="121" spans="12:42" x14ac:dyDescent="0.2">
      <c r="L121">
        <f t="shared" si="1"/>
        <v>0</v>
      </c>
      <c r="AE121" t="s">
        <v>513</v>
      </c>
      <c r="AF121" t="s">
        <v>0</v>
      </c>
      <c r="AG121">
        <v>14</v>
      </c>
      <c r="AH121" t="s">
        <v>452</v>
      </c>
      <c r="AI121" t="s">
        <v>453</v>
      </c>
      <c r="AJ121" t="s">
        <v>468</v>
      </c>
      <c r="AK121" t="s">
        <v>627</v>
      </c>
      <c r="AL121" t="s">
        <v>628</v>
      </c>
      <c r="AM121">
        <v>0</v>
      </c>
      <c r="AN121">
        <v>0</v>
      </c>
      <c r="AO121">
        <v>0</v>
      </c>
      <c r="AP121">
        <v>1</v>
      </c>
    </row>
    <row r="122" spans="12:42" x14ac:dyDescent="0.2">
      <c r="L122">
        <f t="shared" si="1"/>
        <v>0</v>
      </c>
      <c r="AE122" t="s">
        <v>513</v>
      </c>
      <c r="AF122" t="s">
        <v>0</v>
      </c>
      <c r="AG122">
        <v>14</v>
      </c>
      <c r="AH122" t="s">
        <v>452</v>
      </c>
      <c r="AI122" t="s">
        <v>453</v>
      </c>
      <c r="AJ122" t="s">
        <v>468</v>
      </c>
      <c r="AK122" t="s">
        <v>45</v>
      </c>
      <c r="AL122" t="s">
        <v>594</v>
      </c>
      <c r="AM122">
        <v>0</v>
      </c>
      <c r="AN122">
        <v>0</v>
      </c>
      <c r="AO122">
        <v>0</v>
      </c>
      <c r="AP122">
        <v>1</v>
      </c>
    </row>
    <row r="123" spans="12:42" x14ac:dyDescent="0.2">
      <c r="L123">
        <f t="shared" si="1"/>
        <v>0</v>
      </c>
      <c r="AE123" t="s">
        <v>513</v>
      </c>
      <c r="AF123" t="s">
        <v>0</v>
      </c>
      <c r="AG123">
        <v>15</v>
      </c>
      <c r="AH123" t="s">
        <v>452</v>
      </c>
      <c r="AI123" t="s">
        <v>453</v>
      </c>
      <c r="AJ123" t="s">
        <v>468</v>
      </c>
      <c r="AK123" t="s">
        <v>652</v>
      </c>
      <c r="AL123" t="s">
        <v>653</v>
      </c>
      <c r="AM123">
        <v>0</v>
      </c>
      <c r="AN123">
        <v>0</v>
      </c>
      <c r="AO123">
        <v>0</v>
      </c>
      <c r="AP123">
        <v>1</v>
      </c>
    </row>
    <row r="124" spans="12:42" x14ac:dyDescent="0.2">
      <c r="L124">
        <f t="shared" si="1"/>
        <v>0</v>
      </c>
      <c r="AE124" t="s">
        <v>513</v>
      </c>
      <c r="AF124" t="s">
        <v>0</v>
      </c>
      <c r="AG124">
        <v>15</v>
      </c>
      <c r="AH124" t="s">
        <v>452</v>
      </c>
      <c r="AI124" t="s">
        <v>453</v>
      </c>
      <c r="AJ124" t="s">
        <v>665</v>
      </c>
      <c r="AK124" t="s">
        <v>62</v>
      </c>
      <c r="AL124" t="s">
        <v>399</v>
      </c>
      <c r="AM124">
        <v>0</v>
      </c>
      <c r="AN124">
        <v>0</v>
      </c>
      <c r="AO124">
        <v>0</v>
      </c>
      <c r="AP124">
        <v>1</v>
      </c>
    </row>
    <row r="125" spans="12:42" x14ac:dyDescent="0.2">
      <c r="L125">
        <f t="shared" si="1"/>
        <v>0</v>
      </c>
      <c r="AE125" t="s">
        <v>513</v>
      </c>
      <c r="AF125" t="s">
        <v>0</v>
      </c>
      <c r="AG125">
        <v>16</v>
      </c>
      <c r="AH125" t="s">
        <v>452</v>
      </c>
      <c r="AI125" t="s">
        <v>453</v>
      </c>
      <c r="AJ125" t="s">
        <v>665</v>
      </c>
      <c r="AK125" t="s">
        <v>64</v>
      </c>
      <c r="AL125" t="s">
        <v>678</v>
      </c>
      <c r="AM125">
        <v>0</v>
      </c>
      <c r="AN125">
        <v>0</v>
      </c>
      <c r="AO125">
        <v>0</v>
      </c>
      <c r="AP125">
        <v>1</v>
      </c>
    </row>
    <row r="126" spans="12:42" x14ac:dyDescent="0.2">
      <c r="L126">
        <f t="shared" si="1"/>
        <v>0</v>
      </c>
      <c r="AE126" t="s">
        <v>513</v>
      </c>
      <c r="AF126" t="s">
        <v>0</v>
      </c>
      <c r="AG126">
        <v>16</v>
      </c>
      <c r="AH126" t="s">
        <v>452</v>
      </c>
      <c r="AI126" t="s">
        <v>453</v>
      </c>
      <c r="AJ126" t="s">
        <v>665</v>
      </c>
      <c r="AK126" t="s">
        <v>66</v>
      </c>
      <c r="AL126" t="s">
        <v>684</v>
      </c>
      <c r="AM126">
        <v>0</v>
      </c>
      <c r="AN126">
        <v>0</v>
      </c>
      <c r="AO126">
        <v>0</v>
      </c>
      <c r="AP126">
        <v>1</v>
      </c>
    </row>
    <row r="127" spans="12:42" x14ac:dyDescent="0.2">
      <c r="L127">
        <f t="shared" si="1"/>
        <v>0</v>
      </c>
      <c r="AE127" t="s">
        <v>513</v>
      </c>
      <c r="AF127" t="s">
        <v>0</v>
      </c>
      <c r="AG127">
        <v>17</v>
      </c>
      <c r="AH127" t="s">
        <v>452</v>
      </c>
      <c r="AI127" t="s">
        <v>453</v>
      </c>
      <c r="AJ127" t="s">
        <v>726</v>
      </c>
      <c r="AK127" t="s">
        <v>77</v>
      </c>
      <c r="AL127" t="s">
        <v>732</v>
      </c>
      <c r="AM127">
        <v>0</v>
      </c>
      <c r="AN127">
        <v>0</v>
      </c>
      <c r="AO127">
        <v>0</v>
      </c>
      <c r="AP127">
        <v>1</v>
      </c>
    </row>
    <row r="128" spans="12:42" x14ac:dyDescent="0.2">
      <c r="L128">
        <f t="shared" si="1"/>
        <v>0</v>
      </c>
      <c r="AE128" t="s">
        <v>513</v>
      </c>
      <c r="AF128" t="s">
        <v>0</v>
      </c>
      <c r="AG128">
        <v>17</v>
      </c>
      <c r="AH128" t="s">
        <v>452</v>
      </c>
      <c r="AI128" t="s">
        <v>453</v>
      </c>
      <c r="AJ128" t="s">
        <v>751</v>
      </c>
      <c r="AK128" t="s">
        <v>320</v>
      </c>
      <c r="AL128" t="s">
        <v>1808</v>
      </c>
      <c r="AM128">
        <v>0</v>
      </c>
      <c r="AN128">
        <v>0</v>
      </c>
      <c r="AO128">
        <v>0</v>
      </c>
      <c r="AP128">
        <v>1</v>
      </c>
    </row>
    <row r="129" spans="12:42" x14ac:dyDescent="0.2">
      <c r="L129">
        <f t="shared" si="1"/>
        <v>0</v>
      </c>
      <c r="AE129" t="s">
        <v>513</v>
      </c>
      <c r="AF129" t="s">
        <v>0</v>
      </c>
      <c r="AG129">
        <v>18</v>
      </c>
      <c r="AH129" t="s">
        <v>452</v>
      </c>
      <c r="AI129" t="s">
        <v>453</v>
      </c>
      <c r="AJ129" t="s">
        <v>751</v>
      </c>
      <c r="AK129" t="s">
        <v>317</v>
      </c>
      <c r="AL129" t="s">
        <v>1799</v>
      </c>
      <c r="AM129">
        <v>0</v>
      </c>
      <c r="AN129">
        <v>0</v>
      </c>
      <c r="AO129">
        <v>0</v>
      </c>
      <c r="AP129">
        <v>1</v>
      </c>
    </row>
    <row r="130" spans="12:42" x14ac:dyDescent="0.2">
      <c r="L130">
        <f t="shared" si="1"/>
        <v>0</v>
      </c>
      <c r="AE130" t="s">
        <v>513</v>
      </c>
      <c r="AF130" t="s">
        <v>0</v>
      </c>
      <c r="AG130">
        <v>18</v>
      </c>
      <c r="AH130" t="s">
        <v>452</v>
      </c>
      <c r="AI130" t="s">
        <v>453</v>
      </c>
      <c r="AJ130" t="s">
        <v>751</v>
      </c>
      <c r="AK130" t="s">
        <v>319</v>
      </c>
      <c r="AL130" t="s">
        <v>1803</v>
      </c>
      <c r="AM130">
        <v>0</v>
      </c>
      <c r="AN130">
        <v>0</v>
      </c>
      <c r="AO130">
        <v>0</v>
      </c>
      <c r="AP130">
        <v>1</v>
      </c>
    </row>
    <row r="131" spans="12:42" x14ac:dyDescent="0.2">
      <c r="L131">
        <f t="shared" si="1"/>
        <v>0</v>
      </c>
      <c r="AE131" t="s">
        <v>513</v>
      </c>
      <c r="AF131" t="s">
        <v>0</v>
      </c>
      <c r="AG131">
        <v>19</v>
      </c>
      <c r="AH131" t="s">
        <v>452</v>
      </c>
      <c r="AI131" t="s">
        <v>453</v>
      </c>
      <c r="AJ131" t="s">
        <v>751</v>
      </c>
      <c r="AK131" t="s">
        <v>314</v>
      </c>
      <c r="AL131" t="s">
        <v>1786</v>
      </c>
      <c r="AM131">
        <v>0</v>
      </c>
      <c r="AN131">
        <v>0</v>
      </c>
      <c r="AO131">
        <v>0</v>
      </c>
      <c r="AP131">
        <v>1</v>
      </c>
    </row>
    <row r="132" spans="12:42" x14ac:dyDescent="0.2">
      <c r="L132">
        <f t="shared" ref="L132:L195" si="2">IF(E132="",0,IF(I132=1,0.5,1))</f>
        <v>0</v>
      </c>
      <c r="AE132" t="s">
        <v>513</v>
      </c>
      <c r="AF132" t="s">
        <v>0</v>
      </c>
      <c r="AG132">
        <v>19</v>
      </c>
      <c r="AH132" t="s">
        <v>452</v>
      </c>
      <c r="AI132" t="s">
        <v>453</v>
      </c>
      <c r="AJ132" t="s">
        <v>751</v>
      </c>
      <c r="AK132" t="s">
        <v>316</v>
      </c>
      <c r="AL132" t="s">
        <v>1791</v>
      </c>
      <c r="AM132">
        <v>0</v>
      </c>
      <c r="AN132">
        <v>0</v>
      </c>
      <c r="AO132">
        <v>0</v>
      </c>
      <c r="AP132">
        <v>1</v>
      </c>
    </row>
    <row r="133" spans="12:42" x14ac:dyDescent="0.2">
      <c r="L133">
        <f t="shared" si="2"/>
        <v>0</v>
      </c>
      <c r="AE133" t="s">
        <v>513</v>
      </c>
      <c r="AF133" t="s">
        <v>0</v>
      </c>
      <c r="AG133">
        <v>20</v>
      </c>
      <c r="AH133" t="s">
        <v>452</v>
      </c>
      <c r="AI133" t="s">
        <v>453</v>
      </c>
      <c r="AJ133" t="s">
        <v>726</v>
      </c>
      <c r="AK133" t="s">
        <v>75</v>
      </c>
      <c r="AL133" t="s">
        <v>724</v>
      </c>
      <c r="AM133">
        <v>0</v>
      </c>
      <c r="AN133">
        <v>0</v>
      </c>
      <c r="AO133">
        <v>0</v>
      </c>
      <c r="AP133">
        <v>1</v>
      </c>
    </row>
    <row r="134" spans="12:42" x14ac:dyDescent="0.2">
      <c r="L134">
        <f t="shared" si="2"/>
        <v>0</v>
      </c>
      <c r="AE134" t="s">
        <v>513</v>
      </c>
      <c r="AF134" t="s">
        <v>0</v>
      </c>
      <c r="AG134">
        <v>20</v>
      </c>
      <c r="AH134" t="s">
        <v>452</v>
      </c>
      <c r="AI134" t="s">
        <v>453</v>
      </c>
      <c r="AJ134" t="s">
        <v>726</v>
      </c>
      <c r="AK134" t="s">
        <v>79</v>
      </c>
      <c r="AL134" t="s">
        <v>738</v>
      </c>
      <c r="AM134">
        <v>0</v>
      </c>
      <c r="AN134">
        <v>0</v>
      </c>
      <c r="AO134">
        <v>0</v>
      </c>
      <c r="AP134">
        <v>1</v>
      </c>
    </row>
    <row r="135" spans="12:42" x14ac:dyDescent="0.2">
      <c r="L135">
        <f t="shared" si="2"/>
        <v>0</v>
      </c>
      <c r="AE135" t="s">
        <v>513</v>
      </c>
      <c r="AF135" t="s">
        <v>0</v>
      </c>
      <c r="AG135">
        <v>21</v>
      </c>
      <c r="AH135" t="s">
        <v>452</v>
      </c>
      <c r="AI135" t="s">
        <v>453</v>
      </c>
      <c r="AJ135" t="s">
        <v>751</v>
      </c>
      <c r="AK135" t="s">
        <v>87</v>
      </c>
      <c r="AL135" t="s">
        <v>770</v>
      </c>
      <c r="AM135">
        <v>0</v>
      </c>
      <c r="AN135">
        <v>0</v>
      </c>
      <c r="AO135">
        <v>0</v>
      </c>
      <c r="AP135">
        <v>1</v>
      </c>
    </row>
    <row r="136" spans="12:42" x14ac:dyDescent="0.2">
      <c r="L136">
        <f t="shared" si="2"/>
        <v>0</v>
      </c>
      <c r="AE136" t="s">
        <v>513</v>
      </c>
      <c r="AF136" t="s">
        <v>0</v>
      </c>
      <c r="AG136">
        <v>21</v>
      </c>
      <c r="AH136" t="s">
        <v>452</v>
      </c>
      <c r="AI136" t="s">
        <v>453</v>
      </c>
      <c r="AJ136" t="s">
        <v>751</v>
      </c>
      <c r="AK136" t="s">
        <v>83</v>
      </c>
      <c r="AL136" t="s">
        <v>758</v>
      </c>
      <c r="AM136">
        <v>0</v>
      </c>
      <c r="AN136">
        <v>0</v>
      </c>
      <c r="AO136">
        <v>0</v>
      </c>
      <c r="AP136">
        <v>1</v>
      </c>
    </row>
    <row r="137" spans="12:42" x14ac:dyDescent="0.2">
      <c r="L137">
        <f t="shared" si="2"/>
        <v>0</v>
      </c>
      <c r="AE137" t="s">
        <v>513</v>
      </c>
      <c r="AF137" t="s">
        <v>0</v>
      </c>
      <c r="AG137">
        <v>22</v>
      </c>
      <c r="AH137" t="s">
        <v>452</v>
      </c>
      <c r="AI137" t="s">
        <v>453</v>
      </c>
      <c r="AJ137" t="s">
        <v>751</v>
      </c>
      <c r="AK137" t="s">
        <v>89</v>
      </c>
      <c r="AL137" t="s">
        <v>782</v>
      </c>
      <c r="AM137">
        <v>0</v>
      </c>
      <c r="AN137">
        <v>0</v>
      </c>
      <c r="AO137">
        <v>0</v>
      </c>
      <c r="AP137">
        <v>1</v>
      </c>
    </row>
    <row r="138" spans="12:42" x14ac:dyDescent="0.2">
      <c r="L138">
        <f t="shared" si="2"/>
        <v>0</v>
      </c>
      <c r="AE138" t="s">
        <v>513</v>
      </c>
      <c r="AF138" t="s">
        <v>0</v>
      </c>
      <c r="AG138">
        <v>22</v>
      </c>
      <c r="AH138" t="s">
        <v>452</v>
      </c>
      <c r="AI138" t="s">
        <v>453</v>
      </c>
      <c r="AJ138" t="s">
        <v>751</v>
      </c>
      <c r="AK138" t="s">
        <v>91</v>
      </c>
      <c r="AL138" t="s">
        <v>789</v>
      </c>
      <c r="AM138">
        <v>0</v>
      </c>
      <c r="AN138">
        <v>0</v>
      </c>
      <c r="AO138">
        <v>0</v>
      </c>
      <c r="AP138">
        <v>1</v>
      </c>
    </row>
    <row r="139" spans="12:42" x14ac:dyDescent="0.2">
      <c r="L139">
        <f t="shared" si="2"/>
        <v>0</v>
      </c>
      <c r="AE139" t="s">
        <v>513</v>
      </c>
      <c r="AF139" t="s">
        <v>0</v>
      </c>
      <c r="AG139">
        <v>23</v>
      </c>
      <c r="AH139" t="s">
        <v>452</v>
      </c>
      <c r="AI139" t="s">
        <v>453</v>
      </c>
      <c r="AJ139" t="s">
        <v>751</v>
      </c>
      <c r="AK139" t="s">
        <v>94</v>
      </c>
      <c r="AL139" t="s">
        <v>802</v>
      </c>
      <c r="AM139">
        <v>0</v>
      </c>
      <c r="AN139">
        <v>0</v>
      </c>
      <c r="AO139">
        <v>0</v>
      </c>
      <c r="AP139">
        <v>1</v>
      </c>
    </row>
    <row r="140" spans="12:42" x14ac:dyDescent="0.2">
      <c r="L140">
        <f t="shared" si="2"/>
        <v>0</v>
      </c>
      <c r="AE140" t="s">
        <v>513</v>
      </c>
      <c r="AF140" t="s">
        <v>0</v>
      </c>
      <c r="AG140">
        <v>23</v>
      </c>
      <c r="AH140" t="s">
        <v>452</v>
      </c>
      <c r="AI140" t="s">
        <v>453</v>
      </c>
      <c r="AJ140" t="s">
        <v>751</v>
      </c>
      <c r="AK140" t="s">
        <v>92</v>
      </c>
      <c r="AL140" t="s">
        <v>796</v>
      </c>
      <c r="AM140">
        <v>0</v>
      </c>
      <c r="AN140">
        <v>0</v>
      </c>
      <c r="AO140">
        <v>0</v>
      </c>
      <c r="AP140">
        <v>1</v>
      </c>
    </row>
    <row r="141" spans="12:42" x14ac:dyDescent="0.2">
      <c r="L141">
        <f t="shared" si="2"/>
        <v>0</v>
      </c>
      <c r="AE141" t="s">
        <v>513</v>
      </c>
      <c r="AF141" t="s">
        <v>0</v>
      </c>
      <c r="AG141">
        <v>24</v>
      </c>
      <c r="AH141" t="s">
        <v>452</v>
      </c>
      <c r="AI141" t="s">
        <v>453</v>
      </c>
      <c r="AJ141" t="s">
        <v>751</v>
      </c>
      <c r="AK141" t="s">
        <v>95</v>
      </c>
      <c r="AL141" t="s">
        <v>812</v>
      </c>
      <c r="AM141">
        <v>0</v>
      </c>
      <c r="AN141">
        <v>0</v>
      </c>
      <c r="AO141">
        <v>0</v>
      </c>
      <c r="AP141">
        <v>1</v>
      </c>
    </row>
    <row r="142" spans="12:42" x14ac:dyDescent="0.2">
      <c r="L142">
        <f t="shared" si="2"/>
        <v>0</v>
      </c>
      <c r="AE142" t="s">
        <v>513</v>
      </c>
      <c r="AF142" t="s">
        <v>0</v>
      </c>
      <c r="AG142">
        <v>25</v>
      </c>
      <c r="AH142" t="s">
        <v>452</v>
      </c>
      <c r="AI142" t="s">
        <v>453</v>
      </c>
      <c r="AJ142" t="s">
        <v>751</v>
      </c>
      <c r="AK142" t="s">
        <v>99</v>
      </c>
      <c r="AL142" t="s">
        <v>823</v>
      </c>
      <c r="AM142">
        <v>0</v>
      </c>
      <c r="AN142">
        <v>0</v>
      </c>
      <c r="AO142">
        <v>0</v>
      </c>
      <c r="AP142">
        <v>1</v>
      </c>
    </row>
    <row r="143" spans="12:42" x14ac:dyDescent="0.2">
      <c r="L143">
        <f t="shared" si="2"/>
        <v>0</v>
      </c>
      <c r="AE143" t="s">
        <v>513</v>
      </c>
      <c r="AF143" t="s">
        <v>0</v>
      </c>
      <c r="AG143">
        <v>25</v>
      </c>
      <c r="AH143" t="s">
        <v>452</v>
      </c>
      <c r="AI143" t="s">
        <v>453</v>
      </c>
      <c r="AJ143" t="s">
        <v>751</v>
      </c>
      <c r="AK143" t="s">
        <v>97</v>
      </c>
      <c r="AL143" t="s">
        <v>816</v>
      </c>
      <c r="AM143">
        <v>0</v>
      </c>
      <c r="AN143">
        <v>0</v>
      </c>
      <c r="AO143">
        <v>0</v>
      </c>
      <c r="AP143">
        <v>1</v>
      </c>
    </row>
    <row r="144" spans="12:42" x14ac:dyDescent="0.2">
      <c r="L144">
        <f t="shared" si="2"/>
        <v>0</v>
      </c>
      <c r="AE144" t="s">
        <v>513</v>
      </c>
      <c r="AF144" t="s">
        <v>0</v>
      </c>
      <c r="AG144">
        <v>26</v>
      </c>
      <c r="AH144" t="s">
        <v>452</v>
      </c>
      <c r="AI144" t="s">
        <v>453</v>
      </c>
      <c r="AJ144" t="s">
        <v>751</v>
      </c>
      <c r="AK144" t="s">
        <v>102</v>
      </c>
      <c r="AL144" t="s">
        <v>833</v>
      </c>
      <c r="AM144">
        <v>0</v>
      </c>
      <c r="AN144">
        <v>0</v>
      </c>
      <c r="AO144">
        <v>0</v>
      </c>
      <c r="AP144">
        <v>1</v>
      </c>
    </row>
    <row r="145" spans="12:42" x14ac:dyDescent="0.2">
      <c r="L145">
        <f t="shared" si="2"/>
        <v>0</v>
      </c>
      <c r="AE145" t="s">
        <v>513</v>
      </c>
      <c r="AF145" t="s">
        <v>0</v>
      </c>
      <c r="AG145">
        <v>26</v>
      </c>
      <c r="AH145" t="s">
        <v>452</v>
      </c>
      <c r="AI145" t="s">
        <v>453</v>
      </c>
      <c r="AJ145" t="s">
        <v>751</v>
      </c>
      <c r="AK145" t="s">
        <v>106</v>
      </c>
      <c r="AL145" t="s">
        <v>843</v>
      </c>
      <c r="AM145">
        <v>0</v>
      </c>
      <c r="AN145">
        <v>0</v>
      </c>
      <c r="AO145">
        <v>0</v>
      </c>
      <c r="AP145">
        <v>1</v>
      </c>
    </row>
    <row r="146" spans="12:42" x14ac:dyDescent="0.2">
      <c r="L146">
        <f t="shared" si="2"/>
        <v>0</v>
      </c>
      <c r="AE146" t="s">
        <v>513</v>
      </c>
      <c r="AF146" t="s">
        <v>0</v>
      </c>
      <c r="AG146">
        <v>27</v>
      </c>
      <c r="AH146" t="s">
        <v>452</v>
      </c>
      <c r="AI146" t="s">
        <v>453</v>
      </c>
      <c r="AJ146" t="s">
        <v>751</v>
      </c>
      <c r="AK146" t="s">
        <v>107</v>
      </c>
      <c r="AL146" t="s">
        <v>848</v>
      </c>
      <c r="AM146">
        <v>0</v>
      </c>
      <c r="AN146">
        <v>0</v>
      </c>
      <c r="AO146">
        <v>0</v>
      </c>
      <c r="AP146">
        <v>1</v>
      </c>
    </row>
    <row r="147" spans="12:42" x14ac:dyDescent="0.2">
      <c r="L147">
        <f t="shared" si="2"/>
        <v>0</v>
      </c>
      <c r="AE147" t="s">
        <v>513</v>
      </c>
      <c r="AF147" t="s">
        <v>0</v>
      </c>
      <c r="AG147">
        <v>27</v>
      </c>
      <c r="AH147" t="s">
        <v>452</v>
      </c>
      <c r="AI147" t="s">
        <v>453</v>
      </c>
      <c r="AJ147" t="s">
        <v>751</v>
      </c>
      <c r="AK147" t="s">
        <v>109</v>
      </c>
      <c r="AL147" t="s">
        <v>854</v>
      </c>
      <c r="AM147">
        <v>0</v>
      </c>
      <c r="AN147">
        <v>0</v>
      </c>
      <c r="AO147">
        <v>0</v>
      </c>
      <c r="AP147">
        <v>1</v>
      </c>
    </row>
    <row r="148" spans="12:42" x14ac:dyDescent="0.2">
      <c r="L148">
        <f t="shared" si="2"/>
        <v>0</v>
      </c>
      <c r="AE148" t="s">
        <v>513</v>
      </c>
      <c r="AF148" t="s">
        <v>0</v>
      </c>
      <c r="AG148">
        <v>28</v>
      </c>
      <c r="AH148" t="s">
        <v>452</v>
      </c>
      <c r="AI148" t="s">
        <v>453</v>
      </c>
      <c r="AJ148" t="s">
        <v>751</v>
      </c>
      <c r="AK148" t="s">
        <v>113</v>
      </c>
      <c r="AL148" t="s">
        <v>869</v>
      </c>
      <c r="AM148">
        <v>0</v>
      </c>
      <c r="AN148">
        <v>0</v>
      </c>
      <c r="AO148">
        <v>0</v>
      </c>
      <c r="AP148">
        <v>1</v>
      </c>
    </row>
    <row r="149" spans="12:42" x14ac:dyDescent="0.2">
      <c r="L149">
        <f t="shared" si="2"/>
        <v>0</v>
      </c>
      <c r="AE149" t="s">
        <v>513</v>
      </c>
      <c r="AF149" t="s">
        <v>0</v>
      </c>
      <c r="AG149">
        <v>28</v>
      </c>
      <c r="AH149" t="s">
        <v>452</v>
      </c>
      <c r="AI149" t="s">
        <v>453</v>
      </c>
      <c r="AJ149" t="s">
        <v>751</v>
      </c>
      <c r="AK149" t="s">
        <v>111</v>
      </c>
      <c r="AL149" t="s">
        <v>864</v>
      </c>
      <c r="AM149">
        <v>0</v>
      </c>
      <c r="AN149">
        <v>0</v>
      </c>
      <c r="AO149">
        <v>0</v>
      </c>
      <c r="AP149">
        <v>1</v>
      </c>
    </row>
    <row r="150" spans="12:42" x14ac:dyDescent="0.2">
      <c r="L150">
        <f t="shared" si="2"/>
        <v>0</v>
      </c>
      <c r="AE150" t="s">
        <v>513</v>
      </c>
      <c r="AF150" t="s">
        <v>0</v>
      </c>
      <c r="AG150">
        <v>29</v>
      </c>
      <c r="AH150" t="s">
        <v>452</v>
      </c>
      <c r="AI150" t="s">
        <v>453</v>
      </c>
      <c r="AJ150" t="s">
        <v>751</v>
      </c>
      <c r="AK150" t="s">
        <v>117</v>
      </c>
      <c r="AL150" t="s">
        <v>887</v>
      </c>
      <c r="AM150">
        <v>0</v>
      </c>
      <c r="AN150">
        <v>0</v>
      </c>
      <c r="AO150">
        <v>0</v>
      </c>
      <c r="AP150">
        <v>1</v>
      </c>
    </row>
    <row r="151" spans="12:42" x14ac:dyDescent="0.2">
      <c r="L151">
        <f t="shared" si="2"/>
        <v>0</v>
      </c>
      <c r="AE151" t="s">
        <v>513</v>
      </c>
      <c r="AF151" t="s">
        <v>0</v>
      </c>
      <c r="AG151">
        <v>29</v>
      </c>
      <c r="AH151" t="s">
        <v>452</v>
      </c>
      <c r="AI151" t="s">
        <v>453</v>
      </c>
      <c r="AJ151" t="s">
        <v>751</v>
      </c>
      <c r="AK151" t="s">
        <v>114</v>
      </c>
      <c r="AL151" t="s">
        <v>876</v>
      </c>
      <c r="AM151">
        <v>0</v>
      </c>
      <c r="AN151">
        <v>0</v>
      </c>
      <c r="AO151">
        <v>0</v>
      </c>
      <c r="AP151">
        <v>1</v>
      </c>
    </row>
    <row r="152" spans="12:42" x14ac:dyDescent="0.2">
      <c r="L152">
        <f t="shared" si="2"/>
        <v>0</v>
      </c>
      <c r="AE152" t="s">
        <v>513</v>
      </c>
      <c r="AF152" t="s">
        <v>0</v>
      </c>
      <c r="AG152">
        <v>30</v>
      </c>
      <c r="AH152" t="s">
        <v>452</v>
      </c>
      <c r="AI152" t="s">
        <v>453</v>
      </c>
      <c r="AJ152" t="s">
        <v>751</v>
      </c>
      <c r="AK152" t="s">
        <v>118</v>
      </c>
      <c r="AL152" t="s">
        <v>891</v>
      </c>
      <c r="AM152">
        <v>0</v>
      </c>
      <c r="AN152">
        <v>0</v>
      </c>
      <c r="AO152">
        <v>0</v>
      </c>
      <c r="AP152">
        <v>1</v>
      </c>
    </row>
    <row r="153" spans="12:42" x14ac:dyDescent="0.2">
      <c r="L153">
        <f t="shared" si="2"/>
        <v>0</v>
      </c>
      <c r="AE153" t="s">
        <v>513</v>
      </c>
      <c r="AF153" t="s">
        <v>0</v>
      </c>
      <c r="AG153">
        <v>30</v>
      </c>
      <c r="AH153" t="s">
        <v>452</v>
      </c>
      <c r="AI153" t="s">
        <v>453</v>
      </c>
      <c r="AJ153" t="s">
        <v>900</v>
      </c>
      <c r="AK153" t="s">
        <v>120</v>
      </c>
      <c r="AL153" t="s">
        <v>897</v>
      </c>
      <c r="AM153">
        <v>0</v>
      </c>
      <c r="AN153">
        <v>0</v>
      </c>
      <c r="AO153">
        <v>0</v>
      </c>
      <c r="AP153">
        <v>1</v>
      </c>
    </row>
    <row r="154" spans="12:42" x14ac:dyDescent="0.2">
      <c r="L154">
        <f t="shared" si="2"/>
        <v>0</v>
      </c>
      <c r="AE154" t="s">
        <v>513</v>
      </c>
      <c r="AF154" t="s">
        <v>0</v>
      </c>
      <c r="AG154">
        <v>35</v>
      </c>
      <c r="AH154" t="s">
        <v>452</v>
      </c>
      <c r="AI154" t="s">
        <v>453</v>
      </c>
      <c r="AJ154" t="s">
        <v>919</v>
      </c>
      <c r="AK154" t="s">
        <v>127</v>
      </c>
      <c r="AL154" t="s">
        <v>924</v>
      </c>
      <c r="AM154">
        <v>0</v>
      </c>
      <c r="AN154">
        <v>0</v>
      </c>
      <c r="AO154">
        <v>0</v>
      </c>
      <c r="AP154">
        <v>1</v>
      </c>
    </row>
    <row r="155" spans="12:42" x14ac:dyDescent="0.2">
      <c r="L155">
        <f t="shared" si="2"/>
        <v>0</v>
      </c>
      <c r="AE155" t="s">
        <v>513</v>
      </c>
      <c r="AF155" t="s">
        <v>0</v>
      </c>
      <c r="AG155">
        <v>35</v>
      </c>
      <c r="AH155" t="s">
        <v>452</v>
      </c>
      <c r="AI155" t="s">
        <v>453</v>
      </c>
      <c r="AJ155" t="s">
        <v>900</v>
      </c>
      <c r="AK155" t="s">
        <v>132</v>
      </c>
      <c r="AL155" t="s">
        <v>945</v>
      </c>
      <c r="AM155">
        <v>0</v>
      </c>
      <c r="AN155">
        <v>0</v>
      </c>
      <c r="AO155">
        <v>0</v>
      </c>
      <c r="AP155">
        <v>1</v>
      </c>
    </row>
    <row r="156" spans="12:42" x14ac:dyDescent="0.2">
      <c r="L156">
        <f t="shared" si="2"/>
        <v>0</v>
      </c>
      <c r="AE156" t="s">
        <v>513</v>
      </c>
      <c r="AF156" t="s">
        <v>0</v>
      </c>
      <c r="AG156">
        <v>36</v>
      </c>
      <c r="AH156" t="s">
        <v>452</v>
      </c>
      <c r="AI156" t="s">
        <v>453</v>
      </c>
      <c r="AJ156" t="s">
        <v>919</v>
      </c>
      <c r="AK156" t="s">
        <v>131</v>
      </c>
      <c r="AL156" t="s">
        <v>937</v>
      </c>
      <c r="AM156">
        <v>0</v>
      </c>
      <c r="AN156">
        <v>0</v>
      </c>
      <c r="AO156">
        <v>0</v>
      </c>
      <c r="AP156">
        <v>1</v>
      </c>
    </row>
    <row r="157" spans="12:42" x14ac:dyDescent="0.2">
      <c r="L157">
        <f t="shared" si="2"/>
        <v>0</v>
      </c>
      <c r="AE157" t="s">
        <v>513</v>
      </c>
      <c r="AF157" t="s">
        <v>0</v>
      </c>
      <c r="AG157">
        <v>36</v>
      </c>
      <c r="AH157" t="s">
        <v>452</v>
      </c>
      <c r="AI157" t="s">
        <v>453</v>
      </c>
      <c r="AJ157" t="s">
        <v>919</v>
      </c>
      <c r="AK157" t="s">
        <v>129</v>
      </c>
      <c r="AL157" t="s">
        <v>931</v>
      </c>
      <c r="AM157">
        <v>0</v>
      </c>
      <c r="AN157">
        <v>0</v>
      </c>
      <c r="AO157">
        <v>0</v>
      </c>
      <c r="AP157">
        <v>1</v>
      </c>
    </row>
    <row r="158" spans="12:42" x14ac:dyDescent="0.2">
      <c r="L158">
        <f t="shared" si="2"/>
        <v>0</v>
      </c>
      <c r="AE158" t="s">
        <v>513</v>
      </c>
      <c r="AF158" t="s">
        <v>0</v>
      </c>
      <c r="AG158">
        <v>37</v>
      </c>
      <c r="AH158" t="s">
        <v>452</v>
      </c>
      <c r="AI158" t="s">
        <v>453</v>
      </c>
      <c r="AJ158" t="s">
        <v>959</v>
      </c>
      <c r="AK158" t="s">
        <v>217</v>
      </c>
      <c r="AL158" t="s">
        <v>1227</v>
      </c>
      <c r="AM158">
        <v>0</v>
      </c>
      <c r="AN158">
        <v>0</v>
      </c>
      <c r="AO158">
        <v>0</v>
      </c>
      <c r="AP158">
        <v>1</v>
      </c>
    </row>
    <row r="159" spans="12:42" x14ac:dyDescent="0.2">
      <c r="L159">
        <f t="shared" si="2"/>
        <v>0</v>
      </c>
      <c r="AE159" t="s">
        <v>513</v>
      </c>
      <c r="AF159" t="s">
        <v>0</v>
      </c>
      <c r="AG159">
        <v>37</v>
      </c>
      <c r="AH159" t="s">
        <v>452</v>
      </c>
      <c r="AI159" t="s">
        <v>453</v>
      </c>
      <c r="AJ159" t="s">
        <v>959</v>
      </c>
      <c r="AK159" t="s">
        <v>139</v>
      </c>
      <c r="AL159" t="s">
        <v>972</v>
      </c>
      <c r="AM159">
        <v>0</v>
      </c>
      <c r="AN159">
        <v>0</v>
      </c>
      <c r="AO159">
        <v>0</v>
      </c>
      <c r="AP159">
        <v>1</v>
      </c>
    </row>
    <row r="160" spans="12:42" x14ac:dyDescent="0.2">
      <c r="L160">
        <f t="shared" si="2"/>
        <v>0</v>
      </c>
      <c r="AE160" t="s">
        <v>513</v>
      </c>
      <c r="AF160" t="s">
        <v>0</v>
      </c>
      <c r="AG160">
        <v>38</v>
      </c>
      <c r="AH160" t="s">
        <v>452</v>
      </c>
      <c r="AI160" t="s">
        <v>453</v>
      </c>
      <c r="AJ160" t="s">
        <v>959</v>
      </c>
      <c r="AK160" t="s">
        <v>141</v>
      </c>
      <c r="AL160" t="s">
        <v>977</v>
      </c>
      <c r="AM160">
        <v>0</v>
      </c>
      <c r="AN160">
        <v>0</v>
      </c>
      <c r="AO160">
        <v>0</v>
      </c>
      <c r="AP160">
        <v>1</v>
      </c>
    </row>
    <row r="161" spans="12:42" x14ac:dyDescent="0.2">
      <c r="L161">
        <f t="shared" si="2"/>
        <v>0</v>
      </c>
      <c r="AE161" t="s">
        <v>513</v>
      </c>
      <c r="AF161" t="s">
        <v>0</v>
      </c>
      <c r="AG161">
        <v>38</v>
      </c>
      <c r="AH161" t="s">
        <v>452</v>
      </c>
      <c r="AI161" t="s">
        <v>453</v>
      </c>
      <c r="AJ161" t="s">
        <v>959</v>
      </c>
      <c r="AK161" t="s">
        <v>143</v>
      </c>
      <c r="AL161" t="s">
        <v>982</v>
      </c>
      <c r="AM161">
        <v>0</v>
      </c>
      <c r="AN161">
        <v>0</v>
      </c>
      <c r="AO161">
        <v>0</v>
      </c>
      <c r="AP161">
        <v>1</v>
      </c>
    </row>
    <row r="162" spans="12:42" x14ac:dyDescent="0.2">
      <c r="L162">
        <f t="shared" si="2"/>
        <v>0</v>
      </c>
      <c r="AE162" t="s">
        <v>513</v>
      </c>
      <c r="AF162" t="s">
        <v>0</v>
      </c>
      <c r="AG162">
        <v>39</v>
      </c>
      <c r="AH162" t="s">
        <v>452</v>
      </c>
      <c r="AI162" t="s">
        <v>453</v>
      </c>
      <c r="AJ162" t="s">
        <v>959</v>
      </c>
      <c r="AK162" t="s">
        <v>147</v>
      </c>
      <c r="AL162" t="s">
        <v>1001</v>
      </c>
      <c r="AM162">
        <v>0</v>
      </c>
      <c r="AN162">
        <v>0</v>
      </c>
      <c r="AO162">
        <v>0</v>
      </c>
      <c r="AP162">
        <v>1</v>
      </c>
    </row>
    <row r="163" spans="12:42" x14ac:dyDescent="0.2">
      <c r="L163">
        <f t="shared" si="2"/>
        <v>0</v>
      </c>
      <c r="AE163" t="s">
        <v>513</v>
      </c>
      <c r="AF163" t="s">
        <v>0</v>
      </c>
      <c r="AG163">
        <v>39</v>
      </c>
      <c r="AH163" t="s">
        <v>452</v>
      </c>
      <c r="AI163" t="s">
        <v>453</v>
      </c>
      <c r="AJ163" t="s">
        <v>959</v>
      </c>
      <c r="AK163" t="s">
        <v>145</v>
      </c>
      <c r="AL163" t="s">
        <v>994</v>
      </c>
      <c r="AM163">
        <v>0</v>
      </c>
      <c r="AN163">
        <v>0</v>
      </c>
      <c r="AO163">
        <v>0</v>
      </c>
      <c r="AP163">
        <v>1</v>
      </c>
    </row>
    <row r="164" spans="12:42" x14ac:dyDescent="0.2">
      <c r="L164">
        <f t="shared" si="2"/>
        <v>0</v>
      </c>
      <c r="AE164" t="s">
        <v>513</v>
      </c>
      <c r="AF164" t="s">
        <v>0</v>
      </c>
      <c r="AG164">
        <v>40</v>
      </c>
      <c r="AH164" t="s">
        <v>452</v>
      </c>
      <c r="AI164" t="s">
        <v>453</v>
      </c>
      <c r="AJ164" t="s">
        <v>959</v>
      </c>
      <c r="AK164" t="s">
        <v>149</v>
      </c>
      <c r="AL164" t="s">
        <v>1011</v>
      </c>
      <c r="AM164">
        <v>0</v>
      </c>
      <c r="AN164">
        <v>0</v>
      </c>
      <c r="AO164">
        <v>0</v>
      </c>
      <c r="AP164">
        <v>1</v>
      </c>
    </row>
    <row r="165" spans="12:42" x14ac:dyDescent="0.2">
      <c r="L165">
        <f t="shared" si="2"/>
        <v>0</v>
      </c>
      <c r="AE165" t="s">
        <v>513</v>
      </c>
      <c r="AF165" t="s">
        <v>0</v>
      </c>
      <c r="AG165">
        <v>40</v>
      </c>
      <c r="AH165" t="s">
        <v>452</v>
      </c>
      <c r="AI165" t="s">
        <v>453</v>
      </c>
      <c r="AJ165" t="s">
        <v>959</v>
      </c>
      <c r="AK165" t="s">
        <v>212</v>
      </c>
      <c r="AL165" t="s">
        <v>1206</v>
      </c>
      <c r="AM165">
        <v>0</v>
      </c>
      <c r="AN165">
        <v>0</v>
      </c>
      <c r="AO165">
        <v>0</v>
      </c>
      <c r="AP165">
        <v>1</v>
      </c>
    </row>
    <row r="166" spans="12:42" x14ac:dyDescent="0.2">
      <c r="L166">
        <f t="shared" si="2"/>
        <v>0</v>
      </c>
      <c r="AE166" t="s">
        <v>513</v>
      </c>
      <c r="AF166" t="s">
        <v>0</v>
      </c>
      <c r="AG166">
        <v>41</v>
      </c>
      <c r="AH166" t="s">
        <v>452</v>
      </c>
      <c r="AI166" t="s">
        <v>453</v>
      </c>
      <c r="AJ166" t="s">
        <v>959</v>
      </c>
      <c r="AK166" t="s">
        <v>164</v>
      </c>
      <c r="AL166" t="s">
        <v>1045</v>
      </c>
      <c r="AM166">
        <v>0</v>
      </c>
      <c r="AN166">
        <v>0</v>
      </c>
      <c r="AO166">
        <v>0</v>
      </c>
      <c r="AP166">
        <v>1</v>
      </c>
    </row>
    <row r="167" spans="12:42" x14ac:dyDescent="0.2">
      <c r="L167">
        <f t="shared" si="2"/>
        <v>0</v>
      </c>
      <c r="AE167" t="s">
        <v>513</v>
      </c>
      <c r="AF167" t="s">
        <v>0</v>
      </c>
      <c r="AG167">
        <v>41</v>
      </c>
      <c r="AH167" t="s">
        <v>452</v>
      </c>
      <c r="AI167" t="s">
        <v>453</v>
      </c>
      <c r="AJ167" t="s">
        <v>959</v>
      </c>
      <c r="AK167" t="s">
        <v>162</v>
      </c>
      <c r="AL167" t="s">
        <v>403</v>
      </c>
      <c r="AM167">
        <v>0</v>
      </c>
      <c r="AN167">
        <v>0</v>
      </c>
      <c r="AO167">
        <v>0</v>
      </c>
      <c r="AP167">
        <v>1</v>
      </c>
    </row>
    <row r="168" spans="12:42" x14ac:dyDescent="0.2">
      <c r="L168">
        <f t="shared" si="2"/>
        <v>0</v>
      </c>
      <c r="AE168" t="s">
        <v>513</v>
      </c>
      <c r="AF168" t="s">
        <v>0</v>
      </c>
      <c r="AG168">
        <v>42</v>
      </c>
      <c r="AH168" t="s">
        <v>452</v>
      </c>
      <c r="AI168" t="s">
        <v>453</v>
      </c>
      <c r="AJ168" t="s">
        <v>959</v>
      </c>
      <c r="AK168" t="s">
        <v>168</v>
      </c>
      <c r="AL168" t="s">
        <v>1056</v>
      </c>
      <c r="AM168">
        <v>0</v>
      </c>
      <c r="AN168">
        <v>0</v>
      </c>
      <c r="AO168">
        <v>0</v>
      </c>
      <c r="AP168">
        <v>1</v>
      </c>
    </row>
    <row r="169" spans="12:42" x14ac:dyDescent="0.2">
      <c r="L169">
        <f t="shared" si="2"/>
        <v>0</v>
      </c>
      <c r="AE169" t="s">
        <v>513</v>
      </c>
      <c r="AF169" t="s">
        <v>0</v>
      </c>
      <c r="AG169">
        <v>42</v>
      </c>
      <c r="AH169" t="s">
        <v>452</v>
      </c>
      <c r="AI169" t="s">
        <v>453</v>
      </c>
      <c r="AJ169" t="s">
        <v>959</v>
      </c>
      <c r="AK169" t="s">
        <v>173</v>
      </c>
      <c r="AL169" t="s">
        <v>1066</v>
      </c>
      <c r="AM169">
        <v>0</v>
      </c>
      <c r="AN169">
        <v>0</v>
      </c>
      <c r="AO169">
        <v>0</v>
      </c>
      <c r="AP169">
        <v>1</v>
      </c>
    </row>
    <row r="170" spans="12:42" x14ac:dyDescent="0.2">
      <c r="L170">
        <f t="shared" si="2"/>
        <v>0</v>
      </c>
      <c r="AE170" t="s">
        <v>513</v>
      </c>
      <c r="AF170" t="s">
        <v>0</v>
      </c>
      <c r="AG170">
        <v>46</v>
      </c>
      <c r="AH170" t="s">
        <v>452</v>
      </c>
      <c r="AI170" t="s">
        <v>453</v>
      </c>
      <c r="AJ170" t="s">
        <v>1077</v>
      </c>
      <c r="AK170" t="s">
        <v>179</v>
      </c>
      <c r="AL170" t="s">
        <v>1081</v>
      </c>
      <c r="AM170">
        <v>0</v>
      </c>
      <c r="AN170">
        <v>0</v>
      </c>
      <c r="AO170">
        <v>0</v>
      </c>
      <c r="AP170">
        <v>1</v>
      </c>
    </row>
    <row r="171" spans="12:42" x14ac:dyDescent="0.2">
      <c r="L171">
        <f t="shared" si="2"/>
        <v>0</v>
      </c>
      <c r="AE171" t="s">
        <v>513</v>
      </c>
      <c r="AF171" t="s">
        <v>0</v>
      </c>
      <c r="AG171">
        <v>46</v>
      </c>
      <c r="AH171" t="s">
        <v>452</v>
      </c>
      <c r="AI171" t="s">
        <v>453</v>
      </c>
      <c r="AJ171" t="s">
        <v>1077</v>
      </c>
      <c r="AK171" t="s">
        <v>177</v>
      </c>
      <c r="AL171" t="s">
        <v>1075</v>
      </c>
      <c r="AM171">
        <v>0</v>
      </c>
      <c r="AN171">
        <v>0</v>
      </c>
      <c r="AO171">
        <v>0</v>
      </c>
      <c r="AP171">
        <v>1</v>
      </c>
    </row>
    <row r="172" spans="12:42" x14ac:dyDescent="0.2">
      <c r="L172">
        <f t="shared" si="2"/>
        <v>0</v>
      </c>
      <c r="AE172" t="s">
        <v>513</v>
      </c>
      <c r="AF172" t="s">
        <v>0</v>
      </c>
      <c r="AG172">
        <v>47</v>
      </c>
      <c r="AH172" t="s">
        <v>452</v>
      </c>
      <c r="AI172" t="s">
        <v>453</v>
      </c>
      <c r="AJ172" t="s">
        <v>1077</v>
      </c>
      <c r="AK172" t="s">
        <v>180</v>
      </c>
      <c r="AL172" t="s">
        <v>1088</v>
      </c>
      <c r="AM172">
        <v>0</v>
      </c>
      <c r="AN172">
        <v>0</v>
      </c>
      <c r="AO172">
        <v>0</v>
      </c>
      <c r="AP172">
        <v>1</v>
      </c>
    </row>
    <row r="173" spans="12:42" x14ac:dyDescent="0.2">
      <c r="L173">
        <f t="shared" si="2"/>
        <v>0</v>
      </c>
      <c r="AE173" t="s">
        <v>513</v>
      </c>
      <c r="AF173" t="s">
        <v>0</v>
      </c>
      <c r="AG173">
        <v>47</v>
      </c>
      <c r="AH173" t="s">
        <v>452</v>
      </c>
      <c r="AI173" t="s">
        <v>453</v>
      </c>
      <c r="AJ173" t="s">
        <v>1077</v>
      </c>
      <c r="AK173" t="s">
        <v>182</v>
      </c>
      <c r="AL173" t="s">
        <v>1093</v>
      </c>
      <c r="AM173">
        <v>0</v>
      </c>
      <c r="AN173">
        <v>0</v>
      </c>
      <c r="AO173">
        <v>0</v>
      </c>
      <c r="AP173">
        <v>1</v>
      </c>
    </row>
    <row r="174" spans="12:42" x14ac:dyDescent="0.2">
      <c r="L174">
        <f t="shared" si="2"/>
        <v>0</v>
      </c>
      <c r="AE174" t="s">
        <v>513</v>
      </c>
      <c r="AF174" t="s">
        <v>0</v>
      </c>
      <c r="AG174">
        <v>48</v>
      </c>
      <c r="AH174" t="s">
        <v>452</v>
      </c>
      <c r="AI174" t="s">
        <v>453</v>
      </c>
      <c r="AJ174" t="s">
        <v>1077</v>
      </c>
      <c r="AK174" t="s">
        <v>185</v>
      </c>
      <c r="AL174" t="s">
        <v>1104</v>
      </c>
      <c r="AM174">
        <v>0</v>
      </c>
      <c r="AN174">
        <v>0</v>
      </c>
      <c r="AO174">
        <v>0</v>
      </c>
      <c r="AP174">
        <v>1</v>
      </c>
    </row>
    <row r="175" spans="12:42" x14ac:dyDescent="0.2">
      <c r="L175">
        <f t="shared" si="2"/>
        <v>0</v>
      </c>
      <c r="AE175" t="s">
        <v>513</v>
      </c>
      <c r="AF175" t="s">
        <v>0</v>
      </c>
      <c r="AG175">
        <v>48</v>
      </c>
      <c r="AH175" t="s">
        <v>452</v>
      </c>
      <c r="AI175" t="s">
        <v>453</v>
      </c>
      <c r="AJ175" t="s">
        <v>1077</v>
      </c>
      <c r="AK175" t="s">
        <v>183</v>
      </c>
      <c r="AL175" t="s">
        <v>1099</v>
      </c>
      <c r="AM175">
        <v>0</v>
      </c>
      <c r="AN175">
        <v>0</v>
      </c>
      <c r="AO175">
        <v>0</v>
      </c>
      <c r="AP175">
        <v>1</v>
      </c>
    </row>
    <row r="176" spans="12:42" x14ac:dyDescent="0.2">
      <c r="L176">
        <f t="shared" si="2"/>
        <v>0</v>
      </c>
      <c r="AE176" t="s">
        <v>513</v>
      </c>
      <c r="AF176" t="s">
        <v>0</v>
      </c>
      <c r="AG176">
        <v>50</v>
      </c>
      <c r="AH176" t="s">
        <v>452</v>
      </c>
      <c r="AI176" t="s">
        <v>453</v>
      </c>
      <c r="AJ176" t="s">
        <v>1123</v>
      </c>
      <c r="AK176" t="s">
        <v>188</v>
      </c>
      <c r="AL176" t="s">
        <v>1121</v>
      </c>
      <c r="AM176">
        <v>0</v>
      </c>
      <c r="AN176">
        <v>0</v>
      </c>
      <c r="AO176">
        <v>0</v>
      </c>
      <c r="AP176">
        <v>1</v>
      </c>
    </row>
    <row r="177" spans="12:42" x14ac:dyDescent="0.2">
      <c r="L177">
        <f t="shared" si="2"/>
        <v>0</v>
      </c>
      <c r="AE177" t="s">
        <v>513</v>
      </c>
      <c r="AF177" t="s">
        <v>0</v>
      </c>
      <c r="AG177">
        <v>50</v>
      </c>
      <c r="AH177" t="s">
        <v>452</v>
      </c>
      <c r="AI177" t="s">
        <v>453</v>
      </c>
      <c r="AJ177" t="s">
        <v>1123</v>
      </c>
      <c r="AK177" t="s">
        <v>190</v>
      </c>
      <c r="AL177" t="s">
        <v>1127</v>
      </c>
      <c r="AM177">
        <v>0</v>
      </c>
      <c r="AN177">
        <v>0</v>
      </c>
      <c r="AO177">
        <v>0</v>
      </c>
      <c r="AP177">
        <v>1</v>
      </c>
    </row>
    <row r="178" spans="12:42" x14ac:dyDescent="0.2">
      <c r="L178">
        <f t="shared" si="2"/>
        <v>0</v>
      </c>
      <c r="AE178" t="s">
        <v>513</v>
      </c>
      <c r="AF178" t="s">
        <v>0</v>
      </c>
      <c r="AG178">
        <v>51</v>
      </c>
      <c r="AH178" t="s">
        <v>452</v>
      </c>
      <c r="AI178" t="s">
        <v>453</v>
      </c>
      <c r="AJ178" t="s">
        <v>1123</v>
      </c>
      <c r="AK178" t="s">
        <v>191</v>
      </c>
      <c r="AL178" t="s">
        <v>1135</v>
      </c>
      <c r="AM178">
        <v>0</v>
      </c>
      <c r="AN178">
        <v>0</v>
      </c>
      <c r="AO178">
        <v>0</v>
      </c>
      <c r="AP178">
        <v>1</v>
      </c>
    </row>
    <row r="179" spans="12:42" x14ac:dyDescent="0.2">
      <c r="L179">
        <f t="shared" si="2"/>
        <v>0</v>
      </c>
      <c r="AE179" t="s">
        <v>513</v>
      </c>
      <c r="AF179" t="s">
        <v>0</v>
      </c>
      <c r="AG179">
        <v>51</v>
      </c>
      <c r="AH179" t="s">
        <v>452</v>
      </c>
      <c r="AI179" t="s">
        <v>453</v>
      </c>
      <c r="AJ179" t="s">
        <v>1123</v>
      </c>
      <c r="AK179" t="s">
        <v>194</v>
      </c>
      <c r="AL179" t="s">
        <v>1141</v>
      </c>
      <c r="AM179">
        <v>0</v>
      </c>
      <c r="AN179">
        <v>0</v>
      </c>
      <c r="AO179">
        <v>0</v>
      </c>
      <c r="AP179">
        <v>1</v>
      </c>
    </row>
    <row r="180" spans="12:42" x14ac:dyDescent="0.2">
      <c r="L180">
        <f t="shared" si="2"/>
        <v>0</v>
      </c>
      <c r="AE180" t="s">
        <v>513</v>
      </c>
      <c r="AF180" t="s">
        <v>0</v>
      </c>
      <c r="AG180">
        <v>52</v>
      </c>
      <c r="AH180" t="s">
        <v>452</v>
      </c>
      <c r="AI180" t="s">
        <v>453</v>
      </c>
      <c r="AJ180" t="s">
        <v>1123</v>
      </c>
      <c r="AK180" t="s">
        <v>199</v>
      </c>
      <c r="AL180" t="s">
        <v>1163</v>
      </c>
      <c r="AM180">
        <v>0</v>
      </c>
      <c r="AN180">
        <v>0</v>
      </c>
      <c r="AO180">
        <v>0</v>
      </c>
      <c r="AP180">
        <v>1</v>
      </c>
    </row>
    <row r="181" spans="12:42" x14ac:dyDescent="0.2">
      <c r="L181">
        <f t="shared" si="2"/>
        <v>0</v>
      </c>
      <c r="AE181" t="s">
        <v>513</v>
      </c>
      <c r="AF181" t="s">
        <v>0</v>
      </c>
      <c r="AG181">
        <v>52</v>
      </c>
      <c r="AH181" t="s">
        <v>452</v>
      </c>
      <c r="AI181" t="s">
        <v>453</v>
      </c>
      <c r="AJ181" t="s">
        <v>1123</v>
      </c>
      <c r="AK181" t="s">
        <v>197</v>
      </c>
      <c r="AL181" t="s">
        <v>1155</v>
      </c>
      <c r="AM181">
        <v>0</v>
      </c>
      <c r="AN181">
        <v>0</v>
      </c>
      <c r="AO181">
        <v>0</v>
      </c>
      <c r="AP181">
        <v>1</v>
      </c>
    </row>
    <row r="182" spans="12:42" x14ac:dyDescent="0.2">
      <c r="L182">
        <f t="shared" si="2"/>
        <v>0</v>
      </c>
      <c r="AE182" t="s">
        <v>513</v>
      </c>
      <c r="AF182" t="s">
        <v>0</v>
      </c>
      <c r="AG182">
        <v>53</v>
      </c>
      <c r="AH182" t="s">
        <v>452</v>
      </c>
      <c r="AI182" t="s">
        <v>453</v>
      </c>
      <c r="AJ182" t="s">
        <v>1123</v>
      </c>
      <c r="AK182" t="s">
        <v>200</v>
      </c>
      <c r="AL182" t="s">
        <v>1170</v>
      </c>
      <c r="AM182">
        <v>0</v>
      </c>
      <c r="AN182">
        <v>0</v>
      </c>
      <c r="AO182">
        <v>0</v>
      </c>
      <c r="AP182">
        <v>1</v>
      </c>
    </row>
    <row r="183" spans="12:42" x14ac:dyDescent="0.2">
      <c r="L183">
        <f t="shared" si="2"/>
        <v>0</v>
      </c>
      <c r="AE183" t="s">
        <v>513</v>
      </c>
      <c r="AF183" t="s">
        <v>0</v>
      </c>
      <c r="AG183">
        <v>53</v>
      </c>
      <c r="AH183" t="s">
        <v>452</v>
      </c>
      <c r="AI183" t="s">
        <v>453</v>
      </c>
      <c r="AJ183" t="s">
        <v>1123</v>
      </c>
      <c r="AK183" t="s">
        <v>202</v>
      </c>
      <c r="AL183" t="s">
        <v>1176</v>
      </c>
      <c r="AM183">
        <v>0</v>
      </c>
      <c r="AN183">
        <v>0</v>
      </c>
      <c r="AO183">
        <v>0</v>
      </c>
      <c r="AP183">
        <v>1</v>
      </c>
    </row>
    <row r="184" spans="12:42" x14ac:dyDescent="0.2">
      <c r="L184">
        <f t="shared" si="2"/>
        <v>0</v>
      </c>
      <c r="AE184" t="s">
        <v>513</v>
      </c>
      <c r="AF184" t="s">
        <v>0</v>
      </c>
      <c r="AG184">
        <v>54</v>
      </c>
      <c r="AH184" t="s">
        <v>452</v>
      </c>
      <c r="AI184" t="s">
        <v>453</v>
      </c>
      <c r="AJ184" t="s">
        <v>751</v>
      </c>
      <c r="AK184" t="s">
        <v>386</v>
      </c>
      <c r="AL184" t="s">
        <v>2332</v>
      </c>
      <c r="AM184">
        <v>0</v>
      </c>
      <c r="AN184">
        <v>0</v>
      </c>
      <c r="AO184">
        <v>0</v>
      </c>
      <c r="AP184">
        <v>1</v>
      </c>
    </row>
    <row r="185" spans="12:42" x14ac:dyDescent="0.2">
      <c r="L185">
        <f t="shared" si="2"/>
        <v>0</v>
      </c>
      <c r="AE185" t="s">
        <v>513</v>
      </c>
      <c r="AF185" t="s">
        <v>0</v>
      </c>
      <c r="AG185">
        <v>54</v>
      </c>
      <c r="AH185" t="s">
        <v>452</v>
      </c>
      <c r="AI185" t="s">
        <v>453</v>
      </c>
      <c r="AJ185" t="s">
        <v>1117</v>
      </c>
      <c r="AK185" t="s">
        <v>1257</v>
      </c>
      <c r="AL185" t="s">
        <v>1258</v>
      </c>
      <c r="AM185">
        <v>0</v>
      </c>
      <c r="AN185">
        <v>0</v>
      </c>
      <c r="AO185">
        <v>0</v>
      </c>
      <c r="AP185">
        <v>1</v>
      </c>
    </row>
    <row r="186" spans="12:42" x14ac:dyDescent="0.2">
      <c r="L186">
        <f t="shared" si="2"/>
        <v>0</v>
      </c>
      <c r="AE186" t="s">
        <v>513</v>
      </c>
      <c r="AF186" t="s">
        <v>0</v>
      </c>
      <c r="AG186">
        <v>55</v>
      </c>
      <c r="AH186" t="s">
        <v>452</v>
      </c>
      <c r="AI186" t="s">
        <v>453</v>
      </c>
      <c r="AJ186" t="s">
        <v>959</v>
      </c>
      <c r="AK186" t="s">
        <v>382</v>
      </c>
      <c r="AL186" t="s">
        <v>2298</v>
      </c>
      <c r="AM186">
        <v>0</v>
      </c>
      <c r="AN186">
        <v>0</v>
      </c>
      <c r="AO186">
        <v>0</v>
      </c>
      <c r="AP186">
        <v>1</v>
      </c>
    </row>
    <row r="187" spans="12:42" x14ac:dyDescent="0.2">
      <c r="L187">
        <f t="shared" si="2"/>
        <v>0</v>
      </c>
      <c r="AE187" t="s">
        <v>513</v>
      </c>
      <c r="AF187" t="s">
        <v>0</v>
      </c>
      <c r="AG187">
        <v>55</v>
      </c>
      <c r="AH187" t="s">
        <v>452</v>
      </c>
      <c r="AI187" t="s">
        <v>453</v>
      </c>
      <c r="AJ187" t="s">
        <v>959</v>
      </c>
      <c r="AK187" t="s">
        <v>205</v>
      </c>
      <c r="AL187" t="s">
        <v>1190</v>
      </c>
      <c r="AM187">
        <v>0</v>
      </c>
      <c r="AN187">
        <v>0</v>
      </c>
      <c r="AO187">
        <v>0</v>
      </c>
      <c r="AP187">
        <v>1</v>
      </c>
    </row>
    <row r="188" spans="12:42" x14ac:dyDescent="0.2">
      <c r="L188">
        <f t="shared" si="2"/>
        <v>0</v>
      </c>
      <c r="AE188" t="s">
        <v>513</v>
      </c>
      <c r="AF188" t="s">
        <v>0</v>
      </c>
      <c r="AG188">
        <v>56</v>
      </c>
      <c r="AH188" t="s">
        <v>452</v>
      </c>
      <c r="AI188" t="s">
        <v>453</v>
      </c>
      <c r="AJ188" t="s">
        <v>1117</v>
      </c>
      <c r="AK188" t="s">
        <v>224</v>
      </c>
      <c r="AL188" t="s">
        <v>1264</v>
      </c>
      <c r="AM188">
        <v>0</v>
      </c>
      <c r="AN188">
        <v>0</v>
      </c>
      <c r="AO188">
        <v>0</v>
      </c>
      <c r="AP188">
        <v>1</v>
      </c>
    </row>
    <row r="189" spans="12:42" x14ac:dyDescent="0.2">
      <c r="L189">
        <f t="shared" si="2"/>
        <v>0</v>
      </c>
      <c r="AE189" t="s">
        <v>513</v>
      </c>
      <c r="AF189" t="s">
        <v>0</v>
      </c>
      <c r="AG189">
        <v>56</v>
      </c>
      <c r="AH189" t="s">
        <v>452</v>
      </c>
      <c r="AI189" t="s">
        <v>453</v>
      </c>
      <c r="AJ189" t="s">
        <v>1123</v>
      </c>
      <c r="AK189" t="s">
        <v>203</v>
      </c>
      <c r="AL189" t="s">
        <v>1181</v>
      </c>
      <c r="AM189">
        <v>0</v>
      </c>
      <c r="AN189">
        <v>0</v>
      </c>
      <c r="AO189">
        <v>0</v>
      </c>
      <c r="AP189">
        <v>1</v>
      </c>
    </row>
    <row r="190" spans="12:42" x14ac:dyDescent="0.2">
      <c r="L190">
        <f t="shared" si="2"/>
        <v>0</v>
      </c>
      <c r="AE190" t="s">
        <v>513</v>
      </c>
      <c r="AF190" t="s">
        <v>0</v>
      </c>
      <c r="AG190">
        <v>57</v>
      </c>
      <c r="AH190" t="s">
        <v>452</v>
      </c>
      <c r="AI190" t="s">
        <v>453</v>
      </c>
      <c r="AJ190" t="s">
        <v>959</v>
      </c>
      <c r="AK190" t="s">
        <v>213</v>
      </c>
      <c r="AL190" t="s">
        <v>1210</v>
      </c>
      <c r="AM190">
        <v>0</v>
      </c>
      <c r="AN190">
        <v>0</v>
      </c>
      <c r="AO190">
        <v>0</v>
      </c>
      <c r="AP190">
        <v>1</v>
      </c>
    </row>
    <row r="191" spans="12:42" x14ac:dyDescent="0.2">
      <c r="L191">
        <f t="shared" si="2"/>
        <v>0</v>
      </c>
      <c r="AE191" t="s">
        <v>513</v>
      </c>
      <c r="AF191" t="s">
        <v>0</v>
      </c>
      <c r="AG191">
        <v>57</v>
      </c>
      <c r="AH191" t="s">
        <v>452</v>
      </c>
      <c r="AI191" t="s">
        <v>453</v>
      </c>
      <c r="AJ191" t="s">
        <v>959</v>
      </c>
      <c r="AK191" t="s">
        <v>157</v>
      </c>
      <c r="AL191" t="s">
        <v>1028</v>
      </c>
      <c r="AM191">
        <v>0</v>
      </c>
      <c r="AN191">
        <v>0</v>
      </c>
      <c r="AO191">
        <v>0</v>
      </c>
      <c r="AP191">
        <v>1</v>
      </c>
    </row>
    <row r="192" spans="12:42" x14ac:dyDescent="0.2">
      <c r="L192">
        <f t="shared" si="2"/>
        <v>0</v>
      </c>
      <c r="AE192" t="s">
        <v>513</v>
      </c>
      <c r="AF192" t="s">
        <v>0</v>
      </c>
      <c r="AG192">
        <v>58</v>
      </c>
      <c r="AH192" t="s">
        <v>452</v>
      </c>
      <c r="AI192" t="s">
        <v>453</v>
      </c>
      <c r="AJ192" t="s">
        <v>959</v>
      </c>
      <c r="AK192" t="s">
        <v>135</v>
      </c>
      <c r="AL192" t="s">
        <v>957</v>
      </c>
      <c r="AM192">
        <v>0</v>
      </c>
      <c r="AN192">
        <v>0</v>
      </c>
      <c r="AO192">
        <v>0</v>
      </c>
      <c r="AP192">
        <v>1</v>
      </c>
    </row>
    <row r="193" spans="12:42" x14ac:dyDescent="0.2">
      <c r="L193">
        <f t="shared" si="2"/>
        <v>0</v>
      </c>
      <c r="AE193" t="s">
        <v>513</v>
      </c>
      <c r="AF193" t="s">
        <v>0</v>
      </c>
      <c r="AG193">
        <v>58</v>
      </c>
      <c r="AH193" t="s">
        <v>452</v>
      </c>
      <c r="AI193" t="s">
        <v>453</v>
      </c>
      <c r="AJ193" t="s">
        <v>959</v>
      </c>
      <c r="AK193" t="s">
        <v>214</v>
      </c>
      <c r="AL193" t="s">
        <v>1216</v>
      </c>
      <c r="AM193">
        <v>0</v>
      </c>
      <c r="AN193">
        <v>0</v>
      </c>
      <c r="AO193">
        <v>0</v>
      </c>
      <c r="AP193">
        <v>1</v>
      </c>
    </row>
    <row r="194" spans="12:42" x14ac:dyDescent="0.2">
      <c r="L194">
        <f t="shared" si="2"/>
        <v>0</v>
      </c>
      <c r="AE194" t="s">
        <v>513</v>
      </c>
      <c r="AF194" t="s">
        <v>0</v>
      </c>
      <c r="AG194">
        <v>59</v>
      </c>
      <c r="AH194" t="s">
        <v>452</v>
      </c>
      <c r="AI194" t="s">
        <v>453</v>
      </c>
      <c r="AJ194" t="s">
        <v>959</v>
      </c>
      <c r="AK194" t="s">
        <v>219</v>
      </c>
      <c r="AL194" t="s">
        <v>1236</v>
      </c>
      <c r="AM194">
        <v>0</v>
      </c>
      <c r="AN194">
        <v>0</v>
      </c>
      <c r="AO194">
        <v>0</v>
      </c>
      <c r="AP194">
        <v>1</v>
      </c>
    </row>
    <row r="195" spans="12:42" x14ac:dyDescent="0.2">
      <c r="L195">
        <f t="shared" si="2"/>
        <v>0</v>
      </c>
      <c r="AE195" t="s">
        <v>513</v>
      </c>
      <c r="AF195" t="s">
        <v>0</v>
      </c>
      <c r="AG195">
        <v>59</v>
      </c>
      <c r="AH195" t="s">
        <v>452</v>
      </c>
      <c r="AI195" t="s">
        <v>453</v>
      </c>
      <c r="AJ195" t="s">
        <v>959</v>
      </c>
      <c r="AK195" t="s">
        <v>215</v>
      </c>
      <c r="AL195" t="s">
        <v>1221</v>
      </c>
      <c r="AM195">
        <v>0</v>
      </c>
      <c r="AN195">
        <v>0</v>
      </c>
      <c r="AO195">
        <v>0</v>
      </c>
      <c r="AP195">
        <v>1</v>
      </c>
    </row>
    <row r="196" spans="12:42" x14ac:dyDescent="0.2">
      <c r="L196">
        <f t="shared" ref="L196:L259" si="3">IF(E196="",0,IF(I196=1,0.5,1))</f>
        <v>0</v>
      </c>
      <c r="AE196" t="s">
        <v>513</v>
      </c>
      <c r="AF196" t="s">
        <v>0</v>
      </c>
      <c r="AG196">
        <v>63</v>
      </c>
      <c r="AH196" t="s">
        <v>452</v>
      </c>
      <c r="AI196" t="s">
        <v>453</v>
      </c>
      <c r="AJ196" t="s">
        <v>492</v>
      </c>
      <c r="AK196" t="s">
        <v>332</v>
      </c>
      <c r="AL196" t="s">
        <v>1867</v>
      </c>
      <c r="AM196">
        <v>0</v>
      </c>
      <c r="AN196">
        <v>0</v>
      </c>
      <c r="AO196">
        <v>0</v>
      </c>
      <c r="AP196">
        <v>1</v>
      </c>
    </row>
    <row r="197" spans="12:42" x14ac:dyDescent="0.2">
      <c r="L197">
        <f t="shared" si="3"/>
        <v>0</v>
      </c>
      <c r="AE197" t="s">
        <v>513</v>
      </c>
      <c r="AF197" t="s">
        <v>0</v>
      </c>
      <c r="AG197">
        <v>63</v>
      </c>
      <c r="AH197" t="s">
        <v>452</v>
      </c>
      <c r="AI197" t="s">
        <v>453</v>
      </c>
      <c r="AJ197" t="s">
        <v>492</v>
      </c>
      <c r="AK197" t="s">
        <v>335</v>
      </c>
      <c r="AL197" t="s">
        <v>1877</v>
      </c>
      <c r="AM197">
        <v>0</v>
      </c>
      <c r="AN197">
        <v>0</v>
      </c>
      <c r="AO197">
        <v>0</v>
      </c>
      <c r="AP197">
        <v>1</v>
      </c>
    </row>
    <row r="198" spans="12:42" x14ac:dyDescent="0.2">
      <c r="L198">
        <f t="shared" si="3"/>
        <v>0</v>
      </c>
      <c r="AE198" t="s">
        <v>513</v>
      </c>
      <c r="AF198" t="s">
        <v>0</v>
      </c>
      <c r="AG198">
        <v>64</v>
      </c>
      <c r="AH198" t="s">
        <v>452</v>
      </c>
      <c r="AI198" t="s">
        <v>453</v>
      </c>
      <c r="AJ198" t="s">
        <v>492</v>
      </c>
      <c r="AK198" t="s">
        <v>329</v>
      </c>
      <c r="AL198" t="s">
        <v>1855</v>
      </c>
      <c r="AM198">
        <v>0</v>
      </c>
      <c r="AN198">
        <v>0</v>
      </c>
      <c r="AO198">
        <v>0</v>
      </c>
      <c r="AP198">
        <v>1</v>
      </c>
    </row>
    <row r="199" spans="12:42" x14ac:dyDescent="0.2">
      <c r="L199">
        <f t="shared" si="3"/>
        <v>0</v>
      </c>
      <c r="AE199" t="s">
        <v>513</v>
      </c>
      <c r="AF199" t="s">
        <v>0</v>
      </c>
      <c r="AG199">
        <v>64</v>
      </c>
      <c r="AH199" t="s">
        <v>452</v>
      </c>
      <c r="AI199" t="s">
        <v>453</v>
      </c>
      <c r="AJ199" t="s">
        <v>492</v>
      </c>
      <c r="AK199" t="s">
        <v>331</v>
      </c>
      <c r="AL199" t="s">
        <v>1862</v>
      </c>
      <c r="AM199">
        <v>0</v>
      </c>
      <c r="AN199">
        <v>0</v>
      </c>
      <c r="AO199">
        <v>0</v>
      </c>
      <c r="AP199">
        <v>1</v>
      </c>
    </row>
    <row r="200" spans="12:42" x14ac:dyDescent="0.2">
      <c r="L200">
        <f t="shared" si="3"/>
        <v>0</v>
      </c>
      <c r="AE200" t="s">
        <v>513</v>
      </c>
      <c r="AF200" t="s">
        <v>0</v>
      </c>
      <c r="AG200">
        <v>65</v>
      </c>
      <c r="AH200" t="s">
        <v>452</v>
      </c>
      <c r="AI200" t="s">
        <v>453</v>
      </c>
      <c r="AJ200" t="s">
        <v>692</v>
      </c>
      <c r="AK200" t="s">
        <v>67</v>
      </c>
      <c r="AL200" t="s">
        <v>690</v>
      </c>
      <c r="AM200">
        <v>0</v>
      </c>
      <c r="AN200">
        <v>0</v>
      </c>
      <c r="AO200">
        <v>0</v>
      </c>
      <c r="AP200">
        <v>1</v>
      </c>
    </row>
    <row r="201" spans="12:42" x14ac:dyDescent="0.2">
      <c r="L201">
        <f t="shared" si="3"/>
        <v>0</v>
      </c>
      <c r="AE201" t="s">
        <v>513</v>
      </c>
      <c r="AF201" t="s">
        <v>0</v>
      </c>
      <c r="AG201">
        <v>65</v>
      </c>
      <c r="AH201" t="s">
        <v>452</v>
      </c>
      <c r="AI201" t="s">
        <v>453</v>
      </c>
      <c r="AJ201" t="s">
        <v>492</v>
      </c>
      <c r="AK201" t="s">
        <v>327</v>
      </c>
      <c r="AL201" t="s">
        <v>1850</v>
      </c>
      <c r="AM201">
        <v>0</v>
      </c>
      <c r="AN201">
        <v>0</v>
      </c>
      <c r="AO201">
        <v>0</v>
      </c>
      <c r="AP201">
        <v>1</v>
      </c>
    </row>
    <row r="202" spans="12:42" x14ac:dyDescent="0.2">
      <c r="L202">
        <f t="shared" si="3"/>
        <v>0</v>
      </c>
      <c r="AE202" t="s">
        <v>513</v>
      </c>
      <c r="AF202" t="s">
        <v>0</v>
      </c>
      <c r="AG202">
        <v>66</v>
      </c>
      <c r="AH202" t="s">
        <v>452</v>
      </c>
      <c r="AI202" t="s">
        <v>453</v>
      </c>
      <c r="AJ202" t="s">
        <v>692</v>
      </c>
      <c r="AK202" t="s">
        <v>71</v>
      </c>
      <c r="AL202" t="s">
        <v>704</v>
      </c>
      <c r="AM202">
        <v>0</v>
      </c>
      <c r="AN202">
        <v>0</v>
      </c>
      <c r="AO202">
        <v>0</v>
      </c>
      <c r="AP202">
        <v>1</v>
      </c>
    </row>
    <row r="203" spans="12:42" x14ac:dyDescent="0.2">
      <c r="L203">
        <f t="shared" si="3"/>
        <v>0</v>
      </c>
      <c r="AE203" t="s">
        <v>513</v>
      </c>
      <c r="AF203" t="s">
        <v>0</v>
      </c>
      <c r="AG203">
        <v>66</v>
      </c>
      <c r="AH203" t="s">
        <v>452</v>
      </c>
      <c r="AI203" t="s">
        <v>453</v>
      </c>
      <c r="AJ203" t="s">
        <v>692</v>
      </c>
      <c r="AK203" t="s">
        <v>69</v>
      </c>
      <c r="AL203" t="s">
        <v>697</v>
      </c>
      <c r="AM203">
        <v>0</v>
      </c>
      <c r="AN203">
        <v>0</v>
      </c>
      <c r="AO203">
        <v>0</v>
      </c>
      <c r="AP203">
        <v>1</v>
      </c>
    </row>
    <row r="204" spans="12:42" x14ac:dyDescent="0.2">
      <c r="L204">
        <f t="shared" si="3"/>
        <v>0</v>
      </c>
      <c r="AE204" t="s">
        <v>513</v>
      </c>
      <c r="AF204" t="s">
        <v>0</v>
      </c>
      <c r="AG204">
        <v>67</v>
      </c>
      <c r="AH204" t="s">
        <v>452</v>
      </c>
      <c r="AI204" t="s">
        <v>453</v>
      </c>
      <c r="AJ204" t="s">
        <v>692</v>
      </c>
      <c r="AK204" t="s">
        <v>72</v>
      </c>
      <c r="AL204" t="s">
        <v>710</v>
      </c>
      <c r="AM204">
        <v>0</v>
      </c>
      <c r="AN204">
        <v>0</v>
      </c>
      <c r="AO204">
        <v>0</v>
      </c>
      <c r="AP204">
        <v>1</v>
      </c>
    </row>
    <row r="205" spans="12:42" x14ac:dyDescent="0.2">
      <c r="L205">
        <f t="shared" si="3"/>
        <v>0</v>
      </c>
      <c r="AE205" t="s">
        <v>513</v>
      </c>
      <c r="AF205" t="s">
        <v>0</v>
      </c>
      <c r="AG205">
        <v>67</v>
      </c>
      <c r="AH205" t="s">
        <v>452</v>
      </c>
      <c r="AI205" t="s">
        <v>453</v>
      </c>
      <c r="AJ205" t="s">
        <v>692</v>
      </c>
      <c r="AK205" t="s">
        <v>74</v>
      </c>
      <c r="AL205" t="s">
        <v>717</v>
      </c>
      <c r="AO205">
        <v>0</v>
      </c>
      <c r="AP205">
        <v>1</v>
      </c>
    </row>
    <row r="206" spans="12:42" x14ac:dyDescent="0.2">
      <c r="L206">
        <f t="shared" si="3"/>
        <v>0</v>
      </c>
      <c r="AE206" t="s">
        <v>513</v>
      </c>
      <c r="AF206" t="s">
        <v>0</v>
      </c>
      <c r="AG206">
        <v>68</v>
      </c>
      <c r="AH206" t="s">
        <v>452</v>
      </c>
      <c r="AI206" t="s">
        <v>491</v>
      </c>
      <c r="AJ206" t="s">
        <v>911</v>
      </c>
      <c r="AK206" t="s">
        <v>225</v>
      </c>
      <c r="AL206" t="s">
        <v>1270</v>
      </c>
      <c r="AM206">
        <v>0</v>
      </c>
      <c r="AN206">
        <v>0</v>
      </c>
      <c r="AO206">
        <v>0</v>
      </c>
      <c r="AP206">
        <v>1</v>
      </c>
    </row>
    <row r="207" spans="12:42" x14ac:dyDescent="0.2">
      <c r="L207">
        <f t="shared" si="3"/>
        <v>0</v>
      </c>
      <c r="AE207" t="s">
        <v>513</v>
      </c>
      <c r="AF207" t="s">
        <v>0</v>
      </c>
      <c r="AG207">
        <v>78</v>
      </c>
      <c r="AH207" t="s">
        <v>452</v>
      </c>
      <c r="AI207" t="s">
        <v>453</v>
      </c>
      <c r="AJ207" t="s">
        <v>692</v>
      </c>
      <c r="AK207" t="s">
        <v>377</v>
      </c>
      <c r="AL207" t="s">
        <v>2152</v>
      </c>
      <c r="AM207">
        <v>0</v>
      </c>
      <c r="AN207">
        <v>0</v>
      </c>
      <c r="AO207">
        <v>0</v>
      </c>
      <c r="AP207">
        <v>1</v>
      </c>
    </row>
    <row r="208" spans="12:42" x14ac:dyDescent="0.2">
      <c r="L208">
        <f t="shared" si="3"/>
        <v>0</v>
      </c>
      <c r="AE208" t="s">
        <v>513</v>
      </c>
      <c r="AF208" t="s">
        <v>0</v>
      </c>
      <c r="AG208">
        <v>78</v>
      </c>
      <c r="AH208" t="s">
        <v>452</v>
      </c>
      <c r="AI208" t="s">
        <v>453</v>
      </c>
      <c r="AJ208" t="s">
        <v>751</v>
      </c>
      <c r="AK208" t="s">
        <v>383</v>
      </c>
      <c r="AL208" t="s">
        <v>2313</v>
      </c>
      <c r="AM208">
        <v>0</v>
      </c>
      <c r="AN208">
        <v>0</v>
      </c>
      <c r="AO208">
        <v>0</v>
      </c>
      <c r="AP208">
        <v>1</v>
      </c>
    </row>
    <row r="209" spans="12:42" x14ac:dyDescent="0.2">
      <c r="L209">
        <f t="shared" si="3"/>
        <v>0</v>
      </c>
      <c r="AE209" t="s">
        <v>513</v>
      </c>
      <c r="AF209" t="s">
        <v>0</v>
      </c>
      <c r="AG209">
        <v>79</v>
      </c>
      <c r="AH209" t="s">
        <v>452</v>
      </c>
      <c r="AI209" t="s">
        <v>453</v>
      </c>
      <c r="AJ209" t="s">
        <v>959</v>
      </c>
      <c r="AK209" t="s">
        <v>302</v>
      </c>
      <c r="AL209" t="s">
        <v>1731</v>
      </c>
      <c r="AM209">
        <v>0</v>
      </c>
      <c r="AN209">
        <v>0</v>
      </c>
      <c r="AO209">
        <v>0</v>
      </c>
      <c r="AP209">
        <v>1</v>
      </c>
    </row>
    <row r="210" spans="12:42" x14ac:dyDescent="0.2">
      <c r="L210">
        <f t="shared" si="3"/>
        <v>0</v>
      </c>
      <c r="AE210" t="s">
        <v>513</v>
      </c>
      <c r="AF210" t="s">
        <v>0</v>
      </c>
      <c r="AG210">
        <v>79</v>
      </c>
      <c r="AH210" t="s">
        <v>452</v>
      </c>
      <c r="AI210" t="s">
        <v>453</v>
      </c>
      <c r="AJ210" t="s">
        <v>959</v>
      </c>
      <c r="AK210" t="s">
        <v>299</v>
      </c>
      <c r="AL210" t="s">
        <v>413</v>
      </c>
      <c r="AM210">
        <v>0</v>
      </c>
      <c r="AN210">
        <v>0</v>
      </c>
      <c r="AO210">
        <v>0</v>
      </c>
      <c r="AP210">
        <v>1</v>
      </c>
    </row>
    <row r="211" spans="12:42" x14ac:dyDescent="0.2">
      <c r="L211">
        <f t="shared" si="3"/>
        <v>0</v>
      </c>
      <c r="AE211" t="s">
        <v>513</v>
      </c>
      <c r="AF211" t="s">
        <v>0</v>
      </c>
      <c r="AG211">
        <v>80</v>
      </c>
      <c r="AH211" t="s">
        <v>1745</v>
      </c>
      <c r="AI211" t="s">
        <v>1746</v>
      </c>
      <c r="AJ211" t="s">
        <v>1747</v>
      </c>
      <c r="AK211" t="s">
        <v>308</v>
      </c>
      <c r="AL211" t="s">
        <v>1758</v>
      </c>
      <c r="AM211">
        <v>0</v>
      </c>
      <c r="AN211">
        <v>0</v>
      </c>
      <c r="AO211">
        <v>0</v>
      </c>
      <c r="AP211">
        <v>1</v>
      </c>
    </row>
    <row r="212" spans="12:42" x14ac:dyDescent="0.2">
      <c r="L212">
        <f t="shared" si="3"/>
        <v>0</v>
      </c>
      <c r="AE212" t="s">
        <v>513</v>
      </c>
      <c r="AF212" t="s">
        <v>0</v>
      </c>
      <c r="AG212">
        <v>80</v>
      </c>
      <c r="AH212" t="s">
        <v>1745</v>
      </c>
      <c r="AI212" t="s">
        <v>1746</v>
      </c>
      <c r="AJ212" t="s">
        <v>1747</v>
      </c>
      <c r="AK212" t="s">
        <v>306</v>
      </c>
      <c r="AL212" t="s">
        <v>1752</v>
      </c>
      <c r="AM212">
        <v>0</v>
      </c>
      <c r="AN212">
        <v>0</v>
      </c>
      <c r="AO212">
        <v>0</v>
      </c>
      <c r="AP212">
        <v>1</v>
      </c>
    </row>
    <row r="213" spans="12:42" x14ac:dyDescent="0.2">
      <c r="L213">
        <f t="shared" si="3"/>
        <v>0</v>
      </c>
      <c r="AE213" t="s">
        <v>513</v>
      </c>
      <c r="AF213" t="s">
        <v>0</v>
      </c>
      <c r="AG213">
        <v>81</v>
      </c>
      <c r="AH213" t="s">
        <v>1745</v>
      </c>
      <c r="AI213" t="s">
        <v>1746</v>
      </c>
      <c r="AJ213" t="s">
        <v>1747</v>
      </c>
      <c r="AK213" t="s">
        <v>309</v>
      </c>
      <c r="AL213" t="s">
        <v>1763</v>
      </c>
      <c r="AM213">
        <v>0</v>
      </c>
      <c r="AN213">
        <v>0</v>
      </c>
      <c r="AO213">
        <v>0</v>
      </c>
      <c r="AP213">
        <v>1</v>
      </c>
    </row>
    <row r="214" spans="12:42" x14ac:dyDescent="0.2">
      <c r="L214">
        <f t="shared" si="3"/>
        <v>0</v>
      </c>
      <c r="AE214" t="s">
        <v>513</v>
      </c>
      <c r="AF214" t="s">
        <v>0</v>
      </c>
      <c r="AG214">
        <v>81</v>
      </c>
      <c r="AH214" t="s">
        <v>1745</v>
      </c>
      <c r="AI214" t="s">
        <v>1773</v>
      </c>
      <c r="AJ214" t="s">
        <v>1774</v>
      </c>
      <c r="AK214" t="s">
        <v>311</v>
      </c>
      <c r="AL214" t="s">
        <v>1770</v>
      </c>
      <c r="AM214">
        <v>0</v>
      </c>
      <c r="AN214">
        <v>0</v>
      </c>
      <c r="AO214">
        <v>0</v>
      </c>
      <c r="AP214">
        <v>1</v>
      </c>
    </row>
    <row r="215" spans="12:42" x14ac:dyDescent="0.2">
      <c r="L215">
        <f t="shared" si="3"/>
        <v>0</v>
      </c>
      <c r="AE215" t="s">
        <v>513</v>
      </c>
      <c r="AF215" t="s">
        <v>0</v>
      </c>
      <c r="AG215">
        <v>90</v>
      </c>
      <c r="AH215" t="s">
        <v>452</v>
      </c>
      <c r="AI215" t="s">
        <v>904</v>
      </c>
      <c r="AJ215" t="s">
        <v>2019</v>
      </c>
      <c r="AK215" t="s">
        <v>355</v>
      </c>
      <c r="AL215" t="s">
        <v>2017</v>
      </c>
      <c r="AM215">
        <v>0</v>
      </c>
      <c r="AN215">
        <v>0</v>
      </c>
      <c r="AO215">
        <v>0</v>
      </c>
      <c r="AP215">
        <v>1</v>
      </c>
    </row>
    <row r="216" spans="12:42" x14ac:dyDescent="0.2">
      <c r="L216">
        <f t="shared" si="3"/>
        <v>0</v>
      </c>
      <c r="AE216" t="s">
        <v>513</v>
      </c>
      <c r="AF216" t="s">
        <v>0</v>
      </c>
      <c r="AG216">
        <v>90</v>
      </c>
      <c r="AH216" t="s">
        <v>452</v>
      </c>
      <c r="AI216" t="s">
        <v>1705</v>
      </c>
      <c r="AJ216" t="s">
        <v>2042</v>
      </c>
      <c r="AK216" t="s">
        <v>359</v>
      </c>
      <c r="AL216" t="s">
        <v>2040</v>
      </c>
      <c r="AM216">
        <v>0</v>
      </c>
      <c r="AN216">
        <v>0</v>
      </c>
      <c r="AO216">
        <v>0</v>
      </c>
      <c r="AP216">
        <v>1</v>
      </c>
    </row>
    <row r="217" spans="12:42" x14ac:dyDescent="0.2">
      <c r="L217">
        <f t="shared" si="3"/>
        <v>0</v>
      </c>
      <c r="AE217" t="s">
        <v>513</v>
      </c>
      <c r="AF217" t="s">
        <v>0</v>
      </c>
      <c r="AG217">
        <v>91</v>
      </c>
      <c r="AH217" t="s">
        <v>452</v>
      </c>
      <c r="AI217" t="s">
        <v>453</v>
      </c>
      <c r="AJ217" t="s">
        <v>1077</v>
      </c>
      <c r="AK217" t="s">
        <v>384</v>
      </c>
      <c r="AL217" t="s">
        <v>2330</v>
      </c>
      <c r="AM217">
        <v>0</v>
      </c>
      <c r="AN217">
        <v>0</v>
      </c>
      <c r="AO217">
        <v>0</v>
      </c>
      <c r="AP217">
        <v>1</v>
      </c>
    </row>
    <row r="218" spans="12:42" x14ac:dyDescent="0.2">
      <c r="L218">
        <f t="shared" si="3"/>
        <v>0</v>
      </c>
      <c r="AE218" t="s">
        <v>513</v>
      </c>
      <c r="AF218" t="s">
        <v>0</v>
      </c>
      <c r="AG218">
        <v>91</v>
      </c>
      <c r="AH218" t="s">
        <v>452</v>
      </c>
      <c r="AI218" t="s">
        <v>453</v>
      </c>
      <c r="AJ218" t="s">
        <v>1077</v>
      </c>
      <c r="AK218" t="s">
        <v>389</v>
      </c>
      <c r="AL218" t="s">
        <v>2339</v>
      </c>
      <c r="AM218">
        <v>0</v>
      </c>
      <c r="AN218">
        <v>0</v>
      </c>
      <c r="AO218">
        <v>0</v>
      </c>
      <c r="AP218">
        <v>1</v>
      </c>
    </row>
    <row r="219" spans="12:42" x14ac:dyDescent="0.2">
      <c r="L219">
        <f t="shared" si="3"/>
        <v>0</v>
      </c>
      <c r="AE219" t="s">
        <v>513</v>
      </c>
      <c r="AF219" t="s">
        <v>0</v>
      </c>
      <c r="AG219">
        <v>92</v>
      </c>
      <c r="AH219" t="s">
        <v>1498</v>
      </c>
      <c r="AI219" t="s">
        <v>1938</v>
      </c>
      <c r="AJ219" t="s">
        <v>2131</v>
      </c>
      <c r="AK219" t="s">
        <v>373</v>
      </c>
      <c r="AL219" t="s">
        <v>2129</v>
      </c>
      <c r="AM219">
        <v>0</v>
      </c>
      <c r="AN219">
        <v>0</v>
      </c>
      <c r="AO219">
        <v>0</v>
      </c>
      <c r="AP219">
        <v>1</v>
      </c>
    </row>
    <row r="220" spans="12:42" x14ac:dyDescent="0.2">
      <c r="L220">
        <f t="shared" si="3"/>
        <v>0</v>
      </c>
      <c r="AE220" t="s">
        <v>513</v>
      </c>
      <c r="AF220" t="s">
        <v>0</v>
      </c>
      <c r="AG220">
        <v>92</v>
      </c>
      <c r="AH220" t="s">
        <v>1498</v>
      </c>
      <c r="AI220" t="s">
        <v>1938</v>
      </c>
      <c r="AJ220" t="s">
        <v>1939</v>
      </c>
      <c r="AK220" t="s">
        <v>343</v>
      </c>
      <c r="AL220" t="s">
        <v>1944</v>
      </c>
      <c r="AM220">
        <v>0</v>
      </c>
      <c r="AN220">
        <v>0</v>
      </c>
      <c r="AO220">
        <v>0</v>
      </c>
      <c r="AP220">
        <v>1</v>
      </c>
    </row>
    <row r="221" spans="12:42" x14ac:dyDescent="0.2">
      <c r="L221">
        <f t="shared" si="3"/>
        <v>0</v>
      </c>
      <c r="AE221" t="s">
        <v>513</v>
      </c>
      <c r="AF221" t="s">
        <v>0</v>
      </c>
      <c r="AG221">
        <v>106</v>
      </c>
      <c r="AH221" t="s">
        <v>1283</v>
      </c>
      <c r="AI221" t="s">
        <v>1383</v>
      </c>
      <c r="AJ221" t="s">
        <v>1477</v>
      </c>
      <c r="AK221" t="s">
        <v>261</v>
      </c>
      <c r="AL221" t="s">
        <v>1475</v>
      </c>
      <c r="AM221">
        <v>0</v>
      </c>
      <c r="AN221">
        <v>0</v>
      </c>
      <c r="AO221">
        <v>0</v>
      </c>
      <c r="AP221">
        <v>1</v>
      </c>
    </row>
    <row r="222" spans="12:42" x14ac:dyDescent="0.2">
      <c r="L222">
        <f t="shared" si="3"/>
        <v>0</v>
      </c>
      <c r="AE222" t="s">
        <v>513</v>
      </c>
      <c r="AF222" t="s">
        <v>0</v>
      </c>
      <c r="AG222">
        <v>106</v>
      </c>
      <c r="AH222" t="s">
        <v>1283</v>
      </c>
      <c r="AI222" t="s">
        <v>1331</v>
      </c>
      <c r="AJ222" t="s">
        <v>1332</v>
      </c>
      <c r="AK222" t="s">
        <v>237</v>
      </c>
      <c r="AL222" t="s">
        <v>1329</v>
      </c>
      <c r="AM222">
        <v>0</v>
      </c>
      <c r="AN222">
        <v>0</v>
      </c>
      <c r="AO222">
        <v>0</v>
      </c>
      <c r="AP222">
        <v>1</v>
      </c>
    </row>
    <row r="223" spans="12:42" x14ac:dyDescent="0.2">
      <c r="L223">
        <f t="shared" si="3"/>
        <v>0</v>
      </c>
      <c r="AE223" t="s">
        <v>513</v>
      </c>
      <c r="AF223" t="s">
        <v>0</v>
      </c>
      <c r="AG223">
        <v>107</v>
      </c>
      <c r="AH223" t="s">
        <v>1283</v>
      </c>
      <c r="AI223" t="s">
        <v>1331</v>
      </c>
      <c r="AJ223" t="s">
        <v>1359</v>
      </c>
      <c r="AK223" t="s">
        <v>242</v>
      </c>
      <c r="AL223" t="s">
        <v>409</v>
      </c>
      <c r="AM223">
        <v>0</v>
      </c>
      <c r="AN223">
        <v>0</v>
      </c>
      <c r="AO223">
        <v>0</v>
      </c>
      <c r="AP223">
        <v>1</v>
      </c>
    </row>
    <row r="224" spans="12:42" x14ac:dyDescent="0.2">
      <c r="L224">
        <f t="shared" si="3"/>
        <v>0</v>
      </c>
      <c r="AE224" t="s">
        <v>513</v>
      </c>
      <c r="AF224" t="s">
        <v>0</v>
      </c>
      <c r="AG224">
        <v>107</v>
      </c>
      <c r="AH224" t="s">
        <v>1283</v>
      </c>
      <c r="AI224" t="s">
        <v>1429</v>
      </c>
      <c r="AJ224" t="s">
        <v>1430</v>
      </c>
      <c r="AK224" t="s">
        <v>251</v>
      </c>
      <c r="AL224" t="s">
        <v>1427</v>
      </c>
      <c r="AM224">
        <v>0</v>
      </c>
      <c r="AN224">
        <v>0</v>
      </c>
      <c r="AO224">
        <v>0</v>
      </c>
      <c r="AP224">
        <v>1</v>
      </c>
    </row>
    <row r="225" spans="12:42" x14ac:dyDescent="0.2">
      <c r="L225">
        <f t="shared" si="3"/>
        <v>0</v>
      </c>
      <c r="AE225" t="s">
        <v>513</v>
      </c>
      <c r="AF225" t="s">
        <v>0</v>
      </c>
      <c r="AG225">
        <v>108</v>
      </c>
      <c r="AH225" t="s">
        <v>1283</v>
      </c>
      <c r="AI225" t="s">
        <v>1383</v>
      </c>
      <c r="AJ225" t="s">
        <v>1376</v>
      </c>
      <c r="AK225" t="s">
        <v>245</v>
      </c>
      <c r="AL225" t="s">
        <v>1381</v>
      </c>
      <c r="AM225">
        <v>0</v>
      </c>
      <c r="AN225">
        <v>0</v>
      </c>
      <c r="AO225">
        <v>0</v>
      </c>
      <c r="AP225">
        <v>1</v>
      </c>
    </row>
    <row r="226" spans="12:42" x14ac:dyDescent="0.2">
      <c r="L226">
        <f t="shared" si="3"/>
        <v>0</v>
      </c>
      <c r="AE226" t="s">
        <v>513</v>
      </c>
      <c r="AF226" t="s">
        <v>0</v>
      </c>
      <c r="AG226">
        <v>108</v>
      </c>
      <c r="AH226" t="s">
        <v>1283</v>
      </c>
      <c r="AI226" t="s">
        <v>1383</v>
      </c>
      <c r="AJ226" t="s">
        <v>1490</v>
      </c>
      <c r="AK226" t="s">
        <v>263</v>
      </c>
      <c r="AL226" t="s">
        <v>1488</v>
      </c>
      <c r="AM226">
        <v>0</v>
      </c>
      <c r="AN226">
        <v>0</v>
      </c>
      <c r="AO226">
        <v>0</v>
      </c>
      <c r="AP226">
        <v>1</v>
      </c>
    </row>
    <row r="227" spans="12:42" x14ac:dyDescent="0.2">
      <c r="L227">
        <f t="shared" si="3"/>
        <v>0</v>
      </c>
      <c r="AE227" t="s">
        <v>513</v>
      </c>
      <c r="AF227" t="s">
        <v>0</v>
      </c>
      <c r="AG227">
        <v>109</v>
      </c>
      <c r="AH227" t="s">
        <v>1283</v>
      </c>
      <c r="AI227" t="s">
        <v>1284</v>
      </c>
      <c r="AJ227" t="s">
        <v>1292</v>
      </c>
      <c r="AK227" t="s">
        <v>230</v>
      </c>
      <c r="AL227" t="s">
        <v>1298</v>
      </c>
      <c r="AM227">
        <v>0</v>
      </c>
      <c r="AN227">
        <v>0</v>
      </c>
      <c r="AO227">
        <v>0</v>
      </c>
      <c r="AP227">
        <v>1</v>
      </c>
    </row>
    <row r="228" spans="12:42" x14ac:dyDescent="0.2">
      <c r="L228">
        <f t="shared" si="3"/>
        <v>0</v>
      </c>
      <c r="AE228" t="s">
        <v>513</v>
      </c>
      <c r="AF228" t="s">
        <v>0</v>
      </c>
      <c r="AG228">
        <v>109</v>
      </c>
      <c r="AH228" t="s">
        <v>1283</v>
      </c>
      <c r="AI228" t="s">
        <v>1284</v>
      </c>
      <c r="AJ228" t="s">
        <v>1332</v>
      </c>
      <c r="AK228" t="s">
        <v>241</v>
      </c>
      <c r="AL228" t="s">
        <v>1351</v>
      </c>
      <c r="AM228">
        <v>0</v>
      </c>
      <c r="AN228">
        <v>0</v>
      </c>
      <c r="AO228">
        <v>0</v>
      </c>
      <c r="AP228">
        <v>1</v>
      </c>
    </row>
    <row r="229" spans="12:42" x14ac:dyDescent="0.2">
      <c r="L229">
        <f t="shared" si="3"/>
        <v>0</v>
      </c>
      <c r="AE229" t="s">
        <v>513</v>
      </c>
      <c r="AF229" t="s">
        <v>0</v>
      </c>
      <c r="AG229">
        <v>110</v>
      </c>
      <c r="AH229" t="s">
        <v>1283</v>
      </c>
      <c r="AI229" t="s">
        <v>1375</v>
      </c>
      <c r="AJ229" t="s">
        <v>1376</v>
      </c>
      <c r="AK229" t="s">
        <v>244</v>
      </c>
      <c r="AL229" t="s">
        <v>1373</v>
      </c>
      <c r="AM229">
        <v>0</v>
      </c>
      <c r="AN229">
        <v>0</v>
      </c>
      <c r="AO229">
        <v>0</v>
      </c>
      <c r="AP229">
        <v>1</v>
      </c>
    </row>
    <row r="230" spans="12:42" x14ac:dyDescent="0.2">
      <c r="L230">
        <f t="shared" si="3"/>
        <v>0</v>
      </c>
      <c r="AE230" t="s">
        <v>513</v>
      </c>
      <c r="AF230" t="s">
        <v>0</v>
      </c>
      <c r="AG230">
        <v>110</v>
      </c>
      <c r="AH230" t="s">
        <v>452</v>
      </c>
      <c r="AI230" t="s">
        <v>491</v>
      </c>
      <c r="AJ230" t="s">
        <v>492</v>
      </c>
      <c r="AK230" t="s">
        <v>61</v>
      </c>
      <c r="AL230" t="s">
        <v>665</v>
      </c>
      <c r="AM230">
        <v>0</v>
      </c>
      <c r="AN230">
        <v>0</v>
      </c>
      <c r="AO230">
        <v>0</v>
      </c>
      <c r="AP230">
        <v>1</v>
      </c>
    </row>
    <row r="231" spans="12:42" x14ac:dyDescent="0.2">
      <c r="L231">
        <f t="shared" si="3"/>
        <v>0</v>
      </c>
      <c r="AE231" t="s">
        <v>513</v>
      </c>
      <c r="AF231" t="s">
        <v>0</v>
      </c>
      <c r="AG231">
        <v>111</v>
      </c>
      <c r="AH231" t="s">
        <v>452</v>
      </c>
      <c r="AI231" t="s">
        <v>2026</v>
      </c>
      <c r="AJ231" t="s">
        <v>2075</v>
      </c>
      <c r="AK231" t="s">
        <v>367</v>
      </c>
      <c r="AL231" t="s">
        <v>2079</v>
      </c>
      <c r="AM231">
        <v>0</v>
      </c>
      <c r="AN231">
        <v>0</v>
      </c>
      <c r="AO231">
        <v>0</v>
      </c>
      <c r="AP231">
        <v>1</v>
      </c>
    </row>
    <row r="232" spans="12:42" x14ac:dyDescent="0.2">
      <c r="L232">
        <f t="shared" si="3"/>
        <v>0</v>
      </c>
      <c r="AE232" t="s">
        <v>513</v>
      </c>
      <c r="AF232" t="s">
        <v>0</v>
      </c>
      <c r="AG232">
        <v>111</v>
      </c>
      <c r="AH232" t="s">
        <v>1498</v>
      </c>
      <c r="AI232" t="s">
        <v>1697</v>
      </c>
      <c r="AJ232" t="s">
        <v>1620</v>
      </c>
      <c r="AK232" t="s">
        <v>1981</v>
      </c>
      <c r="AL232" t="s">
        <v>1982</v>
      </c>
      <c r="AM232">
        <v>0</v>
      </c>
      <c r="AN232">
        <v>0</v>
      </c>
      <c r="AO232">
        <v>0</v>
      </c>
      <c r="AP232">
        <v>1</v>
      </c>
    </row>
    <row r="233" spans="12:42" x14ac:dyDescent="0.2">
      <c r="L233">
        <f t="shared" si="3"/>
        <v>0</v>
      </c>
      <c r="AE233" t="s">
        <v>513</v>
      </c>
      <c r="AF233" t="s">
        <v>0</v>
      </c>
      <c r="AG233">
        <v>112</v>
      </c>
      <c r="AH233" t="s">
        <v>1498</v>
      </c>
      <c r="AI233" t="s">
        <v>1697</v>
      </c>
      <c r="AJ233" t="s">
        <v>1508</v>
      </c>
      <c r="AK233" t="s">
        <v>346</v>
      </c>
      <c r="AL233" t="s">
        <v>1958</v>
      </c>
      <c r="AM233">
        <v>0</v>
      </c>
      <c r="AN233">
        <v>0</v>
      </c>
      <c r="AO233">
        <v>0</v>
      </c>
      <c r="AP233">
        <v>1</v>
      </c>
    </row>
    <row r="234" spans="12:42" x14ac:dyDescent="0.2">
      <c r="L234">
        <f t="shared" si="3"/>
        <v>0</v>
      </c>
      <c r="AE234" t="s">
        <v>513</v>
      </c>
      <c r="AF234" t="s">
        <v>0</v>
      </c>
      <c r="AG234">
        <v>112</v>
      </c>
      <c r="AH234" t="s">
        <v>1498</v>
      </c>
      <c r="AI234" t="s">
        <v>1697</v>
      </c>
      <c r="AJ234" t="s">
        <v>1620</v>
      </c>
      <c r="AK234" t="s">
        <v>350</v>
      </c>
      <c r="AL234" t="s">
        <v>1976</v>
      </c>
      <c r="AM234">
        <v>0</v>
      </c>
      <c r="AN234">
        <v>0</v>
      </c>
      <c r="AO234">
        <v>0</v>
      </c>
      <c r="AP234">
        <v>1</v>
      </c>
    </row>
    <row r="235" spans="12:42" x14ac:dyDescent="0.2">
      <c r="L235">
        <f t="shared" si="3"/>
        <v>0</v>
      </c>
      <c r="AE235" t="s">
        <v>513</v>
      </c>
      <c r="AF235" t="s">
        <v>0</v>
      </c>
      <c r="AG235">
        <v>113</v>
      </c>
      <c r="AH235" t="s">
        <v>1498</v>
      </c>
      <c r="AI235" t="s">
        <v>1951</v>
      </c>
      <c r="AJ235" t="s">
        <v>1952</v>
      </c>
      <c r="AK235" t="s">
        <v>345</v>
      </c>
      <c r="AL235" t="s">
        <v>1949</v>
      </c>
      <c r="AM235">
        <v>0</v>
      </c>
      <c r="AN235">
        <v>0</v>
      </c>
      <c r="AO235">
        <v>0</v>
      </c>
      <c r="AP235">
        <v>1</v>
      </c>
    </row>
    <row r="236" spans="12:42" x14ac:dyDescent="0.2">
      <c r="L236">
        <f t="shared" si="3"/>
        <v>0</v>
      </c>
      <c r="AE236" t="s">
        <v>513</v>
      </c>
      <c r="AF236" t="s">
        <v>0</v>
      </c>
      <c r="AG236">
        <v>113</v>
      </c>
      <c r="AH236" t="s">
        <v>1498</v>
      </c>
      <c r="AI236" t="s">
        <v>1910</v>
      </c>
      <c r="AJ236" t="s">
        <v>1911</v>
      </c>
      <c r="AK236" t="s">
        <v>340</v>
      </c>
      <c r="AL236" t="s">
        <v>1915</v>
      </c>
      <c r="AM236">
        <v>0</v>
      </c>
      <c r="AN236">
        <v>0</v>
      </c>
      <c r="AO236">
        <v>0</v>
      </c>
      <c r="AP236">
        <v>1</v>
      </c>
    </row>
    <row r="237" spans="12:42" x14ac:dyDescent="0.2">
      <c r="L237">
        <f t="shared" si="3"/>
        <v>0</v>
      </c>
      <c r="AE237" t="s">
        <v>513</v>
      </c>
      <c r="AF237" t="s">
        <v>0</v>
      </c>
      <c r="AG237">
        <v>114</v>
      </c>
      <c r="AH237" t="s">
        <v>1498</v>
      </c>
      <c r="AI237" t="s">
        <v>1938</v>
      </c>
      <c r="AJ237" t="s">
        <v>1939</v>
      </c>
      <c r="AK237" t="s">
        <v>342</v>
      </c>
      <c r="AL237" t="s">
        <v>1936</v>
      </c>
      <c r="AM237">
        <v>0</v>
      </c>
      <c r="AN237">
        <v>0</v>
      </c>
      <c r="AO237">
        <v>0</v>
      </c>
      <c r="AP237">
        <v>1</v>
      </c>
    </row>
    <row r="238" spans="12:42" x14ac:dyDescent="0.2">
      <c r="L238">
        <f t="shared" si="3"/>
        <v>0</v>
      </c>
      <c r="AE238" t="s">
        <v>513</v>
      </c>
      <c r="AF238" t="s">
        <v>0</v>
      </c>
      <c r="AG238">
        <v>114</v>
      </c>
      <c r="AH238" t="s">
        <v>1498</v>
      </c>
      <c r="AI238" t="s">
        <v>1951</v>
      </c>
      <c r="AJ238" t="s">
        <v>1952</v>
      </c>
      <c r="AK238" t="s">
        <v>372</v>
      </c>
      <c r="AL238" t="s">
        <v>2118</v>
      </c>
      <c r="AM238">
        <v>0</v>
      </c>
      <c r="AN238">
        <v>0</v>
      </c>
      <c r="AO238">
        <v>0</v>
      </c>
      <c r="AP238">
        <v>1</v>
      </c>
    </row>
    <row r="239" spans="12:42" x14ac:dyDescent="0.2">
      <c r="L239">
        <f t="shared" si="3"/>
        <v>0</v>
      </c>
      <c r="AE239" t="s">
        <v>513</v>
      </c>
      <c r="AF239" t="s">
        <v>0</v>
      </c>
      <c r="AG239">
        <v>115</v>
      </c>
      <c r="AH239" t="s">
        <v>2380</v>
      </c>
      <c r="AI239" t="s">
        <v>1924</v>
      </c>
      <c r="AJ239" t="s">
        <v>1925</v>
      </c>
      <c r="AK239" t="s">
        <v>1930</v>
      </c>
      <c r="AL239" t="s">
        <v>1931</v>
      </c>
      <c r="AM239">
        <v>0</v>
      </c>
      <c r="AN239">
        <v>0</v>
      </c>
      <c r="AO239">
        <v>0</v>
      </c>
      <c r="AP239">
        <v>1</v>
      </c>
    </row>
    <row r="240" spans="12:42" x14ac:dyDescent="0.2">
      <c r="L240">
        <f t="shared" si="3"/>
        <v>0</v>
      </c>
      <c r="AE240" t="s">
        <v>513</v>
      </c>
      <c r="AF240" t="s">
        <v>0</v>
      </c>
      <c r="AG240">
        <v>115</v>
      </c>
      <c r="AH240" t="s">
        <v>452</v>
      </c>
      <c r="AI240" t="s">
        <v>904</v>
      </c>
      <c r="AJ240" t="s">
        <v>1890</v>
      </c>
      <c r="AK240" t="s">
        <v>1887</v>
      </c>
      <c r="AL240" t="s">
        <v>1888</v>
      </c>
      <c r="AM240">
        <v>0</v>
      </c>
      <c r="AN240">
        <v>0</v>
      </c>
      <c r="AO240">
        <v>0</v>
      </c>
      <c r="AP240">
        <v>1</v>
      </c>
    </row>
    <row r="241" spans="12:42" x14ac:dyDescent="0.2">
      <c r="L241">
        <f t="shared" si="3"/>
        <v>0</v>
      </c>
      <c r="AE241" t="s">
        <v>513</v>
      </c>
      <c r="AF241" t="s">
        <v>0</v>
      </c>
      <c r="AG241">
        <v>132</v>
      </c>
      <c r="AH241" t="s">
        <v>1498</v>
      </c>
      <c r="AI241" t="s">
        <v>1515</v>
      </c>
      <c r="AJ241" t="s">
        <v>1678</v>
      </c>
      <c r="AK241" t="s">
        <v>292</v>
      </c>
      <c r="AL241" t="s">
        <v>1677</v>
      </c>
      <c r="AM241">
        <v>0</v>
      </c>
      <c r="AN241">
        <v>0</v>
      </c>
      <c r="AO241">
        <v>0</v>
      </c>
      <c r="AP241">
        <v>1</v>
      </c>
    </row>
    <row r="242" spans="12:42" x14ac:dyDescent="0.2">
      <c r="L242">
        <f t="shared" si="3"/>
        <v>0</v>
      </c>
      <c r="AE242" t="s">
        <v>513</v>
      </c>
      <c r="AF242" t="s">
        <v>0</v>
      </c>
      <c r="AG242">
        <v>132</v>
      </c>
      <c r="AH242" t="s">
        <v>1498</v>
      </c>
      <c r="AI242" t="s">
        <v>1515</v>
      </c>
      <c r="AJ242" t="s">
        <v>1678</v>
      </c>
      <c r="AK242" t="s">
        <v>293</v>
      </c>
      <c r="AL242" t="s">
        <v>1682</v>
      </c>
      <c r="AM242">
        <v>0</v>
      </c>
      <c r="AN242">
        <v>0</v>
      </c>
      <c r="AO242">
        <v>0</v>
      </c>
      <c r="AP242">
        <v>1</v>
      </c>
    </row>
    <row r="243" spans="12:42" x14ac:dyDescent="0.2">
      <c r="L243">
        <f t="shared" si="3"/>
        <v>0</v>
      </c>
      <c r="AE243" t="s">
        <v>513</v>
      </c>
      <c r="AF243" t="s">
        <v>0</v>
      </c>
      <c r="AG243">
        <v>133</v>
      </c>
      <c r="AH243" t="s">
        <v>1498</v>
      </c>
      <c r="AI243" t="s">
        <v>1515</v>
      </c>
      <c r="AJ243" t="s">
        <v>1648</v>
      </c>
      <c r="AK243" t="s">
        <v>291</v>
      </c>
      <c r="AL243" t="s">
        <v>1672</v>
      </c>
      <c r="AM243">
        <v>0</v>
      </c>
      <c r="AN243">
        <v>0</v>
      </c>
      <c r="AO243">
        <v>0</v>
      </c>
      <c r="AP243">
        <v>1</v>
      </c>
    </row>
    <row r="244" spans="12:42" x14ac:dyDescent="0.2">
      <c r="L244">
        <f t="shared" si="3"/>
        <v>0</v>
      </c>
      <c r="AE244" t="s">
        <v>513</v>
      </c>
      <c r="AF244" t="s">
        <v>0</v>
      </c>
      <c r="AG244">
        <v>133</v>
      </c>
      <c r="AH244" t="s">
        <v>1498</v>
      </c>
      <c r="AI244" t="s">
        <v>1515</v>
      </c>
      <c r="AJ244" t="s">
        <v>1648</v>
      </c>
      <c r="AK244" t="s">
        <v>289</v>
      </c>
      <c r="AL244" t="s">
        <v>1660</v>
      </c>
      <c r="AM244">
        <v>0</v>
      </c>
      <c r="AN244">
        <v>0</v>
      </c>
      <c r="AO244">
        <v>0</v>
      </c>
      <c r="AP244">
        <v>1</v>
      </c>
    </row>
    <row r="245" spans="12:42" x14ac:dyDescent="0.2">
      <c r="L245">
        <f t="shared" si="3"/>
        <v>0</v>
      </c>
      <c r="AE245" t="s">
        <v>513</v>
      </c>
      <c r="AF245" t="s">
        <v>0</v>
      </c>
      <c r="AG245">
        <v>134</v>
      </c>
      <c r="AH245" t="s">
        <v>1498</v>
      </c>
      <c r="AI245" t="s">
        <v>1515</v>
      </c>
      <c r="AJ245" t="s">
        <v>1648</v>
      </c>
      <c r="AK245" t="s">
        <v>287</v>
      </c>
      <c r="AL245" t="s">
        <v>1646</v>
      </c>
      <c r="AM245">
        <v>0</v>
      </c>
      <c r="AN245">
        <v>0</v>
      </c>
      <c r="AO245">
        <v>0</v>
      </c>
      <c r="AP245">
        <v>1</v>
      </c>
    </row>
    <row r="246" spans="12:42" x14ac:dyDescent="0.2">
      <c r="L246">
        <f t="shared" si="3"/>
        <v>0</v>
      </c>
      <c r="AE246" t="s">
        <v>513</v>
      </c>
      <c r="AF246" t="s">
        <v>0</v>
      </c>
      <c r="AG246">
        <v>134</v>
      </c>
      <c r="AH246" t="s">
        <v>1498</v>
      </c>
      <c r="AI246" t="s">
        <v>1515</v>
      </c>
      <c r="AJ246" t="s">
        <v>1648</v>
      </c>
      <c r="AK246" t="s">
        <v>288</v>
      </c>
      <c r="AL246" t="s">
        <v>1654</v>
      </c>
      <c r="AM246">
        <v>0</v>
      </c>
      <c r="AN246">
        <v>0</v>
      </c>
      <c r="AO246">
        <v>0</v>
      </c>
      <c r="AP246">
        <v>1</v>
      </c>
    </row>
    <row r="247" spans="12:42" x14ac:dyDescent="0.2">
      <c r="L247">
        <f t="shared" si="3"/>
        <v>0</v>
      </c>
      <c r="AE247" t="s">
        <v>513</v>
      </c>
      <c r="AF247" t="s">
        <v>0</v>
      </c>
      <c r="AG247">
        <v>135</v>
      </c>
      <c r="AH247" t="s">
        <v>1498</v>
      </c>
      <c r="AI247" t="s">
        <v>1526</v>
      </c>
      <c r="AJ247" t="s">
        <v>1620</v>
      </c>
      <c r="AK247" t="s">
        <v>282</v>
      </c>
      <c r="AL247" t="s">
        <v>1617</v>
      </c>
      <c r="AM247">
        <v>0</v>
      </c>
      <c r="AN247">
        <v>0</v>
      </c>
      <c r="AO247">
        <v>0</v>
      </c>
      <c r="AP247">
        <v>1</v>
      </c>
    </row>
    <row r="248" spans="12:42" x14ac:dyDescent="0.2">
      <c r="L248">
        <f t="shared" si="3"/>
        <v>0</v>
      </c>
      <c r="AE248" t="s">
        <v>513</v>
      </c>
      <c r="AF248" t="s">
        <v>0</v>
      </c>
      <c r="AG248">
        <v>135</v>
      </c>
      <c r="AH248" t="s">
        <v>1498</v>
      </c>
      <c r="AI248" t="s">
        <v>1627</v>
      </c>
      <c r="AJ248" t="s">
        <v>1628</v>
      </c>
      <c r="AK248" t="s">
        <v>381</v>
      </c>
      <c r="AL248" t="s">
        <v>2290</v>
      </c>
      <c r="AM248">
        <v>0</v>
      </c>
      <c r="AN248">
        <v>0</v>
      </c>
      <c r="AO248">
        <v>0</v>
      </c>
      <c r="AP248">
        <v>1</v>
      </c>
    </row>
    <row r="249" spans="12:42" x14ac:dyDescent="0.2">
      <c r="L249">
        <f t="shared" si="3"/>
        <v>0</v>
      </c>
      <c r="AE249" t="s">
        <v>513</v>
      </c>
      <c r="AF249" t="s">
        <v>0</v>
      </c>
      <c r="AG249">
        <v>136</v>
      </c>
      <c r="AH249" t="s">
        <v>1498</v>
      </c>
      <c r="AI249" t="s">
        <v>1515</v>
      </c>
      <c r="AJ249" t="s">
        <v>1598</v>
      </c>
      <c r="AK249" t="s">
        <v>281</v>
      </c>
      <c r="AL249" t="s">
        <v>1611</v>
      </c>
      <c r="AM249">
        <v>0</v>
      </c>
      <c r="AN249">
        <v>0</v>
      </c>
      <c r="AO249">
        <v>0</v>
      </c>
      <c r="AP249">
        <v>1</v>
      </c>
    </row>
    <row r="250" spans="12:42" x14ac:dyDescent="0.2">
      <c r="L250">
        <f t="shared" si="3"/>
        <v>0</v>
      </c>
      <c r="AE250" t="s">
        <v>513</v>
      </c>
      <c r="AF250" t="s">
        <v>0</v>
      </c>
      <c r="AG250">
        <v>136</v>
      </c>
      <c r="AH250" t="s">
        <v>1498</v>
      </c>
      <c r="AI250" t="s">
        <v>1515</v>
      </c>
      <c r="AJ250" t="s">
        <v>1598</v>
      </c>
      <c r="AK250" t="s">
        <v>280</v>
      </c>
      <c r="AL250" t="s">
        <v>1604</v>
      </c>
      <c r="AM250">
        <v>0</v>
      </c>
      <c r="AN250">
        <v>0</v>
      </c>
      <c r="AO250">
        <v>0</v>
      </c>
      <c r="AP250">
        <v>1</v>
      </c>
    </row>
    <row r="251" spans="12:42" x14ac:dyDescent="0.2">
      <c r="L251">
        <f t="shared" si="3"/>
        <v>0</v>
      </c>
      <c r="AE251" t="s">
        <v>513</v>
      </c>
      <c r="AF251" t="s">
        <v>0</v>
      </c>
      <c r="AG251">
        <v>137</v>
      </c>
      <c r="AH251" t="s">
        <v>1498</v>
      </c>
      <c r="AI251" t="s">
        <v>1515</v>
      </c>
      <c r="AJ251" t="s">
        <v>1545</v>
      </c>
      <c r="AK251" t="s">
        <v>278</v>
      </c>
      <c r="AL251" t="s">
        <v>1590</v>
      </c>
      <c r="AM251">
        <v>0</v>
      </c>
      <c r="AN251">
        <v>0</v>
      </c>
      <c r="AO251">
        <v>0</v>
      </c>
      <c r="AP251">
        <v>1</v>
      </c>
    </row>
    <row r="252" spans="12:42" x14ac:dyDescent="0.2">
      <c r="L252">
        <f t="shared" si="3"/>
        <v>0</v>
      </c>
      <c r="AE252" t="s">
        <v>513</v>
      </c>
      <c r="AF252" t="s">
        <v>0</v>
      </c>
      <c r="AG252">
        <v>137</v>
      </c>
      <c r="AH252" t="s">
        <v>1498</v>
      </c>
      <c r="AI252" t="s">
        <v>1515</v>
      </c>
      <c r="AJ252" t="s">
        <v>1598</v>
      </c>
      <c r="AK252" t="s">
        <v>279</v>
      </c>
      <c r="AL252" t="s">
        <v>1596</v>
      </c>
      <c r="AM252">
        <v>0</v>
      </c>
      <c r="AN252">
        <v>0</v>
      </c>
      <c r="AO252">
        <v>0</v>
      </c>
      <c r="AP252">
        <v>1</v>
      </c>
    </row>
    <row r="253" spans="12:42" x14ac:dyDescent="0.2">
      <c r="L253">
        <f t="shared" si="3"/>
        <v>0</v>
      </c>
      <c r="AE253" t="s">
        <v>513</v>
      </c>
      <c r="AF253" t="s">
        <v>0</v>
      </c>
      <c r="AG253">
        <v>138</v>
      </c>
      <c r="AH253" t="s">
        <v>1498</v>
      </c>
      <c r="AI253" t="s">
        <v>1499</v>
      </c>
      <c r="AJ253" t="s">
        <v>1500</v>
      </c>
      <c r="AK253" t="s">
        <v>264</v>
      </c>
      <c r="AL253" t="s">
        <v>1495</v>
      </c>
      <c r="AM253">
        <v>0</v>
      </c>
      <c r="AN253">
        <v>0</v>
      </c>
      <c r="AO253">
        <v>0</v>
      </c>
      <c r="AP253">
        <v>1</v>
      </c>
    </row>
    <row r="254" spans="12:42" x14ac:dyDescent="0.2">
      <c r="L254">
        <f t="shared" si="3"/>
        <v>0</v>
      </c>
      <c r="AE254" t="s">
        <v>513</v>
      </c>
      <c r="AF254" t="s">
        <v>0</v>
      </c>
      <c r="AG254">
        <v>138</v>
      </c>
      <c r="AH254" t="s">
        <v>1498</v>
      </c>
      <c r="AI254" t="s">
        <v>1515</v>
      </c>
      <c r="AJ254" t="s">
        <v>1508</v>
      </c>
      <c r="AK254" t="s">
        <v>266</v>
      </c>
      <c r="AL254" t="s">
        <v>1513</v>
      </c>
      <c r="AM254">
        <v>0</v>
      </c>
      <c r="AN254">
        <v>0</v>
      </c>
      <c r="AO254">
        <v>0</v>
      </c>
      <c r="AP254">
        <v>1</v>
      </c>
    </row>
    <row r="255" spans="12:42" x14ac:dyDescent="0.2">
      <c r="L255">
        <f t="shared" si="3"/>
        <v>0</v>
      </c>
      <c r="AE255" t="s">
        <v>513</v>
      </c>
      <c r="AF255" t="s">
        <v>0</v>
      </c>
      <c r="AG255">
        <v>139</v>
      </c>
      <c r="AH255" t="s">
        <v>1498</v>
      </c>
      <c r="AI255" t="s">
        <v>1507</v>
      </c>
      <c r="AJ255" t="s">
        <v>1527</v>
      </c>
      <c r="AK255" t="s">
        <v>270</v>
      </c>
      <c r="AL255" t="s">
        <v>1538</v>
      </c>
      <c r="AM255">
        <v>0</v>
      </c>
      <c r="AN255">
        <v>0</v>
      </c>
      <c r="AO255">
        <v>0</v>
      </c>
      <c r="AP255">
        <v>1</v>
      </c>
    </row>
    <row r="256" spans="12:42" x14ac:dyDescent="0.2">
      <c r="L256">
        <f t="shared" si="3"/>
        <v>0</v>
      </c>
      <c r="AE256" t="s">
        <v>513</v>
      </c>
      <c r="AF256" t="s">
        <v>0</v>
      </c>
      <c r="AG256">
        <v>139</v>
      </c>
      <c r="AH256" t="s">
        <v>1498</v>
      </c>
      <c r="AI256" t="s">
        <v>1515</v>
      </c>
      <c r="AJ256" t="s">
        <v>1508</v>
      </c>
      <c r="AK256" t="s">
        <v>267</v>
      </c>
      <c r="AL256" t="s">
        <v>1518</v>
      </c>
      <c r="AM256">
        <v>0</v>
      </c>
      <c r="AN256">
        <v>0</v>
      </c>
      <c r="AO256">
        <v>0</v>
      </c>
      <c r="AP256">
        <v>1</v>
      </c>
    </row>
    <row r="257" spans="12:42" x14ac:dyDescent="0.2">
      <c r="L257">
        <f t="shared" si="3"/>
        <v>0</v>
      </c>
      <c r="AE257" t="s">
        <v>513</v>
      </c>
      <c r="AF257" t="s">
        <v>0</v>
      </c>
      <c r="AG257">
        <v>140</v>
      </c>
      <c r="AH257" t="s">
        <v>1498</v>
      </c>
      <c r="AI257" t="s">
        <v>1515</v>
      </c>
      <c r="AJ257" t="s">
        <v>1545</v>
      </c>
      <c r="AK257" t="s">
        <v>272</v>
      </c>
      <c r="AL257" t="s">
        <v>1550</v>
      </c>
      <c r="AM257">
        <v>0</v>
      </c>
      <c r="AN257">
        <v>0</v>
      </c>
      <c r="AO257">
        <v>0</v>
      </c>
      <c r="AP257">
        <v>1</v>
      </c>
    </row>
    <row r="258" spans="12:42" x14ac:dyDescent="0.2">
      <c r="L258">
        <f t="shared" si="3"/>
        <v>0</v>
      </c>
      <c r="AE258" t="s">
        <v>513</v>
      </c>
      <c r="AF258" t="s">
        <v>0</v>
      </c>
      <c r="AG258">
        <v>140</v>
      </c>
      <c r="AH258" t="s">
        <v>1498</v>
      </c>
      <c r="AI258" t="s">
        <v>1515</v>
      </c>
      <c r="AJ258" t="s">
        <v>1545</v>
      </c>
      <c r="AK258" t="s">
        <v>271</v>
      </c>
      <c r="AL258" t="s">
        <v>1543</v>
      </c>
      <c r="AM258">
        <v>0</v>
      </c>
      <c r="AN258">
        <v>0</v>
      </c>
      <c r="AO258">
        <v>0</v>
      </c>
      <c r="AP258">
        <v>1</v>
      </c>
    </row>
    <row r="259" spans="12:42" x14ac:dyDescent="0.2">
      <c r="L259">
        <f t="shared" si="3"/>
        <v>0</v>
      </c>
      <c r="AE259" t="s">
        <v>513</v>
      </c>
      <c r="AF259" t="s">
        <v>0</v>
      </c>
      <c r="AG259">
        <v>141</v>
      </c>
      <c r="AH259" t="s">
        <v>1498</v>
      </c>
      <c r="AI259" t="s">
        <v>1515</v>
      </c>
      <c r="AJ259" t="s">
        <v>1545</v>
      </c>
      <c r="AK259" t="s">
        <v>275</v>
      </c>
      <c r="AL259" t="s">
        <v>1569</v>
      </c>
      <c r="AM259">
        <v>0</v>
      </c>
      <c r="AN259">
        <v>0</v>
      </c>
      <c r="AO259">
        <v>0</v>
      </c>
      <c r="AP259">
        <v>1</v>
      </c>
    </row>
    <row r="260" spans="12:42" x14ac:dyDescent="0.2">
      <c r="L260">
        <f t="shared" ref="L260:L288" si="4">IF(E260="",0,IF(I260=1,0.5,1))</f>
        <v>0</v>
      </c>
      <c r="AE260" t="s">
        <v>513</v>
      </c>
      <c r="AF260" t="s">
        <v>0</v>
      </c>
      <c r="AG260">
        <v>141</v>
      </c>
      <c r="AH260" t="s">
        <v>1498</v>
      </c>
      <c r="AI260" t="s">
        <v>1515</v>
      </c>
      <c r="AJ260" t="s">
        <v>1545</v>
      </c>
      <c r="AK260" t="s">
        <v>273</v>
      </c>
      <c r="AL260" t="s">
        <v>1555</v>
      </c>
      <c r="AM260">
        <v>0</v>
      </c>
      <c r="AN260">
        <v>0</v>
      </c>
      <c r="AO260">
        <v>0</v>
      </c>
      <c r="AP260">
        <v>1</v>
      </c>
    </row>
    <row r="261" spans="12:42" x14ac:dyDescent="0.2">
      <c r="L261">
        <f t="shared" si="4"/>
        <v>0</v>
      </c>
      <c r="AE261" t="s">
        <v>513</v>
      </c>
      <c r="AF261" t="s">
        <v>0</v>
      </c>
      <c r="AG261">
        <v>142</v>
      </c>
      <c r="AH261" t="s">
        <v>1498</v>
      </c>
      <c r="AI261" t="s">
        <v>1515</v>
      </c>
      <c r="AJ261" t="s">
        <v>1545</v>
      </c>
      <c r="AK261" t="s">
        <v>277</v>
      </c>
      <c r="AL261" t="s">
        <v>1582</v>
      </c>
      <c r="AM261">
        <v>0</v>
      </c>
      <c r="AN261">
        <v>0</v>
      </c>
      <c r="AO261">
        <v>0</v>
      </c>
      <c r="AP261">
        <v>1</v>
      </c>
    </row>
    <row r="262" spans="12:42" x14ac:dyDescent="0.2">
      <c r="L262">
        <f t="shared" si="4"/>
        <v>0</v>
      </c>
      <c r="AE262" t="s">
        <v>513</v>
      </c>
      <c r="AF262" t="s">
        <v>0</v>
      </c>
      <c r="AG262">
        <v>142</v>
      </c>
      <c r="AH262" t="s">
        <v>1498</v>
      </c>
      <c r="AI262" t="s">
        <v>1515</v>
      </c>
      <c r="AJ262" t="s">
        <v>1545</v>
      </c>
      <c r="AK262" t="s">
        <v>276</v>
      </c>
      <c r="AL262" t="s">
        <v>1576</v>
      </c>
      <c r="AM262">
        <v>0</v>
      </c>
      <c r="AN262">
        <v>0</v>
      </c>
      <c r="AO262">
        <v>0</v>
      </c>
      <c r="AP262">
        <v>1</v>
      </c>
    </row>
    <row r="263" spans="12:42" x14ac:dyDescent="0.2">
      <c r="L263">
        <f t="shared" si="4"/>
        <v>0</v>
      </c>
      <c r="AE263" t="s">
        <v>513</v>
      </c>
      <c r="AF263" t="s">
        <v>0</v>
      </c>
      <c r="AG263">
        <v>144</v>
      </c>
      <c r="AH263" t="s">
        <v>1498</v>
      </c>
      <c r="AI263" t="s">
        <v>1526</v>
      </c>
      <c r="AJ263" t="s">
        <v>1634</v>
      </c>
      <c r="AK263" t="s">
        <v>286</v>
      </c>
      <c r="AL263" t="s">
        <v>1640</v>
      </c>
      <c r="AM263">
        <v>0</v>
      </c>
      <c r="AN263">
        <v>0</v>
      </c>
      <c r="AO263">
        <v>0</v>
      </c>
      <c r="AP263">
        <v>1</v>
      </c>
    </row>
    <row r="264" spans="12:42" x14ac:dyDescent="0.2">
      <c r="L264">
        <f t="shared" si="4"/>
        <v>0</v>
      </c>
      <c r="AE264" t="s">
        <v>513</v>
      </c>
      <c r="AF264" t="s">
        <v>458</v>
      </c>
      <c r="AG264">
        <v>49</v>
      </c>
      <c r="AH264" t="s">
        <v>452</v>
      </c>
      <c r="AI264" t="s">
        <v>453</v>
      </c>
      <c r="AJ264" t="s">
        <v>1117</v>
      </c>
      <c r="AK264" t="s">
        <v>221</v>
      </c>
      <c r="AL264" t="s">
        <v>1246</v>
      </c>
      <c r="AM264">
        <v>0</v>
      </c>
      <c r="AN264">
        <v>1</v>
      </c>
      <c r="AO264">
        <v>1</v>
      </c>
      <c r="AP264">
        <v>2</v>
      </c>
    </row>
    <row r="265" spans="12:42" x14ac:dyDescent="0.2">
      <c r="L265">
        <f t="shared" si="4"/>
        <v>0</v>
      </c>
      <c r="AE265" t="s">
        <v>513</v>
      </c>
      <c r="AF265" t="s">
        <v>458</v>
      </c>
      <c r="AG265">
        <v>70</v>
      </c>
      <c r="AH265" t="s">
        <v>452</v>
      </c>
      <c r="AI265" t="s">
        <v>453</v>
      </c>
      <c r="AJ265" t="s">
        <v>959</v>
      </c>
      <c r="AK265" t="s">
        <v>207</v>
      </c>
      <c r="AL265" t="s">
        <v>1196</v>
      </c>
      <c r="AM265">
        <v>0</v>
      </c>
      <c r="AN265">
        <v>1</v>
      </c>
      <c r="AO265">
        <v>1</v>
      </c>
      <c r="AP265">
        <v>2</v>
      </c>
    </row>
    <row r="266" spans="12:42" x14ac:dyDescent="0.2">
      <c r="L266">
        <f t="shared" si="4"/>
        <v>0</v>
      </c>
      <c r="AE266" t="s">
        <v>513</v>
      </c>
      <c r="AF266" t="s">
        <v>458</v>
      </c>
      <c r="AG266">
        <v>71</v>
      </c>
      <c r="AH266" t="s">
        <v>452</v>
      </c>
      <c r="AI266" t="s">
        <v>453</v>
      </c>
      <c r="AJ266" t="s">
        <v>959</v>
      </c>
      <c r="AK266" t="s">
        <v>174</v>
      </c>
      <c r="AL266" t="s">
        <v>1070</v>
      </c>
      <c r="AM266">
        <v>0</v>
      </c>
      <c r="AN266">
        <v>1</v>
      </c>
      <c r="AO266">
        <v>1</v>
      </c>
      <c r="AP266">
        <v>2</v>
      </c>
    </row>
    <row r="267" spans="12:42" x14ac:dyDescent="0.2">
      <c r="L267">
        <f t="shared" si="4"/>
        <v>0</v>
      </c>
      <c r="AE267" t="s">
        <v>513</v>
      </c>
      <c r="AF267" t="s">
        <v>458</v>
      </c>
      <c r="AG267">
        <v>72</v>
      </c>
      <c r="AH267" t="s">
        <v>452</v>
      </c>
      <c r="AI267" t="s">
        <v>453</v>
      </c>
      <c r="AJ267" t="s">
        <v>959</v>
      </c>
      <c r="AK267" t="s">
        <v>154</v>
      </c>
      <c r="AL267" t="s">
        <v>1024</v>
      </c>
      <c r="AM267">
        <v>0</v>
      </c>
      <c r="AN267">
        <v>1</v>
      </c>
      <c r="AO267">
        <v>1</v>
      </c>
      <c r="AP267">
        <v>2</v>
      </c>
    </row>
    <row r="268" spans="12:42" x14ac:dyDescent="0.2">
      <c r="L268">
        <f t="shared" si="4"/>
        <v>0</v>
      </c>
      <c r="AE268" t="s">
        <v>513</v>
      </c>
      <c r="AF268" t="s">
        <v>458</v>
      </c>
      <c r="AG268">
        <v>73</v>
      </c>
      <c r="AH268" t="s">
        <v>452</v>
      </c>
      <c r="AI268" t="s">
        <v>453</v>
      </c>
      <c r="AJ268" t="s">
        <v>468</v>
      </c>
      <c r="AK268" t="s">
        <v>56</v>
      </c>
      <c r="AL268" t="s">
        <v>641</v>
      </c>
      <c r="AM268">
        <v>1</v>
      </c>
      <c r="AN268">
        <v>1</v>
      </c>
      <c r="AO268">
        <v>2</v>
      </c>
      <c r="AP268">
        <v>3</v>
      </c>
    </row>
    <row r="269" spans="12:42" x14ac:dyDescent="0.2">
      <c r="L269">
        <f t="shared" si="4"/>
        <v>0</v>
      </c>
      <c r="AE269" t="s">
        <v>513</v>
      </c>
      <c r="AF269" t="s">
        <v>458</v>
      </c>
      <c r="AG269">
        <v>74</v>
      </c>
      <c r="AH269" t="s">
        <v>452</v>
      </c>
      <c r="AI269" t="s">
        <v>453</v>
      </c>
      <c r="AJ269" t="s">
        <v>959</v>
      </c>
      <c r="AK269" t="s">
        <v>151</v>
      </c>
      <c r="AL269" t="s">
        <v>1016</v>
      </c>
      <c r="AM269">
        <v>2</v>
      </c>
      <c r="AN269">
        <v>1</v>
      </c>
      <c r="AO269">
        <v>3</v>
      </c>
      <c r="AP269">
        <v>4</v>
      </c>
    </row>
    <row r="270" spans="12:42" x14ac:dyDescent="0.2">
      <c r="L270">
        <f t="shared" si="4"/>
        <v>0</v>
      </c>
      <c r="AE270" t="s">
        <v>513</v>
      </c>
      <c r="AF270" t="s">
        <v>458</v>
      </c>
      <c r="AG270">
        <v>75</v>
      </c>
      <c r="AH270" t="s">
        <v>452</v>
      </c>
      <c r="AI270" t="s">
        <v>453</v>
      </c>
      <c r="AJ270" t="s">
        <v>959</v>
      </c>
      <c r="AK270" t="s">
        <v>159</v>
      </c>
      <c r="AL270" t="s">
        <v>1035</v>
      </c>
      <c r="AM270">
        <v>2</v>
      </c>
      <c r="AN270">
        <v>1</v>
      </c>
      <c r="AO270">
        <v>3</v>
      </c>
      <c r="AP270">
        <v>4</v>
      </c>
    </row>
    <row r="271" spans="12:42" x14ac:dyDescent="0.2">
      <c r="L271">
        <f t="shared" si="4"/>
        <v>0</v>
      </c>
      <c r="AE271" t="s">
        <v>513</v>
      </c>
      <c r="AF271" t="s">
        <v>458</v>
      </c>
      <c r="AG271">
        <v>76</v>
      </c>
      <c r="AH271" t="s">
        <v>452</v>
      </c>
      <c r="AI271" t="s">
        <v>453</v>
      </c>
      <c r="AJ271" t="s">
        <v>959</v>
      </c>
      <c r="AK271" t="s">
        <v>165</v>
      </c>
      <c r="AL271" t="s">
        <v>1050</v>
      </c>
      <c r="AM271">
        <v>1</v>
      </c>
      <c r="AN271">
        <v>1</v>
      </c>
      <c r="AO271">
        <v>2</v>
      </c>
      <c r="AP271">
        <v>3</v>
      </c>
    </row>
    <row r="272" spans="12:42" x14ac:dyDescent="0.2">
      <c r="L272">
        <f t="shared" si="4"/>
        <v>0</v>
      </c>
      <c r="AE272" t="s">
        <v>513</v>
      </c>
      <c r="AF272" t="s">
        <v>458</v>
      </c>
      <c r="AG272">
        <v>77</v>
      </c>
      <c r="AH272" t="s">
        <v>452</v>
      </c>
      <c r="AI272" t="s">
        <v>453</v>
      </c>
      <c r="AJ272" t="s">
        <v>959</v>
      </c>
      <c r="AK272" t="s">
        <v>378</v>
      </c>
      <c r="AL272" t="s">
        <v>2183</v>
      </c>
      <c r="AM272">
        <v>0</v>
      </c>
      <c r="AN272">
        <v>1</v>
      </c>
      <c r="AO272">
        <v>1</v>
      </c>
      <c r="AP272">
        <v>2</v>
      </c>
    </row>
    <row r="273" spans="12:42" x14ac:dyDescent="0.2">
      <c r="L273">
        <f t="shared" si="4"/>
        <v>0</v>
      </c>
      <c r="AE273" t="s">
        <v>513</v>
      </c>
      <c r="AF273" t="s">
        <v>458</v>
      </c>
      <c r="AG273">
        <v>93</v>
      </c>
      <c r="AH273" t="s">
        <v>1498</v>
      </c>
      <c r="AI273" t="s">
        <v>1515</v>
      </c>
      <c r="AJ273" t="s">
        <v>1508</v>
      </c>
      <c r="AK273" t="s">
        <v>374</v>
      </c>
      <c r="AL273" t="s">
        <v>2147</v>
      </c>
      <c r="AM273">
        <v>1</v>
      </c>
      <c r="AN273">
        <v>1</v>
      </c>
      <c r="AO273">
        <v>2</v>
      </c>
      <c r="AP273">
        <v>3</v>
      </c>
    </row>
    <row r="274" spans="12:42" x14ac:dyDescent="0.2">
      <c r="L274">
        <f t="shared" si="4"/>
        <v>0</v>
      </c>
      <c r="AE274" t="s">
        <v>513</v>
      </c>
      <c r="AF274" t="s">
        <v>458</v>
      </c>
      <c r="AG274">
        <v>143</v>
      </c>
      <c r="AH274" t="s">
        <v>1498</v>
      </c>
      <c r="AI274" t="s">
        <v>1627</v>
      </c>
      <c r="AJ274" t="s">
        <v>1628</v>
      </c>
      <c r="AK274" t="s">
        <v>283</v>
      </c>
      <c r="AL274" t="s">
        <v>1625</v>
      </c>
      <c r="AM274">
        <v>1</v>
      </c>
      <c r="AN274">
        <v>1</v>
      </c>
      <c r="AO274">
        <v>2</v>
      </c>
      <c r="AP274">
        <v>3</v>
      </c>
    </row>
    <row r="275" spans="12:42" x14ac:dyDescent="0.2">
      <c r="L275">
        <f t="shared" si="4"/>
        <v>0</v>
      </c>
      <c r="AE275" t="s">
        <v>2367</v>
      </c>
      <c r="AM275">
        <v>8</v>
      </c>
      <c r="AN275">
        <v>15</v>
      </c>
      <c r="AO275">
        <v>23</v>
      </c>
      <c r="AP275">
        <v>294</v>
      </c>
    </row>
    <row r="276" spans="12:42" x14ac:dyDescent="0.2">
      <c r="L276">
        <f t="shared" si="4"/>
        <v>0</v>
      </c>
    </row>
    <row r="277" spans="12:42" x14ac:dyDescent="0.2">
      <c r="L277">
        <f t="shared" si="4"/>
        <v>0</v>
      </c>
    </row>
    <row r="278" spans="12:42" x14ac:dyDescent="0.2">
      <c r="L278">
        <f t="shared" si="4"/>
        <v>0</v>
      </c>
    </row>
    <row r="279" spans="12:42" x14ac:dyDescent="0.2">
      <c r="L279">
        <f t="shared" si="4"/>
        <v>0</v>
      </c>
    </row>
    <row r="280" spans="12:42" x14ac:dyDescent="0.2">
      <c r="L280">
        <f t="shared" si="4"/>
        <v>0</v>
      </c>
    </row>
    <row r="281" spans="12:42" x14ac:dyDescent="0.2">
      <c r="L281">
        <f t="shared" si="4"/>
        <v>0</v>
      </c>
    </row>
    <row r="282" spans="12:42" x14ac:dyDescent="0.2">
      <c r="L282">
        <f t="shared" si="4"/>
        <v>0</v>
      </c>
    </row>
    <row r="283" spans="12:42" x14ac:dyDescent="0.2">
      <c r="L283">
        <f t="shared" si="4"/>
        <v>0</v>
      </c>
    </row>
    <row r="284" spans="12:42" x14ac:dyDescent="0.2">
      <c r="L284">
        <f t="shared" si="4"/>
        <v>0</v>
      </c>
    </row>
    <row r="285" spans="12:42" x14ac:dyDescent="0.2">
      <c r="L285">
        <f t="shared" si="4"/>
        <v>0</v>
      </c>
    </row>
    <row r="286" spans="12:42" x14ac:dyDescent="0.2">
      <c r="L286">
        <f t="shared" si="4"/>
        <v>0</v>
      </c>
    </row>
    <row r="287" spans="12:42" x14ac:dyDescent="0.2">
      <c r="L287">
        <f t="shared" si="4"/>
        <v>0</v>
      </c>
    </row>
    <row r="288" spans="12:42" x14ac:dyDescent="0.2">
      <c r="L288">
        <f t="shared" si="4"/>
        <v>0</v>
      </c>
    </row>
  </sheetData>
  <conditionalFormatting sqref="F1:H3 F307:H1048576">
    <cfRule type="cellIs" dxfId="5" priority="4" operator="greaterThan">
      <formula>1</formula>
    </cfRule>
  </conditionalFormatting>
  <conditionalFormatting sqref="AP1:AP3 AP279:AP1048576">
    <cfRule type="cellIs" dxfId="4" priority="1" operator="greaterThan">
      <formula>2</formula>
    </cfRule>
  </conditionalFormatting>
  <pageMargins left="0.7" right="0.7" top="0.75" bottom="0.75" header="0.3" footer="0.3"/>
  <tableParts count="2">
    <tablePart r:id="rId3"/>
    <tablePart r:id="rId4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1619D6-AB15-4B52-AC27-10798C040B41}">
  <sheetPr>
    <tabColor theme="4" tint="-0.249977111117893"/>
  </sheetPr>
  <dimension ref="A1:H457"/>
  <sheetViews>
    <sheetView workbookViewId="0">
      <selection activeCell="E466" sqref="E466"/>
    </sheetView>
  </sheetViews>
  <sheetFormatPr baseColWidth="10" defaultColWidth="8.83203125" defaultRowHeight="15" x14ac:dyDescent="0.2"/>
  <cols>
    <col min="1" max="1" width="13.6640625" customWidth="1"/>
    <col min="2" max="2" width="32.6640625" bestFit="1" customWidth="1"/>
    <col min="3" max="3" width="38.5" bestFit="1" customWidth="1"/>
    <col min="4" max="4" width="30.33203125" bestFit="1" customWidth="1"/>
    <col min="5" max="6" width="29.1640625" bestFit="1" customWidth="1"/>
    <col min="7" max="7" width="17.5" customWidth="1"/>
    <col min="8" max="8" width="9.83203125" customWidth="1"/>
  </cols>
  <sheetData>
    <row r="1" spans="1:8" x14ac:dyDescent="0.2">
      <c r="A1" s="6" t="s">
        <v>2427</v>
      </c>
      <c r="B1" s="6" t="s">
        <v>2428</v>
      </c>
      <c r="C1" s="6" t="s">
        <v>1</v>
      </c>
      <c r="D1" s="6" t="s">
        <v>2429</v>
      </c>
      <c r="E1" s="6" t="s">
        <v>2430</v>
      </c>
      <c r="F1" s="6" t="s">
        <v>2431</v>
      </c>
      <c r="G1" s="6" t="s">
        <v>2432</v>
      </c>
      <c r="H1" s="23" t="s">
        <v>6</v>
      </c>
    </row>
    <row r="2" spans="1:8" hidden="1" x14ac:dyDescent="0.2">
      <c r="A2" s="7">
        <v>356</v>
      </c>
      <c r="B2" s="7" t="s">
        <v>1389</v>
      </c>
      <c r="C2" s="7" t="s">
        <v>244</v>
      </c>
      <c r="D2" s="7" t="s">
        <v>1376</v>
      </c>
      <c r="E2" s="7" t="s">
        <v>1283</v>
      </c>
      <c r="F2" s="7" t="s">
        <v>1375</v>
      </c>
      <c r="G2" s="7" t="s">
        <v>455</v>
      </c>
      <c r="H2" t="s">
        <v>513</v>
      </c>
    </row>
    <row r="3" spans="1:8" hidden="1" x14ac:dyDescent="0.2">
      <c r="A3" s="8">
        <v>23365</v>
      </c>
      <c r="B3" s="8" t="s">
        <v>2433</v>
      </c>
      <c r="C3" s="8" t="s">
        <v>2434</v>
      </c>
      <c r="D3" s="8" t="s">
        <v>1628</v>
      </c>
      <c r="E3" s="8" t="s">
        <v>1498</v>
      </c>
      <c r="F3" s="8" t="s">
        <v>1627</v>
      </c>
      <c r="G3" s="8" t="s">
        <v>455</v>
      </c>
      <c r="H3" t="s">
        <v>513</v>
      </c>
    </row>
    <row r="4" spans="1:8" hidden="1" x14ac:dyDescent="0.2">
      <c r="A4" s="7">
        <v>6854</v>
      </c>
      <c r="B4" s="7" t="s">
        <v>1648</v>
      </c>
      <c r="C4" s="7" t="s">
        <v>2435</v>
      </c>
      <c r="D4" s="7" t="s">
        <v>1508</v>
      </c>
      <c r="E4" s="7" t="s">
        <v>1498</v>
      </c>
      <c r="F4" s="7" t="s">
        <v>1515</v>
      </c>
      <c r="G4" s="7" t="s">
        <v>455</v>
      </c>
      <c r="H4" t="s">
        <v>513</v>
      </c>
    </row>
    <row r="5" spans="1:8" hidden="1" x14ac:dyDescent="0.2">
      <c r="A5" s="8">
        <v>5540</v>
      </c>
      <c r="B5" s="8" t="s">
        <v>2436</v>
      </c>
      <c r="C5" s="8" t="s">
        <v>283</v>
      </c>
      <c r="D5" s="8" t="s">
        <v>1628</v>
      </c>
      <c r="E5" s="8" t="s">
        <v>1498</v>
      </c>
      <c r="F5" s="8" t="s">
        <v>1627</v>
      </c>
      <c r="G5" s="8" t="s">
        <v>455</v>
      </c>
      <c r="H5" t="s">
        <v>513</v>
      </c>
    </row>
    <row r="6" spans="1:8" hidden="1" x14ac:dyDescent="0.2">
      <c r="A6" s="7">
        <v>6350</v>
      </c>
      <c r="B6" s="7" t="s">
        <v>1747</v>
      </c>
      <c r="C6" s="7" t="s">
        <v>2437</v>
      </c>
      <c r="D6" s="7" t="s">
        <v>2438</v>
      </c>
      <c r="E6" s="7" t="s">
        <v>1745</v>
      </c>
      <c r="F6" s="7" t="s">
        <v>1746</v>
      </c>
      <c r="G6" s="7" t="s">
        <v>455</v>
      </c>
      <c r="H6" t="s">
        <v>456</v>
      </c>
    </row>
    <row r="7" spans="1:8" hidden="1" x14ac:dyDescent="0.2">
      <c r="A7" s="8">
        <v>10666</v>
      </c>
      <c r="B7" s="8" t="s">
        <v>1598</v>
      </c>
      <c r="C7" s="8" t="s">
        <v>2439</v>
      </c>
      <c r="D7" s="8" t="s">
        <v>1508</v>
      </c>
      <c r="E7" s="8" t="s">
        <v>1498</v>
      </c>
      <c r="F7" s="8" t="s">
        <v>1515</v>
      </c>
      <c r="G7" s="8" t="s">
        <v>455</v>
      </c>
      <c r="H7" t="s">
        <v>513</v>
      </c>
    </row>
    <row r="8" spans="1:8" hidden="1" x14ac:dyDescent="0.2">
      <c r="A8" s="7">
        <v>15646</v>
      </c>
      <c r="B8" s="7" t="s">
        <v>2440</v>
      </c>
      <c r="C8" s="7" t="s">
        <v>2136</v>
      </c>
      <c r="D8" s="7" t="s">
        <v>1545</v>
      </c>
      <c r="E8" s="7" t="s">
        <v>1498</v>
      </c>
      <c r="F8" s="7" t="s">
        <v>1515</v>
      </c>
      <c r="G8" s="7" t="s">
        <v>455</v>
      </c>
      <c r="H8" t="s">
        <v>513</v>
      </c>
    </row>
    <row r="9" spans="1:8" hidden="1" x14ac:dyDescent="0.2">
      <c r="A9" s="8">
        <v>7616</v>
      </c>
      <c r="B9" s="8" t="s">
        <v>2441</v>
      </c>
      <c r="C9" s="8" t="s">
        <v>278</v>
      </c>
      <c r="D9" s="8" t="s">
        <v>1545</v>
      </c>
      <c r="E9" s="8" t="s">
        <v>1498</v>
      </c>
      <c r="F9" s="8" t="s">
        <v>1515</v>
      </c>
      <c r="G9" s="8" t="s">
        <v>455</v>
      </c>
      <c r="H9" t="s">
        <v>513</v>
      </c>
    </row>
    <row r="10" spans="1:8" hidden="1" x14ac:dyDescent="0.2">
      <c r="A10" s="7">
        <v>8057</v>
      </c>
      <c r="B10" s="7" t="s">
        <v>2442</v>
      </c>
      <c r="C10" s="7" t="s">
        <v>2261</v>
      </c>
      <c r="D10" s="7" t="s">
        <v>2443</v>
      </c>
      <c r="E10" s="7" t="s">
        <v>1498</v>
      </c>
      <c r="F10" s="7" t="s">
        <v>2444</v>
      </c>
      <c r="G10" s="7" t="s">
        <v>455</v>
      </c>
      <c r="H10" t="s">
        <v>513</v>
      </c>
    </row>
    <row r="11" spans="1:8" hidden="1" x14ac:dyDescent="0.2">
      <c r="A11" s="8">
        <v>7929</v>
      </c>
      <c r="B11" s="8" t="s">
        <v>1628</v>
      </c>
      <c r="C11" s="8" t="s">
        <v>2445</v>
      </c>
      <c r="D11" s="8" t="s">
        <v>1500</v>
      </c>
      <c r="E11" s="8" t="s">
        <v>1498</v>
      </c>
      <c r="F11" s="8" t="s">
        <v>1627</v>
      </c>
      <c r="G11" s="8" t="s">
        <v>455</v>
      </c>
      <c r="H11" t="s">
        <v>513</v>
      </c>
    </row>
    <row r="12" spans="1:8" hidden="1" x14ac:dyDescent="0.2">
      <c r="A12" s="7">
        <v>9700</v>
      </c>
      <c r="B12" s="7" t="s">
        <v>2446</v>
      </c>
      <c r="C12" s="7" t="s">
        <v>273</v>
      </c>
      <c r="D12" s="7" t="s">
        <v>1545</v>
      </c>
      <c r="E12" s="7" t="s">
        <v>1498</v>
      </c>
      <c r="F12" s="7" t="s">
        <v>1515</v>
      </c>
      <c r="G12" s="7" t="s">
        <v>455</v>
      </c>
      <c r="H12" t="s">
        <v>513</v>
      </c>
    </row>
    <row r="13" spans="1:8" hidden="1" x14ac:dyDescent="0.2">
      <c r="A13" s="8">
        <v>9061</v>
      </c>
      <c r="B13" s="8" t="s">
        <v>2447</v>
      </c>
      <c r="C13" s="8" t="s">
        <v>2326</v>
      </c>
      <c r="D13" s="8" t="s">
        <v>1508</v>
      </c>
      <c r="E13" s="8" t="s">
        <v>1498</v>
      </c>
      <c r="F13" s="8" t="s">
        <v>1515</v>
      </c>
      <c r="G13" s="8" t="s">
        <v>455</v>
      </c>
      <c r="H13" t="s">
        <v>513</v>
      </c>
    </row>
    <row r="14" spans="1:8" hidden="1" x14ac:dyDescent="0.2">
      <c r="A14" s="7">
        <v>7469</v>
      </c>
      <c r="B14" s="7" t="s">
        <v>2448</v>
      </c>
      <c r="C14" s="7" t="s">
        <v>2449</v>
      </c>
      <c r="D14" s="7" t="s">
        <v>1508</v>
      </c>
      <c r="E14" s="7" t="s">
        <v>1498</v>
      </c>
      <c r="F14" s="7" t="s">
        <v>1515</v>
      </c>
      <c r="G14" s="7" t="s">
        <v>455</v>
      </c>
      <c r="H14" t="s">
        <v>513</v>
      </c>
    </row>
    <row r="15" spans="1:8" hidden="1" x14ac:dyDescent="0.2">
      <c r="A15" s="8">
        <v>7915</v>
      </c>
      <c r="B15" s="8" t="s">
        <v>2450</v>
      </c>
      <c r="C15" s="8" t="s">
        <v>272</v>
      </c>
      <c r="D15" s="8" t="s">
        <v>1545</v>
      </c>
      <c r="E15" s="8" t="s">
        <v>1498</v>
      </c>
      <c r="F15" s="8" t="s">
        <v>1515</v>
      </c>
      <c r="G15" s="8" t="s">
        <v>455</v>
      </c>
      <c r="H15" t="s">
        <v>513</v>
      </c>
    </row>
    <row r="16" spans="1:8" hidden="1" x14ac:dyDescent="0.2">
      <c r="A16" s="7">
        <v>7682</v>
      </c>
      <c r="B16" s="7" t="s">
        <v>1911</v>
      </c>
      <c r="C16" s="7" t="s">
        <v>2451</v>
      </c>
      <c r="D16" s="7" t="s">
        <v>2452</v>
      </c>
      <c r="E16" s="7" t="s">
        <v>1498</v>
      </c>
      <c r="F16" s="7" t="s">
        <v>2453</v>
      </c>
      <c r="G16" s="7" t="s">
        <v>455</v>
      </c>
      <c r="H16" t="s">
        <v>513</v>
      </c>
    </row>
    <row r="17" spans="1:8" hidden="1" x14ac:dyDescent="0.2">
      <c r="A17" s="8">
        <v>7643</v>
      </c>
      <c r="B17" s="8" t="s">
        <v>2454</v>
      </c>
      <c r="C17" s="8" t="s">
        <v>2251</v>
      </c>
      <c r="D17" s="8" t="s">
        <v>1598</v>
      </c>
      <c r="E17" s="8" t="s">
        <v>1498</v>
      </c>
      <c r="F17" s="8" t="s">
        <v>1515</v>
      </c>
      <c r="G17" s="8" t="s">
        <v>455</v>
      </c>
      <c r="H17" t="s">
        <v>513</v>
      </c>
    </row>
    <row r="18" spans="1:8" hidden="1" x14ac:dyDescent="0.2">
      <c r="A18" s="7">
        <v>23031</v>
      </c>
      <c r="B18" s="7" t="s">
        <v>2455</v>
      </c>
      <c r="C18" s="7" t="s">
        <v>1257</v>
      </c>
      <c r="D18" s="7" t="s">
        <v>1117</v>
      </c>
      <c r="E18" s="7" t="s">
        <v>452</v>
      </c>
      <c r="F18" s="7" t="s">
        <v>453</v>
      </c>
      <c r="G18" s="7" t="s">
        <v>455</v>
      </c>
      <c r="H18" t="s">
        <v>513</v>
      </c>
    </row>
    <row r="19" spans="1:8" hidden="1" x14ac:dyDescent="0.2">
      <c r="A19" s="8">
        <v>7658</v>
      </c>
      <c r="B19" s="8" t="s">
        <v>2456</v>
      </c>
      <c r="C19" s="8" t="s">
        <v>2457</v>
      </c>
      <c r="D19" s="8" t="s">
        <v>2443</v>
      </c>
      <c r="E19" s="8" t="s">
        <v>1498</v>
      </c>
      <c r="F19" s="8" t="s">
        <v>2444</v>
      </c>
      <c r="G19" s="8" t="s">
        <v>455</v>
      </c>
      <c r="H19" t="s">
        <v>513</v>
      </c>
    </row>
    <row r="20" spans="1:8" x14ac:dyDescent="0.2">
      <c r="A20" s="7">
        <v>10902</v>
      </c>
      <c r="B20" s="7" t="s">
        <v>911</v>
      </c>
      <c r="C20" s="7" t="s">
        <v>22</v>
      </c>
      <c r="D20" s="7" t="s">
        <v>507</v>
      </c>
      <c r="E20" s="7" t="s">
        <v>452</v>
      </c>
      <c r="F20" s="7" t="s">
        <v>506</v>
      </c>
      <c r="G20" s="7" t="s">
        <v>455</v>
      </c>
      <c r="H20" t="s">
        <v>456</v>
      </c>
    </row>
    <row r="21" spans="1:8" hidden="1" x14ac:dyDescent="0.2">
      <c r="A21" s="8">
        <v>23143</v>
      </c>
      <c r="B21" s="8" t="s">
        <v>2458</v>
      </c>
      <c r="C21" s="8" t="s">
        <v>381</v>
      </c>
      <c r="D21" s="8" t="s">
        <v>1628</v>
      </c>
      <c r="E21" s="8" t="s">
        <v>1498</v>
      </c>
      <c r="F21" s="8" t="s">
        <v>1627</v>
      </c>
      <c r="G21" s="8" t="s">
        <v>455</v>
      </c>
      <c r="H21" t="s">
        <v>513</v>
      </c>
    </row>
    <row r="22" spans="1:8" hidden="1" x14ac:dyDescent="0.2">
      <c r="A22" s="7">
        <v>32796</v>
      </c>
      <c r="B22" s="7" t="s">
        <v>2459</v>
      </c>
      <c r="C22" s="7" t="s">
        <v>2460</v>
      </c>
      <c r="D22" s="7" t="s">
        <v>1678</v>
      </c>
      <c r="E22" s="7" t="s">
        <v>1498</v>
      </c>
      <c r="F22" s="7" t="s">
        <v>1515</v>
      </c>
      <c r="G22" s="7" t="s">
        <v>455</v>
      </c>
      <c r="H22" t="s">
        <v>513</v>
      </c>
    </row>
    <row r="23" spans="1:8" hidden="1" x14ac:dyDescent="0.2">
      <c r="A23" s="8">
        <v>8366</v>
      </c>
      <c r="B23" s="8" t="s">
        <v>2461</v>
      </c>
      <c r="C23" s="8" t="s">
        <v>2462</v>
      </c>
      <c r="D23" s="8" t="s">
        <v>1545</v>
      </c>
      <c r="E23" s="8" t="s">
        <v>1498</v>
      </c>
      <c r="F23" s="8" t="s">
        <v>1515</v>
      </c>
      <c r="G23" s="8" t="s">
        <v>455</v>
      </c>
      <c r="H23" t="s">
        <v>513</v>
      </c>
    </row>
    <row r="24" spans="1:8" hidden="1" x14ac:dyDescent="0.2">
      <c r="A24" s="7">
        <v>8163</v>
      </c>
      <c r="B24" s="7" t="s">
        <v>1545</v>
      </c>
      <c r="C24" s="7" t="s">
        <v>266</v>
      </c>
      <c r="D24" s="7" t="s">
        <v>1508</v>
      </c>
      <c r="E24" s="7" t="s">
        <v>1498</v>
      </c>
      <c r="F24" s="7" t="s">
        <v>1515</v>
      </c>
      <c r="G24" s="7" t="s">
        <v>455</v>
      </c>
      <c r="H24" t="s">
        <v>513</v>
      </c>
    </row>
    <row r="25" spans="1:8" hidden="1" x14ac:dyDescent="0.2">
      <c r="A25" s="8">
        <v>7896</v>
      </c>
      <c r="B25" s="8" t="s">
        <v>2463</v>
      </c>
      <c r="C25" s="8" t="s">
        <v>2464</v>
      </c>
      <c r="D25" s="8" t="s">
        <v>1508</v>
      </c>
      <c r="E25" s="8" t="s">
        <v>1498</v>
      </c>
      <c r="F25" s="8" t="s">
        <v>1515</v>
      </c>
      <c r="G25" s="8" t="s">
        <v>455</v>
      </c>
      <c r="H25" t="s">
        <v>513</v>
      </c>
    </row>
    <row r="26" spans="1:8" hidden="1" x14ac:dyDescent="0.2">
      <c r="A26" s="7">
        <v>20350</v>
      </c>
      <c r="B26" s="7" t="s">
        <v>2465</v>
      </c>
      <c r="C26" s="7" t="s">
        <v>12</v>
      </c>
      <c r="D26" s="7" t="s">
        <v>468</v>
      </c>
      <c r="E26" s="7" t="s">
        <v>452</v>
      </c>
      <c r="F26" s="7" t="s">
        <v>453</v>
      </c>
      <c r="G26" s="7" t="s">
        <v>455</v>
      </c>
      <c r="H26" t="s">
        <v>456</v>
      </c>
    </row>
    <row r="27" spans="1:8" hidden="1" x14ac:dyDescent="0.2">
      <c r="A27" s="8">
        <v>8951</v>
      </c>
      <c r="B27" s="8" t="s">
        <v>2466</v>
      </c>
      <c r="C27" s="8" t="s">
        <v>2467</v>
      </c>
      <c r="D27" s="8" t="s">
        <v>1441</v>
      </c>
      <c r="E27" s="8" t="s">
        <v>1283</v>
      </c>
      <c r="F27" s="8" t="s">
        <v>1383</v>
      </c>
      <c r="G27" s="8" t="s">
        <v>455</v>
      </c>
      <c r="H27" t="s">
        <v>513</v>
      </c>
    </row>
    <row r="28" spans="1:8" hidden="1" x14ac:dyDescent="0.2">
      <c r="A28" s="7">
        <v>9088</v>
      </c>
      <c r="B28" s="7" t="s">
        <v>411</v>
      </c>
      <c r="C28" s="7" t="s">
        <v>295</v>
      </c>
      <c r="D28" s="7" t="s">
        <v>1634</v>
      </c>
      <c r="E28" s="7" t="s">
        <v>1498</v>
      </c>
      <c r="F28" s="7" t="s">
        <v>1697</v>
      </c>
      <c r="G28" s="7" t="s">
        <v>455</v>
      </c>
      <c r="H28" t="s">
        <v>456</v>
      </c>
    </row>
    <row r="29" spans="1:8" hidden="1" x14ac:dyDescent="0.2">
      <c r="A29" s="8">
        <v>9323</v>
      </c>
      <c r="B29" s="8" t="s">
        <v>2468</v>
      </c>
      <c r="C29" s="8" t="s">
        <v>2256</v>
      </c>
      <c r="D29" s="8" t="s">
        <v>1508</v>
      </c>
      <c r="E29" s="8" t="s">
        <v>1498</v>
      </c>
      <c r="F29" s="8" t="s">
        <v>1507</v>
      </c>
      <c r="G29" s="8" t="s">
        <v>455</v>
      </c>
      <c r="H29" t="s">
        <v>513</v>
      </c>
    </row>
    <row r="30" spans="1:8" hidden="1" x14ac:dyDescent="0.2">
      <c r="A30" s="7">
        <v>9402</v>
      </c>
      <c r="B30" s="7" t="s">
        <v>2469</v>
      </c>
      <c r="C30" s="7" t="s">
        <v>279</v>
      </c>
      <c r="D30" s="7" t="s">
        <v>1598</v>
      </c>
      <c r="E30" s="7" t="s">
        <v>1498</v>
      </c>
      <c r="F30" s="7" t="s">
        <v>1515</v>
      </c>
      <c r="G30" s="7" t="s">
        <v>455</v>
      </c>
      <c r="H30" t="s">
        <v>513</v>
      </c>
    </row>
    <row r="31" spans="1:8" hidden="1" x14ac:dyDescent="0.2">
      <c r="A31" s="8">
        <v>9462</v>
      </c>
      <c r="B31" s="8" t="s">
        <v>2470</v>
      </c>
      <c r="C31" s="8" t="s">
        <v>2471</v>
      </c>
      <c r="D31" s="8" t="s">
        <v>1545</v>
      </c>
      <c r="E31" s="8" t="s">
        <v>1498</v>
      </c>
      <c r="F31" s="8" t="s">
        <v>1515</v>
      </c>
      <c r="G31" s="8" t="s">
        <v>455</v>
      </c>
      <c r="H31" t="s">
        <v>513</v>
      </c>
    </row>
    <row r="32" spans="1:8" hidden="1" x14ac:dyDescent="0.2">
      <c r="A32" s="7">
        <v>9429</v>
      </c>
      <c r="B32" s="7" t="s">
        <v>2050</v>
      </c>
      <c r="C32" s="7" t="s">
        <v>357</v>
      </c>
      <c r="D32" s="7" t="s">
        <v>2027</v>
      </c>
      <c r="E32" s="7" t="s">
        <v>452</v>
      </c>
      <c r="F32" s="7" t="s">
        <v>2026</v>
      </c>
      <c r="G32" s="7" t="s">
        <v>455</v>
      </c>
      <c r="H32" t="s">
        <v>456</v>
      </c>
    </row>
    <row r="33" spans="1:8" hidden="1" x14ac:dyDescent="0.2">
      <c r="A33" s="8">
        <v>9268</v>
      </c>
      <c r="B33" s="8" t="s">
        <v>2472</v>
      </c>
      <c r="C33" s="8" t="s">
        <v>372</v>
      </c>
      <c r="D33" s="8" t="s">
        <v>1952</v>
      </c>
      <c r="E33" s="8" t="s">
        <v>1498</v>
      </c>
      <c r="F33" s="8" t="s">
        <v>1951</v>
      </c>
      <c r="G33" s="8" t="s">
        <v>455</v>
      </c>
      <c r="H33" t="s">
        <v>513</v>
      </c>
    </row>
    <row r="34" spans="1:8" hidden="1" x14ac:dyDescent="0.2">
      <c r="A34" s="7">
        <v>21608</v>
      </c>
      <c r="B34" s="7" t="s">
        <v>2473</v>
      </c>
      <c r="C34" s="7" t="s">
        <v>350</v>
      </c>
      <c r="D34" s="7" t="s">
        <v>1620</v>
      </c>
      <c r="E34" s="7" t="s">
        <v>1498</v>
      </c>
      <c r="F34" s="7" t="s">
        <v>1697</v>
      </c>
      <c r="G34" s="7" t="s">
        <v>455</v>
      </c>
      <c r="H34" t="s">
        <v>513</v>
      </c>
    </row>
    <row r="35" spans="1:8" hidden="1" x14ac:dyDescent="0.2">
      <c r="A35" s="8">
        <v>11064</v>
      </c>
      <c r="B35" s="8" t="s">
        <v>1441</v>
      </c>
      <c r="C35" s="8" t="s">
        <v>245</v>
      </c>
      <c r="D35" s="8" t="s">
        <v>1376</v>
      </c>
      <c r="E35" s="8" t="s">
        <v>1283</v>
      </c>
      <c r="F35" s="8" t="s">
        <v>1383</v>
      </c>
      <c r="G35" s="8" t="s">
        <v>455</v>
      </c>
      <c r="H35" t="s">
        <v>513</v>
      </c>
    </row>
    <row r="36" spans="1:8" hidden="1" x14ac:dyDescent="0.2">
      <c r="A36" s="7">
        <v>23022</v>
      </c>
      <c r="B36" s="7" t="s">
        <v>2474</v>
      </c>
      <c r="C36" s="7" t="s">
        <v>2475</v>
      </c>
      <c r="D36" s="7" t="s">
        <v>2476</v>
      </c>
      <c r="E36" s="7" t="s">
        <v>2477</v>
      </c>
      <c r="F36" s="7" t="s">
        <v>2478</v>
      </c>
      <c r="G36" s="7" t="s">
        <v>455</v>
      </c>
      <c r="H36" t="s">
        <v>513</v>
      </c>
    </row>
    <row r="37" spans="1:8" hidden="1" x14ac:dyDescent="0.2">
      <c r="A37" s="8">
        <v>10164</v>
      </c>
      <c r="B37" s="8" t="s">
        <v>1527</v>
      </c>
      <c r="C37" s="8" t="s">
        <v>2479</v>
      </c>
      <c r="D37" s="8" t="s">
        <v>1508</v>
      </c>
      <c r="E37" s="8" t="s">
        <v>1498</v>
      </c>
      <c r="F37" s="8" t="s">
        <v>1697</v>
      </c>
      <c r="G37" s="8" t="s">
        <v>455</v>
      </c>
      <c r="H37" t="s">
        <v>513</v>
      </c>
    </row>
    <row r="38" spans="1:8" x14ac:dyDescent="0.2">
      <c r="A38" s="7">
        <v>22422</v>
      </c>
      <c r="B38" s="7" t="s">
        <v>2480</v>
      </c>
      <c r="C38" s="7" t="s">
        <v>2481</v>
      </c>
      <c r="D38" s="7" t="s">
        <v>1890</v>
      </c>
      <c r="E38" s="7" t="s">
        <v>452</v>
      </c>
      <c r="F38" s="7" t="s">
        <v>904</v>
      </c>
      <c r="G38" s="7" t="s">
        <v>719</v>
      </c>
      <c r="H38" t="s">
        <v>513</v>
      </c>
    </row>
    <row r="39" spans="1:8" hidden="1" x14ac:dyDescent="0.2">
      <c r="A39" s="8">
        <v>37495</v>
      </c>
      <c r="B39" s="8" t="s">
        <v>2482</v>
      </c>
      <c r="C39" s="8" t="s">
        <v>2483</v>
      </c>
      <c r="D39" s="8" t="s">
        <v>468</v>
      </c>
      <c r="E39" s="8" t="s">
        <v>452</v>
      </c>
      <c r="F39" s="8" t="s">
        <v>453</v>
      </c>
      <c r="G39" s="8" t="s">
        <v>455</v>
      </c>
      <c r="H39" t="s">
        <v>513</v>
      </c>
    </row>
    <row r="40" spans="1:8" hidden="1" x14ac:dyDescent="0.2">
      <c r="A40" s="7">
        <v>11564</v>
      </c>
      <c r="B40" s="7" t="s">
        <v>2484</v>
      </c>
      <c r="C40" s="7" t="s">
        <v>2485</v>
      </c>
      <c r="D40" s="7" t="s">
        <v>1648</v>
      </c>
      <c r="E40" s="7" t="s">
        <v>1498</v>
      </c>
      <c r="F40" s="7" t="s">
        <v>1515</v>
      </c>
      <c r="G40" s="7" t="s">
        <v>455</v>
      </c>
      <c r="H40" t="s">
        <v>513</v>
      </c>
    </row>
    <row r="41" spans="1:8" hidden="1" x14ac:dyDescent="0.2">
      <c r="A41" s="8">
        <v>11265</v>
      </c>
      <c r="B41" s="8" t="s">
        <v>1292</v>
      </c>
      <c r="C41" s="8" t="s">
        <v>263</v>
      </c>
      <c r="D41" s="8" t="s">
        <v>1490</v>
      </c>
      <c r="E41" s="8" t="s">
        <v>1283</v>
      </c>
      <c r="F41" s="8" t="s">
        <v>1383</v>
      </c>
      <c r="G41" s="8" t="s">
        <v>455</v>
      </c>
      <c r="H41" t="s">
        <v>513</v>
      </c>
    </row>
    <row r="42" spans="1:8" hidden="1" x14ac:dyDescent="0.2">
      <c r="A42" s="7">
        <v>15036</v>
      </c>
      <c r="B42" s="7" t="s">
        <v>2486</v>
      </c>
      <c r="C42" s="7" t="s">
        <v>2487</v>
      </c>
      <c r="D42" s="7" t="s">
        <v>1545</v>
      </c>
      <c r="E42" s="7" t="s">
        <v>1498</v>
      </c>
      <c r="F42" s="7" t="s">
        <v>1515</v>
      </c>
      <c r="G42" s="7" t="s">
        <v>455</v>
      </c>
      <c r="H42" t="s">
        <v>513</v>
      </c>
    </row>
    <row r="43" spans="1:8" hidden="1" x14ac:dyDescent="0.2">
      <c r="A43" s="8">
        <v>10857</v>
      </c>
      <c r="B43" s="8" t="s">
        <v>1831</v>
      </c>
      <c r="C43" s="8" t="s">
        <v>311</v>
      </c>
      <c r="D43" s="8" t="s">
        <v>1774</v>
      </c>
      <c r="E43" s="8" t="s">
        <v>1745</v>
      </c>
      <c r="F43" s="8" t="s">
        <v>1773</v>
      </c>
      <c r="G43" s="8" t="s">
        <v>455</v>
      </c>
      <c r="H43" t="s">
        <v>513</v>
      </c>
    </row>
    <row r="44" spans="1:8" hidden="1" x14ac:dyDescent="0.2">
      <c r="A44" s="7">
        <v>13142</v>
      </c>
      <c r="B44" s="7" t="s">
        <v>2488</v>
      </c>
      <c r="C44" s="7" t="s">
        <v>56</v>
      </c>
      <c r="D44" s="7" t="s">
        <v>468</v>
      </c>
      <c r="E44" s="7" t="s">
        <v>452</v>
      </c>
      <c r="F44" s="7" t="s">
        <v>453</v>
      </c>
      <c r="G44" s="7" t="s">
        <v>455</v>
      </c>
      <c r="H44" t="s">
        <v>513</v>
      </c>
    </row>
    <row r="45" spans="1:8" hidden="1" x14ac:dyDescent="0.2">
      <c r="A45" s="8">
        <v>13479</v>
      </c>
      <c r="B45" s="8" t="s">
        <v>2489</v>
      </c>
      <c r="C45" s="8" t="s">
        <v>275</v>
      </c>
      <c r="D45" s="8" t="s">
        <v>1545</v>
      </c>
      <c r="E45" s="8" t="s">
        <v>1498</v>
      </c>
      <c r="F45" s="8" t="s">
        <v>1515</v>
      </c>
      <c r="G45" s="8" t="s">
        <v>455</v>
      </c>
      <c r="H45" t="s">
        <v>513</v>
      </c>
    </row>
    <row r="46" spans="1:8" hidden="1" x14ac:dyDescent="0.2">
      <c r="A46" s="7">
        <v>26472</v>
      </c>
      <c r="B46" s="7" t="s">
        <v>2490</v>
      </c>
      <c r="C46" s="7" t="s">
        <v>289</v>
      </c>
      <c r="D46" s="7" t="s">
        <v>1648</v>
      </c>
      <c r="E46" s="7" t="s">
        <v>1498</v>
      </c>
      <c r="F46" s="7" t="s">
        <v>1515</v>
      </c>
      <c r="G46" s="7" t="s">
        <v>455</v>
      </c>
      <c r="H46" t="s">
        <v>513</v>
      </c>
    </row>
    <row r="47" spans="1:8" x14ac:dyDescent="0.2">
      <c r="A47" s="8">
        <v>13601</v>
      </c>
      <c r="B47" s="8" t="s">
        <v>900</v>
      </c>
      <c r="C47" s="8" t="s">
        <v>123</v>
      </c>
      <c r="D47" s="8" t="s">
        <v>911</v>
      </c>
      <c r="E47" s="8" t="s">
        <v>452</v>
      </c>
      <c r="F47" s="8" t="s">
        <v>904</v>
      </c>
      <c r="G47" s="8" t="s">
        <v>455</v>
      </c>
      <c r="H47" t="s">
        <v>456</v>
      </c>
    </row>
    <row r="48" spans="1:8" x14ac:dyDescent="0.2">
      <c r="A48" s="7">
        <v>11978</v>
      </c>
      <c r="B48" s="7" t="s">
        <v>1706</v>
      </c>
      <c r="C48" s="7" t="s">
        <v>359</v>
      </c>
      <c r="D48" s="7" t="s">
        <v>2042</v>
      </c>
      <c r="E48" s="7" t="s">
        <v>452</v>
      </c>
      <c r="F48" s="7" t="s">
        <v>1705</v>
      </c>
      <c r="G48" s="7" t="s">
        <v>455</v>
      </c>
      <c r="H48" t="s">
        <v>513</v>
      </c>
    </row>
    <row r="49" spans="1:8" hidden="1" x14ac:dyDescent="0.2">
      <c r="A49" s="8">
        <v>12702</v>
      </c>
      <c r="B49" s="8" t="s">
        <v>1402</v>
      </c>
      <c r="C49" s="8" t="s">
        <v>261</v>
      </c>
      <c r="D49" s="8" t="s">
        <v>1477</v>
      </c>
      <c r="E49" s="8" t="s">
        <v>1283</v>
      </c>
      <c r="F49" s="8" t="s">
        <v>1383</v>
      </c>
      <c r="G49" s="8" t="s">
        <v>455</v>
      </c>
      <c r="H49" t="s">
        <v>513</v>
      </c>
    </row>
    <row r="50" spans="1:8" hidden="1" x14ac:dyDescent="0.2">
      <c r="A50" s="7">
        <v>12694</v>
      </c>
      <c r="B50" s="7" t="s">
        <v>1430</v>
      </c>
      <c r="C50" s="7" t="s">
        <v>254</v>
      </c>
      <c r="D50" s="7" t="s">
        <v>1441</v>
      </c>
      <c r="E50" s="7" t="s">
        <v>1283</v>
      </c>
      <c r="F50" s="7" t="s">
        <v>1429</v>
      </c>
      <c r="G50" s="7" t="s">
        <v>455</v>
      </c>
      <c r="H50" t="s">
        <v>456</v>
      </c>
    </row>
    <row r="51" spans="1:8" hidden="1" x14ac:dyDescent="0.2">
      <c r="A51" s="8">
        <v>13260</v>
      </c>
      <c r="B51" s="8" t="s">
        <v>1490</v>
      </c>
      <c r="C51" s="8" t="s">
        <v>1274</v>
      </c>
      <c r="D51" s="8" t="s">
        <v>1477</v>
      </c>
      <c r="E51" s="8" t="s">
        <v>1283</v>
      </c>
      <c r="F51" s="8" t="s">
        <v>1383</v>
      </c>
      <c r="G51" s="8" t="s">
        <v>455</v>
      </c>
      <c r="H51" t="s">
        <v>456</v>
      </c>
    </row>
    <row r="52" spans="1:8" hidden="1" x14ac:dyDescent="0.2">
      <c r="A52" s="7">
        <v>13732</v>
      </c>
      <c r="B52" s="7" t="s">
        <v>2491</v>
      </c>
      <c r="C52" s="7" t="s">
        <v>2492</v>
      </c>
      <c r="D52" s="7" t="s">
        <v>1620</v>
      </c>
      <c r="E52" s="7" t="s">
        <v>1498</v>
      </c>
      <c r="F52" s="7" t="s">
        <v>1507</v>
      </c>
      <c r="G52" s="7" t="s">
        <v>455</v>
      </c>
      <c r="H52" t="s">
        <v>456</v>
      </c>
    </row>
    <row r="53" spans="1:8" hidden="1" x14ac:dyDescent="0.2">
      <c r="A53" s="8">
        <v>13322</v>
      </c>
      <c r="B53" s="8" t="s">
        <v>2493</v>
      </c>
      <c r="C53" s="8" t="s">
        <v>174</v>
      </c>
      <c r="D53" s="8" t="s">
        <v>959</v>
      </c>
      <c r="E53" s="8" t="s">
        <v>452</v>
      </c>
      <c r="F53" s="8" t="s">
        <v>453</v>
      </c>
      <c r="G53" s="8" t="s">
        <v>455</v>
      </c>
      <c r="H53" t="s">
        <v>513</v>
      </c>
    </row>
    <row r="54" spans="1:8" hidden="1" x14ac:dyDescent="0.2">
      <c r="A54" s="7">
        <v>14054</v>
      </c>
      <c r="B54" s="7" t="s">
        <v>919</v>
      </c>
      <c r="C54" s="7" t="s">
        <v>132</v>
      </c>
      <c r="D54" s="7" t="s">
        <v>900</v>
      </c>
      <c r="E54" s="7" t="s">
        <v>452</v>
      </c>
      <c r="F54" s="7" t="s">
        <v>453</v>
      </c>
      <c r="G54" s="7" t="s">
        <v>455</v>
      </c>
      <c r="H54" t="s">
        <v>513</v>
      </c>
    </row>
    <row r="55" spans="1:8" hidden="1" x14ac:dyDescent="0.2">
      <c r="A55" s="8">
        <v>19740</v>
      </c>
      <c r="B55" s="8" t="s">
        <v>2494</v>
      </c>
      <c r="C55" s="8" t="s">
        <v>2495</v>
      </c>
      <c r="D55" s="8" t="s">
        <v>1678</v>
      </c>
      <c r="E55" s="8" t="s">
        <v>1498</v>
      </c>
      <c r="F55" s="8" t="s">
        <v>1515</v>
      </c>
      <c r="G55" s="8" t="s">
        <v>455</v>
      </c>
      <c r="H55" t="s">
        <v>513</v>
      </c>
    </row>
    <row r="56" spans="1:8" hidden="1" x14ac:dyDescent="0.2">
      <c r="A56" s="7">
        <v>24558</v>
      </c>
      <c r="B56" s="7" t="s">
        <v>1448</v>
      </c>
      <c r="C56" s="7" t="s">
        <v>2496</v>
      </c>
      <c r="D56" s="7" t="s">
        <v>2497</v>
      </c>
      <c r="E56" s="7" t="s">
        <v>1283</v>
      </c>
      <c r="F56" s="7" t="s">
        <v>1284</v>
      </c>
      <c r="G56" s="7" t="s">
        <v>455</v>
      </c>
      <c r="H56" t="s">
        <v>456</v>
      </c>
    </row>
    <row r="57" spans="1:8" hidden="1" x14ac:dyDescent="0.2">
      <c r="A57" s="8">
        <v>13999</v>
      </c>
      <c r="B57" s="8" t="s">
        <v>1822</v>
      </c>
      <c r="C57" s="8" t="s">
        <v>2498</v>
      </c>
      <c r="D57" s="8" t="s">
        <v>2499</v>
      </c>
      <c r="E57" s="8" t="s">
        <v>1745</v>
      </c>
      <c r="F57" s="8" t="s">
        <v>1821</v>
      </c>
      <c r="G57" s="8" t="s">
        <v>719</v>
      </c>
      <c r="H57" t="s">
        <v>513</v>
      </c>
    </row>
    <row r="58" spans="1:8" hidden="1" x14ac:dyDescent="0.2">
      <c r="A58" s="7">
        <v>14820</v>
      </c>
      <c r="B58" s="7" t="s">
        <v>2500</v>
      </c>
      <c r="C58" s="7" t="s">
        <v>2501</v>
      </c>
      <c r="D58" s="7" t="s">
        <v>1460</v>
      </c>
      <c r="E58" s="7" t="s">
        <v>1283</v>
      </c>
      <c r="F58" s="7" t="s">
        <v>1383</v>
      </c>
      <c r="G58" s="7" t="s">
        <v>455</v>
      </c>
      <c r="H58" t="s">
        <v>456</v>
      </c>
    </row>
    <row r="59" spans="1:8" hidden="1" x14ac:dyDescent="0.2">
      <c r="A59" s="8">
        <v>14777</v>
      </c>
      <c r="B59" s="8" t="s">
        <v>2502</v>
      </c>
      <c r="C59" s="8" t="s">
        <v>286</v>
      </c>
      <c r="D59" s="8" t="s">
        <v>1634</v>
      </c>
      <c r="E59" s="8" t="s">
        <v>1498</v>
      </c>
      <c r="F59" s="8" t="s">
        <v>1526</v>
      </c>
      <c r="G59" s="8" t="s">
        <v>455</v>
      </c>
      <c r="H59" t="s">
        <v>513</v>
      </c>
    </row>
    <row r="60" spans="1:8" hidden="1" x14ac:dyDescent="0.2">
      <c r="A60" s="7">
        <v>35401</v>
      </c>
      <c r="B60" s="7" t="s">
        <v>2503</v>
      </c>
      <c r="C60" s="7" t="s">
        <v>337</v>
      </c>
      <c r="D60" s="7" t="s">
        <v>1897</v>
      </c>
      <c r="E60" s="7" t="s">
        <v>452</v>
      </c>
      <c r="F60" s="7" t="s">
        <v>453</v>
      </c>
      <c r="G60" s="7" t="s">
        <v>455</v>
      </c>
      <c r="H60" t="s">
        <v>456</v>
      </c>
    </row>
    <row r="61" spans="1:8" x14ac:dyDescent="0.2">
      <c r="A61" s="8">
        <v>16127</v>
      </c>
      <c r="B61" s="8" t="s">
        <v>1117</v>
      </c>
      <c r="C61" s="8" t="s">
        <v>225</v>
      </c>
      <c r="D61" s="8" t="s">
        <v>911</v>
      </c>
      <c r="E61" s="8" t="s">
        <v>452</v>
      </c>
      <c r="F61" s="8" t="s">
        <v>491</v>
      </c>
      <c r="G61" s="8" t="s">
        <v>455</v>
      </c>
      <c r="H61" t="s">
        <v>513</v>
      </c>
    </row>
    <row r="62" spans="1:8" hidden="1" x14ac:dyDescent="0.2">
      <c r="A62" s="7">
        <v>14723</v>
      </c>
      <c r="B62" s="7" t="s">
        <v>1332</v>
      </c>
      <c r="C62" s="7" t="s">
        <v>388</v>
      </c>
      <c r="D62" s="7" t="s">
        <v>2334</v>
      </c>
      <c r="E62" s="7" t="s">
        <v>1283</v>
      </c>
      <c r="F62" s="7" t="s">
        <v>1331</v>
      </c>
      <c r="G62" s="7" t="s">
        <v>455</v>
      </c>
      <c r="H62" t="s">
        <v>456</v>
      </c>
    </row>
    <row r="63" spans="1:8" hidden="1" x14ac:dyDescent="0.2">
      <c r="A63" s="8">
        <v>16542</v>
      </c>
      <c r="B63" s="8" t="s">
        <v>2504</v>
      </c>
      <c r="C63" s="8" t="s">
        <v>173</v>
      </c>
      <c r="D63" s="8" t="s">
        <v>959</v>
      </c>
      <c r="E63" s="8" t="s">
        <v>452</v>
      </c>
      <c r="F63" s="8" t="s">
        <v>453</v>
      </c>
      <c r="G63" s="8" t="s">
        <v>455</v>
      </c>
      <c r="H63" t="s">
        <v>513</v>
      </c>
    </row>
    <row r="64" spans="1:8" hidden="1" x14ac:dyDescent="0.2">
      <c r="A64" s="7">
        <v>17077</v>
      </c>
      <c r="B64" s="7" t="s">
        <v>2505</v>
      </c>
      <c r="C64" s="7" t="s">
        <v>45</v>
      </c>
      <c r="D64" s="7" t="s">
        <v>468</v>
      </c>
      <c r="E64" s="7" t="s">
        <v>452</v>
      </c>
      <c r="F64" s="7" t="s">
        <v>453</v>
      </c>
      <c r="G64" s="7" t="s">
        <v>455</v>
      </c>
      <c r="H64" t="s">
        <v>513</v>
      </c>
    </row>
    <row r="65" spans="1:8" hidden="1" x14ac:dyDescent="0.2">
      <c r="A65" s="8">
        <v>19360</v>
      </c>
      <c r="B65" s="8" t="s">
        <v>2506</v>
      </c>
      <c r="C65" s="8" t="s">
        <v>353</v>
      </c>
      <c r="D65" s="8" t="s">
        <v>1991</v>
      </c>
      <c r="E65" s="8" t="s">
        <v>1989</v>
      </c>
      <c r="F65" s="8" t="s">
        <v>1990</v>
      </c>
      <c r="G65" s="8" t="s">
        <v>455</v>
      </c>
      <c r="H65" t="s">
        <v>456</v>
      </c>
    </row>
    <row r="66" spans="1:8" hidden="1" x14ac:dyDescent="0.2">
      <c r="A66" s="7">
        <v>15930</v>
      </c>
      <c r="B66" s="7" t="s">
        <v>2507</v>
      </c>
      <c r="C66" s="7" t="s">
        <v>351</v>
      </c>
      <c r="D66" s="7" t="s">
        <v>1991</v>
      </c>
      <c r="E66" s="7" t="s">
        <v>1989</v>
      </c>
      <c r="F66" s="7" t="s">
        <v>1990</v>
      </c>
      <c r="G66" s="7" t="s">
        <v>455</v>
      </c>
      <c r="H66" t="s">
        <v>456</v>
      </c>
    </row>
    <row r="67" spans="1:8" hidden="1" x14ac:dyDescent="0.2">
      <c r="A67" s="8">
        <v>18303</v>
      </c>
      <c r="B67" s="8" t="s">
        <v>2508</v>
      </c>
      <c r="C67" s="8" t="s">
        <v>2328</v>
      </c>
      <c r="D67" s="8" t="s">
        <v>1117</v>
      </c>
      <c r="E67" s="8" t="s">
        <v>452</v>
      </c>
      <c r="F67" s="8" t="s">
        <v>453</v>
      </c>
      <c r="G67" s="8" t="s">
        <v>455</v>
      </c>
      <c r="H67" t="s">
        <v>513</v>
      </c>
    </row>
    <row r="68" spans="1:8" hidden="1" x14ac:dyDescent="0.2">
      <c r="A68" s="7">
        <v>17646</v>
      </c>
      <c r="B68" s="7" t="s">
        <v>2509</v>
      </c>
      <c r="C68" s="7" t="s">
        <v>135</v>
      </c>
      <c r="D68" s="7" t="s">
        <v>959</v>
      </c>
      <c r="E68" s="7" t="s">
        <v>452</v>
      </c>
      <c r="F68" s="7" t="s">
        <v>453</v>
      </c>
      <c r="G68" s="7" t="s">
        <v>455</v>
      </c>
      <c r="H68" t="s">
        <v>513</v>
      </c>
    </row>
    <row r="69" spans="1:8" hidden="1" x14ac:dyDescent="0.2">
      <c r="A69" s="8">
        <v>17356</v>
      </c>
      <c r="B69" s="8" t="s">
        <v>2510</v>
      </c>
      <c r="C69" s="8" t="s">
        <v>242</v>
      </c>
      <c r="D69" s="8" t="s">
        <v>1359</v>
      </c>
      <c r="E69" s="8" t="s">
        <v>1283</v>
      </c>
      <c r="F69" s="8" t="s">
        <v>1331</v>
      </c>
      <c r="G69" s="8" t="s">
        <v>455</v>
      </c>
      <c r="H69" t="s">
        <v>513</v>
      </c>
    </row>
    <row r="70" spans="1:8" hidden="1" x14ac:dyDescent="0.2">
      <c r="A70" s="7">
        <v>17501</v>
      </c>
      <c r="B70" s="7" t="s">
        <v>2511</v>
      </c>
      <c r="C70" s="7" t="s">
        <v>207</v>
      </c>
      <c r="D70" s="7" t="s">
        <v>959</v>
      </c>
      <c r="E70" s="7" t="s">
        <v>452</v>
      </c>
      <c r="F70" s="7" t="s">
        <v>453</v>
      </c>
      <c r="G70" s="7" t="s">
        <v>455</v>
      </c>
      <c r="H70" t="s">
        <v>513</v>
      </c>
    </row>
    <row r="71" spans="1:8" hidden="1" x14ac:dyDescent="0.2">
      <c r="A71" s="8">
        <v>25640</v>
      </c>
      <c r="B71" s="8" t="s">
        <v>2512</v>
      </c>
      <c r="C71" s="8" t="s">
        <v>394</v>
      </c>
      <c r="D71" s="8" t="s">
        <v>1424</v>
      </c>
      <c r="E71" s="8" t="s">
        <v>1283</v>
      </c>
      <c r="F71" s="8" t="s">
        <v>1284</v>
      </c>
      <c r="G71" s="8" t="s">
        <v>455</v>
      </c>
      <c r="H71" t="s">
        <v>456</v>
      </c>
    </row>
    <row r="72" spans="1:8" hidden="1" x14ac:dyDescent="0.2">
      <c r="A72" s="7">
        <v>16176</v>
      </c>
      <c r="B72" s="7" t="s">
        <v>2513</v>
      </c>
      <c r="C72" s="7" t="s">
        <v>2308</v>
      </c>
      <c r="D72" s="7" t="s">
        <v>2514</v>
      </c>
      <c r="E72" s="7" t="s">
        <v>1498</v>
      </c>
      <c r="F72" s="7" t="s">
        <v>2515</v>
      </c>
      <c r="G72" s="7" t="s">
        <v>455</v>
      </c>
      <c r="H72" t="s">
        <v>513</v>
      </c>
    </row>
    <row r="73" spans="1:8" hidden="1" x14ac:dyDescent="0.2">
      <c r="A73" s="8">
        <v>20411</v>
      </c>
      <c r="B73" s="8" t="s">
        <v>2516</v>
      </c>
      <c r="C73" s="8" t="s">
        <v>2247</v>
      </c>
      <c r="D73" s="8" t="s">
        <v>1332</v>
      </c>
      <c r="E73" s="8" t="s">
        <v>1283</v>
      </c>
      <c r="F73" s="8" t="s">
        <v>1331</v>
      </c>
      <c r="G73" s="8" t="s">
        <v>455</v>
      </c>
      <c r="H73" t="s">
        <v>456</v>
      </c>
    </row>
    <row r="74" spans="1:8" hidden="1" x14ac:dyDescent="0.2">
      <c r="A74" s="7">
        <v>18096</v>
      </c>
      <c r="B74" s="7" t="s">
        <v>2517</v>
      </c>
      <c r="C74" s="7" t="s">
        <v>2518</v>
      </c>
      <c r="D74" s="7" t="s">
        <v>2519</v>
      </c>
      <c r="E74" s="7" t="s">
        <v>452</v>
      </c>
      <c r="F74" s="7" t="s">
        <v>453</v>
      </c>
      <c r="G74" s="7" t="s">
        <v>455</v>
      </c>
      <c r="H74" t="s">
        <v>456</v>
      </c>
    </row>
    <row r="75" spans="1:8" hidden="1" x14ac:dyDescent="0.2">
      <c r="A75" s="8">
        <v>21408</v>
      </c>
      <c r="B75" s="8" t="s">
        <v>2520</v>
      </c>
      <c r="C75" s="8" t="s">
        <v>165</v>
      </c>
      <c r="D75" s="8" t="s">
        <v>959</v>
      </c>
      <c r="E75" s="8" t="s">
        <v>452</v>
      </c>
      <c r="F75" s="8" t="s">
        <v>453</v>
      </c>
      <c r="G75" s="8" t="s">
        <v>455</v>
      </c>
      <c r="H75" t="s">
        <v>513</v>
      </c>
    </row>
    <row r="76" spans="1:8" x14ac:dyDescent="0.2">
      <c r="A76" s="7">
        <v>18753</v>
      </c>
      <c r="B76" s="7" t="s">
        <v>492</v>
      </c>
      <c r="C76" s="7" t="s">
        <v>336</v>
      </c>
      <c r="D76" s="7" t="s">
        <v>911</v>
      </c>
      <c r="E76" s="7" t="s">
        <v>452</v>
      </c>
      <c r="F76" s="7" t="s">
        <v>491</v>
      </c>
      <c r="G76" s="7" t="s">
        <v>455</v>
      </c>
      <c r="H76" t="s">
        <v>456</v>
      </c>
    </row>
    <row r="77" spans="1:8" hidden="1" x14ac:dyDescent="0.2">
      <c r="A77" s="8">
        <v>16841</v>
      </c>
      <c r="B77" s="8" t="s">
        <v>2521</v>
      </c>
      <c r="C77" s="8" t="s">
        <v>168</v>
      </c>
      <c r="D77" s="8" t="s">
        <v>959</v>
      </c>
      <c r="E77" s="8" t="s">
        <v>452</v>
      </c>
      <c r="F77" s="8" t="s">
        <v>453</v>
      </c>
      <c r="G77" s="8" t="s">
        <v>455</v>
      </c>
      <c r="H77" t="s">
        <v>513</v>
      </c>
    </row>
    <row r="78" spans="1:8" hidden="1" x14ac:dyDescent="0.2">
      <c r="A78" s="7">
        <v>22727</v>
      </c>
      <c r="B78" s="7" t="s">
        <v>2476</v>
      </c>
      <c r="C78" s="7" t="s">
        <v>2522</v>
      </c>
      <c r="D78" s="7" t="s">
        <v>2523</v>
      </c>
      <c r="E78" s="7" t="s">
        <v>2477</v>
      </c>
      <c r="F78" s="7" t="s">
        <v>2478</v>
      </c>
      <c r="G78" s="7" t="s">
        <v>455</v>
      </c>
      <c r="H78" t="s">
        <v>513</v>
      </c>
    </row>
    <row r="79" spans="1:8" hidden="1" x14ac:dyDescent="0.2">
      <c r="A79" s="8">
        <v>25801</v>
      </c>
      <c r="B79" s="8" t="s">
        <v>2524</v>
      </c>
      <c r="C79" s="8" t="s">
        <v>2296</v>
      </c>
      <c r="D79" s="8" t="s">
        <v>959</v>
      </c>
      <c r="E79" s="8" t="s">
        <v>452</v>
      </c>
      <c r="F79" s="8" t="s">
        <v>453</v>
      </c>
      <c r="G79" s="8" t="s">
        <v>455</v>
      </c>
      <c r="H79" t="s">
        <v>456</v>
      </c>
    </row>
    <row r="80" spans="1:8" hidden="1" x14ac:dyDescent="0.2">
      <c r="A80" s="7">
        <v>20509</v>
      </c>
      <c r="B80" s="7" t="s">
        <v>2525</v>
      </c>
      <c r="C80" s="7" t="s">
        <v>94</v>
      </c>
      <c r="D80" s="7" t="s">
        <v>751</v>
      </c>
      <c r="E80" s="7" t="s">
        <v>452</v>
      </c>
      <c r="F80" s="7" t="s">
        <v>453</v>
      </c>
      <c r="G80" s="7" t="s">
        <v>455</v>
      </c>
      <c r="H80" t="s">
        <v>513</v>
      </c>
    </row>
    <row r="81" spans="1:8" hidden="1" x14ac:dyDescent="0.2">
      <c r="A81" s="8">
        <v>17609</v>
      </c>
      <c r="B81" s="8" t="s">
        <v>726</v>
      </c>
      <c r="C81" s="8" t="s">
        <v>120</v>
      </c>
      <c r="D81" s="8" t="s">
        <v>900</v>
      </c>
      <c r="E81" s="8" t="s">
        <v>452</v>
      </c>
      <c r="F81" s="8" t="s">
        <v>453</v>
      </c>
      <c r="G81" s="8" t="s">
        <v>455</v>
      </c>
      <c r="H81" t="s">
        <v>513</v>
      </c>
    </row>
    <row r="82" spans="1:8" hidden="1" x14ac:dyDescent="0.2">
      <c r="A82" s="7">
        <v>30997</v>
      </c>
      <c r="B82" s="7" t="s">
        <v>2526</v>
      </c>
      <c r="C82" s="7" t="s">
        <v>334</v>
      </c>
      <c r="D82" s="7" t="s">
        <v>492</v>
      </c>
      <c r="E82" s="7" t="s">
        <v>452</v>
      </c>
      <c r="F82" s="7" t="s">
        <v>453</v>
      </c>
      <c r="G82" s="7" t="s">
        <v>455</v>
      </c>
      <c r="H82" t="s">
        <v>456</v>
      </c>
    </row>
    <row r="83" spans="1:8" hidden="1" x14ac:dyDescent="0.2">
      <c r="A83" s="8">
        <v>17743</v>
      </c>
      <c r="B83" s="8" t="s">
        <v>2527</v>
      </c>
      <c r="C83" s="8" t="s">
        <v>371</v>
      </c>
      <c r="D83" s="8" t="s">
        <v>2109</v>
      </c>
      <c r="E83" s="8" t="s">
        <v>2107</v>
      </c>
      <c r="F83" s="8" t="s">
        <v>2108</v>
      </c>
      <c r="G83" s="8" t="s">
        <v>455</v>
      </c>
      <c r="H83" t="s">
        <v>456</v>
      </c>
    </row>
    <row r="84" spans="1:8" hidden="1" x14ac:dyDescent="0.2">
      <c r="A84" s="7">
        <v>17756</v>
      </c>
      <c r="B84" s="7" t="s">
        <v>2528</v>
      </c>
      <c r="C84" s="7" t="s">
        <v>2529</v>
      </c>
      <c r="D84" s="7" t="s">
        <v>1367</v>
      </c>
      <c r="E84" s="7" t="s">
        <v>1283</v>
      </c>
      <c r="F84" s="7" t="s">
        <v>1383</v>
      </c>
      <c r="G84" s="7" t="s">
        <v>455</v>
      </c>
      <c r="H84" t="s">
        <v>513</v>
      </c>
    </row>
    <row r="85" spans="1:8" hidden="1" x14ac:dyDescent="0.2">
      <c r="A85" s="8">
        <v>23899</v>
      </c>
      <c r="B85" s="8" t="s">
        <v>2530</v>
      </c>
      <c r="C85" s="8" t="s">
        <v>2211</v>
      </c>
      <c r="D85" s="8" t="s">
        <v>2531</v>
      </c>
      <c r="E85" s="8" t="s">
        <v>1498</v>
      </c>
      <c r="F85" s="8" t="s">
        <v>2532</v>
      </c>
      <c r="G85" s="8" t="s">
        <v>455</v>
      </c>
      <c r="H85" t="s">
        <v>513</v>
      </c>
    </row>
    <row r="86" spans="1:8" hidden="1" x14ac:dyDescent="0.2">
      <c r="A86" s="7">
        <v>23914</v>
      </c>
      <c r="B86" s="7" t="s">
        <v>2533</v>
      </c>
      <c r="C86" s="7" t="s">
        <v>214</v>
      </c>
      <c r="D86" s="7" t="s">
        <v>959</v>
      </c>
      <c r="E86" s="7" t="s">
        <v>452</v>
      </c>
      <c r="F86" s="7" t="s">
        <v>453</v>
      </c>
      <c r="G86" s="7" t="s">
        <v>455</v>
      </c>
      <c r="H86" t="s">
        <v>513</v>
      </c>
    </row>
    <row r="87" spans="1:8" hidden="1" x14ac:dyDescent="0.2">
      <c r="A87" s="8">
        <v>18575</v>
      </c>
      <c r="B87" s="8" t="s">
        <v>2534</v>
      </c>
      <c r="C87" s="8" t="s">
        <v>157</v>
      </c>
      <c r="D87" s="8" t="s">
        <v>959</v>
      </c>
      <c r="E87" s="8" t="s">
        <v>452</v>
      </c>
      <c r="F87" s="8" t="s">
        <v>453</v>
      </c>
      <c r="G87" s="8" t="s">
        <v>455</v>
      </c>
      <c r="H87" t="s">
        <v>513</v>
      </c>
    </row>
    <row r="88" spans="1:8" hidden="1" x14ac:dyDescent="0.2">
      <c r="A88" s="7">
        <v>19371</v>
      </c>
      <c r="B88" s="7" t="s">
        <v>1620</v>
      </c>
      <c r="C88" s="7" t="s">
        <v>346</v>
      </c>
      <c r="D88" s="7" t="s">
        <v>1508</v>
      </c>
      <c r="E88" s="7" t="s">
        <v>1498</v>
      </c>
      <c r="F88" s="7" t="s">
        <v>1697</v>
      </c>
      <c r="G88" s="7" t="s">
        <v>455</v>
      </c>
      <c r="H88" t="s">
        <v>513</v>
      </c>
    </row>
    <row r="89" spans="1:8" hidden="1" x14ac:dyDescent="0.2">
      <c r="A89" s="8">
        <v>20130</v>
      </c>
      <c r="B89" s="8" t="s">
        <v>2535</v>
      </c>
      <c r="C89" s="8" t="s">
        <v>159</v>
      </c>
      <c r="D89" s="8" t="s">
        <v>959</v>
      </c>
      <c r="E89" s="8" t="s">
        <v>452</v>
      </c>
      <c r="F89" s="8" t="s">
        <v>453</v>
      </c>
      <c r="G89" s="8" t="s">
        <v>455</v>
      </c>
      <c r="H89" t="s">
        <v>513</v>
      </c>
    </row>
    <row r="90" spans="1:8" hidden="1" x14ac:dyDescent="0.2">
      <c r="A90" s="7">
        <v>24025</v>
      </c>
      <c r="B90" s="7" t="s">
        <v>2536</v>
      </c>
      <c r="C90" s="7" t="s">
        <v>162</v>
      </c>
      <c r="D90" s="7" t="s">
        <v>959</v>
      </c>
      <c r="E90" s="7" t="s">
        <v>452</v>
      </c>
      <c r="F90" s="7" t="s">
        <v>453</v>
      </c>
      <c r="G90" s="7" t="s">
        <v>455</v>
      </c>
      <c r="H90" t="s">
        <v>513</v>
      </c>
    </row>
    <row r="91" spans="1:8" hidden="1" x14ac:dyDescent="0.2">
      <c r="A91" s="8">
        <v>19823</v>
      </c>
      <c r="B91" s="8" t="s">
        <v>2537</v>
      </c>
      <c r="C91" s="8" t="s">
        <v>2538</v>
      </c>
      <c r="D91" s="8" t="s">
        <v>692</v>
      </c>
      <c r="E91" s="8" t="s">
        <v>452</v>
      </c>
      <c r="F91" s="8" t="s">
        <v>453</v>
      </c>
      <c r="G91" s="8" t="s">
        <v>455</v>
      </c>
      <c r="H91" t="s">
        <v>513</v>
      </c>
    </row>
    <row r="92" spans="1:8" hidden="1" x14ac:dyDescent="0.2">
      <c r="A92" s="7">
        <v>20055</v>
      </c>
      <c r="B92" s="7" t="s">
        <v>1774</v>
      </c>
      <c r="C92" s="7" t="s">
        <v>326</v>
      </c>
      <c r="D92" s="7" t="s">
        <v>1845</v>
      </c>
      <c r="E92" s="7" t="s">
        <v>1745</v>
      </c>
      <c r="F92" s="7" t="s">
        <v>1773</v>
      </c>
      <c r="G92" s="7" t="s">
        <v>455</v>
      </c>
      <c r="H92" t="s">
        <v>456</v>
      </c>
    </row>
    <row r="93" spans="1:8" hidden="1" x14ac:dyDescent="0.2">
      <c r="A93" s="8">
        <v>28375</v>
      </c>
      <c r="B93" s="8" t="s">
        <v>2539</v>
      </c>
      <c r="C93" s="8" t="s">
        <v>2540</v>
      </c>
      <c r="D93" s="8" t="s">
        <v>2463</v>
      </c>
      <c r="E93" s="8" t="s">
        <v>1498</v>
      </c>
      <c r="F93" s="8" t="s">
        <v>1515</v>
      </c>
      <c r="G93" s="8" t="s">
        <v>455</v>
      </c>
      <c r="H93" t="s">
        <v>513</v>
      </c>
    </row>
    <row r="94" spans="1:8" hidden="1" x14ac:dyDescent="0.2">
      <c r="A94" s="7">
        <v>20508</v>
      </c>
      <c r="B94" s="7" t="s">
        <v>2541</v>
      </c>
      <c r="C94" s="7" t="s">
        <v>151</v>
      </c>
      <c r="D94" s="7" t="s">
        <v>959</v>
      </c>
      <c r="E94" s="7" t="s">
        <v>452</v>
      </c>
      <c r="F94" s="7" t="s">
        <v>453</v>
      </c>
      <c r="G94" s="7" t="s">
        <v>455</v>
      </c>
      <c r="H94" t="s">
        <v>513</v>
      </c>
    </row>
    <row r="95" spans="1:8" hidden="1" x14ac:dyDescent="0.2">
      <c r="A95" s="8">
        <v>19872</v>
      </c>
      <c r="B95" s="8" t="s">
        <v>2542</v>
      </c>
      <c r="C95" s="8" t="s">
        <v>131</v>
      </c>
      <c r="D95" s="8" t="s">
        <v>919</v>
      </c>
      <c r="E95" s="8" t="s">
        <v>452</v>
      </c>
      <c r="F95" s="8" t="s">
        <v>453</v>
      </c>
      <c r="G95" s="8" t="s">
        <v>455</v>
      </c>
      <c r="H95" t="s">
        <v>513</v>
      </c>
    </row>
    <row r="96" spans="1:8" hidden="1" x14ac:dyDescent="0.2">
      <c r="A96" s="7">
        <v>21088</v>
      </c>
      <c r="B96" s="7" t="s">
        <v>2543</v>
      </c>
      <c r="C96" s="7" t="s">
        <v>191</v>
      </c>
      <c r="D96" s="7" t="s">
        <v>1123</v>
      </c>
      <c r="E96" s="7" t="s">
        <v>452</v>
      </c>
      <c r="F96" s="7" t="s">
        <v>453</v>
      </c>
      <c r="G96" s="7" t="s">
        <v>455</v>
      </c>
      <c r="H96" t="s">
        <v>513</v>
      </c>
    </row>
    <row r="97" spans="1:8" hidden="1" x14ac:dyDescent="0.2">
      <c r="A97" s="8">
        <v>21208</v>
      </c>
      <c r="B97" s="8" t="s">
        <v>2544</v>
      </c>
      <c r="C97" s="8" t="s">
        <v>210</v>
      </c>
      <c r="D97" s="8" t="s">
        <v>959</v>
      </c>
      <c r="E97" s="8" t="s">
        <v>452</v>
      </c>
      <c r="F97" s="8" t="s">
        <v>453</v>
      </c>
      <c r="G97" s="8" t="s">
        <v>455</v>
      </c>
      <c r="H97" t="s">
        <v>456</v>
      </c>
    </row>
    <row r="98" spans="1:8" hidden="1" x14ac:dyDescent="0.2">
      <c r="A98" s="7">
        <v>21470</v>
      </c>
      <c r="B98" s="7" t="s">
        <v>2545</v>
      </c>
      <c r="C98" s="7" t="s">
        <v>2546</v>
      </c>
      <c r="D98" s="7" t="s">
        <v>468</v>
      </c>
      <c r="E98" s="7" t="s">
        <v>452</v>
      </c>
      <c r="F98" s="7" t="s">
        <v>453</v>
      </c>
      <c r="G98" s="7" t="s">
        <v>455</v>
      </c>
      <c r="H98" t="s">
        <v>513</v>
      </c>
    </row>
    <row r="99" spans="1:8" hidden="1" x14ac:dyDescent="0.2">
      <c r="A99" s="8">
        <v>21719</v>
      </c>
      <c r="B99" s="8" t="s">
        <v>1424</v>
      </c>
      <c r="C99" s="8" t="s">
        <v>243</v>
      </c>
      <c r="D99" s="8" t="s">
        <v>1367</v>
      </c>
      <c r="E99" s="8" t="s">
        <v>1283</v>
      </c>
      <c r="F99" s="8" t="s">
        <v>1284</v>
      </c>
      <c r="G99" s="8" t="s">
        <v>455</v>
      </c>
      <c r="H99" t="s">
        <v>456</v>
      </c>
    </row>
    <row r="100" spans="1:8" hidden="1" x14ac:dyDescent="0.2">
      <c r="A100" s="7">
        <v>20058</v>
      </c>
      <c r="B100" s="7" t="s">
        <v>2547</v>
      </c>
      <c r="C100" s="7" t="s">
        <v>370</v>
      </c>
      <c r="D100" s="7" t="s">
        <v>2109</v>
      </c>
      <c r="E100" s="7" t="s">
        <v>2107</v>
      </c>
      <c r="F100" s="7" t="s">
        <v>2108</v>
      </c>
      <c r="G100" s="7" t="s">
        <v>455</v>
      </c>
      <c r="H100" t="s">
        <v>456</v>
      </c>
    </row>
    <row r="101" spans="1:8" hidden="1" x14ac:dyDescent="0.2">
      <c r="A101" s="8">
        <v>20648</v>
      </c>
      <c r="B101" s="8" t="s">
        <v>2548</v>
      </c>
      <c r="C101" s="8" t="s">
        <v>79</v>
      </c>
      <c r="D101" s="8" t="s">
        <v>726</v>
      </c>
      <c r="E101" s="8" t="s">
        <v>452</v>
      </c>
      <c r="F101" s="8" t="s">
        <v>453</v>
      </c>
      <c r="G101" s="8" t="s">
        <v>455</v>
      </c>
      <c r="H101" t="s">
        <v>513</v>
      </c>
    </row>
    <row r="102" spans="1:8" hidden="1" x14ac:dyDescent="0.2">
      <c r="A102" s="7">
        <v>28649</v>
      </c>
      <c r="B102" s="7" t="s">
        <v>2549</v>
      </c>
      <c r="C102" s="7" t="s">
        <v>329</v>
      </c>
      <c r="D102" s="7" t="s">
        <v>492</v>
      </c>
      <c r="E102" s="7" t="s">
        <v>452</v>
      </c>
      <c r="F102" s="7" t="s">
        <v>453</v>
      </c>
      <c r="G102" s="7" t="s">
        <v>455</v>
      </c>
      <c r="H102" t="s">
        <v>513</v>
      </c>
    </row>
    <row r="103" spans="1:8" hidden="1" x14ac:dyDescent="0.2">
      <c r="A103" s="8">
        <v>21362</v>
      </c>
      <c r="B103" s="8" t="s">
        <v>2075</v>
      </c>
      <c r="C103" s="8" t="s">
        <v>360</v>
      </c>
      <c r="D103" s="8" t="s">
        <v>2050</v>
      </c>
      <c r="E103" s="8" t="s">
        <v>452</v>
      </c>
      <c r="F103" s="8" t="s">
        <v>2026</v>
      </c>
      <c r="G103" s="8" t="s">
        <v>455</v>
      </c>
      <c r="H103" t="s">
        <v>456</v>
      </c>
    </row>
    <row r="104" spans="1:8" hidden="1" x14ac:dyDescent="0.2">
      <c r="A104" s="7">
        <v>37888</v>
      </c>
      <c r="B104" s="7" t="s">
        <v>2550</v>
      </c>
      <c r="C104" s="7" t="s">
        <v>64</v>
      </c>
      <c r="D104" s="7" t="s">
        <v>665</v>
      </c>
      <c r="E104" s="7" t="s">
        <v>452</v>
      </c>
      <c r="F104" s="7" t="s">
        <v>453</v>
      </c>
      <c r="G104" s="7" t="s">
        <v>455</v>
      </c>
      <c r="H104" t="s">
        <v>513</v>
      </c>
    </row>
    <row r="105" spans="1:8" hidden="1" x14ac:dyDescent="0.2">
      <c r="A105" s="8">
        <v>20691</v>
      </c>
      <c r="B105" s="8" t="s">
        <v>2551</v>
      </c>
      <c r="C105" s="8" t="s">
        <v>2552</v>
      </c>
      <c r="D105" s="8" t="s">
        <v>1430</v>
      </c>
      <c r="E105" s="8" t="s">
        <v>1283</v>
      </c>
      <c r="F105" s="8" t="s">
        <v>1429</v>
      </c>
      <c r="G105" s="8" t="s">
        <v>455</v>
      </c>
      <c r="H105" t="s">
        <v>456</v>
      </c>
    </row>
    <row r="106" spans="1:8" hidden="1" x14ac:dyDescent="0.2">
      <c r="A106" s="7">
        <v>21134</v>
      </c>
      <c r="B106" s="7" t="s">
        <v>2553</v>
      </c>
      <c r="C106" s="7" t="s">
        <v>227</v>
      </c>
      <c r="D106" s="7" t="s">
        <v>1285</v>
      </c>
      <c r="E106" s="7" t="s">
        <v>1283</v>
      </c>
      <c r="F106" s="7" t="s">
        <v>1284</v>
      </c>
      <c r="G106" s="7" t="s">
        <v>455</v>
      </c>
      <c r="H106" t="s">
        <v>456</v>
      </c>
    </row>
    <row r="107" spans="1:8" x14ac:dyDescent="0.2">
      <c r="A107" s="8">
        <v>22543</v>
      </c>
      <c r="B107" s="8" t="s">
        <v>1077</v>
      </c>
      <c r="C107" s="8" t="s">
        <v>2215</v>
      </c>
      <c r="D107" s="8" t="s">
        <v>1890</v>
      </c>
      <c r="E107" s="8" t="s">
        <v>452</v>
      </c>
      <c r="F107" s="8" t="s">
        <v>904</v>
      </c>
      <c r="G107" s="8" t="s">
        <v>455</v>
      </c>
      <c r="H107" t="s">
        <v>513</v>
      </c>
    </row>
    <row r="108" spans="1:8" hidden="1" x14ac:dyDescent="0.2">
      <c r="A108" s="7">
        <v>25240</v>
      </c>
      <c r="B108" s="7" t="s">
        <v>2554</v>
      </c>
      <c r="C108" s="7" t="s">
        <v>170</v>
      </c>
      <c r="D108" s="7" t="s">
        <v>959</v>
      </c>
      <c r="E108" s="7" t="s">
        <v>452</v>
      </c>
      <c r="F108" s="7" t="s">
        <v>453</v>
      </c>
      <c r="G108" s="7" t="s">
        <v>455</v>
      </c>
      <c r="H108" t="s">
        <v>456</v>
      </c>
    </row>
    <row r="109" spans="1:8" hidden="1" x14ac:dyDescent="0.2">
      <c r="A109" s="8">
        <v>24274</v>
      </c>
      <c r="B109" s="8" t="s">
        <v>2555</v>
      </c>
      <c r="C109" s="8" t="s">
        <v>2238</v>
      </c>
      <c r="D109" s="8" t="s">
        <v>2476</v>
      </c>
      <c r="E109" s="8" t="s">
        <v>2477</v>
      </c>
      <c r="F109" s="8" t="s">
        <v>2478</v>
      </c>
      <c r="G109" s="8" t="s">
        <v>455</v>
      </c>
      <c r="H109" t="s">
        <v>513</v>
      </c>
    </row>
    <row r="110" spans="1:8" hidden="1" x14ac:dyDescent="0.2">
      <c r="A110" s="7">
        <v>21223</v>
      </c>
      <c r="B110" s="7" t="s">
        <v>2556</v>
      </c>
      <c r="C110" s="7" t="s">
        <v>2175</v>
      </c>
      <c r="D110" s="7" t="s">
        <v>1117</v>
      </c>
      <c r="E110" s="7" t="s">
        <v>452</v>
      </c>
      <c r="F110" s="7" t="s">
        <v>453</v>
      </c>
      <c r="G110" s="7" t="s">
        <v>455</v>
      </c>
      <c r="H110" t="s">
        <v>513</v>
      </c>
    </row>
    <row r="111" spans="1:8" hidden="1" x14ac:dyDescent="0.2">
      <c r="A111" s="8">
        <v>21226</v>
      </c>
      <c r="B111" s="8" t="s">
        <v>2557</v>
      </c>
      <c r="C111" s="8" t="s">
        <v>299</v>
      </c>
      <c r="D111" s="8" t="s">
        <v>959</v>
      </c>
      <c r="E111" s="8" t="s">
        <v>452</v>
      </c>
      <c r="F111" s="8" t="s">
        <v>453</v>
      </c>
      <c r="G111" s="8" t="s">
        <v>455</v>
      </c>
      <c r="H111" t="s">
        <v>513</v>
      </c>
    </row>
    <row r="112" spans="1:8" hidden="1" x14ac:dyDescent="0.2">
      <c r="A112" s="7">
        <v>28376</v>
      </c>
      <c r="B112" s="7" t="s">
        <v>2558</v>
      </c>
      <c r="C112" s="7" t="s">
        <v>2559</v>
      </c>
      <c r="D112" s="7" t="s">
        <v>492</v>
      </c>
      <c r="E112" s="7" t="s">
        <v>452</v>
      </c>
      <c r="F112" s="7" t="s">
        <v>453</v>
      </c>
      <c r="G112" s="7" t="s">
        <v>455</v>
      </c>
      <c r="H112" t="s">
        <v>513</v>
      </c>
    </row>
    <row r="113" spans="1:8" hidden="1" x14ac:dyDescent="0.2">
      <c r="A113" s="8">
        <v>21983</v>
      </c>
      <c r="B113" s="8" t="s">
        <v>2560</v>
      </c>
      <c r="C113" s="8" t="s">
        <v>30</v>
      </c>
      <c r="D113" s="8" t="s">
        <v>454</v>
      </c>
      <c r="E113" s="8" t="s">
        <v>452</v>
      </c>
      <c r="F113" s="8" t="s">
        <v>453</v>
      </c>
      <c r="G113" s="8" t="s">
        <v>455</v>
      </c>
      <c r="H113" t="s">
        <v>513</v>
      </c>
    </row>
    <row r="114" spans="1:8" hidden="1" x14ac:dyDescent="0.2">
      <c r="A114" s="7">
        <v>27961</v>
      </c>
      <c r="B114" s="7" t="s">
        <v>2561</v>
      </c>
      <c r="C114" s="7" t="s">
        <v>2562</v>
      </c>
      <c r="D114" s="7" t="s">
        <v>468</v>
      </c>
      <c r="E114" s="7" t="s">
        <v>452</v>
      </c>
      <c r="F114" s="7" t="s">
        <v>453</v>
      </c>
      <c r="G114" s="7" t="s">
        <v>455</v>
      </c>
      <c r="H114" t="s">
        <v>513</v>
      </c>
    </row>
    <row r="115" spans="1:8" hidden="1" x14ac:dyDescent="0.2">
      <c r="A115" s="8">
        <v>31231</v>
      </c>
      <c r="B115" s="8" t="s">
        <v>2563</v>
      </c>
      <c r="C115" s="8" t="s">
        <v>2564</v>
      </c>
      <c r="D115" s="8" t="s">
        <v>1389</v>
      </c>
      <c r="E115" s="8" t="s">
        <v>1283</v>
      </c>
      <c r="F115" s="8" t="s">
        <v>1375</v>
      </c>
      <c r="G115" s="8" t="s">
        <v>455</v>
      </c>
      <c r="H115" t="s">
        <v>456</v>
      </c>
    </row>
    <row r="116" spans="1:8" hidden="1" x14ac:dyDescent="0.2">
      <c r="A116" s="7">
        <v>21487</v>
      </c>
      <c r="B116" s="7" t="s">
        <v>2565</v>
      </c>
      <c r="C116" s="7" t="s">
        <v>2566</v>
      </c>
      <c r="D116" s="7" t="s">
        <v>2480</v>
      </c>
      <c r="E116" s="7" t="s">
        <v>452</v>
      </c>
      <c r="F116" s="7" t="s">
        <v>453</v>
      </c>
      <c r="G116" s="7" t="s">
        <v>455</v>
      </c>
      <c r="H116" t="s">
        <v>513</v>
      </c>
    </row>
    <row r="117" spans="1:8" hidden="1" x14ac:dyDescent="0.2">
      <c r="A117" s="8">
        <v>27694</v>
      </c>
      <c r="B117" s="8" t="s">
        <v>2567</v>
      </c>
      <c r="C117" s="8" t="s">
        <v>67</v>
      </c>
      <c r="D117" s="8" t="s">
        <v>692</v>
      </c>
      <c r="E117" s="8" t="s">
        <v>452</v>
      </c>
      <c r="F117" s="8" t="s">
        <v>453</v>
      </c>
      <c r="G117" s="8" t="s">
        <v>455</v>
      </c>
      <c r="H117" t="s">
        <v>513</v>
      </c>
    </row>
    <row r="118" spans="1:8" hidden="1" x14ac:dyDescent="0.2">
      <c r="A118" s="7">
        <v>28389</v>
      </c>
      <c r="B118" s="7" t="s">
        <v>2568</v>
      </c>
      <c r="C118" s="7" t="s">
        <v>2569</v>
      </c>
      <c r="D118" s="7" t="s">
        <v>959</v>
      </c>
      <c r="E118" s="7" t="s">
        <v>452</v>
      </c>
      <c r="F118" s="7" t="s">
        <v>453</v>
      </c>
      <c r="G118" s="7" t="s">
        <v>455</v>
      </c>
      <c r="H118" t="s">
        <v>456</v>
      </c>
    </row>
    <row r="119" spans="1:8" hidden="1" x14ac:dyDescent="0.2">
      <c r="A119" s="8">
        <v>27767</v>
      </c>
      <c r="B119" s="8" t="s">
        <v>2570</v>
      </c>
      <c r="C119" s="8" t="s">
        <v>2571</v>
      </c>
      <c r="D119" s="8" t="s">
        <v>1402</v>
      </c>
      <c r="E119" s="8" t="s">
        <v>1283</v>
      </c>
      <c r="F119" s="8" t="s">
        <v>1284</v>
      </c>
      <c r="G119" s="8" t="s">
        <v>455</v>
      </c>
      <c r="H119" t="s">
        <v>456</v>
      </c>
    </row>
    <row r="120" spans="1:8" hidden="1" x14ac:dyDescent="0.2">
      <c r="A120" s="7">
        <v>20958</v>
      </c>
      <c r="B120" s="7" t="s">
        <v>2572</v>
      </c>
      <c r="C120" s="7" t="s">
        <v>221</v>
      </c>
      <c r="D120" s="7" t="s">
        <v>1117</v>
      </c>
      <c r="E120" s="7" t="s">
        <v>452</v>
      </c>
      <c r="F120" s="7" t="s">
        <v>453</v>
      </c>
      <c r="G120" s="7" t="s">
        <v>455</v>
      </c>
      <c r="H120" t="s">
        <v>513</v>
      </c>
    </row>
    <row r="121" spans="1:8" hidden="1" x14ac:dyDescent="0.2">
      <c r="A121" s="8">
        <v>23605</v>
      </c>
      <c r="B121" s="8" t="s">
        <v>2573</v>
      </c>
      <c r="C121" s="8" t="s">
        <v>224</v>
      </c>
      <c r="D121" s="8" t="s">
        <v>1117</v>
      </c>
      <c r="E121" s="8" t="s">
        <v>452</v>
      </c>
      <c r="F121" s="8" t="s">
        <v>453</v>
      </c>
      <c r="G121" s="8" t="s">
        <v>455</v>
      </c>
      <c r="H121" t="s">
        <v>513</v>
      </c>
    </row>
    <row r="122" spans="1:8" hidden="1" x14ac:dyDescent="0.2">
      <c r="A122" s="7">
        <v>24067</v>
      </c>
      <c r="B122" s="7" t="s">
        <v>2574</v>
      </c>
      <c r="C122" s="7" t="s">
        <v>2575</v>
      </c>
      <c r="D122" s="7" t="s">
        <v>1678</v>
      </c>
      <c r="E122" s="7" t="s">
        <v>1498</v>
      </c>
      <c r="F122" s="7" t="s">
        <v>1515</v>
      </c>
      <c r="G122" s="7" t="s">
        <v>455</v>
      </c>
      <c r="H122" t="s">
        <v>513</v>
      </c>
    </row>
    <row r="123" spans="1:8" hidden="1" x14ac:dyDescent="0.2">
      <c r="A123" s="8">
        <v>28590</v>
      </c>
      <c r="B123" s="8" t="s">
        <v>2576</v>
      </c>
      <c r="C123" s="8" t="s">
        <v>2577</v>
      </c>
      <c r="D123" s="8" t="s">
        <v>1678</v>
      </c>
      <c r="E123" s="8" t="s">
        <v>1498</v>
      </c>
      <c r="F123" s="8" t="s">
        <v>1515</v>
      </c>
      <c r="G123" s="8" t="s">
        <v>455</v>
      </c>
      <c r="H123" t="s">
        <v>513</v>
      </c>
    </row>
    <row r="124" spans="1:8" hidden="1" x14ac:dyDescent="0.2">
      <c r="A124" s="7">
        <v>21878</v>
      </c>
      <c r="B124" s="7" t="s">
        <v>2578</v>
      </c>
      <c r="C124" s="7" t="s">
        <v>2579</v>
      </c>
      <c r="D124" s="7" t="s">
        <v>492</v>
      </c>
      <c r="E124" s="7" t="s">
        <v>452</v>
      </c>
      <c r="F124" s="7" t="s">
        <v>453</v>
      </c>
      <c r="G124" s="7" t="s">
        <v>455</v>
      </c>
      <c r="H124" t="s">
        <v>456</v>
      </c>
    </row>
    <row r="125" spans="1:8" hidden="1" x14ac:dyDescent="0.2">
      <c r="A125" s="8">
        <v>23807</v>
      </c>
      <c r="B125" s="8" t="s">
        <v>2580</v>
      </c>
      <c r="C125" s="8" t="s">
        <v>269</v>
      </c>
      <c r="D125" s="8" t="s">
        <v>1527</v>
      </c>
      <c r="E125" s="8" t="s">
        <v>1498</v>
      </c>
      <c r="F125" s="8" t="s">
        <v>1507</v>
      </c>
      <c r="G125" s="8" t="s">
        <v>455</v>
      </c>
      <c r="H125" t="s">
        <v>456</v>
      </c>
    </row>
    <row r="126" spans="1:8" hidden="1" x14ac:dyDescent="0.2">
      <c r="A126" s="7">
        <v>23968</v>
      </c>
      <c r="B126" s="7" t="s">
        <v>2581</v>
      </c>
      <c r="C126" s="7" t="s">
        <v>2179</v>
      </c>
      <c r="D126" s="7" t="s">
        <v>959</v>
      </c>
      <c r="E126" s="7" t="s">
        <v>452</v>
      </c>
      <c r="F126" s="7" t="s">
        <v>453</v>
      </c>
      <c r="G126" s="7" t="s">
        <v>455</v>
      </c>
      <c r="H126" t="s">
        <v>513</v>
      </c>
    </row>
    <row r="127" spans="1:8" hidden="1" x14ac:dyDescent="0.2">
      <c r="A127" s="8">
        <v>30828</v>
      </c>
      <c r="B127" s="8" t="s">
        <v>2035</v>
      </c>
      <c r="C127" s="8" t="s">
        <v>363</v>
      </c>
      <c r="D127" s="8" t="s">
        <v>2050</v>
      </c>
      <c r="E127" s="8" t="s">
        <v>452</v>
      </c>
      <c r="F127" s="8" t="s">
        <v>2026</v>
      </c>
      <c r="G127" s="8" t="s">
        <v>455</v>
      </c>
      <c r="H127" t="s">
        <v>456</v>
      </c>
    </row>
    <row r="128" spans="1:8" hidden="1" x14ac:dyDescent="0.2">
      <c r="A128" s="7">
        <v>26822</v>
      </c>
      <c r="B128" s="7" t="s">
        <v>2582</v>
      </c>
      <c r="C128" s="7" t="s">
        <v>2171</v>
      </c>
      <c r="D128" s="7" t="s">
        <v>1424</v>
      </c>
      <c r="E128" s="7" t="s">
        <v>1283</v>
      </c>
      <c r="F128" s="7" t="s">
        <v>1284</v>
      </c>
      <c r="G128" s="7" t="s">
        <v>455</v>
      </c>
      <c r="H128" t="s">
        <v>456</v>
      </c>
    </row>
    <row r="129" spans="1:8" hidden="1" x14ac:dyDescent="0.2">
      <c r="A129" s="8">
        <v>24489</v>
      </c>
      <c r="B129" s="8" t="s">
        <v>2583</v>
      </c>
      <c r="C129" s="8" t="s">
        <v>2584</v>
      </c>
      <c r="D129" s="8" t="s">
        <v>959</v>
      </c>
      <c r="E129" s="8" t="s">
        <v>452</v>
      </c>
      <c r="F129" s="8" t="s">
        <v>453</v>
      </c>
      <c r="G129" s="8" t="s">
        <v>455</v>
      </c>
      <c r="H129" t="s">
        <v>456</v>
      </c>
    </row>
    <row r="130" spans="1:8" hidden="1" x14ac:dyDescent="0.2">
      <c r="A130" s="7">
        <v>25167</v>
      </c>
      <c r="B130" s="7" t="s">
        <v>2585</v>
      </c>
      <c r="C130" s="7" t="s">
        <v>280</v>
      </c>
      <c r="D130" s="7" t="s">
        <v>1598</v>
      </c>
      <c r="E130" s="7" t="s">
        <v>1498</v>
      </c>
      <c r="F130" s="7" t="s">
        <v>1515</v>
      </c>
      <c r="G130" s="7" t="s">
        <v>455</v>
      </c>
      <c r="H130" t="s">
        <v>513</v>
      </c>
    </row>
    <row r="131" spans="1:8" hidden="1" x14ac:dyDescent="0.2">
      <c r="A131" s="8">
        <v>24940</v>
      </c>
      <c r="B131" s="8" t="s">
        <v>2586</v>
      </c>
      <c r="C131" s="8" t="s">
        <v>2587</v>
      </c>
      <c r="D131" s="8" t="s">
        <v>1620</v>
      </c>
      <c r="E131" s="8" t="s">
        <v>1498</v>
      </c>
      <c r="F131" s="8" t="s">
        <v>1507</v>
      </c>
      <c r="G131" s="8" t="s">
        <v>455</v>
      </c>
      <c r="H131" t="s">
        <v>456</v>
      </c>
    </row>
    <row r="132" spans="1:8" hidden="1" x14ac:dyDescent="0.2">
      <c r="A132" s="7">
        <v>24299</v>
      </c>
      <c r="B132" s="7" t="s">
        <v>2588</v>
      </c>
      <c r="C132" s="7" t="s">
        <v>294</v>
      </c>
      <c r="D132" s="7" t="s">
        <v>1690</v>
      </c>
      <c r="E132" s="7" t="s">
        <v>1498</v>
      </c>
      <c r="F132" s="7" t="s">
        <v>1507</v>
      </c>
      <c r="G132" s="7" t="s">
        <v>455</v>
      </c>
      <c r="H132" t="s">
        <v>456</v>
      </c>
    </row>
    <row r="133" spans="1:8" hidden="1" x14ac:dyDescent="0.2">
      <c r="A133" s="8">
        <v>25360</v>
      </c>
      <c r="B133" s="8" t="s">
        <v>2589</v>
      </c>
      <c r="C133" s="8" t="s">
        <v>2125</v>
      </c>
      <c r="D133" s="8" t="s">
        <v>1634</v>
      </c>
      <c r="E133" s="8" t="s">
        <v>1498</v>
      </c>
      <c r="F133" s="8" t="s">
        <v>1697</v>
      </c>
      <c r="G133" s="8" t="s">
        <v>455</v>
      </c>
      <c r="H133" t="s">
        <v>456</v>
      </c>
    </row>
    <row r="134" spans="1:8" hidden="1" x14ac:dyDescent="0.2">
      <c r="A134" s="7">
        <v>23002</v>
      </c>
      <c r="B134" s="7" t="s">
        <v>2590</v>
      </c>
      <c r="C134" s="7" t="s">
        <v>301</v>
      </c>
      <c r="D134" s="7" t="s">
        <v>959</v>
      </c>
      <c r="E134" s="7" t="s">
        <v>452</v>
      </c>
      <c r="F134" s="7" t="s">
        <v>453</v>
      </c>
      <c r="G134" s="7" t="s">
        <v>455</v>
      </c>
      <c r="H134" t="s">
        <v>456</v>
      </c>
    </row>
    <row r="135" spans="1:8" hidden="1" x14ac:dyDescent="0.2">
      <c r="A135" s="8">
        <v>23604</v>
      </c>
      <c r="B135" s="8" t="s">
        <v>2591</v>
      </c>
      <c r="C135" s="8" t="s">
        <v>60</v>
      </c>
      <c r="D135" s="8" t="s">
        <v>468</v>
      </c>
      <c r="E135" s="8" t="s">
        <v>452</v>
      </c>
      <c r="F135" s="8" t="s">
        <v>453</v>
      </c>
      <c r="G135" s="8" t="s">
        <v>455</v>
      </c>
      <c r="H135" t="s">
        <v>513</v>
      </c>
    </row>
    <row r="136" spans="1:8" hidden="1" x14ac:dyDescent="0.2">
      <c r="A136" s="7">
        <v>23702</v>
      </c>
      <c r="B136" s="7" t="s">
        <v>2592</v>
      </c>
      <c r="C136" s="7" t="s">
        <v>281</v>
      </c>
      <c r="D136" s="7" t="s">
        <v>1598</v>
      </c>
      <c r="E136" s="7" t="s">
        <v>1498</v>
      </c>
      <c r="F136" s="7" t="s">
        <v>1515</v>
      </c>
      <c r="G136" s="7" t="s">
        <v>455</v>
      </c>
      <c r="H136" t="s">
        <v>513</v>
      </c>
    </row>
    <row r="137" spans="1:8" hidden="1" x14ac:dyDescent="0.2">
      <c r="A137" s="8">
        <v>24746</v>
      </c>
      <c r="B137" s="8" t="s">
        <v>2593</v>
      </c>
      <c r="C137" s="8" t="s">
        <v>2594</v>
      </c>
      <c r="D137" s="8" t="s">
        <v>2463</v>
      </c>
      <c r="E137" s="8" t="s">
        <v>1498</v>
      </c>
      <c r="F137" s="8" t="s">
        <v>1515</v>
      </c>
      <c r="G137" s="8" t="s">
        <v>455</v>
      </c>
      <c r="H137" t="s">
        <v>513</v>
      </c>
    </row>
    <row r="138" spans="1:8" x14ac:dyDescent="0.2">
      <c r="A138" s="7">
        <v>29186</v>
      </c>
      <c r="B138" s="7" t="s">
        <v>468</v>
      </c>
      <c r="C138" s="7" t="s">
        <v>18</v>
      </c>
      <c r="D138" s="7" t="s">
        <v>492</v>
      </c>
      <c r="E138" s="7" t="s">
        <v>452</v>
      </c>
      <c r="F138" s="7" t="s">
        <v>491</v>
      </c>
      <c r="G138" s="7" t="s">
        <v>455</v>
      </c>
      <c r="H138" t="s">
        <v>456</v>
      </c>
    </row>
    <row r="139" spans="1:8" hidden="1" x14ac:dyDescent="0.2">
      <c r="A139" s="8">
        <v>35119</v>
      </c>
      <c r="B139" s="8" t="s">
        <v>2595</v>
      </c>
      <c r="C139" s="8" t="s">
        <v>147</v>
      </c>
      <c r="D139" s="8" t="s">
        <v>959</v>
      </c>
      <c r="E139" s="8" t="s">
        <v>452</v>
      </c>
      <c r="F139" s="8" t="s">
        <v>453</v>
      </c>
      <c r="G139" s="8" t="s">
        <v>455</v>
      </c>
      <c r="H139" t="s">
        <v>513</v>
      </c>
    </row>
    <row r="140" spans="1:8" hidden="1" x14ac:dyDescent="0.2">
      <c r="A140" s="7">
        <v>28598</v>
      </c>
      <c r="B140" s="7" t="s">
        <v>2596</v>
      </c>
      <c r="C140" s="7" t="s">
        <v>2242</v>
      </c>
      <c r="D140" s="7" t="s">
        <v>1484</v>
      </c>
      <c r="E140" s="7" t="s">
        <v>1283</v>
      </c>
      <c r="F140" s="7" t="s">
        <v>1284</v>
      </c>
      <c r="G140" s="7" t="s">
        <v>455</v>
      </c>
      <c r="H140" t="s">
        <v>513</v>
      </c>
    </row>
    <row r="141" spans="1:8" hidden="1" x14ac:dyDescent="0.2">
      <c r="A141" s="8">
        <v>25839</v>
      </c>
      <c r="B141" s="8" t="s">
        <v>2597</v>
      </c>
      <c r="C141" s="8" t="s">
        <v>2304</v>
      </c>
      <c r="D141" s="8" t="s">
        <v>959</v>
      </c>
      <c r="E141" s="8" t="s">
        <v>452</v>
      </c>
      <c r="F141" s="8" t="s">
        <v>453</v>
      </c>
      <c r="G141" s="8" t="s">
        <v>455</v>
      </c>
      <c r="H141" t="s">
        <v>513</v>
      </c>
    </row>
    <row r="142" spans="1:8" hidden="1" x14ac:dyDescent="0.2">
      <c r="A142" s="7">
        <v>34743</v>
      </c>
      <c r="B142" s="7" t="s">
        <v>2598</v>
      </c>
      <c r="C142" s="7" t="s">
        <v>89</v>
      </c>
      <c r="D142" s="7" t="s">
        <v>751</v>
      </c>
      <c r="E142" s="7" t="s">
        <v>452</v>
      </c>
      <c r="F142" s="7" t="s">
        <v>453</v>
      </c>
      <c r="G142" s="7" t="s">
        <v>455</v>
      </c>
      <c r="H142" t="s">
        <v>513</v>
      </c>
    </row>
    <row r="143" spans="1:8" hidden="1" x14ac:dyDescent="0.2">
      <c r="A143" s="8">
        <v>24093</v>
      </c>
      <c r="B143" s="8" t="s">
        <v>1634</v>
      </c>
      <c r="C143" s="8" t="s">
        <v>2599</v>
      </c>
      <c r="D143" s="8" t="s">
        <v>1508</v>
      </c>
      <c r="E143" s="8" t="s">
        <v>1498</v>
      </c>
      <c r="F143" s="8" t="s">
        <v>1697</v>
      </c>
      <c r="G143" s="8" t="s">
        <v>455</v>
      </c>
      <c r="H143" t="s">
        <v>513</v>
      </c>
    </row>
    <row r="144" spans="1:8" hidden="1" x14ac:dyDescent="0.2">
      <c r="A144" s="7">
        <v>23863</v>
      </c>
      <c r="B144" s="7" t="s">
        <v>2600</v>
      </c>
      <c r="C144" s="7" t="s">
        <v>2163</v>
      </c>
      <c r="D144" s="7" t="s">
        <v>919</v>
      </c>
      <c r="E144" s="7" t="s">
        <v>452</v>
      </c>
      <c r="F144" s="7" t="s">
        <v>453</v>
      </c>
      <c r="G144" s="7" t="s">
        <v>455</v>
      </c>
      <c r="H144" t="s">
        <v>513</v>
      </c>
    </row>
    <row r="145" spans="1:8" hidden="1" x14ac:dyDescent="0.2">
      <c r="A145" s="8">
        <v>25473</v>
      </c>
      <c r="B145" s="8" t="s">
        <v>2601</v>
      </c>
      <c r="C145" s="8" t="s">
        <v>339</v>
      </c>
      <c r="D145" s="8" t="s">
        <v>1911</v>
      </c>
      <c r="E145" s="8" t="s">
        <v>1498</v>
      </c>
      <c r="F145" s="8" t="s">
        <v>1910</v>
      </c>
      <c r="G145" s="8" t="s">
        <v>455</v>
      </c>
      <c r="H145" t="s">
        <v>456</v>
      </c>
    </row>
    <row r="146" spans="1:8" hidden="1" x14ac:dyDescent="0.2">
      <c r="A146" s="7">
        <v>37846</v>
      </c>
      <c r="B146" s="7" t="s">
        <v>2602</v>
      </c>
      <c r="C146" s="7" t="s">
        <v>2603</v>
      </c>
      <c r="D146" s="7" t="s">
        <v>751</v>
      </c>
      <c r="E146" s="7" t="s">
        <v>452</v>
      </c>
      <c r="F146" s="7" t="s">
        <v>453</v>
      </c>
      <c r="G146" s="7" t="s">
        <v>455</v>
      </c>
      <c r="H146" t="s">
        <v>513</v>
      </c>
    </row>
    <row r="147" spans="1:8" hidden="1" x14ac:dyDescent="0.2">
      <c r="A147" s="8">
        <v>25651</v>
      </c>
      <c r="B147" s="8" t="s">
        <v>2604</v>
      </c>
      <c r="C147" s="8" t="s">
        <v>2605</v>
      </c>
      <c r="D147" s="8" t="s">
        <v>1634</v>
      </c>
      <c r="E147" s="8" t="s">
        <v>1498</v>
      </c>
      <c r="F147" s="8" t="s">
        <v>1697</v>
      </c>
      <c r="G147" s="8" t="s">
        <v>455</v>
      </c>
      <c r="H147" t="s">
        <v>456</v>
      </c>
    </row>
    <row r="148" spans="1:8" hidden="1" x14ac:dyDescent="0.2">
      <c r="A148" s="7">
        <v>25706</v>
      </c>
      <c r="B148" s="7" t="s">
        <v>2606</v>
      </c>
      <c r="C148" s="7" t="s">
        <v>343</v>
      </c>
      <c r="D148" s="7" t="s">
        <v>1939</v>
      </c>
      <c r="E148" s="7" t="s">
        <v>1498</v>
      </c>
      <c r="F148" s="7" t="s">
        <v>1938</v>
      </c>
      <c r="G148" s="7" t="s">
        <v>455</v>
      </c>
      <c r="H148" t="s">
        <v>513</v>
      </c>
    </row>
    <row r="149" spans="1:8" hidden="1" x14ac:dyDescent="0.2">
      <c r="A149" s="8">
        <v>36114</v>
      </c>
      <c r="B149" s="8" t="s">
        <v>2607</v>
      </c>
      <c r="C149" s="8" t="s">
        <v>148</v>
      </c>
      <c r="D149" s="8" t="s">
        <v>959</v>
      </c>
      <c r="E149" s="8" t="s">
        <v>452</v>
      </c>
      <c r="F149" s="8" t="s">
        <v>453</v>
      </c>
      <c r="G149" s="8" t="s">
        <v>455</v>
      </c>
      <c r="H149" t="s">
        <v>456</v>
      </c>
    </row>
    <row r="150" spans="1:8" hidden="1" x14ac:dyDescent="0.2">
      <c r="A150" s="7">
        <v>23966</v>
      </c>
      <c r="B150" s="7" t="s">
        <v>2608</v>
      </c>
      <c r="C150" s="7" t="s">
        <v>2265</v>
      </c>
      <c r="D150" s="7" t="s">
        <v>1117</v>
      </c>
      <c r="E150" s="7" t="s">
        <v>452</v>
      </c>
      <c r="F150" s="7" t="s">
        <v>453</v>
      </c>
      <c r="G150" s="7" t="s">
        <v>455</v>
      </c>
      <c r="H150" t="s">
        <v>513</v>
      </c>
    </row>
    <row r="151" spans="1:8" hidden="1" x14ac:dyDescent="0.2">
      <c r="A151" s="8">
        <v>26577</v>
      </c>
      <c r="B151" s="8" t="s">
        <v>2609</v>
      </c>
      <c r="C151" s="8" t="s">
        <v>237</v>
      </c>
      <c r="D151" s="8" t="s">
        <v>1332</v>
      </c>
      <c r="E151" s="8" t="s">
        <v>1283</v>
      </c>
      <c r="F151" s="8" t="s">
        <v>1331</v>
      </c>
      <c r="G151" s="8" t="s">
        <v>455</v>
      </c>
      <c r="H151" t="s">
        <v>513</v>
      </c>
    </row>
    <row r="152" spans="1:8" hidden="1" x14ac:dyDescent="0.2">
      <c r="A152" s="7">
        <v>26453</v>
      </c>
      <c r="B152" s="7" t="s">
        <v>2610</v>
      </c>
      <c r="C152" s="7" t="s">
        <v>2611</v>
      </c>
      <c r="D152" s="7" t="s">
        <v>1402</v>
      </c>
      <c r="E152" s="7" t="s">
        <v>1283</v>
      </c>
      <c r="F152" s="7" t="s">
        <v>1284</v>
      </c>
      <c r="G152" s="7" t="s">
        <v>455</v>
      </c>
      <c r="H152" t="s">
        <v>513</v>
      </c>
    </row>
    <row r="153" spans="1:8" hidden="1" x14ac:dyDescent="0.2">
      <c r="A153" s="8">
        <v>26440</v>
      </c>
      <c r="B153" s="8" t="s">
        <v>2612</v>
      </c>
      <c r="C153" s="8" t="s">
        <v>71</v>
      </c>
      <c r="D153" s="8" t="s">
        <v>692</v>
      </c>
      <c r="E153" s="8" t="s">
        <v>452</v>
      </c>
      <c r="F153" s="8" t="s">
        <v>453</v>
      </c>
      <c r="G153" s="8" t="s">
        <v>455</v>
      </c>
      <c r="H153" t="s">
        <v>513</v>
      </c>
    </row>
    <row r="154" spans="1:8" hidden="1" x14ac:dyDescent="0.2">
      <c r="A154" s="7">
        <v>24657</v>
      </c>
      <c r="B154" s="7" t="s">
        <v>2613</v>
      </c>
      <c r="C154" s="7" t="s">
        <v>2614</v>
      </c>
      <c r="D154" s="7" t="s">
        <v>1117</v>
      </c>
      <c r="E154" s="7" t="s">
        <v>452</v>
      </c>
      <c r="F154" s="7" t="s">
        <v>453</v>
      </c>
      <c r="G154" s="7" t="s">
        <v>455</v>
      </c>
      <c r="H154" t="s">
        <v>513</v>
      </c>
    </row>
    <row r="155" spans="1:8" hidden="1" x14ac:dyDescent="0.2">
      <c r="A155" s="8">
        <v>24802</v>
      </c>
      <c r="B155" s="8" t="s">
        <v>2615</v>
      </c>
      <c r="C155" s="8" t="s">
        <v>2616</v>
      </c>
      <c r="D155" s="8" t="s">
        <v>1117</v>
      </c>
      <c r="E155" s="8" t="s">
        <v>452</v>
      </c>
      <c r="F155" s="8" t="s">
        <v>453</v>
      </c>
      <c r="G155" s="8" t="s">
        <v>455</v>
      </c>
      <c r="H155" t="s">
        <v>513</v>
      </c>
    </row>
    <row r="156" spans="1:8" hidden="1" x14ac:dyDescent="0.2">
      <c r="A156" s="7">
        <v>24904</v>
      </c>
      <c r="B156" s="7" t="s">
        <v>2617</v>
      </c>
      <c r="C156" s="7" t="s">
        <v>2618</v>
      </c>
      <c r="D156" s="7" t="s">
        <v>1508</v>
      </c>
      <c r="E156" s="7" t="s">
        <v>1498</v>
      </c>
      <c r="F156" s="7" t="s">
        <v>1515</v>
      </c>
      <c r="G156" s="7" t="s">
        <v>455</v>
      </c>
      <c r="H156" t="s">
        <v>513</v>
      </c>
    </row>
    <row r="157" spans="1:8" hidden="1" x14ac:dyDescent="0.2">
      <c r="A157" s="8">
        <v>36984</v>
      </c>
      <c r="B157" s="8" t="s">
        <v>2619</v>
      </c>
      <c r="C157" s="8" t="s">
        <v>256</v>
      </c>
      <c r="D157" s="8" t="s">
        <v>1448</v>
      </c>
      <c r="E157" s="8" t="s">
        <v>1283</v>
      </c>
      <c r="F157" s="8" t="s">
        <v>1284</v>
      </c>
      <c r="G157" s="8" t="s">
        <v>455</v>
      </c>
      <c r="H157" t="s">
        <v>456</v>
      </c>
    </row>
    <row r="158" spans="1:8" hidden="1" x14ac:dyDescent="0.2">
      <c r="A158" s="7">
        <v>25276</v>
      </c>
      <c r="B158" s="7" t="s">
        <v>2620</v>
      </c>
      <c r="C158" s="7" t="s">
        <v>2621</v>
      </c>
      <c r="D158" s="7" t="s">
        <v>1678</v>
      </c>
      <c r="E158" s="7" t="s">
        <v>1498</v>
      </c>
      <c r="F158" s="7" t="s">
        <v>1515</v>
      </c>
      <c r="G158" s="7" t="s">
        <v>455</v>
      </c>
      <c r="H158" t="s">
        <v>513</v>
      </c>
    </row>
    <row r="159" spans="1:8" hidden="1" x14ac:dyDescent="0.2">
      <c r="A159" s="8">
        <v>26604</v>
      </c>
      <c r="B159" s="8" t="s">
        <v>2622</v>
      </c>
      <c r="C159" s="8" t="s">
        <v>271</v>
      </c>
      <c r="D159" s="8" t="s">
        <v>1545</v>
      </c>
      <c r="E159" s="8" t="s">
        <v>1498</v>
      </c>
      <c r="F159" s="8" t="s">
        <v>1515</v>
      </c>
      <c r="G159" s="8" t="s">
        <v>455</v>
      </c>
      <c r="H159" t="s">
        <v>513</v>
      </c>
    </row>
    <row r="160" spans="1:8" hidden="1" x14ac:dyDescent="0.2">
      <c r="A160" s="7">
        <v>26871</v>
      </c>
      <c r="B160" s="7" t="s">
        <v>2623</v>
      </c>
      <c r="C160" s="7" t="s">
        <v>287</v>
      </c>
      <c r="D160" s="7" t="s">
        <v>1648</v>
      </c>
      <c r="E160" s="7" t="s">
        <v>1498</v>
      </c>
      <c r="F160" s="7" t="s">
        <v>1515</v>
      </c>
      <c r="G160" s="7" t="s">
        <v>455</v>
      </c>
      <c r="H160" t="s">
        <v>513</v>
      </c>
    </row>
    <row r="161" spans="1:8" hidden="1" x14ac:dyDescent="0.2">
      <c r="A161" s="8">
        <v>26852</v>
      </c>
      <c r="B161" s="8" t="s">
        <v>2624</v>
      </c>
      <c r="C161" s="8" t="s">
        <v>2625</v>
      </c>
      <c r="D161" s="8" t="s">
        <v>1117</v>
      </c>
      <c r="E161" s="8" t="s">
        <v>452</v>
      </c>
      <c r="F161" s="8" t="s">
        <v>453</v>
      </c>
      <c r="G161" s="8" t="s">
        <v>455</v>
      </c>
      <c r="H161" t="s">
        <v>513</v>
      </c>
    </row>
    <row r="162" spans="1:8" hidden="1" x14ac:dyDescent="0.2">
      <c r="A162" s="7">
        <v>26794</v>
      </c>
      <c r="B162" s="7" t="s">
        <v>2626</v>
      </c>
      <c r="C162" s="7" t="s">
        <v>352</v>
      </c>
      <c r="D162" s="7" t="s">
        <v>1991</v>
      </c>
      <c r="E162" s="7" t="s">
        <v>1989</v>
      </c>
      <c r="F162" s="7" t="s">
        <v>1990</v>
      </c>
      <c r="G162" s="7" t="s">
        <v>455</v>
      </c>
      <c r="H162" t="s">
        <v>456</v>
      </c>
    </row>
    <row r="163" spans="1:8" hidden="1" x14ac:dyDescent="0.2">
      <c r="A163" s="8">
        <v>26634</v>
      </c>
      <c r="B163" s="8" t="s">
        <v>2627</v>
      </c>
      <c r="C163" s="8" t="s">
        <v>338</v>
      </c>
      <c r="D163" s="8" t="s">
        <v>1620</v>
      </c>
      <c r="E163" s="8" t="s">
        <v>1498</v>
      </c>
      <c r="F163" s="8" t="s">
        <v>1903</v>
      </c>
      <c r="G163" s="8" t="s">
        <v>455</v>
      </c>
      <c r="H163" t="s">
        <v>456</v>
      </c>
    </row>
    <row r="164" spans="1:8" hidden="1" x14ac:dyDescent="0.2">
      <c r="A164" s="7">
        <v>26699</v>
      </c>
      <c r="B164" s="7" t="s">
        <v>2628</v>
      </c>
      <c r="C164" s="7" t="s">
        <v>72</v>
      </c>
      <c r="D164" s="7" t="s">
        <v>692</v>
      </c>
      <c r="E164" s="7" t="s">
        <v>452</v>
      </c>
      <c r="F164" s="7" t="s">
        <v>453</v>
      </c>
      <c r="G164" s="7" t="s">
        <v>455</v>
      </c>
      <c r="H164" t="s">
        <v>513</v>
      </c>
    </row>
    <row r="165" spans="1:8" hidden="1" x14ac:dyDescent="0.2">
      <c r="A165" s="8">
        <v>34675</v>
      </c>
      <c r="B165" s="8" t="s">
        <v>2629</v>
      </c>
      <c r="C165" s="8" t="s">
        <v>62</v>
      </c>
      <c r="D165" s="8" t="s">
        <v>665</v>
      </c>
      <c r="E165" s="8" t="s">
        <v>452</v>
      </c>
      <c r="F165" s="8" t="s">
        <v>453</v>
      </c>
      <c r="G165" s="8" t="s">
        <v>455</v>
      </c>
      <c r="H165" t="s">
        <v>513</v>
      </c>
    </row>
    <row r="166" spans="1:8" x14ac:dyDescent="0.2">
      <c r="A166" s="7">
        <v>36300</v>
      </c>
      <c r="B166" s="7" t="s">
        <v>2630</v>
      </c>
      <c r="C166" s="7" t="s">
        <v>341</v>
      </c>
      <c r="D166" s="7" t="s">
        <v>1925</v>
      </c>
      <c r="E166" s="7" t="s">
        <v>2380</v>
      </c>
      <c r="F166" s="7" t="s">
        <v>1924</v>
      </c>
      <c r="G166" s="7" t="s">
        <v>455</v>
      </c>
      <c r="H166" t="s">
        <v>456</v>
      </c>
    </row>
    <row r="167" spans="1:8" hidden="1" x14ac:dyDescent="0.2">
      <c r="A167" s="8">
        <v>25621</v>
      </c>
      <c r="B167" s="8" t="s">
        <v>2631</v>
      </c>
      <c r="C167" s="8" t="s">
        <v>247</v>
      </c>
      <c r="D167" s="8" t="s">
        <v>1396</v>
      </c>
      <c r="E167" s="8" t="s">
        <v>1283</v>
      </c>
      <c r="F167" s="8" t="s">
        <v>1284</v>
      </c>
      <c r="G167" s="8" t="s">
        <v>455</v>
      </c>
      <c r="H167" t="s">
        <v>456</v>
      </c>
    </row>
    <row r="168" spans="1:8" hidden="1" x14ac:dyDescent="0.2">
      <c r="A168" s="7">
        <v>26721</v>
      </c>
      <c r="B168" s="7" t="s">
        <v>2632</v>
      </c>
      <c r="C168" s="7" t="s">
        <v>75</v>
      </c>
      <c r="D168" s="7" t="s">
        <v>726</v>
      </c>
      <c r="E168" s="7" t="s">
        <v>452</v>
      </c>
      <c r="F168" s="7" t="s">
        <v>453</v>
      </c>
      <c r="G168" s="7" t="s">
        <v>455</v>
      </c>
      <c r="H168" t="s">
        <v>513</v>
      </c>
    </row>
    <row r="169" spans="1:8" hidden="1" x14ac:dyDescent="0.2">
      <c r="A169" s="8">
        <v>27174</v>
      </c>
      <c r="B169" s="8" t="s">
        <v>2633</v>
      </c>
      <c r="C169" s="8" t="s">
        <v>25</v>
      </c>
      <c r="D169" s="8" t="s">
        <v>454</v>
      </c>
      <c r="E169" s="8" t="s">
        <v>452</v>
      </c>
      <c r="F169" s="8" t="s">
        <v>453</v>
      </c>
      <c r="G169" s="8" t="s">
        <v>455</v>
      </c>
      <c r="H169" t="s">
        <v>513</v>
      </c>
    </row>
    <row r="170" spans="1:8" hidden="1" x14ac:dyDescent="0.2">
      <c r="A170" s="7">
        <v>36014</v>
      </c>
      <c r="B170" s="7" t="s">
        <v>2634</v>
      </c>
      <c r="C170" s="7" t="s">
        <v>652</v>
      </c>
      <c r="D170" s="7" t="s">
        <v>468</v>
      </c>
      <c r="E170" s="7" t="s">
        <v>452</v>
      </c>
      <c r="F170" s="7" t="s">
        <v>453</v>
      </c>
      <c r="G170" s="7" t="s">
        <v>455</v>
      </c>
      <c r="H170" t="s">
        <v>513</v>
      </c>
    </row>
    <row r="171" spans="1:8" hidden="1" x14ac:dyDescent="0.2">
      <c r="A171" s="8">
        <v>37148</v>
      </c>
      <c r="B171" s="8" t="s">
        <v>2635</v>
      </c>
      <c r="C171" s="8" t="s">
        <v>100</v>
      </c>
      <c r="D171" s="8" t="s">
        <v>751</v>
      </c>
      <c r="E171" s="8" t="s">
        <v>452</v>
      </c>
      <c r="F171" s="8" t="s">
        <v>453</v>
      </c>
      <c r="G171" s="8" t="s">
        <v>455</v>
      </c>
      <c r="H171" t="s">
        <v>456</v>
      </c>
    </row>
    <row r="172" spans="1:8" hidden="1" x14ac:dyDescent="0.2">
      <c r="A172" s="7">
        <v>27683</v>
      </c>
      <c r="B172" s="7" t="s">
        <v>2636</v>
      </c>
      <c r="C172" s="7" t="s">
        <v>2286</v>
      </c>
      <c r="D172" s="7" t="s">
        <v>1292</v>
      </c>
      <c r="E172" s="7" t="s">
        <v>1283</v>
      </c>
      <c r="F172" s="7" t="s">
        <v>1284</v>
      </c>
      <c r="G172" s="7" t="s">
        <v>455</v>
      </c>
      <c r="H172" t="s">
        <v>513</v>
      </c>
    </row>
    <row r="173" spans="1:8" hidden="1" x14ac:dyDescent="0.2">
      <c r="A173" s="8">
        <v>21951</v>
      </c>
      <c r="B173" s="8" t="s">
        <v>2637</v>
      </c>
      <c r="C173" s="8" t="s">
        <v>213</v>
      </c>
      <c r="D173" s="8" t="s">
        <v>959</v>
      </c>
      <c r="E173" s="8" t="s">
        <v>452</v>
      </c>
      <c r="F173" s="8" t="s">
        <v>453</v>
      </c>
      <c r="G173" s="8" t="s">
        <v>455</v>
      </c>
      <c r="H173" t="s">
        <v>513</v>
      </c>
    </row>
    <row r="174" spans="1:8" hidden="1" x14ac:dyDescent="0.2">
      <c r="A174" s="7">
        <v>27585</v>
      </c>
      <c r="B174" s="7" t="s">
        <v>692</v>
      </c>
      <c r="C174" s="7" t="s">
        <v>2267</v>
      </c>
      <c r="D174" s="7" t="s">
        <v>900</v>
      </c>
      <c r="E174" s="7" t="s">
        <v>452</v>
      </c>
      <c r="F174" s="7" t="s">
        <v>453</v>
      </c>
      <c r="G174" s="7" t="s">
        <v>455</v>
      </c>
      <c r="H174" t="s">
        <v>513</v>
      </c>
    </row>
    <row r="175" spans="1:8" hidden="1" x14ac:dyDescent="0.2">
      <c r="A175" s="8">
        <v>28944</v>
      </c>
      <c r="B175" s="8" t="s">
        <v>2638</v>
      </c>
      <c r="C175" s="8" t="s">
        <v>1710</v>
      </c>
      <c r="D175" s="8" t="s">
        <v>2513</v>
      </c>
      <c r="E175" s="8" t="s">
        <v>1498</v>
      </c>
      <c r="F175" s="8" t="s">
        <v>2515</v>
      </c>
      <c r="G175" s="8" t="s">
        <v>719</v>
      </c>
      <c r="H175" t="s">
        <v>513</v>
      </c>
    </row>
    <row r="176" spans="1:8" hidden="1" x14ac:dyDescent="0.2">
      <c r="A176" s="7">
        <v>28038</v>
      </c>
      <c r="B176" s="7" t="s">
        <v>2639</v>
      </c>
      <c r="C176" s="7" t="s">
        <v>2640</v>
      </c>
      <c r="D176" s="7" t="s">
        <v>1490</v>
      </c>
      <c r="E176" s="7" t="s">
        <v>1283</v>
      </c>
      <c r="F176" s="7" t="s">
        <v>1284</v>
      </c>
      <c r="G176" s="7" t="s">
        <v>455</v>
      </c>
      <c r="H176" t="s">
        <v>513</v>
      </c>
    </row>
    <row r="177" spans="1:8" hidden="1" x14ac:dyDescent="0.2">
      <c r="A177" s="8">
        <v>26442</v>
      </c>
      <c r="B177" s="8" t="s">
        <v>1678</v>
      </c>
      <c r="C177" s="8" t="s">
        <v>374</v>
      </c>
      <c r="D177" s="8" t="s">
        <v>1508</v>
      </c>
      <c r="E177" s="8" t="s">
        <v>1498</v>
      </c>
      <c r="F177" s="8" t="s">
        <v>1515</v>
      </c>
      <c r="G177" s="8" t="s">
        <v>455</v>
      </c>
      <c r="H177" t="s">
        <v>513</v>
      </c>
    </row>
    <row r="178" spans="1:8" hidden="1" x14ac:dyDescent="0.2">
      <c r="A178" s="7">
        <v>26249</v>
      </c>
      <c r="B178" s="7" t="s">
        <v>2641</v>
      </c>
      <c r="C178" s="7" t="s">
        <v>2642</v>
      </c>
      <c r="D178" s="7" t="s">
        <v>1678</v>
      </c>
      <c r="E178" s="7" t="s">
        <v>1498</v>
      </c>
      <c r="F178" s="7" t="s">
        <v>1515</v>
      </c>
      <c r="G178" s="7" t="s">
        <v>455</v>
      </c>
      <c r="H178" t="s">
        <v>513</v>
      </c>
    </row>
    <row r="179" spans="1:8" hidden="1" x14ac:dyDescent="0.2">
      <c r="A179" s="8">
        <v>26684</v>
      </c>
      <c r="B179" s="8" t="s">
        <v>2643</v>
      </c>
      <c r="C179" s="8" t="s">
        <v>127</v>
      </c>
      <c r="D179" s="8" t="s">
        <v>919</v>
      </c>
      <c r="E179" s="8" t="s">
        <v>452</v>
      </c>
      <c r="F179" s="8" t="s">
        <v>453</v>
      </c>
      <c r="G179" s="8" t="s">
        <v>455</v>
      </c>
      <c r="H179" t="s">
        <v>513</v>
      </c>
    </row>
    <row r="180" spans="1:8" hidden="1" x14ac:dyDescent="0.2">
      <c r="A180" s="7">
        <v>26875</v>
      </c>
      <c r="B180" s="7" t="s">
        <v>2644</v>
      </c>
      <c r="C180" s="7" t="s">
        <v>2645</v>
      </c>
      <c r="D180" s="7" t="s">
        <v>1123</v>
      </c>
      <c r="E180" s="7" t="s">
        <v>452</v>
      </c>
      <c r="F180" s="7" t="s">
        <v>453</v>
      </c>
      <c r="G180" s="7" t="s">
        <v>719</v>
      </c>
      <c r="H180" t="s">
        <v>513</v>
      </c>
    </row>
    <row r="181" spans="1:8" hidden="1" x14ac:dyDescent="0.2">
      <c r="A181" s="8">
        <v>27948</v>
      </c>
      <c r="B181" s="8" t="s">
        <v>2646</v>
      </c>
      <c r="C181" s="8" t="s">
        <v>2189</v>
      </c>
      <c r="D181" s="8" t="s">
        <v>692</v>
      </c>
      <c r="E181" s="8" t="s">
        <v>452</v>
      </c>
      <c r="F181" s="8" t="s">
        <v>453</v>
      </c>
      <c r="G181" s="8" t="s">
        <v>455</v>
      </c>
      <c r="H181" t="s">
        <v>513</v>
      </c>
    </row>
    <row r="182" spans="1:8" hidden="1" x14ac:dyDescent="0.2">
      <c r="A182" s="7">
        <v>22203</v>
      </c>
      <c r="B182" s="7" t="s">
        <v>2647</v>
      </c>
      <c r="C182" s="7" t="s">
        <v>2648</v>
      </c>
      <c r="D182" s="7" t="s">
        <v>2649</v>
      </c>
      <c r="E182" s="7" t="s">
        <v>2477</v>
      </c>
      <c r="F182" s="7" t="s">
        <v>2478</v>
      </c>
      <c r="G182" s="7" t="s">
        <v>455</v>
      </c>
      <c r="H182" t="s">
        <v>513</v>
      </c>
    </row>
    <row r="183" spans="1:8" hidden="1" x14ac:dyDescent="0.2">
      <c r="A183" s="8">
        <v>22254</v>
      </c>
      <c r="B183" s="8" t="s">
        <v>2650</v>
      </c>
      <c r="C183" s="8" t="s">
        <v>37</v>
      </c>
      <c r="D183" s="8" t="s">
        <v>454</v>
      </c>
      <c r="E183" s="8" t="s">
        <v>452</v>
      </c>
      <c r="F183" s="8" t="s">
        <v>453</v>
      </c>
      <c r="G183" s="8" t="s">
        <v>455</v>
      </c>
      <c r="H183" t="s">
        <v>513</v>
      </c>
    </row>
    <row r="184" spans="1:8" hidden="1" x14ac:dyDescent="0.2">
      <c r="A184" s="7">
        <v>31778</v>
      </c>
      <c r="B184" s="7" t="s">
        <v>2651</v>
      </c>
      <c r="C184" s="7" t="s">
        <v>129</v>
      </c>
      <c r="D184" s="7" t="s">
        <v>919</v>
      </c>
      <c r="E184" s="7" t="s">
        <v>452</v>
      </c>
      <c r="F184" s="7" t="s">
        <v>453</v>
      </c>
      <c r="G184" s="7" t="s">
        <v>455</v>
      </c>
      <c r="H184" t="s">
        <v>513</v>
      </c>
    </row>
    <row r="185" spans="1:8" hidden="1" x14ac:dyDescent="0.2">
      <c r="A185" s="8">
        <v>23461</v>
      </c>
      <c r="B185" s="8" t="s">
        <v>407</v>
      </c>
      <c r="C185" s="8" t="s">
        <v>55</v>
      </c>
      <c r="D185" s="8" t="s">
        <v>468</v>
      </c>
      <c r="E185" s="8" t="s">
        <v>452</v>
      </c>
      <c r="F185" s="8" t="s">
        <v>453</v>
      </c>
      <c r="G185" s="8" t="s">
        <v>455</v>
      </c>
      <c r="H185" t="s">
        <v>513</v>
      </c>
    </row>
    <row r="186" spans="1:8" hidden="1" x14ac:dyDescent="0.2">
      <c r="A186" s="7">
        <v>34998</v>
      </c>
      <c r="B186" s="7" t="s">
        <v>2652</v>
      </c>
      <c r="C186" s="7" t="s">
        <v>2167</v>
      </c>
      <c r="D186" s="7" t="s">
        <v>751</v>
      </c>
      <c r="E186" s="7" t="s">
        <v>452</v>
      </c>
      <c r="F186" s="7" t="s">
        <v>453</v>
      </c>
      <c r="G186" s="7" t="s">
        <v>455</v>
      </c>
      <c r="H186" t="s">
        <v>456</v>
      </c>
    </row>
    <row r="187" spans="1:8" hidden="1" x14ac:dyDescent="0.2">
      <c r="A187" s="8">
        <v>32389</v>
      </c>
      <c r="B187" s="8" t="s">
        <v>2653</v>
      </c>
      <c r="C187" s="8" t="s">
        <v>2654</v>
      </c>
      <c r="D187" s="8" t="s">
        <v>1430</v>
      </c>
      <c r="E187" s="8" t="s">
        <v>1283</v>
      </c>
      <c r="F187" s="8" t="s">
        <v>1429</v>
      </c>
      <c r="G187" s="8" t="s">
        <v>719</v>
      </c>
      <c r="H187" t="s">
        <v>456</v>
      </c>
    </row>
    <row r="188" spans="1:8" hidden="1" x14ac:dyDescent="0.2">
      <c r="A188" s="7">
        <v>29218</v>
      </c>
      <c r="B188" s="7" t="s">
        <v>2655</v>
      </c>
      <c r="C188" s="7" t="s">
        <v>308</v>
      </c>
      <c r="D188" s="7" t="s">
        <v>1747</v>
      </c>
      <c r="E188" s="7" t="s">
        <v>1745</v>
      </c>
      <c r="F188" s="7" t="s">
        <v>1746</v>
      </c>
      <c r="G188" s="7" t="s">
        <v>455</v>
      </c>
      <c r="H188" t="s">
        <v>513</v>
      </c>
    </row>
    <row r="189" spans="1:8" hidden="1" x14ac:dyDescent="0.2">
      <c r="A189" s="8">
        <v>28299</v>
      </c>
      <c r="B189" s="8" t="s">
        <v>2656</v>
      </c>
      <c r="C189" s="8" t="s">
        <v>2657</v>
      </c>
      <c r="D189" s="8" t="s">
        <v>2658</v>
      </c>
      <c r="E189" s="8" t="s">
        <v>1283</v>
      </c>
      <c r="F189" s="8" t="s">
        <v>1284</v>
      </c>
      <c r="G189" s="8" t="s">
        <v>455</v>
      </c>
      <c r="H189" t="s">
        <v>456</v>
      </c>
    </row>
    <row r="190" spans="1:8" hidden="1" x14ac:dyDescent="0.2">
      <c r="A190" s="7">
        <v>28423</v>
      </c>
      <c r="B190" s="7" t="s">
        <v>2659</v>
      </c>
      <c r="C190" s="7" t="s">
        <v>347</v>
      </c>
      <c r="D190" s="7" t="s">
        <v>1508</v>
      </c>
      <c r="E190" s="7" t="s">
        <v>1498</v>
      </c>
      <c r="F190" s="7" t="s">
        <v>1697</v>
      </c>
      <c r="G190" s="7" t="s">
        <v>455</v>
      </c>
      <c r="H190" t="s">
        <v>456</v>
      </c>
    </row>
    <row r="191" spans="1:8" hidden="1" x14ac:dyDescent="0.2">
      <c r="A191" s="8">
        <v>28600</v>
      </c>
      <c r="B191" s="8" t="s">
        <v>2660</v>
      </c>
      <c r="C191" s="8" t="s">
        <v>240</v>
      </c>
      <c r="D191" s="8" t="s">
        <v>1332</v>
      </c>
      <c r="E191" s="8" t="s">
        <v>1283</v>
      </c>
      <c r="F191" s="8" t="s">
        <v>1331</v>
      </c>
      <c r="G191" s="8" t="s">
        <v>455</v>
      </c>
      <c r="H191" t="s">
        <v>456</v>
      </c>
    </row>
    <row r="192" spans="1:8" hidden="1" x14ac:dyDescent="0.2">
      <c r="A192" s="7">
        <v>29263</v>
      </c>
      <c r="B192" s="7" t="s">
        <v>2661</v>
      </c>
      <c r="C192" s="7" t="s">
        <v>340</v>
      </c>
      <c r="D192" s="7" t="s">
        <v>1911</v>
      </c>
      <c r="E192" s="7" t="s">
        <v>1498</v>
      </c>
      <c r="F192" s="7" t="s">
        <v>1910</v>
      </c>
      <c r="G192" s="7" t="s">
        <v>455</v>
      </c>
      <c r="H192" t="s">
        <v>513</v>
      </c>
    </row>
    <row r="193" spans="1:8" hidden="1" x14ac:dyDescent="0.2">
      <c r="A193" s="8">
        <v>28874</v>
      </c>
      <c r="B193" s="8" t="s">
        <v>2662</v>
      </c>
      <c r="C193" s="8" t="s">
        <v>2302</v>
      </c>
      <c r="D193" s="8" t="s">
        <v>1117</v>
      </c>
      <c r="E193" s="8" t="s">
        <v>452</v>
      </c>
      <c r="F193" s="8" t="s">
        <v>453</v>
      </c>
      <c r="G193" s="8" t="s">
        <v>455</v>
      </c>
      <c r="H193" t="s">
        <v>513</v>
      </c>
    </row>
    <row r="194" spans="1:8" hidden="1" x14ac:dyDescent="0.2">
      <c r="A194" s="7">
        <v>31326</v>
      </c>
      <c r="B194" s="7" t="s">
        <v>2663</v>
      </c>
      <c r="C194" s="7" t="s">
        <v>69</v>
      </c>
      <c r="D194" s="7" t="s">
        <v>692</v>
      </c>
      <c r="E194" s="7" t="s">
        <v>452</v>
      </c>
      <c r="F194" s="7" t="s">
        <v>453</v>
      </c>
      <c r="G194" s="7" t="s">
        <v>455</v>
      </c>
      <c r="H194" t="s">
        <v>513</v>
      </c>
    </row>
    <row r="195" spans="1:8" hidden="1" x14ac:dyDescent="0.2">
      <c r="A195" s="8">
        <v>27571</v>
      </c>
      <c r="B195" s="8" t="s">
        <v>2664</v>
      </c>
      <c r="C195" s="8" t="s">
        <v>2665</v>
      </c>
      <c r="D195" s="8" t="s">
        <v>1678</v>
      </c>
      <c r="E195" s="8" t="s">
        <v>1498</v>
      </c>
      <c r="F195" s="8" t="s">
        <v>1515</v>
      </c>
      <c r="G195" s="8" t="s">
        <v>455</v>
      </c>
      <c r="H195" t="s">
        <v>513</v>
      </c>
    </row>
    <row r="196" spans="1:8" hidden="1" x14ac:dyDescent="0.2">
      <c r="A196" s="7">
        <v>34788</v>
      </c>
      <c r="B196" s="7" t="s">
        <v>2666</v>
      </c>
      <c r="C196" s="7" t="s">
        <v>205</v>
      </c>
      <c r="D196" s="7" t="s">
        <v>959</v>
      </c>
      <c r="E196" s="7" t="s">
        <v>452</v>
      </c>
      <c r="F196" s="7" t="s">
        <v>453</v>
      </c>
      <c r="G196" s="7" t="s">
        <v>455</v>
      </c>
      <c r="H196" t="s">
        <v>513</v>
      </c>
    </row>
    <row r="197" spans="1:8" x14ac:dyDescent="0.2">
      <c r="A197" s="8">
        <v>30656</v>
      </c>
      <c r="B197" s="8" t="s">
        <v>2667</v>
      </c>
      <c r="C197" s="8" t="s">
        <v>321</v>
      </c>
      <c r="D197" s="8" t="s">
        <v>1117</v>
      </c>
      <c r="E197" s="8" t="s">
        <v>452</v>
      </c>
      <c r="F197" s="8" t="s">
        <v>491</v>
      </c>
      <c r="G197" s="8" t="s">
        <v>455</v>
      </c>
      <c r="H197" t="s">
        <v>456</v>
      </c>
    </row>
    <row r="198" spans="1:8" hidden="1" x14ac:dyDescent="0.2">
      <c r="A198" s="7">
        <v>29173</v>
      </c>
      <c r="B198" s="7" t="s">
        <v>2668</v>
      </c>
      <c r="C198" s="7" t="s">
        <v>43</v>
      </c>
      <c r="D198" s="7" t="s">
        <v>468</v>
      </c>
      <c r="E198" s="7" t="s">
        <v>452</v>
      </c>
      <c r="F198" s="7" t="s">
        <v>453</v>
      </c>
      <c r="G198" s="7" t="s">
        <v>455</v>
      </c>
      <c r="H198" t="s">
        <v>513</v>
      </c>
    </row>
    <row r="199" spans="1:8" hidden="1" x14ac:dyDescent="0.2">
      <c r="A199" s="8">
        <v>37088</v>
      </c>
      <c r="B199" s="8" t="s">
        <v>2669</v>
      </c>
      <c r="C199" s="8" t="s">
        <v>2670</v>
      </c>
      <c r="D199" s="8" t="s">
        <v>468</v>
      </c>
      <c r="E199" s="8" t="s">
        <v>452</v>
      </c>
      <c r="F199" s="8" t="s">
        <v>453</v>
      </c>
      <c r="G199" s="8" t="s">
        <v>455</v>
      </c>
      <c r="H199" t="s">
        <v>456</v>
      </c>
    </row>
    <row r="200" spans="1:8" hidden="1" x14ac:dyDescent="0.2">
      <c r="A200" s="7">
        <v>30835</v>
      </c>
      <c r="B200" s="7" t="s">
        <v>2671</v>
      </c>
      <c r="C200" s="7" t="s">
        <v>306</v>
      </c>
      <c r="D200" s="7" t="s">
        <v>1747</v>
      </c>
      <c r="E200" s="7" t="s">
        <v>1745</v>
      </c>
      <c r="F200" s="7" t="s">
        <v>1746</v>
      </c>
      <c r="G200" s="7" t="s">
        <v>455</v>
      </c>
      <c r="H200" t="s">
        <v>513</v>
      </c>
    </row>
    <row r="201" spans="1:8" x14ac:dyDescent="0.2">
      <c r="A201" s="8">
        <v>30105</v>
      </c>
      <c r="B201" s="8" t="s">
        <v>454</v>
      </c>
      <c r="C201" s="8" t="s">
        <v>20</v>
      </c>
      <c r="D201" s="8" t="s">
        <v>492</v>
      </c>
      <c r="E201" s="8" t="s">
        <v>452</v>
      </c>
      <c r="F201" s="8" t="s">
        <v>491</v>
      </c>
      <c r="G201" s="8" t="s">
        <v>455</v>
      </c>
      <c r="H201" t="s">
        <v>456</v>
      </c>
    </row>
    <row r="202" spans="1:8" hidden="1" x14ac:dyDescent="0.2">
      <c r="A202" s="7">
        <v>22769</v>
      </c>
      <c r="B202" s="7" t="s">
        <v>2672</v>
      </c>
      <c r="C202" s="7" t="s">
        <v>2673</v>
      </c>
      <c r="D202" s="7" t="s">
        <v>1123</v>
      </c>
      <c r="E202" s="7" t="s">
        <v>452</v>
      </c>
      <c r="F202" s="7" t="s">
        <v>453</v>
      </c>
      <c r="G202" s="7" t="s">
        <v>455</v>
      </c>
      <c r="H202" t="s">
        <v>513</v>
      </c>
    </row>
    <row r="203" spans="1:8" hidden="1" x14ac:dyDescent="0.2">
      <c r="A203" s="8">
        <v>27553</v>
      </c>
      <c r="B203" s="8" t="s">
        <v>2674</v>
      </c>
      <c r="C203" s="8" t="s">
        <v>2675</v>
      </c>
      <c r="D203" s="8" t="s">
        <v>726</v>
      </c>
      <c r="E203" s="8" t="s">
        <v>452</v>
      </c>
      <c r="F203" s="8" t="s">
        <v>453</v>
      </c>
      <c r="G203" s="8" t="s">
        <v>455</v>
      </c>
      <c r="H203" t="s">
        <v>513</v>
      </c>
    </row>
    <row r="204" spans="1:8" hidden="1" x14ac:dyDescent="0.2">
      <c r="A204" s="7">
        <v>29009</v>
      </c>
      <c r="B204" s="7" t="s">
        <v>2676</v>
      </c>
      <c r="C204" s="7" t="s">
        <v>145</v>
      </c>
      <c r="D204" s="7" t="s">
        <v>959</v>
      </c>
      <c r="E204" s="7" t="s">
        <v>452</v>
      </c>
      <c r="F204" s="7" t="s">
        <v>453</v>
      </c>
      <c r="G204" s="7" t="s">
        <v>455</v>
      </c>
      <c r="H204" t="s">
        <v>513</v>
      </c>
    </row>
    <row r="205" spans="1:8" hidden="1" x14ac:dyDescent="0.2">
      <c r="A205" s="8">
        <v>28025</v>
      </c>
      <c r="B205" s="8" t="s">
        <v>2677</v>
      </c>
      <c r="C205" s="8" t="s">
        <v>2306</v>
      </c>
      <c r="D205" s="8" t="s">
        <v>1620</v>
      </c>
      <c r="E205" s="8" t="s">
        <v>1498</v>
      </c>
      <c r="F205" s="8" t="s">
        <v>1507</v>
      </c>
      <c r="G205" s="8" t="s">
        <v>455</v>
      </c>
      <c r="H205" t="s">
        <v>456</v>
      </c>
    </row>
    <row r="206" spans="1:8" hidden="1" x14ac:dyDescent="0.2">
      <c r="A206" s="7">
        <v>28312</v>
      </c>
      <c r="B206" s="7" t="s">
        <v>415</v>
      </c>
      <c r="C206" s="7" t="s">
        <v>345</v>
      </c>
      <c r="D206" s="7" t="s">
        <v>1952</v>
      </c>
      <c r="E206" s="7" t="s">
        <v>1498</v>
      </c>
      <c r="F206" s="7" t="s">
        <v>1951</v>
      </c>
      <c r="G206" s="7" t="s">
        <v>455</v>
      </c>
      <c r="H206" t="s">
        <v>513</v>
      </c>
    </row>
    <row r="207" spans="1:8" hidden="1" x14ac:dyDescent="0.2">
      <c r="A207" s="8">
        <v>30996</v>
      </c>
      <c r="B207" s="8" t="s">
        <v>2678</v>
      </c>
      <c r="C207" s="8" t="s">
        <v>47</v>
      </c>
      <c r="D207" s="8" t="s">
        <v>468</v>
      </c>
      <c r="E207" s="8" t="s">
        <v>452</v>
      </c>
      <c r="F207" s="8" t="s">
        <v>453</v>
      </c>
      <c r="G207" s="8" t="s">
        <v>455</v>
      </c>
      <c r="H207" t="s">
        <v>513</v>
      </c>
    </row>
    <row r="208" spans="1:8" hidden="1" x14ac:dyDescent="0.2">
      <c r="A208" s="7">
        <v>31372</v>
      </c>
      <c r="B208" s="7" t="s">
        <v>2679</v>
      </c>
      <c r="C208" s="7" t="s">
        <v>393</v>
      </c>
      <c r="D208" s="7" t="s">
        <v>1402</v>
      </c>
      <c r="E208" s="7" t="s">
        <v>1283</v>
      </c>
      <c r="F208" s="7" t="s">
        <v>1284</v>
      </c>
      <c r="G208" s="7" t="s">
        <v>455</v>
      </c>
      <c r="H208" t="s">
        <v>456</v>
      </c>
    </row>
    <row r="209" spans="1:8" hidden="1" x14ac:dyDescent="0.2">
      <c r="A209" s="8">
        <v>30128</v>
      </c>
      <c r="B209" s="8" t="s">
        <v>2680</v>
      </c>
      <c r="C209" s="8" t="s">
        <v>238</v>
      </c>
      <c r="D209" s="8" t="s">
        <v>1332</v>
      </c>
      <c r="E209" s="8" t="s">
        <v>1283</v>
      </c>
      <c r="F209" s="8" t="s">
        <v>1331</v>
      </c>
      <c r="G209" s="8" t="s">
        <v>455</v>
      </c>
      <c r="H209" t="s">
        <v>456</v>
      </c>
    </row>
    <row r="210" spans="1:8" hidden="1" x14ac:dyDescent="0.2">
      <c r="A210" s="7">
        <v>35385</v>
      </c>
      <c r="B210" s="7" t="s">
        <v>2681</v>
      </c>
      <c r="C210" s="7" t="s">
        <v>9</v>
      </c>
      <c r="D210" s="7" t="s">
        <v>454</v>
      </c>
      <c r="E210" s="7" t="s">
        <v>452</v>
      </c>
      <c r="F210" s="7" t="s">
        <v>453</v>
      </c>
      <c r="G210" s="7" t="s">
        <v>455</v>
      </c>
      <c r="H210" t="s">
        <v>456</v>
      </c>
    </row>
    <row r="211" spans="1:8" hidden="1" x14ac:dyDescent="0.2">
      <c r="A211" s="8">
        <v>34444</v>
      </c>
      <c r="B211" s="8" t="s">
        <v>2682</v>
      </c>
      <c r="C211" s="8" t="s">
        <v>2273</v>
      </c>
      <c r="D211" s="8" t="s">
        <v>751</v>
      </c>
      <c r="E211" s="8" t="s">
        <v>452</v>
      </c>
      <c r="F211" s="8" t="s">
        <v>453</v>
      </c>
      <c r="G211" s="8" t="s">
        <v>455</v>
      </c>
      <c r="H211" t="s">
        <v>513</v>
      </c>
    </row>
    <row r="212" spans="1:8" hidden="1" x14ac:dyDescent="0.2">
      <c r="A212" s="7">
        <v>30559</v>
      </c>
      <c r="B212" s="7" t="s">
        <v>2683</v>
      </c>
      <c r="C212" s="7" t="s">
        <v>325</v>
      </c>
      <c r="D212" s="7" t="s">
        <v>1831</v>
      </c>
      <c r="E212" s="7" t="s">
        <v>1745</v>
      </c>
      <c r="F212" s="7" t="s">
        <v>1773</v>
      </c>
      <c r="G212" s="7" t="s">
        <v>455</v>
      </c>
      <c r="H212" t="s">
        <v>456</v>
      </c>
    </row>
    <row r="213" spans="1:8" x14ac:dyDescent="0.2">
      <c r="A213" s="8">
        <v>31805</v>
      </c>
      <c r="B213" s="8" t="s">
        <v>959</v>
      </c>
      <c r="C213" s="8" t="s">
        <v>133</v>
      </c>
      <c r="D213" s="8" t="s">
        <v>900</v>
      </c>
      <c r="E213" s="8" t="s">
        <v>452</v>
      </c>
      <c r="F213" s="8" t="s">
        <v>904</v>
      </c>
      <c r="G213" s="8" t="s">
        <v>455</v>
      </c>
      <c r="H213" t="s">
        <v>456</v>
      </c>
    </row>
    <row r="214" spans="1:8" hidden="1" x14ac:dyDescent="0.2">
      <c r="A214" s="7">
        <v>31277</v>
      </c>
      <c r="B214" s="7" t="s">
        <v>2684</v>
      </c>
      <c r="C214" s="7" t="s">
        <v>2233</v>
      </c>
      <c r="D214" s="7" t="s">
        <v>1117</v>
      </c>
      <c r="E214" s="7" t="s">
        <v>452</v>
      </c>
      <c r="F214" s="7" t="s">
        <v>453</v>
      </c>
      <c r="G214" s="7" t="s">
        <v>455</v>
      </c>
      <c r="H214" t="s">
        <v>513</v>
      </c>
    </row>
    <row r="215" spans="1:8" hidden="1" x14ac:dyDescent="0.2">
      <c r="A215" s="8">
        <v>33865</v>
      </c>
      <c r="B215" s="8" t="s">
        <v>2685</v>
      </c>
      <c r="C215" s="8" t="s">
        <v>2686</v>
      </c>
      <c r="D215" s="8" t="s">
        <v>1359</v>
      </c>
      <c r="E215" s="8" t="s">
        <v>1283</v>
      </c>
      <c r="F215" s="8" t="s">
        <v>1331</v>
      </c>
      <c r="G215" s="8" t="s">
        <v>455</v>
      </c>
      <c r="H215" t="s">
        <v>513</v>
      </c>
    </row>
    <row r="216" spans="1:8" hidden="1" x14ac:dyDescent="0.2">
      <c r="A216" s="7">
        <v>31710</v>
      </c>
      <c r="B216" s="7" t="s">
        <v>2687</v>
      </c>
      <c r="C216" s="7" t="s">
        <v>304</v>
      </c>
      <c r="D216" s="7" t="s">
        <v>1747</v>
      </c>
      <c r="E216" s="7" t="s">
        <v>1745</v>
      </c>
      <c r="F216" s="7" t="s">
        <v>1746</v>
      </c>
      <c r="G216" s="7" t="s">
        <v>455</v>
      </c>
      <c r="H216" t="s">
        <v>456</v>
      </c>
    </row>
    <row r="217" spans="1:8" hidden="1" x14ac:dyDescent="0.2">
      <c r="A217" s="8">
        <v>29137</v>
      </c>
      <c r="B217" s="8" t="s">
        <v>2688</v>
      </c>
      <c r="C217" s="8" t="s">
        <v>40</v>
      </c>
      <c r="D217" s="8" t="s">
        <v>468</v>
      </c>
      <c r="E217" s="8" t="s">
        <v>452</v>
      </c>
      <c r="F217" s="8" t="s">
        <v>453</v>
      </c>
      <c r="G217" s="8" t="s">
        <v>455</v>
      </c>
      <c r="H217" t="s">
        <v>513</v>
      </c>
    </row>
    <row r="218" spans="1:8" hidden="1" x14ac:dyDescent="0.2">
      <c r="A218" s="7">
        <v>32435</v>
      </c>
      <c r="B218" s="7" t="s">
        <v>1236</v>
      </c>
      <c r="C218" s="7" t="s">
        <v>219</v>
      </c>
      <c r="D218" s="7" t="s">
        <v>959</v>
      </c>
      <c r="E218" s="7" t="s">
        <v>452</v>
      </c>
      <c r="F218" s="7" t="s">
        <v>453</v>
      </c>
      <c r="G218" s="7" t="s">
        <v>455</v>
      </c>
      <c r="H218" t="s">
        <v>513</v>
      </c>
    </row>
    <row r="219" spans="1:8" hidden="1" x14ac:dyDescent="0.2">
      <c r="A219" s="8">
        <v>33672</v>
      </c>
      <c r="B219" s="8" t="s">
        <v>2689</v>
      </c>
      <c r="C219" s="8" t="s">
        <v>2690</v>
      </c>
      <c r="D219" s="8" t="s">
        <v>1424</v>
      </c>
      <c r="E219" s="8" t="s">
        <v>1283</v>
      </c>
      <c r="F219" s="8" t="s">
        <v>1284</v>
      </c>
      <c r="G219" s="8" t="s">
        <v>719</v>
      </c>
      <c r="H219" t="s">
        <v>513</v>
      </c>
    </row>
    <row r="220" spans="1:8" hidden="1" x14ac:dyDescent="0.2">
      <c r="A220" s="7">
        <v>31327</v>
      </c>
      <c r="B220" s="7" t="s">
        <v>2691</v>
      </c>
      <c r="C220" s="7" t="s">
        <v>2692</v>
      </c>
      <c r="D220" s="7" t="s">
        <v>919</v>
      </c>
      <c r="E220" s="7" t="s">
        <v>452</v>
      </c>
      <c r="F220" s="7" t="s">
        <v>453</v>
      </c>
      <c r="G220" s="7" t="s">
        <v>455</v>
      </c>
      <c r="H220" t="s">
        <v>513</v>
      </c>
    </row>
    <row r="221" spans="1:8" hidden="1" x14ac:dyDescent="0.2">
      <c r="A221" s="8">
        <v>31366</v>
      </c>
      <c r="B221" s="8" t="s">
        <v>2693</v>
      </c>
      <c r="C221" s="8" t="s">
        <v>80</v>
      </c>
      <c r="D221" s="8" t="s">
        <v>726</v>
      </c>
      <c r="E221" s="8" t="s">
        <v>452</v>
      </c>
      <c r="F221" s="8" t="s">
        <v>453</v>
      </c>
      <c r="G221" s="8" t="s">
        <v>455</v>
      </c>
      <c r="H221" t="s">
        <v>456</v>
      </c>
    </row>
    <row r="222" spans="1:8" hidden="1" x14ac:dyDescent="0.2">
      <c r="A222" s="7">
        <v>33357</v>
      </c>
      <c r="B222" s="7" t="s">
        <v>2694</v>
      </c>
      <c r="C222" s="7" t="s">
        <v>2695</v>
      </c>
      <c r="D222" s="7" t="s">
        <v>1598</v>
      </c>
      <c r="E222" s="7" t="s">
        <v>1498</v>
      </c>
      <c r="F222" s="7" t="s">
        <v>1515</v>
      </c>
      <c r="G222" s="7" t="s">
        <v>455</v>
      </c>
      <c r="H222" t="s">
        <v>513</v>
      </c>
    </row>
    <row r="223" spans="1:8" hidden="1" x14ac:dyDescent="0.2">
      <c r="A223" s="8">
        <v>35788</v>
      </c>
      <c r="B223" s="8" t="s">
        <v>2696</v>
      </c>
      <c r="C223" s="8" t="s">
        <v>309</v>
      </c>
      <c r="D223" s="8" t="s">
        <v>1747</v>
      </c>
      <c r="E223" s="8" t="s">
        <v>1745</v>
      </c>
      <c r="F223" s="8" t="s">
        <v>1746</v>
      </c>
      <c r="G223" s="8" t="s">
        <v>455</v>
      </c>
      <c r="H223" t="s">
        <v>513</v>
      </c>
    </row>
    <row r="224" spans="1:8" hidden="1" x14ac:dyDescent="0.2">
      <c r="A224" s="7">
        <v>31627</v>
      </c>
      <c r="B224" s="7" t="s">
        <v>2697</v>
      </c>
      <c r="C224" s="7" t="s">
        <v>77</v>
      </c>
      <c r="D224" s="7" t="s">
        <v>726</v>
      </c>
      <c r="E224" s="7" t="s">
        <v>452</v>
      </c>
      <c r="F224" s="7" t="s">
        <v>453</v>
      </c>
      <c r="G224" s="7" t="s">
        <v>455</v>
      </c>
      <c r="H224" t="s">
        <v>513</v>
      </c>
    </row>
    <row r="225" spans="1:8" hidden="1" x14ac:dyDescent="0.2">
      <c r="A225" s="8">
        <v>32008</v>
      </c>
      <c r="B225" s="8" t="s">
        <v>2698</v>
      </c>
      <c r="C225" s="8" t="s">
        <v>265</v>
      </c>
      <c r="D225" s="8" t="s">
        <v>1508</v>
      </c>
      <c r="E225" s="8" t="s">
        <v>1498</v>
      </c>
      <c r="F225" s="8" t="s">
        <v>1507</v>
      </c>
      <c r="G225" s="8" t="s">
        <v>455</v>
      </c>
      <c r="H225" t="s">
        <v>456</v>
      </c>
    </row>
    <row r="226" spans="1:8" hidden="1" x14ac:dyDescent="0.2">
      <c r="A226" s="7">
        <v>31568</v>
      </c>
      <c r="B226" s="7" t="s">
        <v>2699</v>
      </c>
      <c r="C226" s="7" t="s">
        <v>2700</v>
      </c>
      <c r="D226" s="7" t="s">
        <v>1527</v>
      </c>
      <c r="E226" s="7" t="s">
        <v>1498</v>
      </c>
      <c r="F226" s="7" t="s">
        <v>1507</v>
      </c>
      <c r="G226" s="7" t="s">
        <v>455</v>
      </c>
      <c r="H226" t="s">
        <v>456</v>
      </c>
    </row>
    <row r="227" spans="1:8" hidden="1" x14ac:dyDescent="0.2">
      <c r="A227" s="8">
        <v>31634</v>
      </c>
      <c r="B227" s="8" t="s">
        <v>2701</v>
      </c>
      <c r="C227" s="8" t="s">
        <v>349</v>
      </c>
      <c r="D227" s="8" t="s">
        <v>1527</v>
      </c>
      <c r="E227" s="8" t="s">
        <v>1498</v>
      </c>
      <c r="F227" s="8" t="s">
        <v>1697</v>
      </c>
      <c r="G227" s="8" t="s">
        <v>455</v>
      </c>
      <c r="H227" t="s">
        <v>456</v>
      </c>
    </row>
    <row r="228" spans="1:8" hidden="1" x14ac:dyDescent="0.2">
      <c r="A228" s="7">
        <v>33347</v>
      </c>
      <c r="B228" s="7" t="s">
        <v>2702</v>
      </c>
      <c r="C228" s="7" t="s">
        <v>293</v>
      </c>
      <c r="D228" s="7" t="s">
        <v>1678</v>
      </c>
      <c r="E228" s="7" t="s">
        <v>1498</v>
      </c>
      <c r="F228" s="7" t="s">
        <v>1515</v>
      </c>
      <c r="G228" s="7" t="s">
        <v>455</v>
      </c>
      <c r="H228" t="s">
        <v>513</v>
      </c>
    </row>
    <row r="229" spans="1:8" hidden="1" x14ac:dyDescent="0.2">
      <c r="A229" s="8">
        <v>32006</v>
      </c>
      <c r="B229" s="8" t="s">
        <v>2703</v>
      </c>
      <c r="C229" s="8" t="s">
        <v>2704</v>
      </c>
      <c r="D229" s="8" t="s">
        <v>1508</v>
      </c>
      <c r="E229" s="8" t="s">
        <v>1498</v>
      </c>
      <c r="F229" s="8" t="s">
        <v>1515</v>
      </c>
      <c r="G229" s="8" t="s">
        <v>455</v>
      </c>
      <c r="H229" t="s">
        <v>513</v>
      </c>
    </row>
    <row r="230" spans="1:8" hidden="1" x14ac:dyDescent="0.2">
      <c r="A230" s="7">
        <v>32047</v>
      </c>
      <c r="B230" s="7" t="s">
        <v>2705</v>
      </c>
      <c r="C230" s="7" t="s">
        <v>369</v>
      </c>
      <c r="D230" s="7" t="s">
        <v>2102</v>
      </c>
      <c r="E230" s="7" t="s">
        <v>2011</v>
      </c>
      <c r="F230" s="7" t="s">
        <v>2012</v>
      </c>
      <c r="G230" s="7" t="s">
        <v>455</v>
      </c>
      <c r="H230" t="s">
        <v>456</v>
      </c>
    </row>
    <row r="231" spans="1:8" hidden="1" x14ac:dyDescent="0.2">
      <c r="A231" s="8">
        <v>32215</v>
      </c>
      <c r="B231" s="8" t="s">
        <v>2706</v>
      </c>
      <c r="C231" s="8" t="s">
        <v>2707</v>
      </c>
      <c r="D231" s="8" t="s">
        <v>959</v>
      </c>
      <c r="E231" s="8" t="s">
        <v>452</v>
      </c>
      <c r="F231" s="8" t="s">
        <v>453</v>
      </c>
      <c r="G231" s="8" t="s">
        <v>455</v>
      </c>
      <c r="H231" t="s">
        <v>513</v>
      </c>
    </row>
    <row r="232" spans="1:8" hidden="1" x14ac:dyDescent="0.2">
      <c r="A232" s="7">
        <v>24001</v>
      </c>
      <c r="B232" s="7" t="s">
        <v>2708</v>
      </c>
      <c r="C232" s="7" t="s">
        <v>49</v>
      </c>
      <c r="D232" s="7" t="s">
        <v>468</v>
      </c>
      <c r="E232" s="7" t="s">
        <v>452</v>
      </c>
      <c r="F232" s="7" t="s">
        <v>453</v>
      </c>
      <c r="G232" s="7" t="s">
        <v>455</v>
      </c>
      <c r="H232" t="s">
        <v>513</v>
      </c>
    </row>
    <row r="233" spans="1:8" hidden="1" x14ac:dyDescent="0.2">
      <c r="A233" s="8">
        <v>37509</v>
      </c>
      <c r="B233" s="8" t="s">
        <v>2709</v>
      </c>
      <c r="C233" s="8" t="s">
        <v>99</v>
      </c>
      <c r="D233" s="8" t="s">
        <v>751</v>
      </c>
      <c r="E233" s="8" t="s">
        <v>452</v>
      </c>
      <c r="F233" s="8" t="s">
        <v>453</v>
      </c>
      <c r="G233" s="8" t="s">
        <v>455</v>
      </c>
      <c r="H233" t="s">
        <v>513</v>
      </c>
    </row>
    <row r="234" spans="1:8" hidden="1" x14ac:dyDescent="0.2">
      <c r="A234" s="7">
        <v>33343</v>
      </c>
      <c r="B234" s="7" t="s">
        <v>2710</v>
      </c>
      <c r="C234" s="7" t="s">
        <v>2271</v>
      </c>
      <c r="D234" s="7" t="s">
        <v>2608</v>
      </c>
      <c r="E234" s="7" t="s">
        <v>452</v>
      </c>
      <c r="F234" s="7" t="s">
        <v>453</v>
      </c>
      <c r="G234" s="7" t="s">
        <v>455</v>
      </c>
      <c r="H234" t="s">
        <v>456</v>
      </c>
    </row>
    <row r="235" spans="1:8" hidden="1" x14ac:dyDescent="0.2">
      <c r="A235" s="8">
        <v>35789</v>
      </c>
      <c r="B235" s="8" t="s">
        <v>2711</v>
      </c>
      <c r="C235" s="8" t="s">
        <v>2712</v>
      </c>
      <c r="D235" s="8" t="s">
        <v>751</v>
      </c>
      <c r="E235" s="8" t="s">
        <v>452</v>
      </c>
      <c r="F235" s="8" t="s">
        <v>453</v>
      </c>
      <c r="G235" s="8" t="s">
        <v>719</v>
      </c>
      <c r="H235" t="s">
        <v>513</v>
      </c>
    </row>
    <row r="236" spans="1:8" hidden="1" x14ac:dyDescent="0.2">
      <c r="A236" s="7">
        <v>33807</v>
      </c>
      <c r="B236" s="7" t="s">
        <v>2713</v>
      </c>
      <c r="C236" s="7" t="s">
        <v>2714</v>
      </c>
      <c r="D236" s="7" t="s">
        <v>468</v>
      </c>
      <c r="E236" s="7" t="s">
        <v>452</v>
      </c>
      <c r="F236" s="7" t="s">
        <v>453</v>
      </c>
      <c r="G236" s="7" t="s">
        <v>455</v>
      </c>
      <c r="H236" t="s">
        <v>513</v>
      </c>
    </row>
    <row r="237" spans="1:8" hidden="1" x14ac:dyDescent="0.2">
      <c r="A237" s="8">
        <v>31752</v>
      </c>
      <c r="B237" s="8" t="s">
        <v>2715</v>
      </c>
      <c r="C237" s="8" t="s">
        <v>384</v>
      </c>
      <c r="D237" s="8" t="s">
        <v>1077</v>
      </c>
      <c r="E237" s="8" t="s">
        <v>452</v>
      </c>
      <c r="F237" s="8" t="s">
        <v>453</v>
      </c>
      <c r="G237" s="8" t="s">
        <v>455</v>
      </c>
      <c r="H237" t="s">
        <v>513</v>
      </c>
    </row>
    <row r="238" spans="1:8" x14ac:dyDescent="0.2">
      <c r="A238" s="7">
        <v>35900</v>
      </c>
      <c r="B238" s="7" t="s">
        <v>751</v>
      </c>
      <c r="C238" s="7" t="s">
        <v>121</v>
      </c>
      <c r="D238" s="7" t="s">
        <v>900</v>
      </c>
      <c r="E238" s="7" t="s">
        <v>452</v>
      </c>
      <c r="F238" s="7" t="s">
        <v>904</v>
      </c>
      <c r="G238" s="7" t="s">
        <v>455</v>
      </c>
      <c r="H238" t="s">
        <v>456</v>
      </c>
    </row>
    <row r="239" spans="1:8" hidden="1" x14ac:dyDescent="0.2">
      <c r="A239" s="8">
        <v>29436</v>
      </c>
      <c r="B239" s="8" t="s">
        <v>2102</v>
      </c>
      <c r="C239" s="8" t="s">
        <v>354</v>
      </c>
      <c r="D239" s="8" t="s">
        <v>2013</v>
      </c>
      <c r="E239" s="8" t="s">
        <v>2011</v>
      </c>
      <c r="F239" s="8" t="s">
        <v>2012</v>
      </c>
      <c r="G239" s="8" t="s">
        <v>455</v>
      </c>
      <c r="H239" t="s">
        <v>456</v>
      </c>
    </row>
    <row r="240" spans="1:8" hidden="1" x14ac:dyDescent="0.2">
      <c r="A240" s="7">
        <v>29693</v>
      </c>
      <c r="B240" s="7" t="s">
        <v>2716</v>
      </c>
      <c r="C240" s="7" t="s">
        <v>2717</v>
      </c>
      <c r="D240" s="7" t="s">
        <v>2476</v>
      </c>
      <c r="E240" s="7" t="s">
        <v>2477</v>
      </c>
      <c r="F240" s="7" t="s">
        <v>2478</v>
      </c>
      <c r="G240" s="7" t="s">
        <v>455</v>
      </c>
      <c r="H240" t="s">
        <v>456</v>
      </c>
    </row>
    <row r="241" spans="1:8" hidden="1" x14ac:dyDescent="0.2">
      <c r="A241" s="8">
        <v>37601</v>
      </c>
      <c r="B241" s="8" t="s">
        <v>2718</v>
      </c>
      <c r="C241" s="8" t="s">
        <v>102</v>
      </c>
      <c r="D241" s="8" t="s">
        <v>751</v>
      </c>
      <c r="E241" s="8" t="s">
        <v>452</v>
      </c>
      <c r="F241" s="8" t="s">
        <v>453</v>
      </c>
      <c r="G241" s="8" t="s">
        <v>455</v>
      </c>
      <c r="H241" t="s">
        <v>513</v>
      </c>
    </row>
    <row r="242" spans="1:8" hidden="1" x14ac:dyDescent="0.2">
      <c r="A242" s="7">
        <v>34583</v>
      </c>
      <c r="B242" s="7" t="s">
        <v>2719</v>
      </c>
      <c r="C242" s="7" t="s">
        <v>190</v>
      </c>
      <c r="D242" s="7" t="s">
        <v>1123</v>
      </c>
      <c r="E242" s="7" t="s">
        <v>452</v>
      </c>
      <c r="F242" s="7" t="s">
        <v>453</v>
      </c>
      <c r="G242" s="7" t="s">
        <v>455</v>
      </c>
      <c r="H242" t="s">
        <v>513</v>
      </c>
    </row>
    <row r="243" spans="1:8" hidden="1" x14ac:dyDescent="0.2">
      <c r="A243" s="8">
        <v>32673</v>
      </c>
      <c r="B243" s="8" t="s">
        <v>2720</v>
      </c>
      <c r="C243" s="8" t="s">
        <v>2721</v>
      </c>
      <c r="D243" s="8" t="s">
        <v>1484</v>
      </c>
      <c r="E243" s="8" t="s">
        <v>1283</v>
      </c>
      <c r="F243" s="8" t="s">
        <v>1284</v>
      </c>
      <c r="G243" s="8" t="s">
        <v>455</v>
      </c>
      <c r="H243" t="s">
        <v>456</v>
      </c>
    </row>
    <row r="244" spans="1:8" hidden="1" x14ac:dyDescent="0.2">
      <c r="A244" s="7">
        <v>32733</v>
      </c>
      <c r="B244" s="7" t="s">
        <v>2722</v>
      </c>
      <c r="C244" s="7" t="s">
        <v>2223</v>
      </c>
      <c r="D244" s="7" t="s">
        <v>468</v>
      </c>
      <c r="E244" s="7" t="s">
        <v>452</v>
      </c>
      <c r="F244" s="7" t="s">
        <v>453</v>
      </c>
      <c r="G244" s="7" t="s">
        <v>455</v>
      </c>
      <c r="H244" t="s">
        <v>513</v>
      </c>
    </row>
    <row r="245" spans="1:8" hidden="1" x14ac:dyDescent="0.2">
      <c r="A245" s="8">
        <v>34937</v>
      </c>
      <c r="B245" s="8" t="s">
        <v>2723</v>
      </c>
      <c r="C245" s="8" t="s">
        <v>177</v>
      </c>
      <c r="D245" s="8" t="s">
        <v>1077</v>
      </c>
      <c r="E245" s="8" t="s">
        <v>452</v>
      </c>
      <c r="F245" s="8" t="s">
        <v>453</v>
      </c>
      <c r="G245" s="8" t="s">
        <v>455</v>
      </c>
      <c r="H245" t="s">
        <v>513</v>
      </c>
    </row>
    <row r="246" spans="1:8" hidden="1" x14ac:dyDescent="0.2">
      <c r="A246" s="7">
        <v>34337</v>
      </c>
      <c r="B246" s="7" t="s">
        <v>2724</v>
      </c>
      <c r="C246" s="7" t="s">
        <v>276</v>
      </c>
      <c r="D246" s="7" t="s">
        <v>1545</v>
      </c>
      <c r="E246" s="7" t="s">
        <v>1498</v>
      </c>
      <c r="F246" s="7" t="s">
        <v>1515</v>
      </c>
      <c r="G246" s="7" t="s">
        <v>455</v>
      </c>
      <c r="H246" t="s">
        <v>513</v>
      </c>
    </row>
    <row r="247" spans="1:8" hidden="1" x14ac:dyDescent="0.2">
      <c r="A247" s="8">
        <v>37887</v>
      </c>
      <c r="B247" s="8" t="s">
        <v>2725</v>
      </c>
      <c r="C247" s="8" t="s">
        <v>2279</v>
      </c>
      <c r="D247" s="8" t="s">
        <v>751</v>
      </c>
      <c r="E247" s="8" t="s">
        <v>452</v>
      </c>
      <c r="F247" s="8" t="s">
        <v>453</v>
      </c>
      <c r="G247" s="8" t="s">
        <v>455</v>
      </c>
      <c r="H247" t="s">
        <v>513</v>
      </c>
    </row>
    <row r="248" spans="1:8" hidden="1" x14ac:dyDescent="0.2">
      <c r="A248" s="7">
        <v>33344</v>
      </c>
      <c r="B248" s="7" t="s">
        <v>2726</v>
      </c>
      <c r="C248" s="7" t="s">
        <v>2269</v>
      </c>
      <c r="D248" s="7" t="s">
        <v>2608</v>
      </c>
      <c r="E248" s="7" t="s">
        <v>452</v>
      </c>
      <c r="F248" s="7" t="s">
        <v>453</v>
      </c>
      <c r="G248" s="7" t="s">
        <v>455</v>
      </c>
      <c r="H248" t="s">
        <v>513</v>
      </c>
    </row>
    <row r="249" spans="1:8" hidden="1" x14ac:dyDescent="0.2">
      <c r="A249" s="8">
        <v>35480</v>
      </c>
      <c r="B249" s="8" t="s">
        <v>2727</v>
      </c>
      <c r="C249" s="8" t="s">
        <v>109</v>
      </c>
      <c r="D249" s="8" t="s">
        <v>751</v>
      </c>
      <c r="E249" s="8" t="s">
        <v>452</v>
      </c>
      <c r="F249" s="8" t="s">
        <v>453</v>
      </c>
      <c r="G249" s="8" t="s">
        <v>455</v>
      </c>
      <c r="H249" t="s">
        <v>513</v>
      </c>
    </row>
    <row r="250" spans="1:8" hidden="1" x14ac:dyDescent="0.2">
      <c r="A250" s="7">
        <v>33727</v>
      </c>
      <c r="B250" s="7" t="s">
        <v>2728</v>
      </c>
      <c r="C250" s="7" t="s">
        <v>2729</v>
      </c>
      <c r="D250" s="7" t="s">
        <v>2466</v>
      </c>
      <c r="E250" s="7" t="s">
        <v>2477</v>
      </c>
      <c r="F250" s="7" t="s">
        <v>2730</v>
      </c>
      <c r="G250" s="7" t="s">
        <v>455</v>
      </c>
      <c r="H250" t="s">
        <v>456</v>
      </c>
    </row>
    <row r="251" spans="1:8" hidden="1" x14ac:dyDescent="0.2">
      <c r="A251" s="8">
        <v>33492</v>
      </c>
      <c r="B251" s="8" t="s">
        <v>2731</v>
      </c>
      <c r="C251" s="8" t="s">
        <v>249</v>
      </c>
      <c r="D251" s="8" t="s">
        <v>1402</v>
      </c>
      <c r="E251" s="8" t="s">
        <v>1283</v>
      </c>
      <c r="F251" s="8" t="s">
        <v>1284</v>
      </c>
      <c r="G251" s="8" t="s">
        <v>455</v>
      </c>
      <c r="H251" t="s">
        <v>456</v>
      </c>
    </row>
    <row r="252" spans="1:8" hidden="1" x14ac:dyDescent="0.2">
      <c r="A252" s="7">
        <v>37772</v>
      </c>
      <c r="B252" s="7" t="s">
        <v>2732</v>
      </c>
      <c r="C252" s="7" t="s">
        <v>235</v>
      </c>
      <c r="D252" s="7" t="s">
        <v>1292</v>
      </c>
      <c r="E252" s="7" t="s">
        <v>1283</v>
      </c>
      <c r="F252" s="7" t="s">
        <v>1284</v>
      </c>
      <c r="G252" s="7" t="s">
        <v>455</v>
      </c>
      <c r="H252" t="s">
        <v>456</v>
      </c>
    </row>
    <row r="253" spans="1:8" hidden="1" x14ac:dyDescent="0.2">
      <c r="A253" s="8">
        <v>24130</v>
      </c>
      <c r="B253" s="8" t="s">
        <v>2733</v>
      </c>
      <c r="C253" s="8" t="s">
        <v>391</v>
      </c>
      <c r="D253" s="8" t="s">
        <v>1648</v>
      </c>
      <c r="E253" s="8" t="s">
        <v>1498</v>
      </c>
      <c r="F253" s="8" t="s">
        <v>1515</v>
      </c>
      <c r="G253" s="8" t="s">
        <v>455</v>
      </c>
      <c r="H253" t="s">
        <v>513</v>
      </c>
    </row>
    <row r="254" spans="1:8" hidden="1" x14ac:dyDescent="0.2">
      <c r="A254" s="7">
        <v>37422</v>
      </c>
      <c r="B254" s="7" t="s">
        <v>2734</v>
      </c>
      <c r="C254" s="7" t="s">
        <v>188</v>
      </c>
      <c r="D254" s="7" t="s">
        <v>1123</v>
      </c>
      <c r="E254" s="7" t="s">
        <v>452</v>
      </c>
      <c r="F254" s="7" t="s">
        <v>453</v>
      </c>
      <c r="G254" s="7" t="s">
        <v>455</v>
      </c>
      <c r="H254" t="s">
        <v>513</v>
      </c>
    </row>
    <row r="255" spans="1:8" hidden="1" x14ac:dyDescent="0.2">
      <c r="A255" s="8">
        <v>32038</v>
      </c>
      <c r="B255" s="8" t="s">
        <v>2735</v>
      </c>
      <c r="C255" s="8" t="s">
        <v>2219</v>
      </c>
      <c r="D255" s="8" t="s">
        <v>468</v>
      </c>
      <c r="E255" s="8" t="s">
        <v>452</v>
      </c>
      <c r="F255" s="8" t="s">
        <v>453</v>
      </c>
      <c r="G255" s="8" t="s">
        <v>455</v>
      </c>
      <c r="H255" t="s">
        <v>513</v>
      </c>
    </row>
    <row r="256" spans="1:8" hidden="1" x14ac:dyDescent="0.2">
      <c r="A256" s="7">
        <v>31982</v>
      </c>
      <c r="B256" s="7" t="s">
        <v>2736</v>
      </c>
      <c r="C256" s="7" t="s">
        <v>26</v>
      </c>
      <c r="D256" s="7" t="s">
        <v>454</v>
      </c>
      <c r="E256" s="7" t="s">
        <v>452</v>
      </c>
      <c r="F256" s="7" t="s">
        <v>453</v>
      </c>
      <c r="G256" s="7" t="s">
        <v>455</v>
      </c>
      <c r="H256" t="s">
        <v>513</v>
      </c>
    </row>
    <row r="257" spans="1:8" hidden="1" x14ac:dyDescent="0.2">
      <c r="A257" s="8">
        <v>35394</v>
      </c>
      <c r="B257" s="8" t="s">
        <v>2737</v>
      </c>
      <c r="C257" s="8" t="s">
        <v>2738</v>
      </c>
      <c r="D257" s="8" t="s">
        <v>1117</v>
      </c>
      <c r="E257" s="8" t="s">
        <v>452</v>
      </c>
      <c r="F257" s="8" t="s">
        <v>453</v>
      </c>
      <c r="G257" s="8" t="s">
        <v>455</v>
      </c>
      <c r="H257" t="s">
        <v>513</v>
      </c>
    </row>
    <row r="258" spans="1:8" hidden="1" x14ac:dyDescent="0.2">
      <c r="A258" s="7">
        <v>32426</v>
      </c>
      <c r="B258" s="7" t="s">
        <v>2739</v>
      </c>
      <c r="C258" s="7" t="s">
        <v>2323</v>
      </c>
      <c r="D258" s="7" t="s">
        <v>1359</v>
      </c>
      <c r="E258" s="7" t="s">
        <v>1283</v>
      </c>
      <c r="F258" s="7" t="s">
        <v>1331</v>
      </c>
      <c r="G258" s="7" t="s">
        <v>455</v>
      </c>
      <c r="H258" t="s">
        <v>456</v>
      </c>
    </row>
    <row r="259" spans="1:8" hidden="1" x14ac:dyDescent="0.2">
      <c r="A259" s="8">
        <v>33542</v>
      </c>
      <c r="B259" s="8" t="s">
        <v>2740</v>
      </c>
      <c r="C259" s="8" t="s">
        <v>255</v>
      </c>
      <c r="D259" s="8" t="s">
        <v>1448</v>
      </c>
      <c r="E259" s="8" t="s">
        <v>1283</v>
      </c>
      <c r="F259" s="8" t="s">
        <v>1284</v>
      </c>
      <c r="G259" s="8" t="s">
        <v>455</v>
      </c>
      <c r="H259" t="s">
        <v>456</v>
      </c>
    </row>
    <row r="260" spans="1:8" hidden="1" x14ac:dyDescent="0.2">
      <c r="A260" s="7">
        <v>37843</v>
      </c>
      <c r="B260" s="7" t="s">
        <v>2332</v>
      </c>
      <c r="C260" s="7" t="s">
        <v>386</v>
      </c>
      <c r="D260" s="7" t="s">
        <v>751</v>
      </c>
      <c r="E260" s="7" t="s">
        <v>452</v>
      </c>
      <c r="F260" s="7" t="s">
        <v>453</v>
      </c>
      <c r="G260" s="7" t="s">
        <v>455</v>
      </c>
      <c r="H260" t="s">
        <v>513</v>
      </c>
    </row>
    <row r="261" spans="1:8" hidden="1" x14ac:dyDescent="0.2">
      <c r="A261" s="8">
        <v>36024</v>
      </c>
      <c r="B261" s="8" t="s">
        <v>2741</v>
      </c>
      <c r="C261" s="8" t="s">
        <v>2275</v>
      </c>
      <c r="D261" s="8" t="s">
        <v>1484</v>
      </c>
      <c r="E261" s="8" t="s">
        <v>1283</v>
      </c>
      <c r="F261" s="8" t="s">
        <v>1284</v>
      </c>
      <c r="G261" s="8" t="s">
        <v>455</v>
      </c>
      <c r="H261" t="s">
        <v>456</v>
      </c>
    </row>
    <row r="262" spans="1:8" hidden="1" x14ac:dyDescent="0.2">
      <c r="A262" s="7">
        <v>37354</v>
      </c>
      <c r="B262" s="7" t="s">
        <v>2742</v>
      </c>
      <c r="C262" s="7" t="s">
        <v>164</v>
      </c>
      <c r="D262" s="7" t="s">
        <v>959</v>
      </c>
      <c r="E262" s="7" t="s">
        <v>452</v>
      </c>
      <c r="F262" s="7" t="s">
        <v>453</v>
      </c>
      <c r="G262" s="7" t="s">
        <v>455</v>
      </c>
      <c r="H262" t="s">
        <v>513</v>
      </c>
    </row>
    <row r="263" spans="1:8" hidden="1" x14ac:dyDescent="0.2">
      <c r="A263" s="8">
        <v>34245</v>
      </c>
      <c r="B263" s="8" t="s">
        <v>2743</v>
      </c>
      <c r="C263" s="8" t="s">
        <v>331</v>
      </c>
      <c r="D263" s="8" t="s">
        <v>492</v>
      </c>
      <c r="E263" s="8" t="s">
        <v>452</v>
      </c>
      <c r="F263" s="8" t="s">
        <v>453</v>
      </c>
      <c r="G263" s="8" t="s">
        <v>455</v>
      </c>
      <c r="H263" t="s">
        <v>513</v>
      </c>
    </row>
    <row r="264" spans="1:8" hidden="1" x14ac:dyDescent="0.2">
      <c r="A264" s="7">
        <v>34275</v>
      </c>
      <c r="B264" s="7" t="s">
        <v>2744</v>
      </c>
      <c r="C264" s="7" t="s">
        <v>15</v>
      </c>
      <c r="D264" s="7" t="s">
        <v>468</v>
      </c>
      <c r="E264" s="7" t="s">
        <v>452</v>
      </c>
      <c r="F264" s="7" t="s">
        <v>453</v>
      </c>
      <c r="G264" s="7" t="s">
        <v>455</v>
      </c>
      <c r="H264" t="s">
        <v>456</v>
      </c>
    </row>
    <row r="265" spans="1:8" hidden="1" x14ac:dyDescent="0.2">
      <c r="A265" s="8">
        <v>35651</v>
      </c>
      <c r="B265" s="8" t="s">
        <v>2745</v>
      </c>
      <c r="C265" s="8" t="s">
        <v>2746</v>
      </c>
      <c r="D265" s="8" t="s">
        <v>2747</v>
      </c>
      <c r="E265" s="8" t="s">
        <v>1283</v>
      </c>
      <c r="F265" s="8" t="s">
        <v>1284</v>
      </c>
      <c r="G265" s="8" t="s">
        <v>455</v>
      </c>
      <c r="H265" t="s">
        <v>456</v>
      </c>
    </row>
    <row r="266" spans="1:8" hidden="1" x14ac:dyDescent="0.2">
      <c r="A266" s="7">
        <v>33413</v>
      </c>
      <c r="B266" s="7" t="s">
        <v>2748</v>
      </c>
      <c r="C266" s="7" t="s">
        <v>215</v>
      </c>
      <c r="D266" s="7" t="s">
        <v>959</v>
      </c>
      <c r="E266" s="7" t="s">
        <v>452</v>
      </c>
      <c r="F266" s="7" t="s">
        <v>453</v>
      </c>
      <c r="G266" s="7" t="s">
        <v>455</v>
      </c>
      <c r="H266" t="s">
        <v>513</v>
      </c>
    </row>
    <row r="267" spans="1:8" hidden="1" x14ac:dyDescent="0.2">
      <c r="A267" s="8">
        <v>34522</v>
      </c>
      <c r="B267" s="8" t="s">
        <v>2749</v>
      </c>
      <c r="C267" s="8" t="s">
        <v>2750</v>
      </c>
      <c r="D267" s="8" t="s">
        <v>1648</v>
      </c>
      <c r="E267" s="8" t="s">
        <v>1498</v>
      </c>
      <c r="F267" s="8" t="s">
        <v>1515</v>
      </c>
      <c r="G267" s="8" t="s">
        <v>455</v>
      </c>
      <c r="H267" t="s">
        <v>513</v>
      </c>
    </row>
    <row r="268" spans="1:8" hidden="1" x14ac:dyDescent="0.2">
      <c r="A268" s="7">
        <v>34087</v>
      </c>
      <c r="B268" s="7" t="s">
        <v>2751</v>
      </c>
      <c r="C268" s="7" t="s">
        <v>322</v>
      </c>
      <c r="D268" s="7" t="s">
        <v>1822</v>
      </c>
      <c r="E268" s="7" t="s">
        <v>1745</v>
      </c>
      <c r="F268" s="7" t="s">
        <v>1821</v>
      </c>
      <c r="G268" s="7" t="s">
        <v>455</v>
      </c>
      <c r="H268" t="s">
        <v>456</v>
      </c>
    </row>
    <row r="269" spans="1:8" hidden="1" x14ac:dyDescent="0.2">
      <c r="A269" s="8">
        <v>37766</v>
      </c>
      <c r="B269" s="8" t="s">
        <v>2752</v>
      </c>
      <c r="C269" s="8" t="s">
        <v>228</v>
      </c>
      <c r="D269" s="8" t="s">
        <v>1292</v>
      </c>
      <c r="E269" s="8" t="s">
        <v>1283</v>
      </c>
      <c r="F269" s="8" t="s">
        <v>1284</v>
      </c>
      <c r="G269" s="8" t="s">
        <v>455</v>
      </c>
      <c r="H269" t="s">
        <v>456</v>
      </c>
    </row>
    <row r="270" spans="1:8" hidden="1" x14ac:dyDescent="0.2">
      <c r="A270" s="7">
        <v>36187</v>
      </c>
      <c r="B270" s="7" t="s">
        <v>2753</v>
      </c>
      <c r="C270" s="7" t="s">
        <v>390</v>
      </c>
      <c r="D270" s="7" t="s">
        <v>751</v>
      </c>
      <c r="E270" s="7" t="s">
        <v>452</v>
      </c>
      <c r="F270" s="7" t="s">
        <v>453</v>
      </c>
      <c r="G270" s="7" t="s">
        <v>455</v>
      </c>
      <c r="H270" t="s">
        <v>513</v>
      </c>
    </row>
    <row r="271" spans="1:8" hidden="1" x14ac:dyDescent="0.2">
      <c r="A271" s="8">
        <v>33689</v>
      </c>
      <c r="B271" s="8" t="s">
        <v>2754</v>
      </c>
      <c r="C271" s="8" t="s">
        <v>366</v>
      </c>
      <c r="D271" s="8" t="s">
        <v>2075</v>
      </c>
      <c r="E271" s="8" t="s">
        <v>452</v>
      </c>
      <c r="F271" s="8" t="s">
        <v>2026</v>
      </c>
      <c r="G271" s="8" t="s">
        <v>455</v>
      </c>
      <c r="H271" t="s">
        <v>456</v>
      </c>
    </row>
    <row r="272" spans="1:8" hidden="1" x14ac:dyDescent="0.2">
      <c r="A272" s="7">
        <v>33744</v>
      </c>
      <c r="B272" s="7" t="s">
        <v>2755</v>
      </c>
      <c r="C272" s="7" t="s">
        <v>335</v>
      </c>
      <c r="D272" s="7" t="s">
        <v>492</v>
      </c>
      <c r="E272" s="7" t="s">
        <v>452</v>
      </c>
      <c r="F272" s="7" t="s">
        <v>453</v>
      </c>
      <c r="G272" s="7" t="s">
        <v>455</v>
      </c>
      <c r="H272" t="s">
        <v>513</v>
      </c>
    </row>
    <row r="273" spans="1:8" hidden="1" x14ac:dyDescent="0.2">
      <c r="A273" s="8">
        <v>31230</v>
      </c>
      <c r="B273" s="8" t="s">
        <v>2756</v>
      </c>
      <c r="C273" s="8" t="s">
        <v>125</v>
      </c>
      <c r="D273" s="8" t="s">
        <v>919</v>
      </c>
      <c r="E273" s="8" t="s">
        <v>452</v>
      </c>
      <c r="F273" s="8" t="s">
        <v>453</v>
      </c>
      <c r="G273" s="8" t="s">
        <v>455</v>
      </c>
      <c r="H273" t="s">
        <v>456</v>
      </c>
    </row>
    <row r="274" spans="1:8" hidden="1" x14ac:dyDescent="0.2">
      <c r="A274" s="7">
        <v>24805</v>
      </c>
      <c r="B274" s="7" t="s">
        <v>1939</v>
      </c>
      <c r="C274" s="7" t="s">
        <v>373</v>
      </c>
      <c r="D274" s="7" t="s">
        <v>2131</v>
      </c>
      <c r="E274" s="7" t="s">
        <v>1498</v>
      </c>
      <c r="F274" s="7" t="s">
        <v>1938</v>
      </c>
      <c r="G274" s="7" t="s">
        <v>455</v>
      </c>
      <c r="H274" t="s">
        <v>513</v>
      </c>
    </row>
    <row r="275" spans="1:8" hidden="1" x14ac:dyDescent="0.2">
      <c r="A275" s="8">
        <v>36219</v>
      </c>
      <c r="B275" s="8" t="s">
        <v>2757</v>
      </c>
      <c r="C275" s="8" t="s">
        <v>2228</v>
      </c>
      <c r="D275" s="8" t="s">
        <v>1117</v>
      </c>
      <c r="E275" s="8" t="s">
        <v>452</v>
      </c>
      <c r="F275" s="8" t="s">
        <v>453</v>
      </c>
      <c r="G275" s="8" t="s">
        <v>455</v>
      </c>
      <c r="H275" t="s">
        <v>513</v>
      </c>
    </row>
    <row r="276" spans="1:8" hidden="1" x14ac:dyDescent="0.2">
      <c r="A276" s="7">
        <v>25091</v>
      </c>
      <c r="B276" s="7" t="s">
        <v>2758</v>
      </c>
      <c r="C276" s="7" t="s">
        <v>52</v>
      </c>
      <c r="D276" s="7" t="s">
        <v>468</v>
      </c>
      <c r="E276" s="7" t="s">
        <v>452</v>
      </c>
      <c r="F276" s="7" t="s">
        <v>453</v>
      </c>
      <c r="G276" s="7" t="s">
        <v>455</v>
      </c>
      <c r="H276" t="s">
        <v>513</v>
      </c>
    </row>
    <row r="277" spans="1:8" hidden="1" x14ac:dyDescent="0.2">
      <c r="A277" s="8">
        <v>32818</v>
      </c>
      <c r="B277" s="8" t="s">
        <v>2759</v>
      </c>
      <c r="C277" s="8" t="s">
        <v>2760</v>
      </c>
      <c r="D277" s="8" t="s">
        <v>454</v>
      </c>
      <c r="E277" s="8" t="s">
        <v>452</v>
      </c>
      <c r="F277" s="8" t="s">
        <v>453</v>
      </c>
      <c r="G277" s="8" t="s">
        <v>455</v>
      </c>
      <c r="H277" t="s">
        <v>513</v>
      </c>
    </row>
    <row r="278" spans="1:8" hidden="1" x14ac:dyDescent="0.2">
      <c r="A278" s="7">
        <v>34274</v>
      </c>
      <c r="B278" s="7" t="s">
        <v>2761</v>
      </c>
      <c r="C278" s="7" t="s">
        <v>303</v>
      </c>
      <c r="D278" s="7" t="s">
        <v>959</v>
      </c>
      <c r="E278" s="7" t="s">
        <v>452</v>
      </c>
      <c r="F278" s="7" t="s">
        <v>453</v>
      </c>
      <c r="G278" s="7" t="s">
        <v>455</v>
      </c>
      <c r="H278" t="s">
        <v>456</v>
      </c>
    </row>
    <row r="279" spans="1:8" hidden="1" x14ac:dyDescent="0.2">
      <c r="A279" s="8">
        <v>34520</v>
      </c>
      <c r="B279" s="8" t="s">
        <v>2762</v>
      </c>
      <c r="C279" s="8" t="s">
        <v>2763</v>
      </c>
      <c r="D279" s="8" t="s">
        <v>959</v>
      </c>
      <c r="E279" s="8" t="s">
        <v>452</v>
      </c>
      <c r="F279" s="8" t="s">
        <v>453</v>
      </c>
      <c r="G279" s="8" t="s">
        <v>455</v>
      </c>
      <c r="H279" t="s">
        <v>513</v>
      </c>
    </row>
    <row r="280" spans="1:8" hidden="1" x14ac:dyDescent="0.2">
      <c r="A280" s="7">
        <v>34685</v>
      </c>
      <c r="B280" s="7" t="s">
        <v>2764</v>
      </c>
      <c r="C280" s="7" t="s">
        <v>2765</v>
      </c>
      <c r="D280" s="7" t="s">
        <v>959</v>
      </c>
      <c r="E280" s="7" t="s">
        <v>452</v>
      </c>
      <c r="F280" s="7" t="s">
        <v>453</v>
      </c>
      <c r="G280" s="7" t="s">
        <v>455</v>
      </c>
      <c r="H280" t="s">
        <v>513</v>
      </c>
    </row>
    <row r="281" spans="1:8" hidden="1" x14ac:dyDescent="0.2">
      <c r="A281" s="8">
        <v>34886</v>
      </c>
      <c r="B281" s="8" t="s">
        <v>2766</v>
      </c>
      <c r="C281" s="8" t="s">
        <v>288</v>
      </c>
      <c r="D281" s="8" t="s">
        <v>1648</v>
      </c>
      <c r="E281" s="8" t="s">
        <v>1498</v>
      </c>
      <c r="F281" s="8" t="s">
        <v>1515</v>
      </c>
      <c r="G281" s="8" t="s">
        <v>455</v>
      </c>
      <c r="H281" t="s">
        <v>513</v>
      </c>
    </row>
    <row r="282" spans="1:8" hidden="1" x14ac:dyDescent="0.2">
      <c r="A282" s="7">
        <v>33701</v>
      </c>
      <c r="B282" s="7" t="s">
        <v>2767</v>
      </c>
      <c r="C282" s="7" t="s">
        <v>31</v>
      </c>
      <c r="D282" s="7" t="s">
        <v>454</v>
      </c>
      <c r="E282" s="7" t="s">
        <v>452</v>
      </c>
      <c r="F282" s="7" t="s">
        <v>453</v>
      </c>
      <c r="G282" s="7" t="s">
        <v>455</v>
      </c>
      <c r="H282" t="s">
        <v>513</v>
      </c>
    </row>
    <row r="283" spans="1:8" x14ac:dyDescent="0.2">
      <c r="A283" s="8">
        <v>34192</v>
      </c>
      <c r="B283" s="8" t="s">
        <v>1890</v>
      </c>
      <c r="C283" s="8" t="s">
        <v>355</v>
      </c>
      <c r="D283" s="8" t="s">
        <v>2019</v>
      </c>
      <c r="E283" s="8" t="s">
        <v>452</v>
      </c>
      <c r="F283" s="8" t="s">
        <v>904</v>
      </c>
      <c r="G283" s="8" t="s">
        <v>455</v>
      </c>
      <c r="H283" t="s">
        <v>513</v>
      </c>
    </row>
    <row r="284" spans="1:8" hidden="1" x14ac:dyDescent="0.2">
      <c r="A284" s="7">
        <v>37594</v>
      </c>
      <c r="B284" s="7" t="s">
        <v>2768</v>
      </c>
      <c r="C284" s="7" t="s">
        <v>320</v>
      </c>
      <c r="D284" s="7" t="s">
        <v>751</v>
      </c>
      <c r="E284" s="7" t="s">
        <v>452</v>
      </c>
      <c r="F284" s="7" t="s">
        <v>453</v>
      </c>
      <c r="G284" s="7" t="s">
        <v>455</v>
      </c>
      <c r="H284" t="s">
        <v>513</v>
      </c>
    </row>
    <row r="285" spans="1:8" hidden="1" x14ac:dyDescent="0.2">
      <c r="A285" s="8">
        <v>34293</v>
      </c>
      <c r="B285" s="8" t="s">
        <v>2769</v>
      </c>
      <c r="C285" s="8" t="s">
        <v>139</v>
      </c>
      <c r="D285" s="8" t="s">
        <v>959</v>
      </c>
      <c r="E285" s="8" t="s">
        <v>452</v>
      </c>
      <c r="F285" s="8" t="s">
        <v>453</v>
      </c>
      <c r="G285" s="8" t="s">
        <v>455</v>
      </c>
      <c r="H285" t="s">
        <v>513</v>
      </c>
    </row>
    <row r="286" spans="1:8" hidden="1" x14ac:dyDescent="0.2">
      <c r="A286" s="7">
        <v>34640</v>
      </c>
      <c r="B286" s="7" t="s">
        <v>2770</v>
      </c>
      <c r="C286" s="7" t="s">
        <v>377</v>
      </c>
      <c r="D286" s="7" t="s">
        <v>692</v>
      </c>
      <c r="E286" s="7" t="s">
        <v>452</v>
      </c>
      <c r="F286" s="7" t="s">
        <v>453</v>
      </c>
      <c r="G286" s="7" t="s">
        <v>455</v>
      </c>
      <c r="H286" t="s">
        <v>513</v>
      </c>
    </row>
    <row r="287" spans="1:8" hidden="1" x14ac:dyDescent="0.2">
      <c r="A287" s="8">
        <v>31374</v>
      </c>
      <c r="B287" s="8" t="s">
        <v>2771</v>
      </c>
      <c r="C287" s="8" t="s">
        <v>262</v>
      </c>
      <c r="D287" s="8" t="s">
        <v>1484</v>
      </c>
      <c r="E287" s="8" t="s">
        <v>1283</v>
      </c>
      <c r="F287" s="8" t="s">
        <v>1284</v>
      </c>
      <c r="G287" s="8" t="s">
        <v>455</v>
      </c>
      <c r="H287" t="s">
        <v>456</v>
      </c>
    </row>
    <row r="288" spans="1:8" hidden="1" x14ac:dyDescent="0.2">
      <c r="A288" s="7">
        <v>31753</v>
      </c>
      <c r="B288" s="7" t="s">
        <v>2772</v>
      </c>
      <c r="C288" s="7" t="s">
        <v>182</v>
      </c>
      <c r="D288" s="7" t="s">
        <v>1077</v>
      </c>
      <c r="E288" s="7" t="s">
        <v>452</v>
      </c>
      <c r="F288" s="7" t="s">
        <v>453</v>
      </c>
      <c r="G288" s="7" t="s">
        <v>455</v>
      </c>
      <c r="H288" t="s">
        <v>513</v>
      </c>
    </row>
    <row r="289" spans="1:8" hidden="1" x14ac:dyDescent="0.2">
      <c r="A289" s="8">
        <v>37520</v>
      </c>
      <c r="B289" s="8" t="s">
        <v>2773</v>
      </c>
      <c r="C289" s="8" t="s">
        <v>2774</v>
      </c>
      <c r="D289" s="8" t="s">
        <v>1690</v>
      </c>
      <c r="E289" s="8" t="s">
        <v>1498</v>
      </c>
      <c r="F289" s="8" t="s">
        <v>1697</v>
      </c>
      <c r="G289" s="8" t="s">
        <v>455</v>
      </c>
      <c r="H289" t="s">
        <v>456</v>
      </c>
    </row>
    <row r="290" spans="1:8" hidden="1" x14ac:dyDescent="0.2">
      <c r="A290" s="7">
        <v>35069</v>
      </c>
      <c r="B290" s="7" t="s">
        <v>2775</v>
      </c>
      <c r="C290" s="7" t="s">
        <v>2776</v>
      </c>
      <c r="D290" s="7" t="s">
        <v>751</v>
      </c>
      <c r="E290" s="7" t="s">
        <v>452</v>
      </c>
      <c r="F290" s="7" t="s">
        <v>453</v>
      </c>
      <c r="G290" s="7" t="s">
        <v>455</v>
      </c>
      <c r="H290" t="s">
        <v>513</v>
      </c>
    </row>
    <row r="291" spans="1:8" hidden="1" x14ac:dyDescent="0.2">
      <c r="A291" s="8">
        <v>36477</v>
      </c>
      <c r="B291" s="8" t="s">
        <v>2777</v>
      </c>
      <c r="C291" s="8" t="s">
        <v>42</v>
      </c>
      <c r="D291" s="8" t="s">
        <v>468</v>
      </c>
      <c r="E291" s="8" t="s">
        <v>452</v>
      </c>
      <c r="F291" s="8" t="s">
        <v>453</v>
      </c>
      <c r="G291" s="8" t="s">
        <v>455</v>
      </c>
      <c r="H291" t="s">
        <v>513</v>
      </c>
    </row>
    <row r="292" spans="1:8" hidden="1" x14ac:dyDescent="0.2">
      <c r="A292" s="7">
        <v>35659</v>
      </c>
      <c r="B292" s="7" t="s">
        <v>2778</v>
      </c>
      <c r="C292" s="7" t="s">
        <v>110</v>
      </c>
      <c r="D292" s="7" t="s">
        <v>751</v>
      </c>
      <c r="E292" s="7" t="s">
        <v>452</v>
      </c>
      <c r="F292" s="7" t="s">
        <v>453</v>
      </c>
      <c r="G292" s="7" t="s">
        <v>455</v>
      </c>
      <c r="H292" t="s">
        <v>456</v>
      </c>
    </row>
    <row r="293" spans="1:8" hidden="1" x14ac:dyDescent="0.2">
      <c r="A293" s="8">
        <v>35370</v>
      </c>
      <c r="B293" s="8" t="s">
        <v>2779</v>
      </c>
      <c r="C293" s="8" t="s">
        <v>2158</v>
      </c>
      <c r="D293" s="8" t="s">
        <v>751</v>
      </c>
      <c r="E293" s="8" t="s">
        <v>452</v>
      </c>
      <c r="F293" s="8" t="s">
        <v>453</v>
      </c>
      <c r="G293" s="8" t="s">
        <v>455</v>
      </c>
      <c r="H293" t="s">
        <v>456</v>
      </c>
    </row>
    <row r="294" spans="1:8" hidden="1" x14ac:dyDescent="0.2">
      <c r="A294" s="7">
        <v>35106</v>
      </c>
      <c r="B294" s="7" t="s">
        <v>2780</v>
      </c>
      <c r="C294" s="7" t="s">
        <v>137</v>
      </c>
      <c r="D294" s="7" t="s">
        <v>959</v>
      </c>
      <c r="E294" s="7" t="s">
        <v>452</v>
      </c>
      <c r="F294" s="7" t="s">
        <v>453</v>
      </c>
      <c r="G294" s="7" t="s">
        <v>455</v>
      </c>
      <c r="H294" t="s">
        <v>456</v>
      </c>
    </row>
    <row r="295" spans="1:8" hidden="1" x14ac:dyDescent="0.2">
      <c r="A295" s="8">
        <v>34794</v>
      </c>
      <c r="B295" s="8" t="s">
        <v>2781</v>
      </c>
      <c r="C295" s="8" t="s">
        <v>85</v>
      </c>
      <c r="D295" s="8" t="s">
        <v>751</v>
      </c>
      <c r="E295" s="8" t="s">
        <v>452</v>
      </c>
      <c r="F295" s="8" t="s">
        <v>453</v>
      </c>
      <c r="G295" s="8" t="s">
        <v>455</v>
      </c>
      <c r="H295" t="s">
        <v>456</v>
      </c>
    </row>
    <row r="296" spans="1:8" hidden="1" x14ac:dyDescent="0.2">
      <c r="A296" s="7">
        <v>35011</v>
      </c>
      <c r="B296" s="7" t="s">
        <v>2782</v>
      </c>
      <c r="C296" s="7" t="s">
        <v>2783</v>
      </c>
      <c r="D296" s="7" t="s">
        <v>959</v>
      </c>
      <c r="E296" s="7" t="s">
        <v>452</v>
      </c>
      <c r="F296" s="7" t="s">
        <v>453</v>
      </c>
      <c r="G296" s="7" t="s">
        <v>455</v>
      </c>
      <c r="H296" t="s">
        <v>513</v>
      </c>
    </row>
    <row r="297" spans="1:8" hidden="1" x14ac:dyDescent="0.2">
      <c r="A297" s="8">
        <v>35580</v>
      </c>
      <c r="B297" s="8" t="s">
        <v>2784</v>
      </c>
      <c r="C297" s="8" t="s">
        <v>2785</v>
      </c>
      <c r="D297" s="8" t="s">
        <v>751</v>
      </c>
      <c r="E297" s="8" t="s">
        <v>452</v>
      </c>
      <c r="F297" s="8" t="s">
        <v>453</v>
      </c>
      <c r="G297" s="8" t="s">
        <v>455</v>
      </c>
      <c r="H297" t="s">
        <v>513</v>
      </c>
    </row>
    <row r="298" spans="1:8" hidden="1" x14ac:dyDescent="0.2">
      <c r="A298" s="7">
        <v>35969</v>
      </c>
      <c r="B298" s="7" t="s">
        <v>2786</v>
      </c>
      <c r="C298" s="7" t="s">
        <v>319</v>
      </c>
      <c r="D298" s="7" t="s">
        <v>751</v>
      </c>
      <c r="E298" s="7" t="s">
        <v>452</v>
      </c>
      <c r="F298" s="7" t="s">
        <v>453</v>
      </c>
      <c r="G298" s="7" t="s">
        <v>455</v>
      </c>
      <c r="H298" t="s">
        <v>513</v>
      </c>
    </row>
    <row r="299" spans="1:8" hidden="1" x14ac:dyDescent="0.2">
      <c r="A299" s="8">
        <v>35286</v>
      </c>
      <c r="B299" s="8" t="s">
        <v>2787</v>
      </c>
      <c r="C299" s="8" t="s">
        <v>2788</v>
      </c>
      <c r="D299" s="8" t="s">
        <v>751</v>
      </c>
      <c r="E299" s="8" t="s">
        <v>452</v>
      </c>
      <c r="F299" s="8" t="s">
        <v>453</v>
      </c>
      <c r="G299" s="8" t="s">
        <v>455</v>
      </c>
      <c r="H299" t="s">
        <v>513</v>
      </c>
    </row>
    <row r="300" spans="1:8" hidden="1" x14ac:dyDescent="0.2">
      <c r="A300" s="7">
        <v>35810</v>
      </c>
      <c r="B300" s="7" t="s">
        <v>2789</v>
      </c>
      <c r="C300" s="7" t="s">
        <v>2205</v>
      </c>
      <c r="D300" s="7" t="s">
        <v>959</v>
      </c>
      <c r="E300" s="7" t="s">
        <v>452</v>
      </c>
      <c r="F300" s="7" t="s">
        <v>453</v>
      </c>
      <c r="G300" s="7" t="s">
        <v>455</v>
      </c>
      <c r="H300" t="s">
        <v>513</v>
      </c>
    </row>
    <row r="301" spans="1:8" hidden="1" x14ac:dyDescent="0.2">
      <c r="A301" s="8">
        <v>37635</v>
      </c>
      <c r="B301" s="8" t="s">
        <v>2790</v>
      </c>
      <c r="C301" s="8" t="s">
        <v>2791</v>
      </c>
      <c r="D301" s="8" t="s">
        <v>468</v>
      </c>
      <c r="E301" s="8" t="s">
        <v>452</v>
      </c>
      <c r="F301" s="8" t="s">
        <v>453</v>
      </c>
      <c r="G301" s="8" t="s">
        <v>455</v>
      </c>
      <c r="H301" t="s">
        <v>513</v>
      </c>
    </row>
    <row r="302" spans="1:8" hidden="1" x14ac:dyDescent="0.2">
      <c r="A302" s="7">
        <v>36118</v>
      </c>
      <c r="B302" s="7" t="s">
        <v>2792</v>
      </c>
      <c r="C302" s="7" t="s">
        <v>2793</v>
      </c>
      <c r="D302" s="7" t="s">
        <v>1508</v>
      </c>
      <c r="E302" s="7" t="s">
        <v>1498</v>
      </c>
      <c r="F302" s="7" t="s">
        <v>1697</v>
      </c>
      <c r="G302" s="7" t="s">
        <v>455</v>
      </c>
      <c r="H302" t="s">
        <v>513</v>
      </c>
    </row>
    <row r="303" spans="1:8" hidden="1" x14ac:dyDescent="0.2">
      <c r="A303" s="8">
        <v>35965</v>
      </c>
      <c r="B303" s="8" t="s">
        <v>1241</v>
      </c>
      <c r="C303" s="8" t="s">
        <v>220</v>
      </c>
      <c r="D303" s="8" t="s">
        <v>959</v>
      </c>
      <c r="E303" s="8" t="s">
        <v>452</v>
      </c>
      <c r="F303" s="8" t="s">
        <v>453</v>
      </c>
      <c r="G303" s="8" t="s">
        <v>455</v>
      </c>
      <c r="H303" t="s">
        <v>456</v>
      </c>
    </row>
    <row r="304" spans="1:8" hidden="1" x14ac:dyDescent="0.2">
      <c r="A304" s="7">
        <v>35979</v>
      </c>
      <c r="B304" s="7" t="s">
        <v>2794</v>
      </c>
      <c r="C304" s="7" t="s">
        <v>23</v>
      </c>
      <c r="D304" s="7" t="s">
        <v>454</v>
      </c>
      <c r="E304" s="7" t="s">
        <v>452</v>
      </c>
      <c r="F304" s="7" t="s">
        <v>453</v>
      </c>
      <c r="G304" s="7" t="s">
        <v>455</v>
      </c>
      <c r="H304" t="s">
        <v>513</v>
      </c>
    </row>
    <row r="305" spans="1:8" x14ac:dyDescent="0.2">
      <c r="A305" s="8">
        <v>37097</v>
      </c>
      <c r="B305" s="8" t="s">
        <v>1123</v>
      </c>
      <c r="C305" s="8" t="s">
        <v>187</v>
      </c>
      <c r="D305" s="8" t="s">
        <v>1117</v>
      </c>
      <c r="E305" s="8" t="s">
        <v>452</v>
      </c>
      <c r="F305" s="8" t="s">
        <v>491</v>
      </c>
      <c r="G305" s="8" t="s">
        <v>455</v>
      </c>
      <c r="H305" t="s">
        <v>456</v>
      </c>
    </row>
    <row r="306" spans="1:8" hidden="1" x14ac:dyDescent="0.2">
      <c r="A306" s="7">
        <v>36677</v>
      </c>
      <c r="B306" s="7" t="s">
        <v>2795</v>
      </c>
      <c r="C306" s="7" t="s">
        <v>217</v>
      </c>
      <c r="D306" s="7" t="s">
        <v>959</v>
      </c>
      <c r="E306" s="7" t="s">
        <v>452</v>
      </c>
      <c r="F306" s="7" t="s">
        <v>453</v>
      </c>
      <c r="G306" s="7" t="s">
        <v>455</v>
      </c>
      <c r="H306" t="s">
        <v>513</v>
      </c>
    </row>
    <row r="307" spans="1:8" hidden="1" x14ac:dyDescent="0.2">
      <c r="A307" s="8">
        <v>34319</v>
      </c>
      <c r="B307" s="8" t="s">
        <v>2796</v>
      </c>
      <c r="C307" s="8" t="s">
        <v>36</v>
      </c>
      <c r="D307" s="8" t="s">
        <v>454</v>
      </c>
      <c r="E307" s="8" t="s">
        <v>452</v>
      </c>
      <c r="F307" s="8" t="s">
        <v>453</v>
      </c>
      <c r="G307" s="8" t="s">
        <v>455</v>
      </c>
      <c r="H307" t="s">
        <v>513</v>
      </c>
    </row>
    <row r="308" spans="1:8" hidden="1" x14ac:dyDescent="0.2">
      <c r="A308" s="7">
        <v>32912</v>
      </c>
      <c r="B308" s="7" t="s">
        <v>2797</v>
      </c>
      <c r="C308" s="7" t="s">
        <v>141</v>
      </c>
      <c r="D308" s="7" t="s">
        <v>959</v>
      </c>
      <c r="E308" s="7" t="s">
        <v>452</v>
      </c>
      <c r="F308" s="7" t="s">
        <v>453</v>
      </c>
      <c r="G308" s="7" t="s">
        <v>455</v>
      </c>
      <c r="H308" t="s">
        <v>513</v>
      </c>
    </row>
    <row r="309" spans="1:8" hidden="1" x14ac:dyDescent="0.2">
      <c r="A309" s="8">
        <v>32833</v>
      </c>
      <c r="B309" s="8" t="s">
        <v>2798</v>
      </c>
      <c r="C309" s="8" t="s">
        <v>316</v>
      </c>
      <c r="D309" s="8" t="s">
        <v>751</v>
      </c>
      <c r="E309" s="8" t="s">
        <v>452</v>
      </c>
      <c r="F309" s="8" t="s">
        <v>453</v>
      </c>
      <c r="G309" s="8" t="s">
        <v>455</v>
      </c>
      <c r="H309" t="s">
        <v>513</v>
      </c>
    </row>
    <row r="310" spans="1:8" hidden="1" x14ac:dyDescent="0.2">
      <c r="A310" s="7">
        <v>36109</v>
      </c>
      <c r="B310" s="7" t="s">
        <v>2799</v>
      </c>
      <c r="C310" s="7" t="s">
        <v>2800</v>
      </c>
      <c r="D310" s="7" t="s">
        <v>751</v>
      </c>
      <c r="E310" s="7" t="s">
        <v>452</v>
      </c>
      <c r="F310" s="7" t="s">
        <v>453</v>
      </c>
      <c r="G310" s="7" t="s">
        <v>455</v>
      </c>
      <c r="H310" t="s">
        <v>513</v>
      </c>
    </row>
    <row r="311" spans="1:8" hidden="1" x14ac:dyDescent="0.2">
      <c r="A311" s="8">
        <v>37851</v>
      </c>
      <c r="B311" s="8" t="s">
        <v>2801</v>
      </c>
      <c r="C311" s="8" t="s">
        <v>2315</v>
      </c>
      <c r="D311" s="8" t="s">
        <v>751</v>
      </c>
      <c r="E311" s="8" t="s">
        <v>452</v>
      </c>
      <c r="F311" s="8" t="s">
        <v>453</v>
      </c>
      <c r="G311" s="8" t="s">
        <v>455</v>
      </c>
      <c r="H311" t="s">
        <v>513</v>
      </c>
    </row>
    <row r="312" spans="1:8" hidden="1" x14ac:dyDescent="0.2">
      <c r="A312" s="7">
        <v>33345</v>
      </c>
      <c r="B312" s="7" t="s">
        <v>2802</v>
      </c>
      <c r="C312" s="7" t="s">
        <v>2803</v>
      </c>
      <c r="D312" s="7" t="s">
        <v>2804</v>
      </c>
      <c r="E312" s="7" t="s">
        <v>1283</v>
      </c>
      <c r="F312" s="7" t="s">
        <v>1284</v>
      </c>
      <c r="G312" s="7" t="s">
        <v>455</v>
      </c>
      <c r="H312" t="s">
        <v>513</v>
      </c>
    </row>
    <row r="313" spans="1:8" hidden="1" x14ac:dyDescent="0.2">
      <c r="A313" s="8">
        <v>37660</v>
      </c>
      <c r="B313" s="8" t="s">
        <v>2805</v>
      </c>
      <c r="C313" s="8" t="s">
        <v>32</v>
      </c>
      <c r="D313" s="8" t="s">
        <v>454</v>
      </c>
      <c r="E313" s="8" t="s">
        <v>452</v>
      </c>
      <c r="F313" s="8" t="s">
        <v>453</v>
      </c>
      <c r="G313" s="8" t="s">
        <v>455</v>
      </c>
      <c r="H313" t="s">
        <v>513</v>
      </c>
    </row>
    <row r="314" spans="1:8" hidden="1" x14ac:dyDescent="0.2">
      <c r="A314" s="7">
        <v>36992</v>
      </c>
      <c r="B314" s="7" t="s">
        <v>2806</v>
      </c>
      <c r="C314" s="7" t="s">
        <v>116</v>
      </c>
      <c r="D314" s="7" t="s">
        <v>751</v>
      </c>
      <c r="E314" s="7" t="s">
        <v>452</v>
      </c>
      <c r="F314" s="7" t="s">
        <v>453</v>
      </c>
      <c r="G314" s="7" t="s">
        <v>455</v>
      </c>
      <c r="H314" t="s">
        <v>456</v>
      </c>
    </row>
    <row r="315" spans="1:8" hidden="1" x14ac:dyDescent="0.2">
      <c r="A315" s="8">
        <v>37306</v>
      </c>
      <c r="B315" s="8" t="s">
        <v>2807</v>
      </c>
      <c r="C315" s="8" t="s">
        <v>2288</v>
      </c>
      <c r="D315" s="8" t="s">
        <v>751</v>
      </c>
      <c r="E315" s="8" t="s">
        <v>452</v>
      </c>
      <c r="F315" s="8" t="s">
        <v>453</v>
      </c>
      <c r="G315" s="8" t="s">
        <v>455</v>
      </c>
      <c r="H315" t="s">
        <v>513</v>
      </c>
    </row>
    <row r="316" spans="1:8" hidden="1" x14ac:dyDescent="0.2">
      <c r="A316" s="7">
        <v>37442</v>
      </c>
      <c r="B316" s="7" t="s">
        <v>2808</v>
      </c>
      <c r="C316" s="7" t="s">
        <v>143</v>
      </c>
      <c r="D316" s="7" t="s">
        <v>959</v>
      </c>
      <c r="E316" s="7" t="s">
        <v>452</v>
      </c>
      <c r="F316" s="7" t="s">
        <v>453</v>
      </c>
      <c r="G316" s="7" t="s">
        <v>455</v>
      </c>
      <c r="H316" t="s">
        <v>513</v>
      </c>
    </row>
    <row r="317" spans="1:8" hidden="1" x14ac:dyDescent="0.2">
      <c r="A317" s="8">
        <v>37709</v>
      </c>
      <c r="B317" s="8" t="s">
        <v>2809</v>
      </c>
      <c r="C317" s="8" t="s">
        <v>180</v>
      </c>
      <c r="D317" s="8" t="s">
        <v>1077</v>
      </c>
      <c r="E317" s="8" t="s">
        <v>452</v>
      </c>
      <c r="F317" s="8" t="s">
        <v>453</v>
      </c>
      <c r="G317" s="8" t="s">
        <v>455</v>
      </c>
      <c r="H317" t="s">
        <v>513</v>
      </c>
    </row>
    <row r="318" spans="1:8" hidden="1" x14ac:dyDescent="0.2">
      <c r="A318" s="7">
        <v>37796</v>
      </c>
      <c r="B318" s="7" t="s">
        <v>2810</v>
      </c>
      <c r="C318" s="7" t="s">
        <v>368</v>
      </c>
      <c r="D318" s="7" t="s">
        <v>2075</v>
      </c>
      <c r="E318" s="7" t="s">
        <v>452</v>
      </c>
      <c r="F318" s="7" t="s">
        <v>2026</v>
      </c>
      <c r="G318" s="7" t="s">
        <v>455</v>
      </c>
      <c r="H318" t="s">
        <v>456</v>
      </c>
    </row>
    <row r="319" spans="1:8" hidden="1" x14ac:dyDescent="0.2">
      <c r="A319" s="8">
        <v>37767</v>
      </c>
      <c r="B319" s="8" t="s">
        <v>2811</v>
      </c>
      <c r="C319" s="8" t="s">
        <v>232</v>
      </c>
      <c r="D319" s="8" t="s">
        <v>1292</v>
      </c>
      <c r="E319" s="8" t="s">
        <v>1283</v>
      </c>
      <c r="F319" s="8" t="s">
        <v>1284</v>
      </c>
      <c r="G319" s="8" t="s">
        <v>455</v>
      </c>
      <c r="H319" t="s">
        <v>456</v>
      </c>
    </row>
    <row r="320" spans="1:8" hidden="1" x14ac:dyDescent="0.2">
      <c r="A320" s="7">
        <v>35560</v>
      </c>
      <c r="B320" s="7" t="s">
        <v>2812</v>
      </c>
      <c r="C320" s="7" t="s">
        <v>91</v>
      </c>
      <c r="D320" s="7" t="s">
        <v>751</v>
      </c>
      <c r="E320" s="7" t="s">
        <v>452</v>
      </c>
      <c r="F320" s="7" t="s">
        <v>453</v>
      </c>
      <c r="G320" s="7" t="s">
        <v>455</v>
      </c>
      <c r="H320" t="s">
        <v>513</v>
      </c>
    </row>
    <row r="321" spans="1:8" hidden="1" x14ac:dyDescent="0.2">
      <c r="A321" s="8">
        <v>35824</v>
      </c>
      <c r="B321" s="8" t="s">
        <v>2813</v>
      </c>
      <c r="C321" s="8" t="s">
        <v>367</v>
      </c>
      <c r="D321" s="8" t="s">
        <v>2075</v>
      </c>
      <c r="E321" s="8" t="s">
        <v>452</v>
      </c>
      <c r="F321" s="8" t="s">
        <v>2026</v>
      </c>
      <c r="G321" s="8" t="s">
        <v>455</v>
      </c>
      <c r="H321" t="s">
        <v>513</v>
      </c>
    </row>
    <row r="322" spans="1:8" hidden="1" x14ac:dyDescent="0.2">
      <c r="A322" s="7">
        <v>35569</v>
      </c>
      <c r="B322" s="7" t="s">
        <v>1508</v>
      </c>
      <c r="C322" s="7" t="s">
        <v>264</v>
      </c>
      <c r="D322" s="7" t="s">
        <v>1500</v>
      </c>
      <c r="E322" s="7" t="s">
        <v>1498</v>
      </c>
      <c r="F322" s="7" t="s">
        <v>1499</v>
      </c>
      <c r="G322" s="7" t="s">
        <v>455</v>
      </c>
      <c r="H322" t="s">
        <v>513</v>
      </c>
    </row>
    <row r="323" spans="1:8" hidden="1" x14ac:dyDescent="0.2">
      <c r="A323" s="8">
        <v>35959</v>
      </c>
      <c r="B323" s="8" t="s">
        <v>2814</v>
      </c>
      <c r="C323" s="8" t="s">
        <v>2815</v>
      </c>
      <c r="D323" s="8" t="s">
        <v>1123</v>
      </c>
      <c r="E323" s="8" t="s">
        <v>452</v>
      </c>
      <c r="F323" s="8" t="s">
        <v>453</v>
      </c>
      <c r="G323" s="8" t="s">
        <v>455</v>
      </c>
      <c r="H323" t="s">
        <v>513</v>
      </c>
    </row>
    <row r="324" spans="1:8" hidden="1" x14ac:dyDescent="0.2">
      <c r="A324" s="7">
        <v>36651</v>
      </c>
      <c r="B324" s="7" t="s">
        <v>2816</v>
      </c>
      <c r="C324" s="7" t="s">
        <v>114</v>
      </c>
      <c r="D324" s="7" t="s">
        <v>751</v>
      </c>
      <c r="E324" s="7" t="s">
        <v>452</v>
      </c>
      <c r="F324" s="7" t="s">
        <v>453</v>
      </c>
      <c r="G324" s="7" t="s">
        <v>455</v>
      </c>
      <c r="H324" t="s">
        <v>513</v>
      </c>
    </row>
    <row r="325" spans="1:8" hidden="1" x14ac:dyDescent="0.2">
      <c r="A325" s="8">
        <v>36249</v>
      </c>
      <c r="B325" s="8" t="s">
        <v>2817</v>
      </c>
      <c r="C325" s="8" t="s">
        <v>2818</v>
      </c>
      <c r="D325" s="8" t="s">
        <v>1117</v>
      </c>
      <c r="E325" s="8" t="s">
        <v>452</v>
      </c>
      <c r="F325" s="8" t="s">
        <v>453</v>
      </c>
      <c r="G325" s="8" t="s">
        <v>455</v>
      </c>
      <c r="H325" t="s">
        <v>513</v>
      </c>
    </row>
    <row r="326" spans="1:8" hidden="1" x14ac:dyDescent="0.2">
      <c r="A326" s="7">
        <v>36853</v>
      </c>
      <c r="B326" s="7" t="s">
        <v>2819</v>
      </c>
      <c r="C326" s="7" t="s">
        <v>197</v>
      </c>
      <c r="D326" s="7" t="s">
        <v>1123</v>
      </c>
      <c r="E326" s="7" t="s">
        <v>452</v>
      </c>
      <c r="F326" s="7" t="s">
        <v>453</v>
      </c>
      <c r="G326" s="7" t="s">
        <v>455</v>
      </c>
      <c r="H326" t="s">
        <v>513</v>
      </c>
    </row>
    <row r="327" spans="1:8" hidden="1" x14ac:dyDescent="0.2">
      <c r="A327" s="8">
        <v>33832</v>
      </c>
      <c r="B327" s="8" t="s">
        <v>2820</v>
      </c>
      <c r="C327" s="8" t="s">
        <v>2284</v>
      </c>
      <c r="D327" s="8" t="s">
        <v>1285</v>
      </c>
      <c r="E327" s="8" t="s">
        <v>1283</v>
      </c>
      <c r="F327" s="8" t="s">
        <v>1284</v>
      </c>
      <c r="G327" s="8" t="s">
        <v>455</v>
      </c>
      <c r="H327" t="s">
        <v>513</v>
      </c>
    </row>
    <row r="328" spans="1:8" hidden="1" x14ac:dyDescent="0.2">
      <c r="A328" s="7">
        <v>37508</v>
      </c>
      <c r="B328" s="7" t="s">
        <v>2821</v>
      </c>
      <c r="C328" s="7" t="s">
        <v>97</v>
      </c>
      <c r="D328" s="7" t="s">
        <v>751</v>
      </c>
      <c r="E328" s="7" t="s">
        <v>452</v>
      </c>
      <c r="F328" s="7" t="s">
        <v>453</v>
      </c>
      <c r="G328" s="7" t="s">
        <v>455</v>
      </c>
      <c r="H328" t="s">
        <v>513</v>
      </c>
    </row>
    <row r="329" spans="1:8" hidden="1" x14ac:dyDescent="0.2">
      <c r="A329" s="8">
        <v>33665</v>
      </c>
      <c r="B329" s="8" t="s">
        <v>2822</v>
      </c>
      <c r="C329" s="8" t="s">
        <v>2823</v>
      </c>
      <c r="D329" s="8" t="s">
        <v>751</v>
      </c>
      <c r="E329" s="8" t="s">
        <v>452</v>
      </c>
      <c r="F329" s="8" t="s">
        <v>453</v>
      </c>
      <c r="G329" s="8" t="s">
        <v>455</v>
      </c>
      <c r="H329" t="s">
        <v>513</v>
      </c>
    </row>
    <row r="330" spans="1:8" hidden="1" x14ac:dyDescent="0.2">
      <c r="A330" s="7">
        <v>37623</v>
      </c>
      <c r="B330" s="7" t="s">
        <v>2824</v>
      </c>
      <c r="C330" s="7" t="s">
        <v>2282</v>
      </c>
      <c r="D330" s="7" t="s">
        <v>468</v>
      </c>
      <c r="E330" s="7" t="s">
        <v>452</v>
      </c>
      <c r="F330" s="7" t="s">
        <v>453</v>
      </c>
      <c r="G330" s="7" t="s">
        <v>455</v>
      </c>
      <c r="H330" t="s">
        <v>513</v>
      </c>
    </row>
    <row r="331" spans="1:8" hidden="1" x14ac:dyDescent="0.2">
      <c r="A331" s="8">
        <v>34839</v>
      </c>
      <c r="B331" s="8" t="s">
        <v>2825</v>
      </c>
      <c r="C331" s="8" t="s">
        <v>285</v>
      </c>
      <c r="D331" s="8" t="s">
        <v>1634</v>
      </c>
      <c r="E331" s="8" t="s">
        <v>1498</v>
      </c>
      <c r="F331" s="8" t="s">
        <v>1507</v>
      </c>
      <c r="G331" s="8" t="s">
        <v>455</v>
      </c>
      <c r="H331" t="s">
        <v>456</v>
      </c>
    </row>
    <row r="332" spans="1:8" hidden="1" x14ac:dyDescent="0.2">
      <c r="A332" s="7">
        <v>37668</v>
      </c>
      <c r="B332" s="7" t="s">
        <v>2826</v>
      </c>
      <c r="C332" s="7" t="s">
        <v>2827</v>
      </c>
      <c r="D332" s="7" t="s">
        <v>751</v>
      </c>
      <c r="E332" s="7" t="s">
        <v>452</v>
      </c>
      <c r="F332" s="7" t="s">
        <v>453</v>
      </c>
      <c r="G332" s="7" t="s">
        <v>455</v>
      </c>
      <c r="H332" t="s">
        <v>513</v>
      </c>
    </row>
    <row r="333" spans="1:8" hidden="1" x14ac:dyDescent="0.2">
      <c r="A333" s="8">
        <v>36382</v>
      </c>
      <c r="B333" s="8" t="s">
        <v>2828</v>
      </c>
      <c r="C333" s="8" t="s">
        <v>2829</v>
      </c>
      <c r="D333" s="8" t="s">
        <v>959</v>
      </c>
      <c r="E333" s="8" t="s">
        <v>452</v>
      </c>
      <c r="F333" s="8" t="s">
        <v>453</v>
      </c>
      <c r="G333" s="8" t="s">
        <v>455</v>
      </c>
      <c r="H333" t="s">
        <v>513</v>
      </c>
    </row>
    <row r="334" spans="1:8" hidden="1" x14ac:dyDescent="0.2">
      <c r="A334" s="7">
        <v>37249</v>
      </c>
      <c r="B334" s="7" t="s">
        <v>2830</v>
      </c>
      <c r="C334" s="7" t="s">
        <v>149</v>
      </c>
      <c r="D334" s="7" t="s">
        <v>959</v>
      </c>
      <c r="E334" s="7" t="s">
        <v>452</v>
      </c>
      <c r="F334" s="7" t="s">
        <v>453</v>
      </c>
      <c r="G334" s="7" t="s">
        <v>455</v>
      </c>
      <c r="H334" t="s">
        <v>513</v>
      </c>
    </row>
    <row r="335" spans="1:8" hidden="1" x14ac:dyDescent="0.2">
      <c r="A335" s="8">
        <v>37352</v>
      </c>
      <c r="B335" s="8" t="s">
        <v>2831</v>
      </c>
      <c r="C335" s="8" t="s">
        <v>2317</v>
      </c>
      <c r="D335" s="8" t="s">
        <v>959</v>
      </c>
      <c r="E335" s="8" t="s">
        <v>452</v>
      </c>
      <c r="F335" s="8" t="s">
        <v>453</v>
      </c>
      <c r="G335" s="8" t="s">
        <v>455</v>
      </c>
      <c r="H335" t="s">
        <v>513</v>
      </c>
    </row>
    <row r="336" spans="1:8" hidden="1" x14ac:dyDescent="0.2">
      <c r="A336" s="7">
        <v>36627</v>
      </c>
      <c r="B336" s="7" t="s">
        <v>2832</v>
      </c>
      <c r="C336" s="7" t="s">
        <v>2833</v>
      </c>
      <c r="D336" s="7" t="s">
        <v>751</v>
      </c>
      <c r="E336" s="7" t="s">
        <v>452</v>
      </c>
      <c r="F336" s="7" t="s">
        <v>453</v>
      </c>
      <c r="G336" s="7" t="s">
        <v>455</v>
      </c>
      <c r="H336" t="s">
        <v>456</v>
      </c>
    </row>
    <row r="337" spans="1:8" hidden="1" x14ac:dyDescent="0.2">
      <c r="A337" s="8">
        <v>36924</v>
      </c>
      <c r="B337" s="8" t="s">
        <v>2834</v>
      </c>
      <c r="C337" s="8" t="s">
        <v>292</v>
      </c>
      <c r="D337" s="8" t="s">
        <v>1678</v>
      </c>
      <c r="E337" s="8" t="s">
        <v>1498</v>
      </c>
      <c r="F337" s="8" t="s">
        <v>1515</v>
      </c>
      <c r="G337" s="8" t="s">
        <v>455</v>
      </c>
      <c r="H337" t="s">
        <v>513</v>
      </c>
    </row>
    <row r="338" spans="1:8" hidden="1" x14ac:dyDescent="0.2">
      <c r="A338" s="7">
        <v>37383</v>
      </c>
      <c r="B338" s="7" t="s">
        <v>2835</v>
      </c>
      <c r="C338" s="7" t="s">
        <v>199</v>
      </c>
      <c r="D338" s="7" t="s">
        <v>1123</v>
      </c>
      <c r="E338" s="7" t="s">
        <v>452</v>
      </c>
      <c r="F338" s="7" t="s">
        <v>453</v>
      </c>
      <c r="G338" s="7" t="s">
        <v>455</v>
      </c>
      <c r="H338" t="s">
        <v>513</v>
      </c>
    </row>
    <row r="339" spans="1:8" hidden="1" x14ac:dyDescent="0.2">
      <c r="A339" s="8">
        <v>37382</v>
      </c>
      <c r="B339" s="8" t="s">
        <v>2836</v>
      </c>
      <c r="C339" s="8" t="s">
        <v>2837</v>
      </c>
      <c r="D339" s="8" t="s">
        <v>1123</v>
      </c>
      <c r="E339" s="8" t="s">
        <v>452</v>
      </c>
      <c r="F339" s="8" t="s">
        <v>453</v>
      </c>
      <c r="G339" s="8" t="s">
        <v>455</v>
      </c>
      <c r="H339" t="s">
        <v>456</v>
      </c>
    </row>
    <row r="340" spans="1:8" hidden="1" x14ac:dyDescent="0.2">
      <c r="A340" s="7">
        <v>37077</v>
      </c>
      <c r="B340" s="7" t="s">
        <v>2838</v>
      </c>
      <c r="C340" s="7" t="s">
        <v>2839</v>
      </c>
      <c r="D340" s="7" t="s">
        <v>1117</v>
      </c>
      <c r="E340" s="7" t="s">
        <v>452</v>
      </c>
      <c r="F340" s="7" t="s">
        <v>453</v>
      </c>
      <c r="G340" s="7" t="s">
        <v>455</v>
      </c>
      <c r="H340" t="s">
        <v>456</v>
      </c>
    </row>
    <row r="341" spans="1:8" hidden="1" x14ac:dyDescent="0.2">
      <c r="A341" s="8">
        <v>37593</v>
      </c>
      <c r="B341" s="8" t="s">
        <v>2840</v>
      </c>
      <c r="C341" s="8" t="s">
        <v>314</v>
      </c>
      <c r="D341" s="8" t="s">
        <v>751</v>
      </c>
      <c r="E341" s="8" t="s">
        <v>452</v>
      </c>
      <c r="F341" s="8" t="s">
        <v>453</v>
      </c>
      <c r="G341" s="8" t="s">
        <v>455</v>
      </c>
      <c r="H341" t="s">
        <v>513</v>
      </c>
    </row>
    <row r="342" spans="1:8" hidden="1" x14ac:dyDescent="0.2">
      <c r="A342" s="7">
        <v>37145</v>
      </c>
      <c r="B342" s="7" t="s">
        <v>2841</v>
      </c>
      <c r="C342" s="7" t="s">
        <v>342</v>
      </c>
      <c r="D342" s="7" t="s">
        <v>1939</v>
      </c>
      <c r="E342" s="7" t="s">
        <v>1498</v>
      </c>
      <c r="F342" s="7" t="s">
        <v>1938</v>
      </c>
      <c r="G342" s="7" t="s">
        <v>455</v>
      </c>
      <c r="H342" t="s">
        <v>513</v>
      </c>
    </row>
    <row r="343" spans="1:8" hidden="1" x14ac:dyDescent="0.2">
      <c r="A343" s="8">
        <v>37355</v>
      </c>
      <c r="B343" s="8" t="s">
        <v>2842</v>
      </c>
      <c r="C343" s="8" t="s">
        <v>2843</v>
      </c>
      <c r="D343" s="8" t="s">
        <v>959</v>
      </c>
      <c r="E343" s="8" t="s">
        <v>452</v>
      </c>
      <c r="F343" s="8" t="s">
        <v>453</v>
      </c>
      <c r="G343" s="8" t="s">
        <v>455</v>
      </c>
      <c r="H343" t="s">
        <v>513</v>
      </c>
    </row>
    <row r="344" spans="1:8" hidden="1" x14ac:dyDescent="0.2">
      <c r="A344" s="7">
        <v>37304</v>
      </c>
      <c r="B344" s="7" t="s">
        <v>2844</v>
      </c>
      <c r="C344" s="7" t="s">
        <v>104</v>
      </c>
      <c r="D344" s="7" t="s">
        <v>751</v>
      </c>
      <c r="E344" s="7" t="s">
        <v>452</v>
      </c>
      <c r="F344" s="7" t="s">
        <v>453</v>
      </c>
      <c r="G344" s="7" t="s">
        <v>455</v>
      </c>
      <c r="H344" t="s">
        <v>456</v>
      </c>
    </row>
    <row r="345" spans="1:8" hidden="1" x14ac:dyDescent="0.2">
      <c r="A345" s="8">
        <v>37420</v>
      </c>
      <c r="B345" s="8" t="s">
        <v>2845</v>
      </c>
      <c r="C345" s="8" t="s">
        <v>2846</v>
      </c>
      <c r="D345" s="8" t="s">
        <v>751</v>
      </c>
      <c r="E345" s="8" t="s">
        <v>452</v>
      </c>
      <c r="F345" s="8" t="s">
        <v>453</v>
      </c>
      <c r="G345" s="8" t="s">
        <v>455</v>
      </c>
      <c r="H345" t="s">
        <v>456</v>
      </c>
    </row>
    <row r="346" spans="1:8" hidden="1" x14ac:dyDescent="0.2">
      <c r="A346" s="7">
        <v>37519</v>
      </c>
      <c r="B346" s="7" t="s">
        <v>2847</v>
      </c>
      <c r="C346" s="7" t="s">
        <v>1981</v>
      </c>
      <c r="D346" s="7" t="s">
        <v>1620</v>
      </c>
      <c r="E346" s="7" t="s">
        <v>1498</v>
      </c>
      <c r="F346" s="7" t="s">
        <v>1697</v>
      </c>
      <c r="G346" s="7" t="s">
        <v>455</v>
      </c>
      <c r="H346" t="s">
        <v>513</v>
      </c>
    </row>
    <row r="347" spans="1:8" hidden="1" x14ac:dyDescent="0.2">
      <c r="A347" s="8">
        <v>37624</v>
      </c>
      <c r="B347" s="8" t="s">
        <v>2848</v>
      </c>
      <c r="C347" s="8" t="s">
        <v>51</v>
      </c>
      <c r="D347" s="8" t="s">
        <v>468</v>
      </c>
      <c r="E347" s="8" t="s">
        <v>452</v>
      </c>
      <c r="F347" s="8" t="s">
        <v>453</v>
      </c>
      <c r="G347" s="8" t="s">
        <v>455</v>
      </c>
      <c r="H347" t="s">
        <v>513</v>
      </c>
    </row>
    <row r="348" spans="1:8" hidden="1" x14ac:dyDescent="0.2">
      <c r="A348" s="7">
        <v>37852</v>
      </c>
      <c r="B348" s="7" t="s">
        <v>2849</v>
      </c>
      <c r="C348" s="7" t="s">
        <v>246</v>
      </c>
      <c r="D348" s="7" t="s">
        <v>1389</v>
      </c>
      <c r="E348" s="7" t="s">
        <v>1283</v>
      </c>
      <c r="F348" s="7" t="s">
        <v>1375</v>
      </c>
      <c r="G348" s="7" t="s">
        <v>455</v>
      </c>
      <c r="H348" t="s">
        <v>456</v>
      </c>
    </row>
    <row r="349" spans="1:8" hidden="1" x14ac:dyDescent="0.2">
      <c r="A349" s="8">
        <v>37798</v>
      </c>
      <c r="B349" s="8" t="s">
        <v>2850</v>
      </c>
      <c r="C349" s="8" t="s">
        <v>252</v>
      </c>
      <c r="D349" s="8" t="s">
        <v>1430</v>
      </c>
      <c r="E349" s="8" t="s">
        <v>1283</v>
      </c>
      <c r="F349" s="8" t="s">
        <v>1429</v>
      </c>
      <c r="G349" s="8" t="s">
        <v>455</v>
      </c>
      <c r="H349" t="s">
        <v>456</v>
      </c>
    </row>
    <row r="350" spans="1:8" hidden="1" x14ac:dyDescent="0.2">
      <c r="A350" s="7">
        <v>37856</v>
      </c>
      <c r="B350" s="7" t="s">
        <v>2851</v>
      </c>
      <c r="C350" s="7" t="s">
        <v>107</v>
      </c>
      <c r="D350" s="7" t="s">
        <v>751</v>
      </c>
      <c r="E350" s="7" t="s">
        <v>452</v>
      </c>
      <c r="F350" s="7" t="s">
        <v>453</v>
      </c>
      <c r="G350" s="7" t="s">
        <v>455</v>
      </c>
      <c r="H350" t="s">
        <v>513</v>
      </c>
    </row>
    <row r="351" spans="1:8" hidden="1" x14ac:dyDescent="0.2">
      <c r="A351" s="8">
        <v>34340</v>
      </c>
      <c r="B351" s="8" t="s">
        <v>2852</v>
      </c>
      <c r="C351" s="8" t="s">
        <v>277</v>
      </c>
      <c r="D351" s="8" t="s">
        <v>1545</v>
      </c>
      <c r="E351" s="8" t="s">
        <v>1498</v>
      </c>
      <c r="F351" s="8" t="s">
        <v>1515</v>
      </c>
      <c r="G351" s="8" t="s">
        <v>455</v>
      </c>
      <c r="H351" t="s">
        <v>513</v>
      </c>
    </row>
    <row r="352" spans="1:8" hidden="1" x14ac:dyDescent="0.2">
      <c r="A352" s="7">
        <v>34411</v>
      </c>
      <c r="B352" s="7" t="s">
        <v>2853</v>
      </c>
      <c r="C352" s="7" t="s">
        <v>302</v>
      </c>
      <c r="D352" s="7" t="s">
        <v>959</v>
      </c>
      <c r="E352" s="7" t="s">
        <v>452</v>
      </c>
      <c r="F352" s="7" t="s">
        <v>453</v>
      </c>
      <c r="G352" s="7" t="s">
        <v>455</v>
      </c>
      <c r="H352" t="s">
        <v>513</v>
      </c>
    </row>
    <row r="353" spans="1:8" hidden="1" x14ac:dyDescent="0.2">
      <c r="A353" s="8">
        <v>34885</v>
      </c>
      <c r="B353" s="8" t="s">
        <v>2854</v>
      </c>
      <c r="C353" s="8" t="s">
        <v>291</v>
      </c>
      <c r="D353" s="8" t="s">
        <v>1648</v>
      </c>
      <c r="E353" s="8" t="s">
        <v>1498</v>
      </c>
      <c r="F353" s="8" t="s">
        <v>1515</v>
      </c>
      <c r="G353" s="8" t="s">
        <v>455</v>
      </c>
      <c r="H353" t="s">
        <v>513</v>
      </c>
    </row>
    <row r="354" spans="1:8" hidden="1" x14ac:dyDescent="0.2">
      <c r="A354" s="7">
        <v>34840</v>
      </c>
      <c r="B354" s="7" t="s">
        <v>2855</v>
      </c>
      <c r="C354" s="7" t="s">
        <v>270</v>
      </c>
      <c r="D354" s="7" t="s">
        <v>1527</v>
      </c>
      <c r="E354" s="7" t="s">
        <v>1498</v>
      </c>
      <c r="F354" s="7" t="s">
        <v>1507</v>
      </c>
      <c r="G354" s="7" t="s">
        <v>455</v>
      </c>
      <c r="H354" t="s">
        <v>513</v>
      </c>
    </row>
    <row r="355" spans="1:8" hidden="1" x14ac:dyDescent="0.2">
      <c r="A355" s="8">
        <v>35022</v>
      </c>
      <c r="B355" s="8" t="s">
        <v>2856</v>
      </c>
      <c r="C355" s="8" t="s">
        <v>2857</v>
      </c>
      <c r="D355" s="8" t="s">
        <v>751</v>
      </c>
      <c r="E355" s="8" t="s">
        <v>452</v>
      </c>
      <c r="F355" s="8" t="s">
        <v>453</v>
      </c>
      <c r="G355" s="8" t="s">
        <v>455</v>
      </c>
      <c r="H355" t="s">
        <v>513</v>
      </c>
    </row>
    <row r="356" spans="1:8" hidden="1" x14ac:dyDescent="0.2">
      <c r="A356" s="7">
        <v>36384</v>
      </c>
      <c r="B356" s="7" t="s">
        <v>2858</v>
      </c>
      <c r="C356" s="7" t="s">
        <v>327</v>
      </c>
      <c r="D356" s="7" t="s">
        <v>492</v>
      </c>
      <c r="E356" s="7" t="s">
        <v>452</v>
      </c>
      <c r="F356" s="7" t="s">
        <v>453</v>
      </c>
      <c r="G356" s="7" t="s">
        <v>455</v>
      </c>
      <c r="H356" t="s">
        <v>513</v>
      </c>
    </row>
    <row r="357" spans="1:8" hidden="1" x14ac:dyDescent="0.2">
      <c r="A357" s="8">
        <v>36242</v>
      </c>
      <c r="B357" s="8" t="s">
        <v>2859</v>
      </c>
      <c r="C357" s="8" t="s">
        <v>383</v>
      </c>
      <c r="D357" s="8" t="s">
        <v>751</v>
      </c>
      <c r="E357" s="8" t="s">
        <v>452</v>
      </c>
      <c r="F357" s="8" t="s">
        <v>453</v>
      </c>
      <c r="G357" s="8" t="s">
        <v>455</v>
      </c>
      <c r="H357" t="s">
        <v>513</v>
      </c>
    </row>
    <row r="358" spans="1:8" hidden="1" x14ac:dyDescent="0.2">
      <c r="A358" s="7">
        <v>37361</v>
      </c>
      <c r="B358" s="7" t="s">
        <v>2860</v>
      </c>
      <c r="C358" s="7" t="s">
        <v>179</v>
      </c>
      <c r="D358" s="7" t="s">
        <v>1077</v>
      </c>
      <c r="E358" s="7" t="s">
        <v>452</v>
      </c>
      <c r="F358" s="7" t="s">
        <v>453</v>
      </c>
      <c r="G358" s="7" t="s">
        <v>455</v>
      </c>
      <c r="H358" t="s">
        <v>513</v>
      </c>
    </row>
    <row r="359" spans="1:8" hidden="1" x14ac:dyDescent="0.2">
      <c r="A359" s="8">
        <v>36789</v>
      </c>
      <c r="B359" s="8" t="s">
        <v>2861</v>
      </c>
      <c r="C359" s="8" t="s">
        <v>59</v>
      </c>
      <c r="D359" s="8" t="s">
        <v>468</v>
      </c>
      <c r="E359" s="8" t="s">
        <v>452</v>
      </c>
      <c r="F359" s="8" t="s">
        <v>453</v>
      </c>
      <c r="G359" s="8" t="s">
        <v>455</v>
      </c>
      <c r="H359" t="s">
        <v>513</v>
      </c>
    </row>
    <row r="360" spans="1:8" hidden="1" x14ac:dyDescent="0.2">
      <c r="A360" s="7">
        <v>36626</v>
      </c>
      <c r="B360" s="7" t="s">
        <v>2862</v>
      </c>
      <c r="C360" s="7" t="s">
        <v>95</v>
      </c>
      <c r="D360" s="7" t="s">
        <v>751</v>
      </c>
      <c r="E360" s="7" t="s">
        <v>452</v>
      </c>
      <c r="F360" s="7" t="s">
        <v>453</v>
      </c>
      <c r="G360" s="7" t="s">
        <v>455</v>
      </c>
      <c r="H360" t="s">
        <v>513</v>
      </c>
    </row>
    <row r="361" spans="1:8" hidden="1" x14ac:dyDescent="0.2">
      <c r="A361" s="8">
        <v>37058</v>
      </c>
      <c r="B361" s="8" t="s">
        <v>2863</v>
      </c>
      <c r="C361" s="8" t="s">
        <v>28</v>
      </c>
      <c r="D361" s="8" t="s">
        <v>454</v>
      </c>
      <c r="E361" s="8" t="s">
        <v>452</v>
      </c>
      <c r="F361" s="8" t="s">
        <v>453</v>
      </c>
      <c r="G361" s="8" t="s">
        <v>455</v>
      </c>
      <c r="H361" t="s">
        <v>513</v>
      </c>
    </row>
    <row r="362" spans="1:8" hidden="1" x14ac:dyDescent="0.2">
      <c r="A362" s="7">
        <v>36988</v>
      </c>
      <c r="B362" s="7" t="s">
        <v>2864</v>
      </c>
      <c r="C362" s="7" t="s">
        <v>87</v>
      </c>
      <c r="D362" s="7" t="s">
        <v>751</v>
      </c>
      <c r="E362" s="7" t="s">
        <v>452</v>
      </c>
      <c r="F362" s="7" t="s">
        <v>453</v>
      </c>
      <c r="G362" s="7" t="s">
        <v>455</v>
      </c>
      <c r="H362" t="s">
        <v>513</v>
      </c>
    </row>
    <row r="363" spans="1:8" hidden="1" x14ac:dyDescent="0.2">
      <c r="A363" s="8">
        <v>37298</v>
      </c>
      <c r="B363" s="8" t="s">
        <v>2865</v>
      </c>
      <c r="C363" s="8" t="s">
        <v>144</v>
      </c>
      <c r="D363" s="8" t="s">
        <v>959</v>
      </c>
      <c r="E363" s="8" t="s">
        <v>452</v>
      </c>
      <c r="F363" s="8" t="s">
        <v>453</v>
      </c>
      <c r="G363" s="8" t="s">
        <v>455</v>
      </c>
      <c r="H363" t="s">
        <v>456</v>
      </c>
    </row>
    <row r="364" spans="1:8" x14ac:dyDescent="0.2">
      <c r="A364" s="7">
        <v>37094</v>
      </c>
      <c r="B364" s="7" t="s">
        <v>665</v>
      </c>
      <c r="C364" s="7" t="s">
        <v>61</v>
      </c>
      <c r="D364" s="7" t="s">
        <v>492</v>
      </c>
      <c r="E364" s="7" t="s">
        <v>452</v>
      </c>
      <c r="F364" s="7" t="s">
        <v>491</v>
      </c>
      <c r="G364" s="7" t="s">
        <v>455</v>
      </c>
      <c r="H364" t="s">
        <v>513</v>
      </c>
    </row>
    <row r="365" spans="1:8" hidden="1" x14ac:dyDescent="0.2">
      <c r="A365" s="8">
        <v>37510</v>
      </c>
      <c r="B365" s="8" t="s">
        <v>2866</v>
      </c>
      <c r="C365" s="8" t="s">
        <v>317</v>
      </c>
      <c r="D365" s="8" t="s">
        <v>751</v>
      </c>
      <c r="E365" s="8" t="s">
        <v>452</v>
      </c>
      <c r="F365" s="8" t="s">
        <v>453</v>
      </c>
      <c r="G365" s="8" t="s">
        <v>455</v>
      </c>
      <c r="H365" t="s">
        <v>513</v>
      </c>
    </row>
    <row r="366" spans="1:8" hidden="1" x14ac:dyDescent="0.2">
      <c r="A366" s="7">
        <v>37507</v>
      </c>
      <c r="B366" s="7" t="s">
        <v>2867</v>
      </c>
      <c r="C366" s="7" t="s">
        <v>290</v>
      </c>
      <c r="D366" s="7" t="s">
        <v>1648</v>
      </c>
      <c r="E366" s="7" t="s">
        <v>1498</v>
      </c>
      <c r="F366" s="7" t="s">
        <v>1515</v>
      </c>
      <c r="G366" s="7" t="s">
        <v>455</v>
      </c>
      <c r="H366" t="s">
        <v>456</v>
      </c>
    </row>
    <row r="367" spans="1:8" hidden="1" x14ac:dyDescent="0.2">
      <c r="A367" s="8">
        <v>37815</v>
      </c>
      <c r="B367" s="8" t="s">
        <v>2868</v>
      </c>
      <c r="C367" s="8" t="s">
        <v>260</v>
      </c>
      <c r="D367" s="8" t="s">
        <v>1460</v>
      </c>
      <c r="E367" s="8" t="s">
        <v>1283</v>
      </c>
      <c r="F367" s="8" t="s">
        <v>1284</v>
      </c>
      <c r="G367" s="8" t="s">
        <v>455</v>
      </c>
      <c r="H367" t="s">
        <v>456</v>
      </c>
    </row>
    <row r="368" spans="1:8" hidden="1" x14ac:dyDescent="0.2">
      <c r="A368" s="7">
        <v>37797</v>
      </c>
      <c r="B368" s="7" t="s">
        <v>2869</v>
      </c>
      <c r="C368" s="7" t="s">
        <v>358</v>
      </c>
      <c r="D368" s="7" t="s">
        <v>2035</v>
      </c>
      <c r="E368" s="7" t="s">
        <v>452</v>
      </c>
      <c r="F368" s="7" t="s">
        <v>2026</v>
      </c>
      <c r="G368" s="7" t="s">
        <v>455</v>
      </c>
      <c r="H368" t="s">
        <v>456</v>
      </c>
    </row>
    <row r="369" spans="1:8" hidden="1" x14ac:dyDescent="0.2">
      <c r="A369" s="8">
        <v>25741</v>
      </c>
      <c r="B369" s="8" t="s">
        <v>2870</v>
      </c>
      <c r="C369" s="8" t="s">
        <v>251</v>
      </c>
      <c r="D369" s="8" t="s">
        <v>1430</v>
      </c>
      <c r="E369" s="8" t="s">
        <v>1283</v>
      </c>
      <c r="F369" s="8" t="s">
        <v>1429</v>
      </c>
      <c r="G369" s="8" t="s">
        <v>455</v>
      </c>
      <c r="H369" t="s">
        <v>513</v>
      </c>
    </row>
    <row r="370" spans="1:8" hidden="1" x14ac:dyDescent="0.2">
      <c r="A370" s="7">
        <v>33572</v>
      </c>
      <c r="B370" s="7" t="s">
        <v>2871</v>
      </c>
      <c r="C370" s="7" t="s">
        <v>2300</v>
      </c>
      <c r="D370" s="7" t="s">
        <v>959</v>
      </c>
      <c r="E370" s="7" t="s">
        <v>452</v>
      </c>
      <c r="F370" s="7" t="s">
        <v>453</v>
      </c>
      <c r="G370" s="7" t="s">
        <v>455</v>
      </c>
      <c r="H370" t="s">
        <v>513</v>
      </c>
    </row>
    <row r="371" spans="1:8" hidden="1" x14ac:dyDescent="0.2">
      <c r="A371" s="8">
        <v>35398</v>
      </c>
      <c r="B371" s="8" t="s">
        <v>2872</v>
      </c>
      <c r="C371" s="8" t="s">
        <v>2292</v>
      </c>
      <c r="D371" s="8" t="s">
        <v>1077</v>
      </c>
      <c r="E371" s="8" t="s">
        <v>452</v>
      </c>
      <c r="F371" s="8" t="s">
        <v>453</v>
      </c>
      <c r="G371" s="8" t="s">
        <v>455</v>
      </c>
      <c r="H371" t="s">
        <v>513</v>
      </c>
    </row>
    <row r="372" spans="1:8" hidden="1" x14ac:dyDescent="0.2">
      <c r="A372" s="7">
        <v>27791</v>
      </c>
      <c r="B372" s="7" t="s">
        <v>2873</v>
      </c>
      <c r="C372" s="7" t="s">
        <v>2874</v>
      </c>
      <c r="D372" s="7" t="s">
        <v>1441</v>
      </c>
      <c r="E372" s="7" t="s">
        <v>1283</v>
      </c>
      <c r="F372" s="7" t="s">
        <v>2875</v>
      </c>
      <c r="G372" s="7" t="s">
        <v>455</v>
      </c>
      <c r="H372" t="s">
        <v>456</v>
      </c>
    </row>
    <row r="373" spans="1:8" hidden="1" x14ac:dyDescent="0.2">
      <c r="A373" s="8">
        <v>34652</v>
      </c>
      <c r="B373" s="8" t="s">
        <v>2876</v>
      </c>
      <c r="C373" s="8" t="s">
        <v>282</v>
      </c>
      <c r="D373" s="8" t="s">
        <v>1620</v>
      </c>
      <c r="E373" s="8" t="s">
        <v>1498</v>
      </c>
      <c r="F373" s="8" t="s">
        <v>1526</v>
      </c>
      <c r="G373" s="8" t="s">
        <v>455</v>
      </c>
      <c r="H373" t="s">
        <v>513</v>
      </c>
    </row>
    <row r="374" spans="1:8" hidden="1" x14ac:dyDescent="0.2">
      <c r="A374" s="7">
        <v>36035</v>
      </c>
      <c r="B374" s="7" t="s">
        <v>2877</v>
      </c>
      <c r="C374" s="7" t="s">
        <v>2201</v>
      </c>
      <c r="D374" s="7" t="s">
        <v>959</v>
      </c>
      <c r="E374" s="7" t="s">
        <v>452</v>
      </c>
      <c r="F374" s="7" t="s">
        <v>453</v>
      </c>
      <c r="G374" s="7" t="s">
        <v>455</v>
      </c>
      <c r="H374" t="s">
        <v>513</v>
      </c>
    </row>
    <row r="375" spans="1:8" hidden="1" x14ac:dyDescent="0.2">
      <c r="A375" s="8">
        <v>26611</v>
      </c>
      <c r="B375" s="8" t="s">
        <v>2878</v>
      </c>
      <c r="C375" s="8" t="s">
        <v>2879</v>
      </c>
      <c r="D375" s="8" t="s">
        <v>1678</v>
      </c>
      <c r="E375" s="8" t="s">
        <v>1498</v>
      </c>
      <c r="F375" s="8" t="s">
        <v>1515</v>
      </c>
      <c r="G375" s="8" t="s">
        <v>455</v>
      </c>
      <c r="H375" t="s">
        <v>513</v>
      </c>
    </row>
    <row r="376" spans="1:8" hidden="1" x14ac:dyDescent="0.2">
      <c r="A376" s="7">
        <v>28152</v>
      </c>
      <c r="B376" s="7" t="s">
        <v>2880</v>
      </c>
      <c r="C376" s="7" t="s">
        <v>2881</v>
      </c>
      <c r="D376" s="7" t="s">
        <v>1678</v>
      </c>
      <c r="E376" s="7" t="s">
        <v>1498</v>
      </c>
      <c r="F376" s="7" t="s">
        <v>1515</v>
      </c>
      <c r="G376" s="7" t="s">
        <v>455</v>
      </c>
      <c r="H376" t="s">
        <v>513</v>
      </c>
    </row>
    <row r="377" spans="1:8" hidden="1" x14ac:dyDescent="0.2">
      <c r="A377" s="8">
        <v>27435</v>
      </c>
      <c r="B377" s="8" t="s">
        <v>2882</v>
      </c>
      <c r="C377" s="8" t="s">
        <v>200</v>
      </c>
      <c r="D377" s="8" t="s">
        <v>1123</v>
      </c>
      <c r="E377" s="8" t="s">
        <v>452</v>
      </c>
      <c r="F377" s="8" t="s">
        <v>453</v>
      </c>
      <c r="G377" s="8" t="s">
        <v>455</v>
      </c>
      <c r="H377" t="s">
        <v>513</v>
      </c>
    </row>
    <row r="378" spans="1:8" hidden="1" x14ac:dyDescent="0.2">
      <c r="A378" s="7">
        <v>27335</v>
      </c>
      <c r="B378" s="7" t="s">
        <v>2883</v>
      </c>
      <c r="C378" s="7" t="s">
        <v>2140</v>
      </c>
      <c r="D378" s="7" t="s">
        <v>1634</v>
      </c>
      <c r="E378" s="7" t="s">
        <v>1498</v>
      </c>
      <c r="F378" s="7" t="s">
        <v>1507</v>
      </c>
      <c r="G378" s="7" t="s">
        <v>455</v>
      </c>
      <c r="H378" t="s">
        <v>456</v>
      </c>
    </row>
    <row r="379" spans="1:8" hidden="1" x14ac:dyDescent="0.2">
      <c r="A379" s="8">
        <v>27493</v>
      </c>
      <c r="B379" s="8" t="s">
        <v>2884</v>
      </c>
      <c r="C379" s="8" t="s">
        <v>627</v>
      </c>
      <c r="D379" s="8" t="s">
        <v>468</v>
      </c>
      <c r="E379" s="8" t="s">
        <v>452</v>
      </c>
      <c r="F379" s="8" t="s">
        <v>453</v>
      </c>
      <c r="G379" s="8" t="s">
        <v>455</v>
      </c>
      <c r="H379" t="s">
        <v>513</v>
      </c>
    </row>
    <row r="380" spans="1:8" hidden="1" x14ac:dyDescent="0.2">
      <c r="A380" s="7">
        <v>32004</v>
      </c>
      <c r="B380" s="7" t="s">
        <v>2885</v>
      </c>
      <c r="C380" s="7" t="s">
        <v>362</v>
      </c>
      <c r="D380" s="7" t="s">
        <v>2050</v>
      </c>
      <c r="E380" s="7" t="s">
        <v>452</v>
      </c>
      <c r="F380" s="7" t="s">
        <v>2026</v>
      </c>
      <c r="G380" s="7" t="s">
        <v>455</v>
      </c>
      <c r="H380" t="s">
        <v>456</v>
      </c>
    </row>
    <row r="381" spans="1:8" hidden="1" x14ac:dyDescent="0.2">
      <c r="A381" s="8">
        <v>28080</v>
      </c>
      <c r="B381" s="8" t="s">
        <v>2886</v>
      </c>
      <c r="C381" s="8" t="s">
        <v>312</v>
      </c>
      <c r="D381" s="8" t="s">
        <v>1782</v>
      </c>
      <c r="E381" s="8" t="s">
        <v>1745</v>
      </c>
      <c r="F381" s="8" t="s">
        <v>1781</v>
      </c>
      <c r="G381" s="8" t="s">
        <v>455</v>
      </c>
      <c r="H381" t="s">
        <v>456</v>
      </c>
    </row>
    <row r="382" spans="1:8" hidden="1" x14ac:dyDescent="0.2">
      <c r="A382" s="7">
        <v>37445</v>
      </c>
      <c r="B382" s="7" t="s">
        <v>2887</v>
      </c>
      <c r="C382" s="7" t="s">
        <v>2888</v>
      </c>
      <c r="D382" s="7" t="s">
        <v>751</v>
      </c>
      <c r="E382" s="7" t="s">
        <v>452</v>
      </c>
      <c r="F382" s="7" t="s">
        <v>453</v>
      </c>
      <c r="G382" s="7" t="s">
        <v>455</v>
      </c>
      <c r="H382" t="s">
        <v>513</v>
      </c>
    </row>
    <row r="383" spans="1:8" hidden="1" x14ac:dyDescent="0.2">
      <c r="A383" s="8">
        <v>28782</v>
      </c>
      <c r="B383" s="8" t="s">
        <v>2889</v>
      </c>
      <c r="C383" s="8" t="s">
        <v>74</v>
      </c>
      <c r="D383" s="8" t="s">
        <v>692</v>
      </c>
      <c r="E383" s="8" t="s">
        <v>452</v>
      </c>
      <c r="F383" s="8" t="s">
        <v>453</v>
      </c>
      <c r="G383" s="8" t="s">
        <v>719</v>
      </c>
      <c r="H383" t="s">
        <v>513</v>
      </c>
    </row>
    <row r="384" spans="1:8" hidden="1" x14ac:dyDescent="0.2">
      <c r="A384" s="7">
        <v>35117</v>
      </c>
      <c r="B384" s="7" t="s">
        <v>2890</v>
      </c>
      <c r="C384" s="7" t="s">
        <v>83</v>
      </c>
      <c r="D384" s="7" t="s">
        <v>751</v>
      </c>
      <c r="E384" s="7" t="s">
        <v>452</v>
      </c>
      <c r="F384" s="7" t="s">
        <v>453</v>
      </c>
      <c r="G384" s="7" t="s">
        <v>455</v>
      </c>
      <c r="H384" t="s">
        <v>513</v>
      </c>
    </row>
    <row r="385" spans="1:8" hidden="1" x14ac:dyDescent="0.2">
      <c r="A385" s="8">
        <v>28560</v>
      </c>
      <c r="B385" s="8" t="s">
        <v>2891</v>
      </c>
      <c r="C385" s="8" t="s">
        <v>194</v>
      </c>
      <c r="D385" s="8" t="s">
        <v>1123</v>
      </c>
      <c r="E385" s="8" t="s">
        <v>452</v>
      </c>
      <c r="F385" s="8" t="s">
        <v>453</v>
      </c>
      <c r="G385" s="8" t="s">
        <v>455</v>
      </c>
      <c r="H385" t="s">
        <v>513</v>
      </c>
    </row>
    <row r="386" spans="1:8" hidden="1" x14ac:dyDescent="0.2">
      <c r="A386" s="7">
        <v>28892</v>
      </c>
      <c r="B386" s="7" t="s">
        <v>2892</v>
      </c>
      <c r="C386" s="7" t="s">
        <v>324</v>
      </c>
      <c r="D386" s="7" t="s">
        <v>1831</v>
      </c>
      <c r="E386" s="7" t="s">
        <v>1745</v>
      </c>
      <c r="F386" s="7" t="s">
        <v>1773</v>
      </c>
      <c r="G386" s="7" t="s">
        <v>455</v>
      </c>
      <c r="H386" t="s">
        <v>456</v>
      </c>
    </row>
    <row r="387" spans="1:8" hidden="1" x14ac:dyDescent="0.2">
      <c r="A387" s="8">
        <v>37281</v>
      </c>
      <c r="B387" s="8" t="s">
        <v>2893</v>
      </c>
      <c r="C387" s="8" t="s">
        <v>2894</v>
      </c>
      <c r="D387" s="8" t="s">
        <v>1123</v>
      </c>
      <c r="E387" s="8" t="s">
        <v>452</v>
      </c>
      <c r="F387" s="8" t="s">
        <v>453</v>
      </c>
      <c r="G387" s="8" t="s">
        <v>455</v>
      </c>
      <c r="H387" t="s">
        <v>513</v>
      </c>
    </row>
    <row r="388" spans="1:8" hidden="1" x14ac:dyDescent="0.2">
      <c r="A388" s="7">
        <v>36381</v>
      </c>
      <c r="B388" s="7" t="s">
        <v>2895</v>
      </c>
      <c r="C388" s="7" t="s">
        <v>2896</v>
      </c>
      <c r="D388" s="7" t="s">
        <v>959</v>
      </c>
      <c r="E388" s="7" t="s">
        <v>452</v>
      </c>
      <c r="F388" s="7" t="s">
        <v>453</v>
      </c>
      <c r="G388" s="7" t="s">
        <v>455</v>
      </c>
      <c r="H388" t="s">
        <v>456</v>
      </c>
    </row>
    <row r="389" spans="1:8" hidden="1" x14ac:dyDescent="0.2">
      <c r="A389" s="8">
        <v>35937</v>
      </c>
      <c r="B389" s="8" t="s">
        <v>2897</v>
      </c>
      <c r="C389" s="8" t="s">
        <v>2898</v>
      </c>
      <c r="D389" s="8" t="s">
        <v>1598</v>
      </c>
      <c r="E389" s="8" t="s">
        <v>1498</v>
      </c>
      <c r="F389" s="8" t="s">
        <v>1515</v>
      </c>
      <c r="G389" s="8" t="s">
        <v>455</v>
      </c>
      <c r="H389" t="s">
        <v>513</v>
      </c>
    </row>
    <row r="390" spans="1:8" hidden="1" x14ac:dyDescent="0.2">
      <c r="A390" s="7">
        <v>29558</v>
      </c>
      <c r="B390" s="7" t="s">
        <v>2899</v>
      </c>
      <c r="C390" s="7" t="s">
        <v>332</v>
      </c>
      <c r="D390" s="7" t="s">
        <v>492</v>
      </c>
      <c r="E390" s="7" t="s">
        <v>452</v>
      </c>
      <c r="F390" s="7" t="s">
        <v>453</v>
      </c>
      <c r="G390" s="7" t="s">
        <v>455</v>
      </c>
      <c r="H390" t="s">
        <v>513</v>
      </c>
    </row>
    <row r="391" spans="1:8" hidden="1" x14ac:dyDescent="0.2">
      <c r="A391" s="8">
        <v>29656</v>
      </c>
      <c r="B391" s="8" t="s">
        <v>2900</v>
      </c>
      <c r="C391" s="8" t="s">
        <v>195</v>
      </c>
      <c r="D391" s="8" t="s">
        <v>1123</v>
      </c>
      <c r="E391" s="8" t="s">
        <v>452</v>
      </c>
      <c r="F391" s="8" t="s">
        <v>453</v>
      </c>
      <c r="G391" s="8" t="s">
        <v>455</v>
      </c>
      <c r="H391" t="s">
        <v>456</v>
      </c>
    </row>
    <row r="392" spans="1:8" hidden="1" x14ac:dyDescent="0.2">
      <c r="A392" s="7">
        <v>37889</v>
      </c>
      <c r="B392" s="7" t="s">
        <v>2901</v>
      </c>
      <c r="C392" s="7" t="s">
        <v>66</v>
      </c>
      <c r="D392" s="7" t="s">
        <v>665</v>
      </c>
      <c r="E392" s="7" t="s">
        <v>452</v>
      </c>
      <c r="F392" s="7" t="s">
        <v>453</v>
      </c>
      <c r="G392" s="7" t="s">
        <v>455</v>
      </c>
      <c r="H392" t="s">
        <v>513</v>
      </c>
    </row>
    <row r="393" spans="1:8" hidden="1" x14ac:dyDescent="0.2">
      <c r="A393" s="8">
        <v>36629</v>
      </c>
      <c r="B393" s="8" t="s">
        <v>2094</v>
      </c>
      <c r="C393" s="8" t="s">
        <v>364</v>
      </c>
      <c r="D393" s="8" t="s">
        <v>2050</v>
      </c>
      <c r="E393" s="8" t="s">
        <v>452</v>
      </c>
      <c r="F393" s="8" t="s">
        <v>2026</v>
      </c>
      <c r="G393" s="8" t="s">
        <v>455</v>
      </c>
      <c r="H393" t="s">
        <v>456</v>
      </c>
    </row>
    <row r="394" spans="1:8" hidden="1" x14ac:dyDescent="0.2">
      <c r="A394" s="7">
        <v>34165</v>
      </c>
      <c r="B394" s="7" t="s">
        <v>2902</v>
      </c>
      <c r="C394" s="7" t="s">
        <v>2903</v>
      </c>
      <c r="D394" s="7" t="s">
        <v>1648</v>
      </c>
      <c r="E394" s="7" t="s">
        <v>1498</v>
      </c>
      <c r="F394" s="7" t="s">
        <v>1515</v>
      </c>
      <c r="G394" s="7" t="s">
        <v>455</v>
      </c>
      <c r="H394" t="s">
        <v>513</v>
      </c>
    </row>
    <row r="395" spans="1:8" hidden="1" x14ac:dyDescent="0.2">
      <c r="A395" s="8">
        <v>33003</v>
      </c>
      <c r="B395" s="8" t="s">
        <v>2904</v>
      </c>
      <c r="C395" s="8" t="s">
        <v>54</v>
      </c>
      <c r="D395" s="8" t="s">
        <v>468</v>
      </c>
      <c r="E395" s="8" t="s">
        <v>452</v>
      </c>
      <c r="F395" s="8" t="s">
        <v>453</v>
      </c>
      <c r="G395" s="8" t="s">
        <v>455</v>
      </c>
      <c r="H395" t="s">
        <v>513</v>
      </c>
    </row>
    <row r="396" spans="1:8" hidden="1" x14ac:dyDescent="0.2">
      <c r="A396" s="7">
        <v>34584</v>
      </c>
      <c r="B396" s="7" t="s">
        <v>2905</v>
      </c>
      <c r="C396" s="7" t="s">
        <v>2906</v>
      </c>
      <c r="D396" s="7" t="s">
        <v>468</v>
      </c>
      <c r="E396" s="7" t="s">
        <v>452</v>
      </c>
      <c r="F396" s="7" t="s">
        <v>453</v>
      </c>
      <c r="G396" s="7" t="s">
        <v>455</v>
      </c>
      <c r="H396" t="s">
        <v>513</v>
      </c>
    </row>
    <row r="397" spans="1:8" hidden="1" x14ac:dyDescent="0.2">
      <c r="A397" s="8">
        <v>31377</v>
      </c>
      <c r="B397" s="8" t="s">
        <v>2907</v>
      </c>
      <c r="C397" s="8" t="s">
        <v>259</v>
      </c>
      <c r="D397" s="8" t="s">
        <v>1460</v>
      </c>
      <c r="E397" s="8" t="s">
        <v>1283</v>
      </c>
      <c r="F397" s="8" t="s">
        <v>1284</v>
      </c>
      <c r="G397" s="8" t="s">
        <v>455</v>
      </c>
      <c r="H397" t="s">
        <v>456</v>
      </c>
    </row>
    <row r="398" spans="1:8" hidden="1" x14ac:dyDescent="0.2">
      <c r="A398" s="7">
        <v>33781</v>
      </c>
      <c r="B398" s="7" t="s">
        <v>2908</v>
      </c>
      <c r="C398" s="7" t="s">
        <v>2277</v>
      </c>
      <c r="D398" s="7" t="s">
        <v>1448</v>
      </c>
      <c r="E398" s="7" t="s">
        <v>1283</v>
      </c>
      <c r="F398" s="7" t="s">
        <v>1284</v>
      </c>
      <c r="G398" s="7" t="s">
        <v>455</v>
      </c>
      <c r="H398" t="s">
        <v>456</v>
      </c>
    </row>
    <row r="399" spans="1:8" hidden="1" x14ac:dyDescent="0.2">
      <c r="A399" s="8">
        <v>31375</v>
      </c>
      <c r="B399" s="8" t="s">
        <v>2909</v>
      </c>
      <c r="C399" s="8" t="s">
        <v>258</v>
      </c>
      <c r="D399" s="8" t="s">
        <v>1460</v>
      </c>
      <c r="E399" s="8" t="s">
        <v>1283</v>
      </c>
      <c r="F399" s="8" t="s">
        <v>1284</v>
      </c>
      <c r="G399" s="8" t="s">
        <v>455</v>
      </c>
      <c r="H399" t="s">
        <v>456</v>
      </c>
    </row>
    <row r="400" spans="1:8" hidden="1" x14ac:dyDescent="0.2">
      <c r="A400" s="7">
        <v>34933</v>
      </c>
      <c r="B400" s="7" t="s">
        <v>2910</v>
      </c>
      <c r="C400" s="7" t="s">
        <v>382</v>
      </c>
      <c r="D400" s="7" t="s">
        <v>959</v>
      </c>
      <c r="E400" s="7" t="s">
        <v>452</v>
      </c>
      <c r="F400" s="7" t="s">
        <v>453</v>
      </c>
      <c r="G400" s="7" t="s">
        <v>455</v>
      </c>
      <c r="H400" t="s">
        <v>513</v>
      </c>
    </row>
    <row r="401" spans="1:8" hidden="1" x14ac:dyDescent="0.2">
      <c r="A401" s="8">
        <v>32007</v>
      </c>
      <c r="B401" s="8" t="s">
        <v>2911</v>
      </c>
      <c r="C401" s="8" t="s">
        <v>274</v>
      </c>
      <c r="D401" s="8" t="s">
        <v>1545</v>
      </c>
      <c r="E401" s="8" t="s">
        <v>1498</v>
      </c>
      <c r="F401" s="8" t="s">
        <v>1515</v>
      </c>
      <c r="G401" s="8" t="s">
        <v>455</v>
      </c>
      <c r="H401" t="s">
        <v>456</v>
      </c>
    </row>
    <row r="402" spans="1:8" hidden="1" x14ac:dyDescent="0.2">
      <c r="A402" s="7">
        <v>35574</v>
      </c>
      <c r="B402" s="7" t="s">
        <v>2912</v>
      </c>
      <c r="C402" s="7" t="s">
        <v>106</v>
      </c>
      <c r="D402" s="7" t="s">
        <v>751</v>
      </c>
      <c r="E402" s="7" t="s">
        <v>452</v>
      </c>
      <c r="F402" s="7" t="s">
        <v>453</v>
      </c>
      <c r="G402" s="7" t="s">
        <v>455</v>
      </c>
      <c r="H402" t="s">
        <v>513</v>
      </c>
    </row>
    <row r="403" spans="1:8" hidden="1" x14ac:dyDescent="0.2">
      <c r="A403" s="8">
        <v>34364</v>
      </c>
      <c r="B403" s="8" t="s">
        <v>2913</v>
      </c>
      <c r="C403" s="8" t="s">
        <v>267</v>
      </c>
      <c r="D403" s="8" t="s">
        <v>1508</v>
      </c>
      <c r="E403" s="8" t="s">
        <v>1498</v>
      </c>
      <c r="F403" s="8" t="s">
        <v>1515</v>
      </c>
      <c r="G403" s="8" t="s">
        <v>455</v>
      </c>
      <c r="H403" t="s">
        <v>513</v>
      </c>
    </row>
    <row r="404" spans="1:8" hidden="1" x14ac:dyDescent="0.2">
      <c r="A404" s="7">
        <v>32762</v>
      </c>
      <c r="B404" s="7" t="s">
        <v>2914</v>
      </c>
      <c r="C404" s="7" t="s">
        <v>2915</v>
      </c>
      <c r="D404" s="7" t="s">
        <v>454</v>
      </c>
      <c r="E404" s="7" t="s">
        <v>452</v>
      </c>
      <c r="F404" s="7" t="s">
        <v>453</v>
      </c>
      <c r="G404" s="7" t="s">
        <v>455</v>
      </c>
      <c r="H404" t="s">
        <v>513</v>
      </c>
    </row>
    <row r="405" spans="1:8" hidden="1" x14ac:dyDescent="0.2">
      <c r="A405" s="8">
        <v>37497</v>
      </c>
      <c r="B405" s="8" t="s">
        <v>2916</v>
      </c>
      <c r="C405" s="8" t="s">
        <v>2321</v>
      </c>
      <c r="D405" s="8" t="s">
        <v>959</v>
      </c>
      <c r="E405" s="8" t="s">
        <v>452</v>
      </c>
      <c r="F405" s="8" t="s">
        <v>453</v>
      </c>
      <c r="G405" s="8" t="s">
        <v>455</v>
      </c>
      <c r="H405" t="s">
        <v>513</v>
      </c>
    </row>
    <row r="406" spans="1:8" hidden="1" x14ac:dyDescent="0.2">
      <c r="A406" s="7">
        <v>33432</v>
      </c>
      <c r="B406" s="7" t="s">
        <v>2917</v>
      </c>
      <c r="C406" s="7" t="s">
        <v>268</v>
      </c>
      <c r="D406" s="7" t="s">
        <v>1527</v>
      </c>
      <c r="E406" s="7" t="s">
        <v>1498</v>
      </c>
      <c r="F406" s="7" t="s">
        <v>1526</v>
      </c>
      <c r="G406" s="7" t="s">
        <v>455</v>
      </c>
      <c r="H406" t="s">
        <v>456</v>
      </c>
    </row>
    <row r="407" spans="1:8" hidden="1" x14ac:dyDescent="0.2">
      <c r="A407" s="8">
        <v>33490</v>
      </c>
      <c r="B407" s="8" t="s">
        <v>2918</v>
      </c>
      <c r="C407" s="8" t="s">
        <v>17</v>
      </c>
      <c r="D407" s="8" t="s">
        <v>468</v>
      </c>
      <c r="E407" s="8" t="s">
        <v>452</v>
      </c>
      <c r="F407" s="8" t="s">
        <v>453</v>
      </c>
      <c r="G407" s="8" t="s">
        <v>455</v>
      </c>
      <c r="H407" t="s">
        <v>456</v>
      </c>
    </row>
    <row r="408" spans="1:8" hidden="1" x14ac:dyDescent="0.2">
      <c r="A408" s="7">
        <v>33568</v>
      </c>
      <c r="B408" s="7" t="s">
        <v>2919</v>
      </c>
      <c r="C408" s="7" t="s">
        <v>2920</v>
      </c>
      <c r="D408" s="7" t="s">
        <v>959</v>
      </c>
      <c r="E408" s="7" t="s">
        <v>452</v>
      </c>
      <c r="F408" s="7" t="s">
        <v>453</v>
      </c>
      <c r="G408" s="7" t="s">
        <v>455</v>
      </c>
      <c r="H408" t="s">
        <v>513</v>
      </c>
    </row>
    <row r="409" spans="1:8" hidden="1" x14ac:dyDescent="0.2">
      <c r="A409" s="8">
        <v>33785</v>
      </c>
      <c r="B409" s="8" t="s">
        <v>2921</v>
      </c>
      <c r="C409" s="8" t="s">
        <v>2922</v>
      </c>
      <c r="D409" s="8" t="s">
        <v>1430</v>
      </c>
      <c r="E409" s="8" t="s">
        <v>1283</v>
      </c>
      <c r="F409" s="8" t="s">
        <v>1429</v>
      </c>
      <c r="G409" s="8" t="s">
        <v>455</v>
      </c>
      <c r="H409" t="s">
        <v>513</v>
      </c>
    </row>
    <row r="410" spans="1:8" hidden="1" x14ac:dyDescent="0.2">
      <c r="A410" s="7">
        <v>33784</v>
      </c>
      <c r="B410" s="7" t="s">
        <v>2923</v>
      </c>
      <c r="C410" s="7" t="s">
        <v>2924</v>
      </c>
      <c r="D410" s="7" t="s">
        <v>1424</v>
      </c>
      <c r="E410" s="7" t="s">
        <v>1283</v>
      </c>
      <c r="F410" s="7" t="s">
        <v>1284</v>
      </c>
      <c r="G410" s="7" t="s">
        <v>455</v>
      </c>
      <c r="H410" t="s">
        <v>513</v>
      </c>
    </row>
    <row r="411" spans="1:8" hidden="1" x14ac:dyDescent="0.2">
      <c r="A411" s="8">
        <v>34246</v>
      </c>
      <c r="B411" s="8" t="s">
        <v>2925</v>
      </c>
      <c r="C411" s="8" t="s">
        <v>2926</v>
      </c>
      <c r="D411" s="8" t="s">
        <v>492</v>
      </c>
      <c r="E411" s="8" t="s">
        <v>452</v>
      </c>
      <c r="F411" s="8" t="s">
        <v>453</v>
      </c>
      <c r="G411" s="8" t="s">
        <v>455</v>
      </c>
      <c r="H411" t="s">
        <v>513</v>
      </c>
    </row>
    <row r="412" spans="1:8" hidden="1" x14ac:dyDescent="0.2">
      <c r="A412" s="7">
        <v>34432</v>
      </c>
      <c r="B412" s="7" t="s">
        <v>2927</v>
      </c>
      <c r="C412" s="7" t="s">
        <v>186</v>
      </c>
      <c r="D412" s="7" t="s">
        <v>1077</v>
      </c>
      <c r="E412" s="7" t="s">
        <v>452</v>
      </c>
      <c r="F412" s="7" t="s">
        <v>453</v>
      </c>
      <c r="G412" s="7" t="s">
        <v>455</v>
      </c>
      <c r="H412" t="s">
        <v>456</v>
      </c>
    </row>
    <row r="413" spans="1:8" x14ac:dyDescent="0.2">
      <c r="A413" s="8">
        <v>37688</v>
      </c>
      <c r="B413" s="8" t="s">
        <v>2928</v>
      </c>
      <c r="C413" s="8" t="s">
        <v>1887</v>
      </c>
      <c r="D413" s="8" t="s">
        <v>1890</v>
      </c>
      <c r="E413" s="8" t="s">
        <v>452</v>
      </c>
      <c r="F413" s="8" t="s">
        <v>904</v>
      </c>
      <c r="G413" s="8" t="s">
        <v>455</v>
      </c>
      <c r="H413" t="s">
        <v>513</v>
      </c>
    </row>
    <row r="414" spans="1:8" hidden="1" x14ac:dyDescent="0.2">
      <c r="A414" s="7">
        <v>35446</v>
      </c>
      <c r="B414" s="7" t="s">
        <v>2929</v>
      </c>
      <c r="C414" s="7" t="s">
        <v>2930</v>
      </c>
      <c r="D414" s="7" t="s">
        <v>492</v>
      </c>
      <c r="E414" s="7" t="s">
        <v>452</v>
      </c>
      <c r="F414" s="7" t="s">
        <v>453</v>
      </c>
      <c r="G414" s="7" t="s">
        <v>455</v>
      </c>
      <c r="H414" t="s">
        <v>513</v>
      </c>
    </row>
    <row r="415" spans="1:8" hidden="1" x14ac:dyDescent="0.2">
      <c r="A415" s="8">
        <v>34815</v>
      </c>
      <c r="B415" s="8" t="s">
        <v>2931</v>
      </c>
      <c r="C415" s="8" t="s">
        <v>212</v>
      </c>
      <c r="D415" s="8" t="s">
        <v>959</v>
      </c>
      <c r="E415" s="8" t="s">
        <v>452</v>
      </c>
      <c r="F415" s="8" t="s">
        <v>453</v>
      </c>
      <c r="G415" s="8" t="s">
        <v>455</v>
      </c>
      <c r="H415" t="s">
        <v>513</v>
      </c>
    </row>
    <row r="416" spans="1:8" hidden="1" x14ac:dyDescent="0.2">
      <c r="A416" s="7">
        <v>34380</v>
      </c>
      <c r="B416" s="7" t="s">
        <v>2932</v>
      </c>
      <c r="C416" s="7" t="s">
        <v>92</v>
      </c>
      <c r="D416" s="7" t="s">
        <v>751</v>
      </c>
      <c r="E416" s="7" t="s">
        <v>452</v>
      </c>
      <c r="F416" s="7" t="s">
        <v>453</v>
      </c>
      <c r="G416" s="7" t="s">
        <v>455</v>
      </c>
      <c r="H416" t="s">
        <v>513</v>
      </c>
    </row>
    <row r="417" spans="1:8" hidden="1" x14ac:dyDescent="0.2">
      <c r="A417" s="8">
        <v>37131</v>
      </c>
      <c r="B417" s="8" t="s">
        <v>2933</v>
      </c>
      <c r="C417" s="8" t="s">
        <v>202</v>
      </c>
      <c r="D417" s="8" t="s">
        <v>1123</v>
      </c>
      <c r="E417" s="8" t="s">
        <v>452</v>
      </c>
      <c r="F417" s="8" t="s">
        <v>453</v>
      </c>
      <c r="G417" s="8" t="s">
        <v>455</v>
      </c>
      <c r="H417" t="s">
        <v>513</v>
      </c>
    </row>
    <row r="418" spans="1:8" hidden="1" x14ac:dyDescent="0.2">
      <c r="A418" s="7">
        <v>34814</v>
      </c>
      <c r="B418" s="7" t="s">
        <v>2934</v>
      </c>
      <c r="C418" s="7" t="s">
        <v>2319</v>
      </c>
      <c r="D418" s="7" t="s">
        <v>959</v>
      </c>
      <c r="E418" s="7" t="s">
        <v>452</v>
      </c>
      <c r="F418" s="7" t="s">
        <v>453</v>
      </c>
      <c r="G418" s="7" t="s">
        <v>455</v>
      </c>
      <c r="H418" t="s">
        <v>456</v>
      </c>
    </row>
    <row r="419" spans="1:8" hidden="1" x14ac:dyDescent="0.2">
      <c r="A419" s="8">
        <v>35287</v>
      </c>
      <c r="B419" s="8" t="s">
        <v>2935</v>
      </c>
      <c r="C419" s="8" t="s">
        <v>88</v>
      </c>
      <c r="D419" s="8" t="s">
        <v>751</v>
      </c>
      <c r="E419" s="8" t="s">
        <v>452</v>
      </c>
      <c r="F419" s="8" t="s">
        <v>453</v>
      </c>
      <c r="G419" s="8" t="s">
        <v>455</v>
      </c>
      <c r="H419" t="s">
        <v>456</v>
      </c>
    </row>
    <row r="420" spans="1:8" hidden="1" x14ac:dyDescent="0.2">
      <c r="A420" s="7">
        <v>34559</v>
      </c>
      <c r="B420" s="7" t="s">
        <v>2936</v>
      </c>
      <c r="C420" s="7" t="s">
        <v>117</v>
      </c>
      <c r="D420" s="7" t="s">
        <v>751</v>
      </c>
      <c r="E420" s="7" t="s">
        <v>452</v>
      </c>
      <c r="F420" s="7" t="s">
        <v>453</v>
      </c>
      <c r="G420" s="7" t="s">
        <v>455</v>
      </c>
      <c r="H420" t="s">
        <v>513</v>
      </c>
    </row>
    <row r="421" spans="1:8" hidden="1" x14ac:dyDescent="0.2">
      <c r="A421" s="8">
        <v>34616</v>
      </c>
      <c r="B421" s="8" t="s">
        <v>1484</v>
      </c>
      <c r="C421" s="8" t="s">
        <v>2937</v>
      </c>
      <c r="D421" s="8" t="s">
        <v>2938</v>
      </c>
      <c r="E421" s="8" t="s">
        <v>1283</v>
      </c>
      <c r="F421" s="8" t="s">
        <v>1284</v>
      </c>
      <c r="G421" s="8" t="s">
        <v>455</v>
      </c>
      <c r="H421" t="s">
        <v>513</v>
      </c>
    </row>
    <row r="422" spans="1:8" hidden="1" x14ac:dyDescent="0.2">
      <c r="A422" s="7">
        <v>34816</v>
      </c>
      <c r="B422" s="7" t="s">
        <v>2939</v>
      </c>
      <c r="C422" s="7" t="s">
        <v>154</v>
      </c>
      <c r="D422" s="7" t="s">
        <v>959</v>
      </c>
      <c r="E422" s="7" t="s">
        <v>452</v>
      </c>
      <c r="F422" s="7" t="s">
        <v>453</v>
      </c>
      <c r="G422" s="7" t="s">
        <v>455</v>
      </c>
      <c r="H422" t="s">
        <v>513</v>
      </c>
    </row>
    <row r="423" spans="1:8" hidden="1" x14ac:dyDescent="0.2">
      <c r="A423" s="8">
        <v>34686</v>
      </c>
      <c r="B423" s="8" t="s">
        <v>2940</v>
      </c>
      <c r="C423" s="8" t="s">
        <v>297</v>
      </c>
      <c r="D423" s="8" t="s">
        <v>959</v>
      </c>
      <c r="E423" s="8" t="s">
        <v>452</v>
      </c>
      <c r="F423" s="8" t="s">
        <v>453</v>
      </c>
      <c r="G423" s="8" t="s">
        <v>455</v>
      </c>
      <c r="H423" t="s">
        <v>456</v>
      </c>
    </row>
    <row r="424" spans="1:8" hidden="1" x14ac:dyDescent="0.2">
      <c r="A424" s="7">
        <v>35145</v>
      </c>
      <c r="B424" s="7" t="s">
        <v>2941</v>
      </c>
      <c r="C424" s="7" t="s">
        <v>348</v>
      </c>
      <c r="D424" s="7" t="s">
        <v>1527</v>
      </c>
      <c r="E424" s="7" t="s">
        <v>1498</v>
      </c>
      <c r="F424" s="7" t="s">
        <v>1697</v>
      </c>
      <c r="G424" s="7" t="s">
        <v>455</v>
      </c>
      <c r="H424" t="s">
        <v>456</v>
      </c>
    </row>
    <row r="425" spans="1:8" hidden="1" x14ac:dyDescent="0.2">
      <c r="A425" s="8">
        <v>35331</v>
      </c>
      <c r="B425" s="8" t="s">
        <v>2942</v>
      </c>
      <c r="C425" s="8" t="s">
        <v>183</v>
      </c>
      <c r="D425" s="8" t="s">
        <v>1077</v>
      </c>
      <c r="E425" s="8" t="s">
        <v>452</v>
      </c>
      <c r="F425" s="8" t="s">
        <v>453</v>
      </c>
      <c r="G425" s="8" t="s">
        <v>455</v>
      </c>
      <c r="H425" t="s">
        <v>513</v>
      </c>
    </row>
    <row r="426" spans="1:8" hidden="1" x14ac:dyDescent="0.2">
      <c r="A426" s="7">
        <v>35733</v>
      </c>
      <c r="B426" s="7" t="s">
        <v>891</v>
      </c>
      <c r="C426" s="7" t="s">
        <v>118</v>
      </c>
      <c r="D426" s="7" t="s">
        <v>751</v>
      </c>
      <c r="E426" s="7" t="s">
        <v>452</v>
      </c>
      <c r="F426" s="7" t="s">
        <v>453</v>
      </c>
      <c r="G426" s="7" t="s">
        <v>455</v>
      </c>
      <c r="H426" t="s">
        <v>513</v>
      </c>
    </row>
    <row r="427" spans="1:8" hidden="1" x14ac:dyDescent="0.2">
      <c r="A427" s="8">
        <v>35488</v>
      </c>
      <c r="B427" s="8" t="s">
        <v>2943</v>
      </c>
      <c r="C427" s="8" t="s">
        <v>2944</v>
      </c>
      <c r="D427" s="8" t="s">
        <v>1897</v>
      </c>
      <c r="E427" s="8" t="s">
        <v>452</v>
      </c>
      <c r="F427" s="8" t="s">
        <v>453</v>
      </c>
      <c r="G427" s="8" t="s">
        <v>455</v>
      </c>
      <c r="H427" t="s">
        <v>456</v>
      </c>
    </row>
    <row r="428" spans="1:8" hidden="1" x14ac:dyDescent="0.2">
      <c r="A428" s="7">
        <v>36243</v>
      </c>
      <c r="B428" s="7" t="s">
        <v>2945</v>
      </c>
      <c r="C428" s="7" t="s">
        <v>82</v>
      </c>
      <c r="D428" s="7" t="s">
        <v>751</v>
      </c>
      <c r="E428" s="7" t="s">
        <v>452</v>
      </c>
      <c r="F428" s="7" t="s">
        <v>453</v>
      </c>
      <c r="G428" s="7" t="s">
        <v>455</v>
      </c>
      <c r="H428" t="s">
        <v>456</v>
      </c>
    </row>
    <row r="429" spans="1:8" hidden="1" x14ac:dyDescent="0.2">
      <c r="A429" s="8">
        <v>37466</v>
      </c>
      <c r="B429" s="8" t="s">
        <v>2946</v>
      </c>
      <c r="C429" s="8" t="s">
        <v>378</v>
      </c>
      <c r="D429" s="8" t="s">
        <v>959</v>
      </c>
      <c r="E429" s="8" t="s">
        <v>452</v>
      </c>
      <c r="F429" s="8" t="s">
        <v>453</v>
      </c>
      <c r="G429" s="8" t="s">
        <v>455</v>
      </c>
      <c r="H429" t="s">
        <v>513</v>
      </c>
    </row>
    <row r="430" spans="1:8" hidden="1" x14ac:dyDescent="0.2">
      <c r="A430" s="7">
        <v>36630</v>
      </c>
      <c r="B430" s="7" t="s">
        <v>2947</v>
      </c>
      <c r="C430" s="7" t="s">
        <v>2091</v>
      </c>
      <c r="D430" s="7" t="s">
        <v>2094</v>
      </c>
      <c r="E430" s="7" t="s">
        <v>452</v>
      </c>
      <c r="F430" s="7" t="s">
        <v>2026</v>
      </c>
      <c r="G430" s="7" t="s">
        <v>455</v>
      </c>
      <c r="H430" t="s">
        <v>456</v>
      </c>
    </row>
    <row r="431" spans="1:8" hidden="1" x14ac:dyDescent="0.2">
      <c r="A431" s="8">
        <v>36843</v>
      </c>
      <c r="B431" s="8" t="s">
        <v>2948</v>
      </c>
      <c r="C431" s="8" t="s">
        <v>2949</v>
      </c>
      <c r="D431" s="8" t="s">
        <v>2950</v>
      </c>
      <c r="E431" s="8" t="s">
        <v>1283</v>
      </c>
      <c r="F431" s="8" t="s">
        <v>2951</v>
      </c>
      <c r="G431" s="8" t="s">
        <v>455</v>
      </c>
      <c r="H431" t="s">
        <v>513</v>
      </c>
    </row>
    <row r="432" spans="1:8" hidden="1" x14ac:dyDescent="0.2">
      <c r="A432" s="7">
        <v>37640</v>
      </c>
      <c r="B432" s="7" t="s">
        <v>2952</v>
      </c>
      <c r="C432" s="7" t="s">
        <v>185</v>
      </c>
      <c r="D432" s="7" t="s">
        <v>1077</v>
      </c>
      <c r="E432" s="7" t="s">
        <v>452</v>
      </c>
      <c r="F432" s="7" t="s">
        <v>453</v>
      </c>
      <c r="G432" s="7" t="s">
        <v>455</v>
      </c>
      <c r="H432" t="s">
        <v>513</v>
      </c>
    </row>
    <row r="433" spans="1:8" hidden="1" x14ac:dyDescent="0.2">
      <c r="A433" s="8">
        <v>37598</v>
      </c>
      <c r="B433" s="8" t="s">
        <v>2953</v>
      </c>
      <c r="C433" s="8" t="s">
        <v>203</v>
      </c>
      <c r="D433" s="8" t="s">
        <v>1123</v>
      </c>
      <c r="E433" s="8" t="s">
        <v>452</v>
      </c>
      <c r="F433" s="8" t="s">
        <v>453</v>
      </c>
      <c r="G433" s="8" t="s">
        <v>455</v>
      </c>
      <c r="H433" t="s">
        <v>513</v>
      </c>
    </row>
    <row r="434" spans="1:8" hidden="1" x14ac:dyDescent="0.2">
      <c r="A434" s="7">
        <v>37289</v>
      </c>
      <c r="B434" s="7" t="s">
        <v>2954</v>
      </c>
      <c r="C434" s="7" t="s">
        <v>250</v>
      </c>
      <c r="D434" s="7" t="s">
        <v>900</v>
      </c>
      <c r="E434" s="7" t="s">
        <v>1414</v>
      </c>
      <c r="F434" s="7" t="s">
        <v>1415</v>
      </c>
      <c r="G434" s="7" t="s">
        <v>455</v>
      </c>
      <c r="H434" t="s">
        <v>456</v>
      </c>
    </row>
    <row r="435" spans="1:8" hidden="1" x14ac:dyDescent="0.2">
      <c r="A435" s="8">
        <v>37305</v>
      </c>
      <c r="B435" s="8" t="s">
        <v>2955</v>
      </c>
      <c r="C435" s="8" t="s">
        <v>2956</v>
      </c>
      <c r="D435" s="8" t="s">
        <v>751</v>
      </c>
      <c r="E435" s="8" t="s">
        <v>452</v>
      </c>
      <c r="F435" s="8" t="s">
        <v>453</v>
      </c>
      <c r="G435" s="8" t="s">
        <v>455</v>
      </c>
      <c r="H435" t="s">
        <v>456</v>
      </c>
    </row>
    <row r="436" spans="1:8" hidden="1" x14ac:dyDescent="0.2">
      <c r="A436" s="7">
        <v>37419</v>
      </c>
      <c r="B436" s="7" t="s">
        <v>2957</v>
      </c>
      <c r="C436" s="7" t="s">
        <v>2958</v>
      </c>
      <c r="D436" s="7" t="s">
        <v>751</v>
      </c>
      <c r="E436" s="7" t="s">
        <v>452</v>
      </c>
      <c r="F436" s="7" t="s">
        <v>453</v>
      </c>
      <c r="G436" s="7" t="s">
        <v>455</v>
      </c>
      <c r="H436" t="s">
        <v>456</v>
      </c>
    </row>
    <row r="437" spans="1:8" hidden="1" x14ac:dyDescent="0.2">
      <c r="A437" s="8">
        <v>37555</v>
      </c>
      <c r="B437" s="8" t="s">
        <v>2959</v>
      </c>
      <c r="C437" s="8" t="s">
        <v>2294</v>
      </c>
      <c r="D437" s="8" t="s">
        <v>1077</v>
      </c>
      <c r="E437" s="8" t="s">
        <v>452</v>
      </c>
      <c r="F437" s="8" t="s">
        <v>453</v>
      </c>
      <c r="G437" s="8" t="s">
        <v>455</v>
      </c>
      <c r="H437" t="s">
        <v>513</v>
      </c>
    </row>
    <row r="438" spans="1:8" hidden="1" x14ac:dyDescent="0.2">
      <c r="A438" s="7">
        <v>37477</v>
      </c>
      <c r="B438" s="7" t="s">
        <v>2960</v>
      </c>
      <c r="C438" s="7" t="s">
        <v>2961</v>
      </c>
      <c r="D438" s="7" t="s">
        <v>1123</v>
      </c>
      <c r="E438" s="7" t="s">
        <v>452</v>
      </c>
      <c r="F438" s="7" t="s">
        <v>453</v>
      </c>
      <c r="G438" s="7" t="s">
        <v>455</v>
      </c>
      <c r="H438" t="s">
        <v>513</v>
      </c>
    </row>
    <row r="439" spans="1:8" hidden="1" x14ac:dyDescent="0.2">
      <c r="A439" s="8">
        <v>37768</v>
      </c>
      <c r="B439" s="8" t="s">
        <v>2962</v>
      </c>
      <c r="C439" s="8" t="s">
        <v>231</v>
      </c>
      <c r="D439" s="8" t="s">
        <v>1292</v>
      </c>
      <c r="E439" s="8" t="s">
        <v>1283</v>
      </c>
      <c r="F439" s="8" t="s">
        <v>1284</v>
      </c>
      <c r="G439" s="8" t="s">
        <v>455</v>
      </c>
      <c r="H439" t="s">
        <v>456</v>
      </c>
    </row>
    <row r="440" spans="1:8" hidden="1" x14ac:dyDescent="0.2">
      <c r="A440" s="7">
        <v>37771</v>
      </c>
      <c r="B440" s="7" t="s">
        <v>2963</v>
      </c>
      <c r="C440" s="7" t="s">
        <v>230</v>
      </c>
      <c r="D440" s="7" t="s">
        <v>1292</v>
      </c>
      <c r="E440" s="7" t="s">
        <v>1283</v>
      </c>
      <c r="F440" s="7" t="s">
        <v>1284</v>
      </c>
      <c r="G440" s="7" t="s">
        <v>455</v>
      </c>
      <c r="H440" t="s">
        <v>513</v>
      </c>
    </row>
    <row r="441" spans="1:8" hidden="1" x14ac:dyDescent="0.2">
      <c r="A441" s="8">
        <v>37769</v>
      </c>
      <c r="B441" s="8" t="s">
        <v>2964</v>
      </c>
      <c r="C441" s="8" t="s">
        <v>234</v>
      </c>
      <c r="D441" s="8" t="s">
        <v>1292</v>
      </c>
      <c r="E441" s="8" t="s">
        <v>1283</v>
      </c>
      <c r="F441" s="8" t="s">
        <v>1284</v>
      </c>
      <c r="G441" s="8" t="s">
        <v>455</v>
      </c>
      <c r="H441" t="s">
        <v>456</v>
      </c>
    </row>
    <row r="442" spans="1:8" hidden="1" x14ac:dyDescent="0.2">
      <c r="A442" s="7">
        <v>37799</v>
      </c>
      <c r="B442" s="7" t="s">
        <v>2965</v>
      </c>
      <c r="C442" s="7" t="s">
        <v>241</v>
      </c>
      <c r="D442" s="7" t="s">
        <v>1332</v>
      </c>
      <c r="E442" s="7" t="s">
        <v>1283</v>
      </c>
      <c r="F442" s="7" t="s">
        <v>1284</v>
      </c>
      <c r="G442" s="7" t="s">
        <v>455</v>
      </c>
      <c r="H442" t="s">
        <v>513</v>
      </c>
    </row>
    <row r="443" spans="1:8" hidden="1" x14ac:dyDescent="0.2">
      <c r="A443" s="8">
        <v>37711</v>
      </c>
      <c r="B443" s="8" t="s">
        <v>2966</v>
      </c>
      <c r="C443" s="8" t="s">
        <v>2194</v>
      </c>
      <c r="D443" s="8" t="s">
        <v>2967</v>
      </c>
      <c r="E443" s="8" t="s">
        <v>452</v>
      </c>
      <c r="F443" s="8" t="s">
        <v>453</v>
      </c>
      <c r="G443" s="8" t="s">
        <v>455</v>
      </c>
      <c r="H443" t="s">
        <v>456</v>
      </c>
    </row>
    <row r="444" spans="1:8" hidden="1" x14ac:dyDescent="0.2">
      <c r="A444" s="7">
        <v>16775</v>
      </c>
      <c r="B444" s="7" t="s">
        <v>2968</v>
      </c>
      <c r="C444" s="7" t="s">
        <v>2969</v>
      </c>
      <c r="D444" s="7" t="s">
        <v>959</v>
      </c>
      <c r="E444" s="7" t="s">
        <v>452</v>
      </c>
      <c r="F444" s="7" t="s">
        <v>453</v>
      </c>
      <c r="G444" s="7" t="s">
        <v>2970</v>
      </c>
      <c r="H444" t="s">
        <v>513</v>
      </c>
    </row>
    <row r="445" spans="1:8" hidden="1" x14ac:dyDescent="0.2">
      <c r="A445" s="8">
        <v>23770</v>
      </c>
      <c r="B445" s="8" t="s">
        <v>2971</v>
      </c>
      <c r="C445" s="8" t="s">
        <v>2972</v>
      </c>
      <c r="D445" s="8" t="s">
        <v>1545</v>
      </c>
      <c r="E445" s="8" t="s">
        <v>1498</v>
      </c>
      <c r="F445" s="8" t="s">
        <v>1515</v>
      </c>
      <c r="G445" s="8" t="s">
        <v>2970</v>
      </c>
      <c r="H445" t="s">
        <v>513</v>
      </c>
    </row>
    <row r="446" spans="1:8" hidden="1" x14ac:dyDescent="0.2">
      <c r="A446" s="7">
        <v>33782</v>
      </c>
      <c r="B446" s="7" t="s">
        <v>2973</v>
      </c>
      <c r="C446" s="7" t="s">
        <v>2974</v>
      </c>
      <c r="D446" s="7" t="s">
        <v>1402</v>
      </c>
      <c r="E446" s="7" t="s">
        <v>1283</v>
      </c>
      <c r="F446" s="7" t="s">
        <v>1284</v>
      </c>
      <c r="G446" s="7" t="s">
        <v>2970</v>
      </c>
      <c r="H446" t="s">
        <v>513</v>
      </c>
    </row>
    <row r="447" spans="1:8" hidden="1" x14ac:dyDescent="0.2">
      <c r="A447" s="8">
        <v>34261</v>
      </c>
      <c r="B447" s="8" t="s">
        <v>2975</v>
      </c>
      <c r="C447" s="8" t="s">
        <v>2976</v>
      </c>
      <c r="D447" s="8" t="s">
        <v>751</v>
      </c>
      <c r="E447" s="8" t="s">
        <v>452</v>
      </c>
      <c r="F447" s="8" t="s">
        <v>453</v>
      </c>
      <c r="G447" s="8" t="s">
        <v>2970</v>
      </c>
      <c r="H447" t="s">
        <v>456</v>
      </c>
    </row>
    <row r="448" spans="1:8" hidden="1" x14ac:dyDescent="0.2">
      <c r="A448" s="24"/>
      <c r="B448" s="24" t="s">
        <v>1231</v>
      </c>
      <c r="C448" s="24" t="s">
        <v>218</v>
      </c>
      <c r="D448" s="24" t="s">
        <v>959</v>
      </c>
      <c r="E448" s="8" t="s">
        <v>452</v>
      </c>
      <c r="F448" s="8" t="s">
        <v>453</v>
      </c>
      <c r="G448" s="24" t="s">
        <v>455</v>
      </c>
      <c r="H448" t="s">
        <v>456</v>
      </c>
    </row>
    <row r="449" spans="1:8" hidden="1" x14ac:dyDescent="0.2">
      <c r="A449" s="24"/>
      <c r="B449" s="24" t="s">
        <v>864</v>
      </c>
      <c r="C449" s="24" t="s">
        <v>111</v>
      </c>
      <c r="D449" s="24" t="s">
        <v>751</v>
      </c>
      <c r="E449" s="7" t="s">
        <v>452</v>
      </c>
      <c r="F449" s="7" t="s">
        <v>453</v>
      </c>
      <c r="G449" s="7" t="s">
        <v>455</v>
      </c>
      <c r="H449" t="s">
        <v>513</v>
      </c>
    </row>
    <row r="450" spans="1:8" hidden="1" x14ac:dyDescent="0.2">
      <c r="A450" s="24"/>
      <c r="B450" s="24" t="s">
        <v>555</v>
      </c>
      <c r="C450" s="24" t="s">
        <v>34</v>
      </c>
      <c r="D450" s="24" t="s">
        <v>454</v>
      </c>
      <c r="E450" s="7" t="s">
        <v>452</v>
      </c>
      <c r="F450" s="7" t="s">
        <v>453</v>
      </c>
      <c r="G450" s="7" t="s">
        <v>455</v>
      </c>
      <c r="H450" t="s">
        <v>513</v>
      </c>
    </row>
    <row r="451" spans="1:8" hidden="1" x14ac:dyDescent="0.2">
      <c r="A451" s="24"/>
      <c r="B451" s="24" t="s">
        <v>869</v>
      </c>
      <c r="C451" s="24" t="s">
        <v>113</v>
      </c>
      <c r="D451" s="24" t="s">
        <v>751</v>
      </c>
      <c r="E451" s="7" t="s">
        <v>452</v>
      </c>
      <c r="F451" s="7" t="s">
        <v>453</v>
      </c>
      <c r="G451" s="7" t="s">
        <v>455</v>
      </c>
      <c r="H451" t="s">
        <v>513</v>
      </c>
    </row>
    <row r="452" spans="1:8" x14ac:dyDescent="0.2">
      <c r="A452" s="24"/>
      <c r="B452" s="24" t="s">
        <v>1931</v>
      </c>
      <c r="C452" s="24" t="s">
        <v>1930</v>
      </c>
      <c r="D452" s="7" t="s">
        <v>1925</v>
      </c>
      <c r="E452" s="7" t="s">
        <v>2380</v>
      </c>
      <c r="F452" s="7" t="s">
        <v>1924</v>
      </c>
      <c r="G452" s="7" t="s">
        <v>455</v>
      </c>
      <c r="H452" t="s">
        <v>513</v>
      </c>
    </row>
    <row r="453" spans="1:8" hidden="1" x14ac:dyDescent="0.2">
      <c r="A453" s="24"/>
      <c r="B453" s="24" t="s">
        <v>571</v>
      </c>
      <c r="C453" s="24" t="s">
        <v>39</v>
      </c>
      <c r="D453" s="24" t="s">
        <v>454</v>
      </c>
      <c r="E453" s="7" t="s">
        <v>452</v>
      </c>
      <c r="F453" s="7" t="s">
        <v>453</v>
      </c>
      <c r="G453" s="7" t="s">
        <v>455</v>
      </c>
      <c r="H453" t="s">
        <v>513</v>
      </c>
    </row>
    <row r="454" spans="1:8" hidden="1" x14ac:dyDescent="0.2">
      <c r="A454" s="24"/>
      <c r="B454" s="24" t="s">
        <v>2977</v>
      </c>
      <c r="C454" s="24" t="s">
        <v>1250</v>
      </c>
      <c r="D454" s="24" t="s">
        <v>1117</v>
      </c>
      <c r="E454" s="7" t="s">
        <v>452</v>
      </c>
      <c r="F454" s="7" t="s">
        <v>453</v>
      </c>
      <c r="G454" s="7" t="s">
        <v>455</v>
      </c>
      <c r="H454" t="s">
        <v>513</v>
      </c>
    </row>
    <row r="455" spans="1:8" x14ac:dyDescent="0.2">
      <c r="A455" s="24"/>
      <c r="B455" s="24" t="s">
        <v>2978</v>
      </c>
      <c r="C455" s="24" t="s">
        <v>296</v>
      </c>
      <c r="D455" s="24" t="s">
        <v>1706</v>
      </c>
      <c r="E455" s="7" t="s">
        <v>452</v>
      </c>
      <c r="F455" s="24" t="s">
        <v>1705</v>
      </c>
      <c r="G455" s="7" t="s">
        <v>455</v>
      </c>
      <c r="H455" t="s">
        <v>456</v>
      </c>
    </row>
    <row r="456" spans="1:8" hidden="1" x14ac:dyDescent="0.2">
      <c r="A456" s="24"/>
      <c r="B456" s="103" t="s">
        <v>2337</v>
      </c>
      <c r="C456" s="104" t="s">
        <v>2336</v>
      </c>
      <c r="D456" s="24"/>
      <c r="E456" s="7" t="s">
        <v>452</v>
      </c>
      <c r="F456" s="8" t="s">
        <v>453</v>
      </c>
      <c r="G456" s="24"/>
    </row>
    <row r="457" spans="1:8" hidden="1" x14ac:dyDescent="0.2">
      <c r="A457" s="24"/>
      <c r="B457" s="105" t="s">
        <v>2339</v>
      </c>
      <c r="C457" s="105" t="s">
        <v>389</v>
      </c>
      <c r="D457" s="105" t="s">
        <v>1077</v>
      </c>
      <c r="E457" s="7" t="s">
        <v>452</v>
      </c>
      <c r="F457" s="8" t="s">
        <v>453</v>
      </c>
      <c r="G457" s="7" t="s">
        <v>455</v>
      </c>
      <c r="H457" t="s">
        <v>513</v>
      </c>
    </row>
  </sheetData>
  <conditionalFormatting sqref="B457">
    <cfRule type="duplicateValues" dxfId="3" priority="1"/>
  </conditionalFormatting>
  <conditionalFormatting sqref="C457">
    <cfRule type="duplicateValues" dxfId="2" priority="2"/>
  </conditionalFormatting>
  <conditionalFormatting sqref="D457">
    <cfRule type="duplicateValues" dxfId="1" priority="3"/>
  </conditionalFormatting>
  <hyperlinks>
    <hyperlink ref="C456" r:id="rId1" xr:uid="{CD2984E6-5368-4FD8-9A00-275613EE927B}"/>
  </hyperlinks>
  <pageMargins left="0.7" right="0.7" top="0.75" bottom="0.75" header="0.3" footer="0.3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647B98-3E6C-4B24-B58B-5D31E70D1926}">
  <dimension ref="A1:P70"/>
  <sheetViews>
    <sheetView workbookViewId="0">
      <selection activeCell="M1" sqref="M1"/>
    </sheetView>
  </sheetViews>
  <sheetFormatPr baseColWidth="10" defaultColWidth="8.83203125" defaultRowHeight="15" x14ac:dyDescent="0.2"/>
  <cols>
    <col min="1" max="1" width="39.83203125" bestFit="1" customWidth="1"/>
    <col min="2" max="2" width="16.6640625" bestFit="1" customWidth="1"/>
    <col min="4" max="4" width="35.5" bestFit="1" customWidth="1"/>
  </cols>
  <sheetData>
    <row r="1" spans="1:16" x14ac:dyDescent="0.2">
      <c r="A1" t="s">
        <v>2979</v>
      </c>
      <c r="B1" t="s">
        <v>2980</v>
      </c>
      <c r="D1" t="s">
        <v>449</v>
      </c>
      <c r="F1" t="s">
        <v>2981</v>
      </c>
      <c r="K1" t="s">
        <v>11</v>
      </c>
      <c r="L1" s="1" t="s">
        <v>2982</v>
      </c>
      <c r="M1" t="str">
        <f>$K$1&amp;L1</f>
        <v>TWN01</v>
      </c>
      <c r="O1" t="s">
        <v>14</v>
      </c>
      <c r="P1">
        <v>71</v>
      </c>
    </row>
    <row r="2" spans="1:16" x14ac:dyDescent="0.2">
      <c r="A2" t="s">
        <v>2983</v>
      </c>
      <c r="D2" t="s">
        <v>629</v>
      </c>
      <c r="F2" t="s">
        <v>2984</v>
      </c>
      <c r="L2" s="1" t="s">
        <v>2985</v>
      </c>
      <c r="M2" t="str">
        <f t="shared" ref="M2:M65" si="0">$K$1&amp;L2</f>
        <v>TWN02</v>
      </c>
      <c r="P2">
        <v>71</v>
      </c>
    </row>
    <row r="3" spans="1:16" x14ac:dyDescent="0.2">
      <c r="A3" t="s">
        <v>2986</v>
      </c>
      <c r="L3" s="1" t="s">
        <v>2987</v>
      </c>
      <c r="M3" t="str">
        <f t="shared" si="0"/>
        <v>TWN03</v>
      </c>
    </row>
    <row r="4" spans="1:16" x14ac:dyDescent="0.2">
      <c r="A4" s="10" t="s">
        <v>2324</v>
      </c>
      <c r="B4" t="s">
        <v>2988</v>
      </c>
      <c r="F4" t="s">
        <v>2989</v>
      </c>
      <c r="L4" s="1" t="s">
        <v>2990</v>
      </c>
      <c r="M4" t="str">
        <f t="shared" si="0"/>
        <v>TWN04</v>
      </c>
    </row>
    <row r="5" spans="1:16" x14ac:dyDescent="0.2">
      <c r="F5" t="s">
        <v>2991</v>
      </c>
      <c r="L5" s="1" t="s">
        <v>2992</v>
      </c>
      <c r="M5" t="str">
        <f t="shared" si="0"/>
        <v>TWN05</v>
      </c>
    </row>
    <row r="6" spans="1:16" x14ac:dyDescent="0.2">
      <c r="L6" s="1" t="s">
        <v>2993</v>
      </c>
      <c r="M6" t="str">
        <f t="shared" si="0"/>
        <v>TWN06</v>
      </c>
    </row>
    <row r="7" spans="1:16" x14ac:dyDescent="0.2">
      <c r="L7" s="1" t="s">
        <v>2994</v>
      </c>
      <c r="M7" t="str">
        <f t="shared" si="0"/>
        <v>TWN07</v>
      </c>
    </row>
    <row r="8" spans="1:16" x14ac:dyDescent="0.2">
      <c r="L8" s="1" t="s">
        <v>2995</v>
      </c>
      <c r="M8" t="str">
        <f t="shared" si="0"/>
        <v>TWN08</v>
      </c>
    </row>
    <row r="9" spans="1:16" x14ac:dyDescent="0.2">
      <c r="L9" s="1" t="s">
        <v>2996</v>
      </c>
      <c r="M9" t="str">
        <f t="shared" si="0"/>
        <v>TWN09</v>
      </c>
    </row>
    <row r="10" spans="1:16" x14ac:dyDescent="0.2">
      <c r="L10">
        <v>10</v>
      </c>
      <c r="M10" t="str">
        <f t="shared" si="0"/>
        <v>TWN10</v>
      </c>
    </row>
    <row r="11" spans="1:16" x14ac:dyDescent="0.2">
      <c r="L11">
        <v>11</v>
      </c>
      <c r="M11" t="str">
        <f t="shared" si="0"/>
        <v>TWN11</v>
      </c>
    </row>
    <row r="12" spans="1:16" x14ac:dyDescent="0.2">
      <c r="G12" s="4"/>
      <c r="L12">
        <v>12</v>
      </c>
      <c r="M12" t="str">
        <f t="shared" si="0"/>
        <v>TWN12</v>
      </c>
    </row>
    <row r="13" spans="1:16" x14ac:dyDescent="0.2">
      <c r="G13" s="4"/>
      <c r="L13">
        <v>13</v>
      </c>
      <c r="M13" t="str">
        <f t="shared" si="0"/>
        <v>TWN13</v>
      </c>
    </row>
    <row r="14" spans="1:16" x14ac:dyDescent="0.2">
      <c r="G14" s="4"/>
      <c r="L14">
        <v>14</v>
      </c>
      <c r="M14" t="str">
        <f t="shared" si="0"/>
        <v>TWN14</v>
      </c>
    </row>
    <row r="15" spans="1:16" x14ac:dyDescent="0.2">
      <c r="G15" s="4"/>
      <c r="L15">
        <v>15</v>
      </c>
      <c r="M15" t="str">
        <f t="shared" si="0"/>
        <v>TWN15</v>
      </c>
    </row>
    <row r="16" spans="1:16" ht="15" customHeight="1" x14ac:dyDescent="0.2">
      <c r="G16" s="4"/>
      <c r="L16">
        <v>16</v>
      </c>
      <c r="M16" t="str">
        <f t="shared" si="0"/>
        <v>TWN16</v>
      </c>
    </row>
    <row r="17" spans="7:13" ht="15" customHeight="1" x14ac:dyDescent="0.2">
      <c r="G17" s="4"/>
      <c r="L17">
        <v>17</v>
      </c>
      <c r="M17" t="str">
        <f t="shared" si="0"/>
        <v>TWN17</v>
      </c>
    </row>
    <row r="18" spans="7:13" x14ac:dyDescent="0.2">
      <c r="G18" s="4"/>
      <c r="L18">
        <v>18</v>
      </c>
      <c r="M18" t="str">
        <f t="shared" si="0"/>
        <v>TWN18</v>
      </c>
    </row>
    <row r="19" spans="7:13" x14ac:dyDescent="0.2">
      <c r="G19" s="4"/>
      <c r="L19">
        <v>19</v>
      </c>
      <c r="M19" t="str">
        <f t="shared" si="0"/>
        <v>TWN19</v>
      </c>
    </row>
    <row r="20" spans="7:13" x14ac:dyDescent="0.2">
      <c r="G20" s="4"/>
      <c r="L20">
        <v>20</v>
      </c>
      <c r="M20" t="str">
        <f t="shared" si="0"/>
        <v>TWN20</v>
      </c>
    </row>
    <row r="21" spans="7:13" x14ac:dyDescent="0.2">
      <c r="G21" s="4"/>
      <c r="L21">
        <v>21</v>
      </c>
      <c r="M21" t="str">
        <f t="shared" si="0"/>
        <v>TWN21</v>
      </c>
    </row>
    <row r="22" spans="7:13" x14ac:dyDescent="0.2">
      <c r="G22" s="4"/>
      <c r="L22">
        <v>22</v>
      </c>
      <c r="M22" t="str">
        <f t="shared" si="0"/>
        <v>TWN22</v>
      </c>
    </row>
    <row r="23" spans="7:13" x14ac:dyDescent="0.2">
      <c r="G23" s="4"/>
      <c r="L23">
        <v>23</v>
      </c>
      <c r="M23" t="str">
        <f t="shared" si="0"/>
        <v>TWN23</v>
      </c>
    </row>
    <row r="24" spans="7:13" x14ac:dyDescent="0.2">
      <c r="G24" s="4"/>
      <c r="L24">
        <v>24</v>
      </c>
      <c r="M24" t="str">
        <f t="shared" si="0"/>
        <v>TWN24</v>
      </c>
    </row>
    <row r="25" spans="7:13" x14ac:dyDescent="0.2">
      <c r="G25" s="4"/>
      <c r="L25">
        <v>25</v>
      </c>
      <c r="M25" t="str">
        <f t="shared" si="0"/>
        <v>TWN25</v>
      </c>
    </row>
    <row r="26" spans="7:13" x14ac:dyDescent="0.2">
      <c r="G26" s="4"/>
      <c r="L26">
        <v>26</v>
      </c>
      <c r="M26" t="str">
        <f t="shared" si="0"/>
        <v>TWN26</v>
      </c>
    </row>
    <row r="27" spans="7:13" x14ac:dyDescent="0.2">
      <c r="G27" s="4"/>
      <c r="L27">
        <v>27</v>
      </c>
      <c r="M27" t="str">
        <f t="shared" si="0"/>
        <v>TWN27</v>
      </c>
    </row>
    <row r="28" spans="7:13" x14ac:dyDescent="0.2">
      <c r="G28" s="4"/>
      <c r="L28">
        <v>28</v>
      </c>
      <c r="M28" t="str">
        <f t="shared" si="0"/>
        <v>TWN28</v>
      </c>
    </row>
    <row r="29" spans="7:13" x14ac:dyDescent="0.2">
      <c r="G29" s="4"/>
      <c r="L29">
        <v>29</v>
      </c>
      <c r="M29" t="str">
        <f t="shared" si="0"/>
        <v>TWN29</v>
      </c>
    </row>
    <row r="30" spans="7:13" x14ac:dyDescent="0.2">
      <c r="G30" s="4"/>
      <c r="L30">
        <v>30</v>
      </c>
      <c r="M30" t="str">
        <f t="shared" si="0"/>
        <v>TWN30</v>
      </c>
    </row>
    <row r="31" spans="7:13" x14ac:dyDescent="0.2">
      <c r="G31" s="4"/>
      <c r="L31">
        <v>31</v>
      </c>
      <c r="M31" t="str">
        <f t="shared" si="0"/>
        <v>TWN31</v>
      </c>
    </row>
    <row r="32" spans="7:13" x14ac:dyDescent="0.2">
      <c r="G32" s="4"/>
      <c r="L32">
        <v>32</v>
      </c>
      <c r="M32" t="str">
        <f t="shared" si="0"/>
        <v>TWN32</v>
      </c>
    </row>
    <row r="33" spans="7:13" x14ac:dyDescent="0.2">
      <c r="G33" s="4"/>
      <c r="L33">
        <v>33</v>
      </c>
      <c r="M33" t="str">
        <f t="shared" si="0"/>
        <v>TWN33</v>
      </c>
    </row>
    <row r="34" spans="7:13" x14ac:dyDescent="0.2">
      <c r="G34" s="4"/>
      <c r="L34">
        <v>34</v>
      </c>
      <c r="M34" t="str">
        <f t="shared" si="0"/>
        <v>TWN34</v>
      </c>
    </row>
    <row r="35" spans="7:13" x14ac:dyDescent="0.2">
      <c r="G35" s="4"/>
      <c r="L35">
        <v>35</v>
      </c>
      <c r="M35" t="str">
        <f t="shared" si="0"/>
        <v>TWN35</v>
      </c>
    </row>
    <row r="36" spans="7:13" x14ac:dyDescent="0.2">
      <c r="G36" s="4"/>
      <c r="L36">
        <v>36</v>
      </c>
      <c r="M36" t="str">
        <f t="shared" si="0"/>
        <v>TWN36</v>
      </c>
    </row>
    <row r="37" spans="7:13" x14ac:dyDescent="0.2">
      <c r="G37" s="4"/>
      <c r="L37">
        <v>37</v>
      </c>
      <c r="M37" t="str">
        <f t="shared" si="0"/>
        <v>TWN37</v>
      </c>
    </row>
    <row r="38" spans="7:13" x14ac:dyDescent="0.2">
      <c r="G38" s="4"/>
      <c r="L38">
        <v>38</v>
      </c>
      <c r="M38" t="str">
        <f t="shared" si="0"/>
        <v>TWN38</v>
      </c>
    </row>
    <row r="39" spans="7:13" x14ac:dyDescent="0.2">
      <c r="G39" s="4"/>
      <c r="L39">
        <v>39</v>
      </c>
      <c r="M39" t="str">
        <f t="shared" si="0"/>
        <v>TWN39</v>
      </c>
    </row>
    <row r="40" spans="7:13" x14ac:dyDescent="0.2">
      <c r="G40" s="4"/>
      <c r="L40">
        <v>40</v>
      </c>
      <c r="M40" t="str">
        <f t="shared" si="0"/>
        <v>TWN40</v>
      </c>
    </row>
    <row r="41" spans="7:13" x14ac:dyDescent="0.2">
      <c r="G41" s="4"/>
      <c r="L41">
        <v>41</v>
      </c>
      <c r="M41" t="str">
        <f t="shared" si="0"/>
        <v>TWN41</v>
      </c>
    </row>
    <row r="42" spans="7:13" x14ac:dyDescent="0.2">
      <c r="G42" s="4"/>
      <c r="L42">
        <v>42</v>
      </c>
      <c r="M42" t="str">
        <f t="shared" si="0"/>
        <v>TWN42</v>
      </c>
    </row>
    <row r="43" spans="7:13" x14ac:dyDescent="0.2">
      <c r="G43" s="4"/>
      <c r="L43">
        <v>43</v>
      </c>
      <c r="M43" t="str">
        <f t="shared" si="0"/>
        <v>TWN43</v>
      </c>
    </row>
    <row r="44" spans="7:13" x14ac:dyDescent="0.2">
      <c r="G44" s="4"/>
      <c r="L44">
        <v>44</v>
      </c>
      <c r="M44" t="str">
        <f t="shared" si="0"/>
        <v>TWN44</v>
      </c>
    </row>
    <row r="45" spans="7:13" x14ac:dyDescent="0.2">
      <c r="G45" s="4"/>
      <c r="L45">
        <v>45</v>
      </c>
      <c r="M45" t="str">
        <f t="shared" si="0"/>
        <v>TWN45</v>
      </c>
    </row>
    <row r="46" spans="7:13" x14ac:dyDescent="0.2">
      <c r="G46" s="4"/>
      <c r="L46">
        <v>46</v>
      </c>
      <c r="M46" t="str">
        <f t="shared" si="0"/>
        <v>TWN46</v>
      </c>
    </row>
    <row r="47" spans="7:13" x14ac:dyDescent="0.2">
      <c r="G47" s="4"/>
      <c r="L47">
        <v>47</v>
      </c>
      <c r="M47" t="str">
        <f t="shared" si="0"/>
        <v>TWN47</v>
      </c>
    </row>
    <row r="48" spans="7:13" x14ac:dyDescent="0.2">
      <c r="L48">
        <v>48</v>
      </c>
      <c r="M48" t="str">
        <f t="shared" si="0"/>
        <v>TWN48</v>
      </c>
    </row>
    <row r="49" spans="12:13" x14ac:dyDescent="0.2">
      <c r="L49">
        <v>49</v>
      </c>
      <c r="M49" t="str">
        <f t="shared" si="0"/>
        <v>TWN49</v>
      </c>
    </row>
    <row r="50" spans="12:13" x14ac:dyDescent="0.2">
      <c r="L50">
        <v>50</v>
      </c>
      <c r="M50" t="str">
        <f t="shared" si="0"/>
        <v>TWN50</v>
      </c>
    </row>
    <row r="51" spans="12:13" x14ac:dyDescent="0.2">
      <c r="L51">
        <v>51</v>
      </c>
      <c r="M51" t="str">
        <f t="shared" si="0"/>
        <v>TWN51</v>
      </c>
    </row>
    <row r="52" spans="12:13" x14ac:dyDescent="0.2">
      <c r="L52">
        <v>52</v>
      </c>
      <c r="M52" t="str">
        <f t="shared" si="0"/>
        <v>TWN52</v>
      </c>
    </row>
    <row r="53" spans="12:13" x14ac:dyDescent="0.2">
      <c r="L53">
        <v>53</v>
      </c>
      <c r="M53" t="str">
        <f t="shared" si="0"/>
        <v>TWN53</v>
      </c>
    </row>
    <row r="54" spans="12:13" x14ac:dyDescent="0.2">
      <c r="L54">
        <v>54</v>
      </c>
      <c r="M54" t="str">
        <f t="shared" si="0"/>
        <v>TWN54</v>
      </c>
    </row>
    <row r="55" spans="12:13" x14ac:dyDescent="0.2">
      <c r="L55">
        <v>55</v>
      </c>
      <c r="M55" t="str">
        <f t="shared" si="0"/>
        <v>TWN55</v>
      </c>
    </row>
    <row r="56" spans="12:13" x14ac:dyDescent="0.2">
      <c r="L56">
        <v>56</v>
      </c>
      <c r="M56" t="str">
        <f t="shared" si="0"/>
        <v>TWN56</v>
      </c>
    </row>
    <row r="57" spans="12:13" x14ac:dyDescent="0.2">
      <c r="L57">
        <v>57</v>
      </c>
      <c r="M57" t="str">
        <f t="shared" si="0"/>
        <v>TWN57</v>
      </c>
    </row>
    <row r="58" spans="12:13" x14ac:dyDescent="0.2">
      <c r="L58">
        <v>58</v>
      </c>
      <c r="M58" t="str">
        <f t="shared" si="0"/>
        <v>TWN58</v>
      </c>
    </row>
    <row r="59" spans="12:13" x14ac:dyDescent="0.2">
      <c r="L59">
        <v>59</v>
      </c>
      <c r="M59" t="str">
        <f t="shared" si="0"/>
        <v>TWN59</v>
      </c>
    </row>
    <row r="60" spans="12:13" x14ac:dyDescent="0.2">
      <c r="L60">
        <v>60</v>
      </c>
      <c r="M60" t="str">
        <f t="shared" si="0"/>
        <v>TWN60</v>
      </c>
    </row>
    <row r="61" spans="12:13" x14ac:dyDescent="0.2">
      <c r="L61">
        <v>61</v>
      </c>
      <c r="M61" t="str">
        <f t="shared" si="0"/>
        <v>TWN61</v>
      </c>
    </row>
    <row r="62" spans="12:13" x14ac:dyDescent="0.2">
      <c r="L62">
        <v>62</v>
      </c>
      <c r="M62" t="str">
        <f t="shared" si="0"/>
        <v>TWN62</v>
      </c>
    </row>
    <row r="63" spans="12:13" x14ac:dyDescent="0.2">
      <c r="L63">
        <v>63</v>
      </c>
      <c r="M63" t="str">
        <f t="shared" si="0"/>
        <v>TWN63</v>
      </c>
    </row>
    <row r="64" spans="12:13" x14ac:dyDescent="0.2">
      <c r="L64">
        <v>64</v>
      </c>
      <c r="M64" t="str">
        <f t="shared" si="0"/>
        <v>TWN64</v>
      </c>
    </row>
    <row r="65" spans="12:13" x14ac:dyDescent="0.2">
      <c r="L65">
        <v>65</v>
      </c>
      <c r="M65" t="str">
        <f t="shared" si="0"/>
        <v>TWN65</v>
      </c>
    </row>
    <row r="66" spans="12:13" x14ac:dyDescent="0.2">
      <c r="L66">
        <v>66</v>
      </c>
      <c r="M66" t="str">
        <f t="shared" ref="M66:M70" si="1">$K$1&amp;L66</f>
        <v>TWN66</v>
      </c>
    </row>
    <row r="67" spans="12:13" x14ac:dyDescent="0.2">
      <c r="L67">
        <v>67</v>
      </c>
      <c r="M67" t="str">
        <f t="shared" si="1"/>
        <v>TWN67</v>
      </c>
    </row>
    <row r="68" spans="12:13" x14ac:dyDescent="0.2">
      <c r="L68">
        <v>68</v>
      </c>
      <c r="M68" t="str">
        <f t="shared" si="1"/>
        <v>TWN68</v>
      </c>
    </row>
    <row r="69" spans="12:13" x14ac:dyDescent="0.2">
      <c r="L69">
        <v>69</v>
      </c>
      <c r="M69" t="str">
        <f t="shared" si="1"/>
        <v>TWN69</v>
      </c>
    </row>
    <row r="70" spans="12:13" x14ac:dyDescent="0.2">
      <c r="L70">
        <v>70</v>
      </c>
      <c r="M70" t="str">
        <f t="shared" si="1"/>
        <v>TWN70</v>
      </c>
    </row>
  </sheetData>
  <phoneticPr fontId="9" type="noConversion"/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04A278-1EA0-46DB-B52C-C4A8917EF017}">
  <dimension ref="A1:I18"/>
  <sheetViews>
    <sheetView topLeftCell="D1" workbookViewId="0">
      <selection activeCell="H1" sqref="H1:I8"/>
    </sheetView>
  </sheetViews>
  <sheetFormatPr baseColWidth="10" defaultColWidth="8.83203125" defaultRowHeight="15" x14ac:dyDescent="0.2"/>
  <cols>
    <col min="1" max="1" width="30.33203125" bestFit="1" customWidth="1"/>
    <col min="2" max="2" width="23.33203125" bestFit="1" customWidth="1"/>
    <col min="3" max="3" width="186.5" bestFit="1" customWidth="1"/>
    <col min="9" max="9" width="11.33203125" customWidth="1"/>
  </cols>
  <sheetData>
    <row r="1" spans="1:9" x14ac:dyDescent="0.2">
      <c r="A1" t="s">
        <v>1</v>
      </c>
      <c r="B1" t="s">
        <v>417</v>
      </c>
      <c r="C1" t="s">
        <v>422</v>
      </c>
      <c r="D1" t="s">
        <v>2997</v>
      </c>
      <c r="H1" t="s">
        <v>2998</v>
      </c>
      <c r="I1" t="s">
        <v>2999</v>
      </c>
    </row>
    <row r="2" spans="1:9" ht="32" x14ac:dyDescent="0.2">
      <c r="A2" t="s">
        <v>56</v>
      </c>
      <c r="B2" t="s">
        <v>641</v>
      </c>
      <c r="C2" s="11" t="s">
        <v>57</v>
      </c>
      <c r="D2">
        <v>2017</v>
      </c>
      <c r="H2">
        <v>2017</v>
      </c>
      <c r="I2">
        <f t="shared" ref="I2:I7" si="0">COUNTIFS(D:D,H2)</f>
        <v>1</v>
      </c>
    </row>
    <row r="3" spans="1:9" ht="45" customHeight="1" x14ac:dyDescent="0.2">
      <c r="A3" s="112" t="s">
        <v>151</v>
      </c>
      <c r="B3" s="112" t="s">
        <v>1016</v>
      </c>
      <c r="C3" s="111" t="s">
        <v>1018</v>
      </c>
      <c r="D3">
        <v>2022</v>
      </c>
      <c r="H3">
        <v>2021</v>
      </c>
      <c r="I3">
        <f t="shared" si="0"/>
        <v>1</v>
      </c>
    </row>
    <row r="4" spans="1:9" x14ac:dyDescent="0.2">
      <c r="A4" s="112"/>
      <c r="B4" s="112"/>
      <c r="C4" s="111"/>
      <c r="D4">
        <v>2024</v>
      </c>
      <c r="H4">
        <v>2022</v>
      </c>
      <c r="I4">
        <f t="shared" si="0"/>
        <v>1</v>
      </c>
    </row>
    <row r="5" spans="1:9" x14ac:dyDescent="0.2">
      <c r="A5" t="s">
        <v>154</v>
      </c>
      <c r="B5" t="s">
        <v>1024</v>
      </c>
      <c r="C5" t="s">
        <v>155</v>
      </c>
      <c r="H5">
        <v>2023</v>
      </c>
      <c r="I5">
        <f t="shared" si="0"/>
        <v>1</v>
      </c>
    </row>
    <row r="6" spans="1:9" ht="45" customHeight="1" x14ac:dyDescent="0.2">
      <c r="A6" s="112" t="s">
        <v>159</v>
      </c>
      <c r="B6" s="112" t="s">
        <v>1035</v>
      </c>
      <c r="C6" s="111" t="s">
        <v>160</v>
      </c>
      <c r="D6">
        <v>2021</v>
      </c>
      <c r="H6">
        <v>2024</v>
      </c>
      <c r="I6">
        <f t="shared" si="0"/>
        <v>3</v>
      </c>
    </row>
    <row r="7" spans="1:9" x14ac:dyDescent="0.2">
      <c r="A7" s="112"/>
      <c r="B7" s="112"/>
      <c r="C7" s="111"/>
      <c r="D7">
        <v>2024</v>
      </c>
      <c r="H7">
        <v>2025</v>
      </c>
      <c r="I7">
        <f t="shared" si="0"/>
        <v>1</v>
      </c>
    </row>
    <row r="8" spans="1:9" ht="32" x14ac:dyDescent="0.2">
      <c r="A8" t="s">
        <v>165</v>
      </c>
      <c r="B8" t="s">
        <v>1050</v>
      </c>
      <c r="C8" s="11" t="s">
        <v>166</v>
      </c>
      <c r="D8">
        <v>2024</v>
      </c>
      <c r="H8" t="s">
        <v>3000</v>
      </c>
      <c r="I8">
        <f>SUM(I2:I7)</f>
        <v>8</v>
      </c>
    </row>
    <row r="9" spans="1:9" x14ac:dyDescent="0.2">
      <c r="A9" t="s">
        <v>170</v>
      </c>
      <c r="B9" t="s">
        <v>1061</v>
      </c>
      <c r="C9" t="s">
        <v>171</v>
      </c>
    </row>
    <row r="10" spans="1:9" x14ac:dyDescent="0.2">
      <c r="A10" t="s">
        <v>174</v>
      </c>
      <c r="B10" t="s">
        <v>1070</v>
      </c>
      <c r="C10" t="s">
        <v>175</v>
      </c>
    </row>
    <row r="11" spans="1:9" x14ac:dyDescent="0.2">
      <c r="A11" t="s">
        <v>207</v>
      </c>
      <c r="B11" t="s">
        <v>1196</v>
      </c>
      <c r="C11" t="s">
        <v>208</v>
      </c>
    </row>
    <row r="12" spans="1:9" x14ac:dyDescent="0.2">
      <c r="A12" t="s">
        <v>221</v>
      </c>
      <c r="B12" t="s">
        <v>1246</v>
      </c>
      <c r="C12" t="s">
        <v>222</v>
      </c>
    </row>
    <row r="13" spans="1:9" x14ac:dyDescent="0.2">
      <c r="A13" t="s">
        <v>247</v>
      </c>
      <c r="B13" t="s">
        <v>1394</v>
      </c>
      <c r="C13" t="s">
        <v>248</v>
      </c>
    </row>
    <row r="14" spans="1:9" ht="32" x14ac:dyDescent="0.2">
      <c r="A14" t="s">
        <v>283</v>
      </c>
      <c r="B14" t="s">
        <v>1625</v>
      </c>
      <c r="C14" s="11" t="s">
        <v>284</v>
      </c>
      <c r="D14">
        <v>2025</v>
      </c>
    </row>
    <row r="15" spans="1:9" x14ac:dyDescent="0.2">
      <c r="A15" t="s">
        <v>360</v>
      </c>
      <c r="B15" t="s">
        <v>2048</v>
      </c>
      <c r="C15" t="s">
        <v>361</v>
      </c>
    </row>
    <row r="16" spans="1:9" x14ac:dyDescent="0.2">
      <c r="A16" t="s">
        <v>364</v>
      </c>
      <c r="B16" t="s">
        <v>2068</v>
      </c>
      <c r="C16" t="s">
        <v>365</v>
      </c>
    </row>
    <row r="17" spans="1:4" ht="32" x14ac:dyDescent="0.2">
      <c r="A17" t="s">
        <v>374</v>
      </c>
      <c r="B17" t="s">
        <v>2147</v>
      </c>
      <c r="C17" s="11" t="s">
        <v>375</v>
      </c>
      <c r="D17">
        <v>2023</v>
      </c>
    </row>
    <row r="18" spans="1:4" x14ac:dyDescent="0.2">
      <c r="A18" t="s">
        <v>378</v>
      </c>
      <c r="B18" t="s">
        <v>2183</v>
      </c>
      <c r="C18" t="s">
        <v>2185</v>
      </c>
    </row>
  </sheetData>
  <mergeCells count="6">
    <mergeCell ref="C3:C4"/>
    <mergeCell ref="B3:B4"/>
    <mergeCell ref="A3:A4"/>
    <mergeCell ref="C6:C7"/>
    <mergeCell ref="A6:A7"/>
    <mergeCell ref="B6:B7"/>
  </mergeCells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A8858E-0FD6-4229-834D-81895A5956D6}">
  <dimension ref="A1:D272"/>
  <sheetViews>
    <sheetView workbookViewId="0">
      <selection activeCell="E6" sqref="E6"/>
    </sheetView>
  </sheetViews>
  <sheetFormatPr baseColWidth="10" defaultColWidth="8.83203125" defaultRowHeight="15" x14ac:dyDescent="0.2"/>
  <cols>
    <col min="1" max="1" width="35.6640625" bestFit="1" customWidth="1"/>
    <col min="2" max="3" width="35.6640625" customWidth="1"/>
  </cols>
  <sheetData>
    <row r="1" spans="1:4" x14ac:dyDescent="0.2">
      <c r="A1" s="14" t="s">
        <v>1</v>
      </c>
      <c r="B1" s="14" t="s">
        <v>3001</v>
      </c>
      <c r="C1" s="14" t="s">
        <v>442</v>
      </c>
      <c r="D1" s="56" t="s">
        <v>8</v>
      </c>
    </row>
    <row r="2" spans="1:4" x14ac:dyDescent="0.2">
      <c r="A2" s="10" t="s">
        <v>9</v>
      </c>
      <c r="B2" s="18">
        <v>35385</v>
      </c>
      <c r="C2" s="18" t="s">
        <v>681</v>
      </c>
    </row>
    <row r="3" spans="1:4" x14ac:dyDescent="0.2">
      <c r="A3" s="32" t="s">
        <v>12</v>
      </c>
      <c r="B3" s="18">
        <v>20350</v>
      </c>
      <c r="C3" s="18" t="s">
        <v>462</v>
      </c>
    </row>
    <row r="4" spans="1:4" x14ac:dyDescent="0.2">
      <c r="A4" s="10" t="s">
        <v>15</v>
      </c>
      <c r="B4" s="18">
        <v>34275</v>
      </c>
      <c r="C4" s="18" t="s">
        <v>478</v>
      </c>
    </row>
    <row r="5" spans="1:4" x14ac:dyDescent="0.2">
      <c r="A5" s="32" t="s">
        <v>17</v>
      </c>
      <c r="B5" s="18">
        <v>33490</v>
      </c>
      <c r="C5" s="18" t="s">
        <v>471</v>
      </c>
    </row>
    <row r="6" spans="1:4" x14ac:dyDescent="0.2">
      <c r="A6" s="10" t="s">
        <v>18</v>
      </c>
      <c r="B6" s="18">
        <v>29186</v>
      </c>
      <c r="C6" s="18" t="s">
        <v>535</v>
      </c>
    </row>
    <row r="7" spans="1:4" x14ac:dyDescent="0.2">
      <c r="A7" s="32" t="s">
        <v>20</v>
      </c>
      <c r="B7" s="18">
        <v>30105</v>
      </c>
      <c r="C7" s="18" t="s">
        <v>547</v>
      </c>
    </row>
    <row r="8" spans="1:4" x14ac:dyDescent="0.2">
      <c r="A8" s="10" t="s">
        <v>22</v>
      </c>
      <c r="B8" s="18">
        <v>10902</v>
      </c>
      <c r="C8" s="18" t="s">
        <v>541</v>
      </c>
    </row>
    <row r="9" spans="1:4" x14ac:dyDescent="0.2">
      <c r="A9" s="32" t="s">
        <v>23</v>
      </c>
      <c r="B9" s="18">
        <v>35979</v>
      </c>
      <c r="C9" s="18" t="s">
        <v>564</v>
      </c>
    </row>
    <row r="10" spans="1:4" x14ac:dyDescent="0.2">
      <c r="A10" s="10" t="s">
        <v>25</v>
      </c>
      <c r="B10" s="18">
        <v>27174</v>
      </c>
      <c r="C10" s="18" t="s">
        <v>569</v>
      </c>
    </row>
    <row r="11" spans="1:4" x14ac:dyDescent="0.2">
      <c r="A11" s="32" t="s">
        <v>26</v>
      </c>
      <c r="B11" s="18">
        <v>31982</v>
      </c>
      <c r="C11" s="18" t="s">
        <v>575</v>
      </c>
    </row>
    <row r="12" spans="1:4" x14ac:dyDescent="0.2">
      <c r="A12" s="10" t="s">
        <v>28</v>
      </c>
      <c r="B12" s="18">
        <v>37058</v>
      </c>
      <c r="C12" s="18" t="s">
        <v>553</v>
      </c>
    </row>
    <row r="13" spans="1:4" x14ac:dyDescent="0.2">
      <c r="A13" s="32" t="s">
        <v>30</v>
      </c>
      <c r="B13" s="18">
        <v>21983</v>
      </c>
      <c r="C13" s="18" t="s">
        <v>559</v>
      </c>
    </row>
    <row r="14" spans="1:4" x14ac:dyDescent="0.2">
      <c r="A14" s="10" t="s">
        <v>31</v>
      </c>
      <c r="B14" s="18">
        <v>33701</v>
      </c>
      <c r="C14" s="18" t="s">
        <v>580</v>
      </c>
    </row>
    <row r="15" spans="1:4" x14ac:dyDescent="0.2">
      <c r="A15" s="32" t="s">
        <v>32</v>
      </c>
      <c r="B15" s="18">
        <v>37660</v>
      </c>
      <c r="C15" s="18" t="s">
        <v>484</v>
      </c>
    </row>
    <row r="16" spans="1:4" x14ac:dyDescent="0.2">
      <c r="A16" s="43" t="s">
        <v>34</v>
      </c>
      <c r="B16" s="18">
        <v>37931</v>
      </c>
      <c r="C16" s="18" t="s">
        <v>586</v>
      </c>
    </row>
    <row r="17" spans="1:3" x14ac:dyDescent="0.2">
      <c r="A17" s="32" t="s">
        <v>36</v>
      </c>
      <c r="B17" s="18">
        <v>34319</v>
      </c>
      <c r="C17" s="18" t="s">
        <v>494</v>
      </c>
    </row>
    <row r="18" spans="1:3" x14ac:dyDescent="0.2">
      <c r="A18" s="10" t="s">
        <v>37</v>
      </c>
      <c r="B18" s="18">
        <v>22254</v>
      </c>
      <c r="C18" s="18" t="s">
        <v>598</v>
      </c>
    </row>
    <row r="19" spans="1:3" x14ac:dyDescent="0.2">
      <c r="A19" s="43" t="s">
        <v>39</v>
      </c>
      <c r="B19" s="18">
        <v>37929</v>
      </c>
      <c r="C19" s="18" t="s">
        <v>592</v>
      </c>
    </row>
    <row r="20" spans="1:3" x14ac:dyDescent="0.2">
      <c r="A20" s="18" t="s">
        <v>40</v>
      </c>
      <c r="B20" s="18">
        <v>29137</v>
      </c>
      <c r="C20" s="18" t="s">
        <v>650</v>
      </c>
    </row>
    <row r="21" spans="1:3" x14ac:dyDescent="0.2">
      <c r="A21" s="32" t="s">
        <v>42</v>
      </c>
      <c r="B21" s="18">
        <v>36477</v>
      </c>
      <c r="C21" s="18" t="s">
        <v>603</v>
      </c>
    </row>
    <row r="22" spans="1:3" x14ac:dyDescent="0.2">
      <c r="A22" s="10" t="s">
        <v>43</v>
      </c>
      <c r="B22" s="18">
        <v>29173</v>
      </c>
      <c r="C22" s="18" t="s">
        <v>615</v>
      </c>
    </row>
    <row r="23" spans="1:3" x14ac:dyDescent="0.2">
      <c r="A23" s="32" t="s">
        <v>45</v>
      </c>
      <c r="B23" s="18">
        <v>17077</v>
      </c>
      <c r="C23" s="18" t="s">
        <v>657</v>
      </c>
    </row>
    <row r="24" spans="1:3" x14ac:dyDescent="0.2">
      <c r="A24" s="10" t="s">
        <v>47</v>
      </c>
      <c r="B24" s="18">
        <v>30996</v>
      </c>
      <c r="C24" s="18" t="s">
        <v>625</v>
      </c>
    </row>
    <row r="25" spans="1:3" x14ac:dyDescent="0.2">
      <c r="A25" s="32" t="s">
        <v>49</v>
      </c>
      <c r="B25" s="18">
        <v>24001</v>
      </c>
      <c r="C25" s="18" t="s">
        <v>639</v>
      </c>
    </row>
    <row r="26" spans="1:3" x14ac:dyDescent="0.2">
      <c r="A26" s="10" t="s">
        <v>51</v>
      </c>
      <c r="B26" s="18">
        <v>37624</v>
      </c>
      <c r="C26" s="18" t="s">
        <v>645</v>
      </c>
    </row>
    <row r="27" spans="1:3" x14ac:dyDescent="0.2">
      <c r="A27" s="32" t="s">
        <v>52</v>
      </c>
      <c r="B27" s="18">
        <v>25091</v>
      </c>
      <c r="C27" s="18" t="s">
        <v>501</v>
      </c>
    </row>
    <row r="28" spans="1:3" x14ac:dyDescent="0.2">
      <c r="A28" s="10" t="s">
        <v>54</v>
      </c>
      <c r="B28" s="18">
        <v>33003</v>
      </c>
      <c r="C28" s="18" t="s">
        <v>609</v>
      </c>
    </row>
    <row r="29" spans="1:3" x14ac:dyDescent="0.2">
      <c r="A29" s="32" t="s">
        <v>627</v>
      </c>
      <c r="B29" s="18">
        <v>27493</v>
      </c>
      <c r="C29" s="18" t="s">
        <v>3002</v>
      </c>
    </row>
    <row r="30" spans="1:3" x14ac:dyDescent="0.2">
      <c r="A30" s="10" t="s">
        <v>55</v>
      </c>
      <c r="B30" s="18">
        <v>23461</v>
      </c>
      <c r="C30" s="18" t="s">
        <v>509</v>
      </c>
    </row>
    <row r="31" spans="1:3" x14ac:dyDescent="0.2">
      <c r="A31" s="72" t="s">
        <v>56</v>
      </c>
      <c r="B31" s="18">
        <v>13142</v>
      </c>
      <c r="C31" s="18" t="s">
        <v>522</v>
      </c>
    </row>
    <row r="32" spans="1:3" x14ac:dyDescent="0.2">
      <c r="A32" s="10" t="s">
        <v>59</v>
      </c>
      <c r="B32" s="18">
        <v>36789</v>
      </c>
      <c r="C32" s="18" t="s">
        <v>634</v>
      </c>
    </row>
    <row r="33" spans="1:3" x14ac:dyDescent="0.2">
      <c r="A33" s="32" t="s">
        <v>652</v>
      </c>
      <c r="B33" s="18">
        <v>36014</v>
      </c>
      <c r="C33" s="18" t="s">
        <v>3003</v>
      </c>
    </row>
    <row r="34" spans="1:3" x14ac:dyDescent="0.2">
      <c r="A34" s="10" t="s">
        <v>60</v>
      </c>
      <c r="B34" s="18">
        <v>23604</v>
      </c>
      <c r="C34" s="18" t="s">
        <v>620</v>
      </c>
    </row>
    <row r="35" spans="1:3" x14ac:dyDescent="0.2">
      <c r="A35" s="32" t="s">
        <v>61</v>
      </c>
      <c r="B35" s="18">
        <v>37094</v>
      </c>
      <c r="C35" s="18" t="s">
        <v>2187</v>
      </c>
    </row>
    <row r="36" spans="1:3" x14ac:dyDescent="0.2">
      <c r="A36" s="10" t="s">
        <v>62</v>
      </c>
      <c r="B36" s="18">
        <v>34675</v>
      </c>
      <c r="C36" s="18" t="s">
        <v>662</v>
      </c>
    </row>
    <row r="37" spans="1:3" x14ac:dyDescent="0.2">
      <c r="A37" s="32" t="s">
        <v>64</v>
      </c>
      <c r="B37" s="18">
        <v>37888</v>
      </c>
      <c r="C37" s="18" t="s">
        <v>675</v>
      </c>
    </row>
    <row r="38" spans="1:3" x14ac:dyDescent="0.2">
      <c r="A38" s="10" t="s">
        <v>66</v>
      </c>
      <c r="B38" s="18">
        <v>37889</v>
      </c>
      <c r="C38" s="18" t="s">
        <v>669</v>
      </c>
    </row>
    <row r="39" spans="1:3" x14ac:dyDescent="0.2">
      <c r="A39" s="32" t="s">
        <v>67</v>
      </c>
      <c r="B39" s="18">
        <v>27694</v>
      </c>
      <c r="C39" s="18" t="s">
        <v>1919</v>
      </c>
    </row>
    <row r="40" spans="1:3" x14ac:dyDescent="0.2">
      <c r="A40" s="10" t="s">
        <v>69</v>
      </c>
      <c r="B40" s="18">
        <v>31326</v>
      </c>
      <c r="C40" s="18" t="s">
        <v>1928</v>
      </c>
    </row>
    <row r="41" spans="1:3" x14ac:dyDescent="0.2">
      <c r="A41" s="32" t="s">
        <v>71</v>
      </c>
      <c r="B41" s="18">
        <v>26440</v>
      </c>
      <c r="C41" s="18" t="s">
        <v>1934</v>
      </c>
    </row>
    <row r="42" spans="1:3" x14ac:dyDescent="0.2">
      <c r="A42" s="10" t="s">
        <v>72</v>
      </c>
      <c r="B42" s="18">
        <v>26699</v>
      </c>
      <c r="C42" s="18" t="s">
        <v>1942</v>
      </c>
    </row>
    <row r="43" spans="1:3" x14ac:dyDescent="0.2">
      <c r="A43" s="43" t="s">
        <v>74</v>
      </c>
      <c r="B43" s="18">
        <v>28782</v>
      </c>
      <c r="C43" s="18" t="s">
        <v>1947</v>
      </c>
    </row>
    <row r="44" spans="1:3" x14ac:dyDescent="0.2">
      <c r="A44" s="18" t="s">
        <v>75</v>
      </c>
      <c r="B44" s="18">
        <v>26721</v>
      </c>
      <c r="C44" s="18" t="s">
        <v>800</v>
      </c>
    </row>
    <row r="45" spans="1:3" x14ac:dyDescent="0.2">
      <c r="A45" s="32" t="s">
        <v>77</v>
      </c>
      <c r="B45" s="18">
        <v>31627</v>
      </c>
      <c r="C45" s="18" t="s">
        <v>763</v>
      </c>
    </row>
    <row r="46" spans="1:3" x14ac:dyDescent="0.2">
      <c r="A46" s="10" t="s">
        <v>79</v>
      </c>
      <c r="B46" s="18">
        <v>20648</v>
      </c>
      <c r="C46" s="18" t="s">
        <v>805</v>
      </c>
    </row>
    <row r="47" spans="1:3" x14ac:dyDescent="0.2">
      <c r="A47" s="32" t="s">
        <v>80</v>
      </c>
      <c r="B47" s="18">
        <v>31366</v>
      </c>
      <c r="C47" s="18" t="s">
        <v>707</v>
      </c>
    </row>
    <row r="48" spans="1:3" x14ac:dyDescent="0.2">
      <c r="A48" s="18" t="s">
        <v>82</v>
      </c>
      <c r="B48" s="18">
        <v>36243</v>
      </c>
      <c r="C48" s="18" t="s">
        <v>701</v>
      </c>
    </row>
    <row r="49" spans="1:3" x14ac:dyDescent="0.2">
      <c r="A49" s="15" t="s">
        <v>83</v>
      </c>
      <c r="B49" s="18">
        <v>35117</v>
      </c>
      <c r="C49" s="18" t="s">
        <v>814</v>
      </c>
    </row>
    <row r="50" spans="1:3" x14ac:dyDescent="0.2">
      <c r="A50" s="18" t="s">
        <v>85</v>
      </c>
      <c r="B50" s="18">
        <v>34794</v>
      </c>
      <c r="C50" s="18" t="s">
        <v>721</v>
      </c>
    </row>
    <row r="51" spans="1:3" x14ac:dyDescent="0.2">
      <c r="A51" s="15" t="s">
        <v>87</v>
      </c>
      <c r="B51" s="18">
        <v>36988</v>
      </c>
      <c r="C51" s="18" t="s">
        <v>810</v>
      </c>
    </row>
    <row r="52" spans="1:3" x14ac:dyDescent="0.2">
      <c r="A52" s="18" t="s">
        <v>88</v>
      </c>
      <c r="B52" s="18">
        <v>35287</v>
      </c>
      <c r="C52" s="18" t="s">
        <v>714</v>
      </c>
    </row>
    <row r="53" spans="1:3" x14ac:dyDescent="0.2">
      <c r="A53" s="15" t="s">
        <v>89</v>
      </c>
      <c r="B53" s="18">
        <v>34743</v>
      </c>
      <c r="C53" s="18" t="s">
        <v>821</v>
      </c>
    </row>
    <row r="54" spans="1:3" x14ac:dyDescent="0.2">
      <c r="A54" s="18" t="s">
        <v>91</v>
      </c>
      <c r="B54" s="18">
        <v>35560</v>
      </c>
      <c r="C54" s="18" t="s">
        <v>826</v>
      </c>
    </row>
    <row r="55" spans="1:3" x14ac:dyDescent="0.2">
      <c r="A55" s="32" t="s">
        <v>92</v>
      </c>
      <c r="B55" s="18">
        <v>34380</v>
      </c>
      <c r="C55" s="18" t="s">
        <v>831</v>
      </c>
    </row>
    <row r="56" spans="1:3" x14ac:dyDescent="0.2">
      <c r="A56" s="10" t="s">
        <v>94</v>
      </c>
      <c r="B56" s="18">
        <v>20509</v>
      </c>
      <c r="C56" s="18" t="s">
        <v>836</v>
      </c>
    </row>
    <row r="57" spans="1:3" x14ac:dyDescent="0.2">
      <c r="A57" s="10" t="s">
        <v>95</v>
      </c>
      <c r="B57" s="18">
        <v>36626</v>
      </c>
      <c r="C57" s="18" t="s">
        <v>687</v>
      </c>
    </row>
    <row r="58" spans="1:3" x14ac:dyDescent="0.2">
      <c r="A58" s="32" t="s">
        <v>97</v>
      </c>
      <c r="B58" s="18">
        <v>37508</v>
      </c>
      <c r="C58" s="18" t="s">
        <v>841</v>
      </c>
    </row>
    <row r="59" spans="1:3" x14ac:dyDescent="0.2">
      <c r="A59" s="10" t="s">
        <v>99</v>
      </c>
      <c r="B59" s="18">
        <v>37509</v>
      </c>
      <c r="C59" s="18" t="s">
        <v>846</v>
      </c>
    </row>
    <row r="60" spans="1:3" x14ac:dyDescent="0.2">
      <c r="A60" s="32" t="s">
        <v>100</v>
      </c>
      <c r="B60" s="18">
        <v>37148</v>
      </c>
      <c r="C60" s="18" t="s">
        <v>729</v>
      </c>
    </row>
    <row r="61" spans="1:3" x14ac:dyDescent="0.2">
      <c r="A61" s="10" t="s">
        <v>102</v>
      </c>
      <c r="B61" s="18">
        <v>37601</v>
      </c>
      <c r="C61" s="18" t="s">
        <v>852</v>
      </c>
    </row>
    <row r="62" spans="1:3" x14ac:dyDescent="0.2">
      <c r="A62" s="32" t="s">
        <v>104</v>
      </c>
      <c r="B62" s="18">
        <v>37304</v>
      </c>
      <c r="C62" s="18" t="s">
        <v>742</v>
      </c>
    </row>
    <row r="63" spans="1:3" x14ac:dyDescent="0.2">
      <c r="A63" s="10" t="s">
        <v>106</v>
      </c>
      <c r="B63" s="18">
        <v>35574</v>
      </c>
      <c r="C63" s="18" t="s">
        <v>857</v>
      </c>
    </row>
    <row r="64" spans="1:3" x14ac:dyDescent="0.2">
      <c r="A64" s="32" t="s">
        <v>107</v>
      </c>
      <c r="B64" s="18">
        <v>37856</v>
      </c>
      <c r="C64" s="18" t="s">
        <v>867</v>
      </c>
    </row>
    <row r="65" spans="1:3" x14ac:dyDescent="0.2">
      <c r="A65" s="10" t="s">
        <v>109</v>
      </c>
      <c r="B65" s="18">
        <v>35480</v>
      </c>
      <c r="C65" s="18" t="s">
        <v>862</v>
      </c>
    </row>
    <row r="66" spans="1:3" x14ac:dyDescent="0.2">
      <c r="A66" s="32" t="s">
        <v>110</v>
      </c>
      <c r="B66" s="18">
        <v>35659</v>
      </c>
      <c r="C66" s="18" t="s">
        <v>747</v>
      </c>
    </row>
    <row r="67" spans="1:3" x14ac:dyDescent="0.2">
      <c r="A67" s="10" t="s">
        <v>111</v>
      </c>
      <c r="B67" s="18">
        <v>37858</v>
      </c>
      <c r="C67" s="18" t="s">
        <v>879</v>
      </c>
    </row>
    <row r="68" spans="1:3" x14ac:dyDescent="0.2">
      <c r="A68" s="32" t="s">
        <v>113</v>
      </c>
      <c r="B68" s="18">
        <v>37857</v>
      </c>
      <c r="C68" s="18" t="s">
        <v>874</v>
      </c>
    </row>
    <row r="69" spans="1:3" x14ac:dyDescent="0.2">
      <c r="A69" s="10" t="s">
        <v>114</v>
      </c>
      <c r="B69" s="18">
        <v>36651</v>
      </c>
      <c r="C69" s="18" t="s">
        <v>889</v>
      </c>
    </row>
    <row r="70" spans="1:3" x14ac:dyDescent="0.2">
      <c r="A70" s="32" t="s">
        <v>116</v>
      </c>
      <c r="B70" s="18">
        <v>36992</v>
      </c>
      <c r="C70" s="18" t="s">
        <v>735</v>
      </c>
    </row>
    <row r="71" spans="1:3" x14ac:dyDescent="0.2">
      <c r="A71" s="10" t="s">
        <v>117</v>
      </c>
      <c r="B71" s="18">
        <v>34559</v>
      </c>
      <c r="C71" s="18" t="s">
        <v>884</v>
      </c>
    </row>
    <row r="72" spans="1:3" x14ac:dyDescent="0.2">
      <c r="A72" s="73" t="s">
        <v>118</v>
      </c>
      <c r="B72" s="18">
        <v>35733</v>
      </c>
      <c r="C72" s="18" t="s">
        <v>895</v>
      </c>
    </row>
    <row r="73" spans="1:3" x14ac:dyDescent="0.2">
      <c r="A73" s="10" t="s">
        <v>120</v>
      </c>
      <c r="B73" s="18">
        <v>17609</v>
      </c>
      <c r="C73" s="18" t="s">
        <v>902</v>
      </c>
    </row>
    <row r="74" spans="1:3" x14ac:dyDescent="0.2">
      <c r="A74" s="32" t="s">
        <v>121</v>
      </c>
      <c r="B74" s="18">
        <v>35900</v>
      </c>
      <c r="C74" s="18" t="s">
        <v>754</v>
      </c>
    </row>
    <row r="75" spans="1:3" x14ac:dyDescent="0.2">
      <c r="A75" s="18" t="s">
        <v>123</v>
      </c>
      <c r="B75" s="18">
        <v>13601</v>
      </c>
      <c r="C75" s="18" t="s">
        <v>1816</v>
      </c>
    </row>
    <row r="76" spans="1:3" x14ac:dyDescent="0.2">
      <c r="A76" s="15" t="s">
        <v>125</v>
      </c>
      <c r="B76" s="18">
        <v>31230</v>
      </c>
      <c r="C76" s="18" t="s">
        <v>986</v>
      </c>
    </row>
    <row r="77" spans="1:3" x14ac:dyDescent="0.2">
      <c r="A77" s="18" t="s">
        <v>127</v>
      </c>
      <c r="B77" s="18">
        <v>26684</v>
      </c>
      <c r="C77" s="18" t="s">
        <v>1004</v>
      </c>
    </row>
    <row r="78" spans="1:3" x14ac:dyDescent="0.2">
      <c r="A78" s="32" t="s">
        <v>129</v>
      </c>
      <c r="B78" s="18">
        <v>31778</v>
      </c>
      <c r="C78" s="18" t="s">
        <v>1014</v>
      </c>
    </row>
    <row r="79" spans="1:3" x14ac:dyDescent="0.2">
      <c r="A79" s="10" t="s">
        <v>131</v>
      </c>
      <c r="B79" s="18">
        <v>19872</v>
      </c>
      <c r="C79" s="18" t="s">
        <v>1009</v>
      </c>
    </row>
    <row r="80" spans="1:3" x14ac:dyDescent="0.2">
      <c r="A80" s="32" t="s">
        <v>132</v>
      </c>
      <c r="B80" s="18">
        <v>14054</v>
      </c>
      <c r="C80" s="18" t="s">
        <v>999</v>
      </c>
    </row>
    <row r="81" spans="1:3" x14ac:dyDescent="0.2">
      <c r="A81" s="10" t="s">
        <v>133</v>
      </c>
      <c r="B81" s="18">
        <v>31805</v>
      </c>
      <c r="C81" s="18" t="s">
        <v>934</v>
      </c>
    </row>
    <row r="82" spans="1:3" x14ac:dyDescent="0.2">
      <c r="A82" s="32" t="s">
        <v>139</v>
      </c>
      <c r="B82" s="18">
        <v>34293</v>
      </c>
      <c r="C82" s="18" t="s">
        <v>1026</v>
      </c>
    </row>
    <row r="83" spans="1:3" x14ac:dyDescent="0.2">
      <c r="A83" s="10" t="s">
        <v>141</v>
      </c>
      <c r="B83" s="18">
        <v>32912</v>
      </c>
      <c r="C83" s="18" t="s">
        <v>1038</v>
      </c>
    </row>
    <row r="84" spans="1:3" x14ac:dyDescent="0.2">
      <c r="A84" s="32" t="s">
        <v>143</v>
      </c>
      <c r="B84" s="18">
        <v>37442</v>
      </c>
      <c r="C84" s="18" t="s">
        <v>1033</v>
      </c>
    </row>
    <row r="85" spans="1:3" x14ac:dyDescent="0.2">
      <c r="A85" s="10" t="s">
        <v>144</v>
      </c>
      <c r="B85" s="18">
        <v>37298</v>
      </c>
      <c r="C85" s="18" t="s">
        <v>906</v>
      </c>
    </row>
    <row r="86" spans="1:3" x14ac:dyDescent="0.2">
      <c r="A86" s="32" t="s">
        <v>145</v>
      </c>
      <c r="B86" s="18">
        <v>29009</v>
      </c>
      <c r="C86" s="18" t="s">
        <v>1043</v>
      </c>
    </row>
    <row r="87" spans="1:3" x14ac:dyDescent="0.2">
      <c r="A87" s="10" t="s">
        <v>147</v>
      </c>
      <c r="B87" s="18">
        <v>35119</v>
      </c>
      <c r="C87" s="18" t="s">
        <v>1048</v>
      </c>
    </row>
    <row r="88" spans="1:3" x14ac:dyDescent="0.2">
      <c r="A88" s="32" t="s">
        <v>148</v>
      </c>
      <c r="B88" s="18">
        <v>36114</v>
      </c>
      <c r="C88" s="18" t="s">
        <v>991</v>
      </c>
    </row>
    <row r="89" spans="1:3" x14ac:dyDescent="0.2">
      <c r="A89" s="10" t="s">
        <v>149</v>
      </c>
      <c r="B89" s="18">
        <v>37249</v>
      </c>
      <c r="C89" s="18" t="s">
        <v>1059</v>
      </c>
    </row>
    <row r="90" spans="1:3" x14ac:dyDescent="0.2">
      <c r="A90" s="32" t="s">
        <v>151</v>
      </c>
      <c r="B90" s="18">
        <v>20508</v>
      </c>
      <c r="C90" s="18" t="s">
        <v>1085</v>
      </c>
    </row>
    <row r="91" spans="1:3" x14ac:dyDescent="0.2">
      <c r="A91" s="10" t="s">
        <v>154</v>
      </c>
      <c r="B91" s="18">
        <v>34816</v>
      </c>
      <c r="C91" s="18" t="s">
        <v>961</v>
      </c>
    </row>
    <row r="92" spans="1:3" x14ac:dyDescent="0.2">
      <c r="A92" s="32" t="s">
        <v>159</v>
      </c>
      <c r="B92" s="18">
        <v>20130</v>
      </c>
      <c r="C92" s="18" t="s">
        <v>1114</v>
      </c>
    </row>
    <row r="93" spans="1:3" x14ac:dyDescent="0.2">
      <c r="A93" s="10" t="s">
        <v>162</v>
      </c>
      <c r="B93" s="18">
        <v>24025</v>
      </c>
      <c r="C93" s="18" t="s">
        <v>1069</v>
      </c>
    </row>
    <row r="94" spans="1:3" x14ac:dyDescent="0.2">
      <c r="A94" s="32" t="s">
        <v>164</v>
      </c>
      <c r="B94" s="18">
        <v>37354</v>
      </c>
      <c r="C94" s="18" t="s">
        <v>1064</v>
      </c>
    </row>
    <row r="95" spans="1:3" x14ac:dyDescent="0.2">
      <c r="A95" s="10" t="s">
        <v>165</v>
      </c>
      <c r="B95" s="18">
        <v>21408</v>
      </c>
      <c r="C95" s="18" t="s">
        <v>968</v>
      </c>
    </row>
    <row r="96" spans="1:3" x14ac:dyDescent="0.2">
      <c r="A96" s="32" t="s">
        <v>168</v>
      </c>
      <c r="B96" s="18">
        <v>16841</v>
      </c>
      <c r="C96" s="18" t="s">
        <v>1073</v>
      </c>
    </row>
    <row r="97" spans="1:3" x14ac:dyDescent="0.2">
      <c r="A97" s="10" t="s">
        <v>170</v>
      </c>
      <c r="B97" s="18">
        <v>25240</v>
      </c>
      <c r="C97" s="18" t="s">
        <v>921</v>
      </c>
    </row>
    <row r="98" spans="1:3" x14ac:dyDescent="0.2">
      <c r="A98" s="32" t="s">
        <v>173</v>
      </c>
      <c r="B98" s="18">
        <v>16542</v>
      </c>
      <c r="C98" s="18" t="s">
        <v>1079</v>
      </c>
    </row>
    <row r="99" spans="1:3" x14ac:dyDescent="0.2">
      <c r="A99" s="10" t="s">
        <v>174</v>
      </c>
      <c r="B99" s="18">
        <v>13322</v>
      </c>
      <c r="C99" s="18" t="s">
        <v>948</v>
      </c>
    </row>
    <row r="100" spans="1:3" x14ac:dyDescent="0.2">
      <c r="A100" s="32" t="s">
        <v>212</v>
      </c>
      <c r="B100" s="18">
        <v>34815</v>
      </c>
      <c r="C100" s="18" t="s">
        <v>1053</v>
      </c>
    </row>
    <row r="101" spans="1:3" x14ac:dyDescent="0.2">
      <c r="A101" s="10" t="s">
        <v>217</v>
      </c>
      <c r="B101" s="18">
        <v>36677</v>
      </c>
      <c r="C101" s="18" t="s">
        <v>1021</v>
      </c>
    </row>
    <row r="102" spans="1:3" x14ac:dyDescent="0.2">
      <c r="A102" s="15" t="s">
        <v>135</v>
      </c>
      <c r="B102" s="18">
        <v>17646</v>
      </c>
      <c r="C102" s="18" t="s">
        <v>1302</v>
      </c>
    </row>
    <row r="103" spans="1:3" x14ac:dyDescent="0.2">
      <c r="A103" s="10" t="s">
        <v>157</v>
      </c>
      <c r="B103" s="18">
        <v>18575</v>
      </c>
      <c r="C103" s="18" t="s">
        <v>1288</v>
      </c>
    </row>
    <row r="104" spans="1:3" x14ac:dyDescent="0.2">
      <c r="A104" s="32" t="s">
        <v>177</v>
      </c>
      <c r="B104" s="18">
        <v>34937</v>
      </c>
      <c r="C104" s="18" t="s">
        <v>1198</v>
      </c>
    </row>
    <row r="105" spans="1:3" x14ac:dyDescent="0.2">
      <c r="A105" s="10" t="s">
        <v>179</v>
      </c>
      <c r="B105" s="18">
        <v>37361</v>
      </c>
      <c r="C105" s="18" t="s">
        <v>1194</v>
      </c>
    </row>
    <row r="106" spans="1:3" x14ac:dyDescent="0.2">
      <c r="A106" s="32" t="s">
        <v>180</v>
      </c>
      <c r="B106" s="18">
        <v>37709</v>
      </c>
      <c r="C106" s="18" t="s">
        <v>1208</v>
      </c>
    </row>
    <row r="107" spans="1:3" x14ac:dyDescent="0.2">
      <c r="A107" s="10" t="s">
        <v>182</v>
      </c>
      <c r="B107" s="18">
        <v>31753</v>
      </c>
      <c r="C107" s="18" t="s">
        <v>1204</v>
      </c>
    </row>
    <row r="108" spans="1:3" x14ac:dyDescent="0.2">
      <c r="A108" s="32" t="s">
        <v>183</v>
      </c>
      <c r="B108" s="18">
        <v>35331</v>
      </c>
      <c r="C108" s="18" t="s">
        <v>1219</v>
      </c>
    </row>
    <row r="109" spans="1:3" x14ac:dyDescent="0.2">
      <c r="A109" s="10" t="s">
        <v>185</v>
      </c>
      <c r="B109" s="18">
        <v>37640</v>
      </c>
      <c r="C109" s="18" t="s">
        <v>1214</v>
      </c>
    </row>
    <row r="110" spans="1:3" x14ac:dyDescent="0.2">
      <c r="A110" s="32" t="s">
        <v>186</v>
      </c>
      <c r="B110" s="18">
        <v>34432</v>
      </c>
      <c r="C110" s="18" t="s">
        <v>1327</v>
      </c>
    </row>
    <row r="111" spans="1:3" x14ac:dyDescent="0.2">
      <c r="A111" s="10" t="s">
        <v>187</v>
      </c>
      <c r="B111" s="18">
        <v>37097</v>
      </c>
      <c r="C111" s="18" t="s">
        <v>1179</v>
      </c>
    </row>
    <row r="112" spans="1:3" x14ac:dyDescent="0.2">
      <c r="A112" s="32" t="s">
        <v>188</v>
      </c>
      <c r="B112" s="18">
        <v>37422</v>
      </c>
      <c r="C112" s="18" t="s">
        <v>1225</v>
      </c>
    </row>
    <row r="113" spans="1:3" x14ac:dyDescent="0.2">
      <c r="A113" s="10" t="s">
        <v>190</v>
      </c>
      <c r="B113" s="18">
        <v>34583</v>
      </c>
      <c r="C113" s="18" t="s">
        <v>1229</v>
      </c>
    </row>
    <row r="114" spans="1:3" x14ac:dyDescent="0.2">
      <c r="A114" s="32" t="s">
        <v>191</v>
      </c>
      <c r="B114" s="18">
        <v>21088</v>
      </c>
      <c r="C114" s="18" t="s">
        <v>2236</v>
      </c>
    </row>
    <row r="115" spans="1:3" x14ac:dyDescent="0.2">
      <c r="A115" s="10" t="s">
        <v>194</v>
      </c>
      <c r="B115" s="18">
        <v>28560</v>
      </c>
      <c r="C115" s="18" t="s">
        <v>2240</v>
      </c>
    </row>
    <row r="116" spans="1:3" x14ac:dyDescent="0.2">
      <c r="A116" s="32" t="s">
        <v>197</v>
      </c>
      <c r="B116" s="18">
        <v>36853</v>
      </c>
      <c r="C116" s="18" t="s">
        <v>1239</v>
      </c>
    </row>
    <row r="117" spans="1:3" x14ac:dyDescent="0.2">
      <c r="A117" s="10" t="s">
        <v>199</v>
      </c>
      <c r="B117" s="18">
        <v>37383</v>
      </c>
      <c r="C117" s="18" t="s">
        <v>1234</v>
      </c>
    </row>
    <row r="118" spans="1:3" x14ac:dyDescent="0.2">
      <c r="A118" s="32" t="s">
        <v>200</v>
      </c>
      <c r="B118" s="18">
        <v>27435</v>
      </c>
      <c r="C118" s="18" t="s">
        <v>1244</v>
      </c>
    </row>
    <row r="119" spans="1:3" x14ac:dyDescent="0.2">
      <c r="A119" s="10" t="s">
        <v>202</v>
      </c>
      <c r="B119" s="18">
        <v>37131</v>
      </c>
      <c r="C119" s="18" t="s">
        <v>1026</v>
      </c>
    </row>
    <row r="120" spans="1:3" x14ac:dyDescent="0.2">
      <c r="A120" s="32" t="s">
        <v>203</v>
      </c>
      <c r="B120" s="18">
        <v>37598</v>
      </c>
      <c r="C120" s="18" t="s">
        <v>1268</v>
      </c>
    </row>
    <row r="121" spans="1:3" x14ac:dyDescent="0.2">
      <c r="A121" s="10" t="s">
        <v>205</v>
      </c>
      <c r="B121" s="18">
        <v>34788</v>
      </c>
      <c r="C121" s="18" t="s">
        <v>1261</v>
      </c>
    </row>
    <row r="122" spans="1:3" x14ac:dyDescent="0.2">
      <c r="A122" s="32" t="s">
        <v>207</v>
      </c>
      <c r="B122" s="18">
        <v>17501</v>
      </c>
      <c r="C122" s="18" t="s">
        <v>1173</v>
      </c>
    </row>
    <row r="123" spans="1:3" x14ac:dyDescent="0.2">
      <c r="A123" s="10" t="s">
        <v>210</v>
      </c>
      <c r="B123" s="18">
        <v>21208</v>
      </c>
      <c r="C123" s="18" t="s">
        <v>1145</v>
      </c>
    </row>
    <row r="124" spans="1:3" x14ac:dyDescent="0.2">
      <c r="A124" s="32" t="s">
        <v>213</v>
      </c>
      <c r="B124" s="18">
        <v>21951</v>
      </c>
      <c r="C124" s="18" t="s">
        <v>1279</v>
      </c>
    </row>
    <row r="125" spans="1:3" x14ac:dyDescent="0.2">
      <c r="A125" s="10" t="s">
        <v>214</v>
      </c>
      <c r="B125" s="18">
        <v>23914</v>
      </c>
      <c r="C125" s="18" t="s">
        <v>1296</v>
      </c>
    </row>
    <row r="126" spans="1:3" x14ac:dyDescent="0.2">
      <c r="A126" s="32" t="s">
        <v>215</v>
      </c>
      <c r="B126" s="18">
        <v>33413</v>
      </c>
      <c r="C126" s="18" t="s">
        <v>1308</v>
      </c>
    </row>
    <row r="127" spans="1:3" x14ac:dyDescent="0.2">
      <c r="A127" s="73" t="s">
        <v>218</v>
      </c>
      <c r="B127" s="18">
        <v>37920</v>
      </c>
      <c r="C127" s="18" t="s">
        <v>928</v>
      </c>
    </row>
    <row r="128" spans="1:3" x14ac:dyDescent="0.2">
      <c r="A128" s="43" t="s">
        <v>219</v>
      </c>
      <c r="B128" s="18">
        <v>32435</v>
      </c>
      <c r="C128" s="18" t="s">
        <v>1313</v>
      </c>
    </row>
    <row r="129" spans="1:3" x14ac:dyDescent="0.2">
      <c r="A129" s="43" t="s">
        <v>220</v>
      </c>
      <c r="B129" s="18">
        <v>35965</v>
      </c>
      <c r="C129" s="18" t="s">
        <v>1186</v>
      </c>
    </row>
    <row r="130" spans="1:3" x14ac:dyDescent="0.2">
      <c r="A130" s="15" t="s">
        <v>221</v>
      </c>
      <c r="B130" s="18">
        <v>20958</v>
      </c>
      <c r="C130" s="18" t="s">
        <v>1131</v>
      </c>
    </row>
    <row r="131" spans="1:3" x14ac:dyDescent="0.2">
      <c r="A131" s="10" t="s">
        <v>1257</v>
      </c>
      <c r="B131" s="18">
        <v>23031</v>
      </c>
      <c r="C131" s="18" t="s">
        <v>1254</v>
      </c>
    </row>
    <row r="132" spans="1:3" x14ac:dyDescent="0.2">
      <c r="A132" s="32" t="s">
        <v>224</v>
      </c>
      <c r="B132" s="18">
        <v>23605</v>
      </c>
      <c r="C132" s="18" t="s">
        <v>1272</v>
      </c>
    </row>
    <row r="133" spans="1:3" x14ac:dyDescent="0.2">
      <c r="A133" s="10" t="s">
        <v>225</v>
      </c>
      <c r="B133" s="18">
        <v>16127</v>
      </c>
      <c r="C133" s="18" t="s">
        <v>1159</v>
      </c>
    </row>
    <row r="134" spans="1:3" x14ac:dyDescent="0.2">
      <c r="A134" s="32" t="s">
        <v>297</v>
      </c>
      <c r="B134" s="18">
        <v>34686</v>
      </c>
      <c r="C134" s="18" t="s">
        <v>1319</v>
      </c>
    </row>
    <row r="135" spans="1:3" x14ac:dyDescent="0.2">
      <c r="A135" s="10" t="s">
        <v>301</v>
      </c>
      <c r="B135" s="18">
        <v>23002</v>
      </c>
      <c r="C135" s="18" t="s">
        <v>1152</v>
      </c>
    </row>
    <row r="136" spans="1:3" x14ac:dyDescent="0.2">
      <c r="A136" s="43" t="s">
        <v>384</v>
      </c>
      <c r="B136" s="18">
        <v>31752</v>
      </c>
      <c r="C136" s="18" t="s">
        <v>1341</v>
      </c>
    </row>
    <row r="137" spans="1:3" x14ac:dyDescent="0.2">
      <c r="A137" s="10" t="s">
        <v>389</v>
      </c>
      <c r="B137" s="18">
        <v>37893</v>
      </c>
      <c r="C137" s="18" t="s">
        <v>3004</v>
      </c>
    </row>
    <row r="138" spans="1:3" x14ac:dyDescent="0.2">
      <c r="A138" s="15" t="s">
        <v>227</v>
      </c>
      <c r="B138" s="18">
        <v>21134</v>
      </c>
      <c r="C138" s="18" t="s">
        <v>1444</v>
      </c>
    </row>
    <row r="139" spans="1:3" x14ac:dyDescent="0.2">
      <c r="A139" s="10" t="s">
        <v>228</v>
      </c>
      <c r="B139" s="18">
        <v>37766</v>
      </c>
      <c r="C139" s="18" t="s">
        <v>1410</v>
      </c>
    </row>
    <row r="140" spans="1:3" x14ac:dyDescent="0.2">
      <c r="A140" s="32" t="s">
        <v>230</v>
      </c>
      <c r="B140" s="18">
        <v>37771</v>
      </c>
      <c r="C140" s="18" t="s">
        <v>1553</v>
      </c>
    </row>
    <row r="141" spans="1:3" x14ac:dyDescent="0.2">
      <c r="A141" s="10" t="s">
        <v>231</v>
      </c>
      <c r="B141" s="18">
        <v>37768</v>
      </c>
      <c r="C141" s="18" t="s">
        <v>1405</v>
      </c>
    </row>
    <row r="142" spans="1:3" x14ac:dyDescent="0.2">
      <c r="A142" s="32" t="s">
        <v>232</v>
      </c>
      <c r="B142" s="18">
        <v>37767</v>
      </c>
      <c r="C142" s="18" t="s">
        <v>1398</v>
      </c>
    </row>
    <row r="143" spans="1:3" x14ac:dyDescent="0.2">
      <c r="A143" s="10" t="s">
        <v>234</v>
      </c>
      <c r="B143" s="18">
        <v>37769</v>
      </c>
      <c r="C143" s="18" t="s">
        <v>1392</v>
      </c>
    </row>
    <row r="144" spans="1:3" x14ac:dyDescent="0.2">
      <c r="A144" s="32" t="s">
        <v>235</v>
      </c>
      <c r="B144" s="18">
        <v>37772</v>
      </c>
      <c r="C144" s="18" t="s">
        <v>1379</v>
      </c>
    </row>
    <row r="145" spans="1:3" x14ac:dyDescent="0.2">
      <c r="A145" s="18" t="s">
        <v>237</v>
      </c>
      <c r="B145" s="18">
        <v>26577</v>
      </c>
      <c r="C145" s="18" t="s">
        <v>1511</v>
      </c>
    </row>
    <row r="146" spans="1:3" x14ac:dyDescent="0.2">
      <c r="A146" s="32" t="s">
        <v>238</v>
      </c>
      <c r="B146" s="18">
        <v>30128</v>
      </c>
      <c r="C146" s="18" t="s">
        <v>1419</v>
      </c>
    </row>
    <row r="147" spans="1:3" x14ac:dyDescent="0.2">
      <c r="A147" s="10" t="s">
        <v>240</v>
      </c>
      <c r="B147" s="18">
        <v>28600</v>
      </c>
      <c r="C147" s="18" t="s">
        <v>1425</v>
      </c>
    </row>
    <row r="148" spans="1:3" x14ac:dyDescent="0.2">
      <c r="A148" s="32" t="s">
        <v>241</v>
      </c>
      <c r="B148" s="18">
        <v>37799</v>
      </c>
      <c r="C148" s="18" t="s">
        <v>1548</v>
      </c>
    </row>
    <row r="149" spans="1:3" x14ac:dyDescent="0.2">
      <c r="A149" s="10" t="s">
        <v>242</v>
      </c>
      <c r="B149" s="18">
        <v>17356</v>
      </c>
      <c r="C149" s="18" t="s">
        <v>1522</v>
      </c>
    </row>
    <row r="150" spans="1:3" x14ac:dyDescent="0.2">
      <c r="A150" s="32" t="s">
        <v>243</v>
      </c>
      <c r="B150" s="18">
        <v>21719</v>
      </c>
      <c r="C150" s="18" t="s">
        <v>1472</v>
      </c>
    </row>
    <row r="151" spans="1:3" x14ac:dyDescent="0.2">
      <c r="A151" s="10" t="s">
        <v>245</v>
      </c>
      <c r="B151" s="18">
        <v>11064</v>
      </c>
      <c r="C151" s="18" t="s">
        <v>1541</v>
      </c>
    </row>
    <row r="152" spans="1:3" x14ac:dyDescent="0.2">
      <c r="A152" s="32" t="s">
        <v>246</v>
      </c>
      <c r="B152" s="18">
        <v>37852</v>
      </c>
      <c r="C152" s="18" t="s">
        <v>1385</v>
      </c>
    </row>
    <row r="153" spans="1:3" x14ac:dyDescent="0.2">
      <c r="A153" s="10" t="s">
        <v>247</v>
      </c>
      <c r="B153" s="18">
        <v>25621</v>
      </c>
      <c r="C153" s="18" t="s">
        <v>1480</v>
      </c>
    </row>
    <row r="154" spans="1:3" x14ac:dyDescent="0.2">
      <c r="A154" s="32" t="s">
        <v>249</v>
      </c>
      <c r="B154" s="18">
        <v>33492</v>
      </c>
      <c r="C154" s="18" t="s">
        <v>1463</v>
      </c>
    </row>
    <row r="155" spans="1:3" x14ac:dyDescent="0.2">
      <c r="A155" s="74" t="s">
        <v>250</v>
      </c>
      <c r="B155" s="18">
        <v>37289</v>
      </c>
      <c r="C155" s="18" t="s">
        <v>2145</v>
      </c>
    </row>
    <row r="156" spans="1:3" x14ac:dyDescent="0.2">
      <c r="A156" s="32" t="s">
        <v>251</v>
      </c>
      <c r="B156" s="18">
        <v>25741</v>
      </c>
      <c r="C156" s="18" t="s">
        <v>1530</v>
      </c>
    </row>
    <row r="157" spans="1:3" x14ac:dyDescent="0.2">
      <c r="A157" s="10" t="s">
        <v>252</v>
      </c>
      <c r="B157" s="18">
        <v>37798</v>
      </c>
      <c r="C157" s="18" t="s">
        <v>1370</v>
      </c>
    </row>
    <row r="158" spans="1:3" x14ac:dyDescent="0.2">
      <c r="A158" s="32" t="s">
        <v>254</v>
      </c>
      <c r="B158" s="18">
        <v>12694</v>
      </c>
      <c r="C158" s="18" t="s">
        <v>1438</v>
      </c>
    </row>
    <row r="159" spans="1:3" x14ac:dyDescent="0.2">
      <c r="A159" s="10" t="s">
        <v>255</v>
      </c>
      <c r="B159" s="18">
        <v>33542</v>
      </c>
      <c r="C159" s="18" t="s">
        <v>1467</v>
      </c>
    </row>
    <row r="160" spans="1:3" x14ac:dyDescent="0.2">
      <c r="A160" s="32" t="s">
        <v>256</v>
      </c>
      <c r="B160" s="18">
        <v>36984</v>
      </c>
      <c r="C160" s="18" t="s">
        <v>1348</v>
      </c>
    </row>
    <row r="161" spans="1:3" x14ac:dyDescent="0.2">
      <c r="A161" s="10" t="s">
        <v>258</v>
      </c>
      <c r="B161" s="18">
        <v>31375</v>
      </c>
      <c r="C161" s="18" t="s">
        <v>1456</v>
      </c>
    </row>
    <row r="162" spans="1:3" x14ac:dyDescent="0.2">
      <c r="A162" s="32" t="s">
        <v>259</v>
      </c>
      <c r="B162" s="18">
        <v>31377</v>
      </c>
      <c r="C162" s="18" t="s">
        <v>1362</v>
      </c>
    </row>
    <row r="163" spans="1:3" x14ac:dyDescent="0.2">
      <c r="A163" s="10" t="s">
        <v>260</v>
      </c>
      <c r="B163" s="18">
        <v>37815</v>
      </c>
      <c r="C163" s="18" t="s">
        <v>1355</v>
      </c>
    </row>
    <row r="164" spans="1:3" x14ac:dyDescent="0.2">
      <c r="A164" s="15" t="s">
        <v>261</v>
      </c>
      <c r="B164" s="18">
        <v>12702</v>
      </c>
      <c r="C164" s="18" t="s">
        <v>1486</v>
      </c>
    </row>
    <row r="165" spans="1:3" x14ac:dyDescent="0.2">
      <c r="A165" s="10" t="s">
        <v>262</v>
      </c>
      <c r="B165" s="18">
        <v>31374</v>
      </c>
      <c r="C165" s="18" t="s">
        <v>1451</v>
      </c>
    </row>
    <row r="166" spans="1:3" x14ac:dyDescent="0.2">
      <c r="A166" s="32" t="s">
        <v>263</v>
      </c>
      <c r="B166" s="18">
        <v>11265</v>
      </c>
      <c r="C166" s="18" t="s">
        <v>1536</v>
      </c>
    </row>
    <row r="167" spans="1:3" x14ac:dyDescent="0.2">
      <c r="A167" s="10" t="s">
        <v>388</v>
      </c>
      <c r="B167" s="18">
        <v>14723</v>
      </c>
      <c r="C167" s="18" t="s">
        <v>1433</v>
      </c>
    </row>
    <row r="168" spans="1:3" x14ac:dyDescent="0.2">
      <c r="A168" s="32" t="s">
        <v>265</v>
      </c>
      <c r="B168" s="18">
        <v>32008</v>
      </c>
      <c r="C168" s="18" t="s">
        <v>1638</v>
      </c>
    </row>
    <row r="169" spans="1:3" x14ac:dyDescent="0.2">
      <c r="A169" s="10" t="s">
        <v>266</v>
      </c>
      <c r="B169" s="18">
        <v>8163</v>
      </c>
      <c r="C169" s="18" t="s">
        <v>1714</v>
      </c>
    </row>
    <row r="170" spans="1:3" x14ac:dyDescent="0.2">
      <c r="A170" s="32" t="s">
        <v>267</v>
      </c>
      <c r="B170" s="18">
        <v>34364</v>
      </c>
      <c r="C170" s="18" t="s">
        <v>1756</v>
      </c>
    </row>
    <row r="171" spans="1:3" x14ac:dyDescent="0.2">
      <c r="A171" s="18" t="s">
        <v>268</v>
      </c>
      <c r="B171" s="18">
        <v>33432</v>
      </c>
      <c r="C171" s="18" t="s">
        <v>1644</v>
      </c>
    </row>
    <row r="172" spans="1:3" x14ac:dyDescent="0.2">
      <c r="A172" s="32" t="s">
        <v>269</v>
      </c>
      <c r="B172" s="18">
        <v>23807</v>
      </c>
      <c r="C172" s="18" t="s">
        <v>1623</v>
      </c>
    </row>
    <row r="173" spans="1:3" x14ac:dyDescent="0.2">
      <c r="A173" s="10" t="s">
        <v>270</v>
      </c>
      <c r="B173" s="18">
        <v>34840</v>
      </c>
      <c r="C173" s="18" t="s">
        <v>1720</v>
      </c>
    </row>
    <row r="174" spans="1:3" x14ac:dyDescent="0.2">
      <c r="A174" s="32" t="s">
        <v>271</v>
      </c>
      <c r="B174" s="18">
        <v>26604</v>
      </c>
      <c r="C174" s="18" t="s">
        <v>1729</v>
      </c>
    </row>
    <row r="175" spans="1:3" x14ac:dyDescent="0.2">
      <c r="A175" s="10" t="s">
        <v>272</v>
      </c>
      <c r="B175" s="18">
        <v>7915</v>
      </c>
      <c r="C175" s="18" t="s">
        <v>1708</v>
      </c>
    </row>
    <row r="176" spans="1:3" x14ac:dyDescent="0.2">
      <c r="A176" s="32" t="s">
        <v>273</v>
      </c>
      <c r="B176" s="18">
        <v>9700</v>
      </c>
      <c r="C176" s="18" t="s">
        <v>1741</v>
      </c>
    </row>
    <row r="177" spans="1:3" x14ac:dyDescent="0.2">
      <c r="A177" s="10" t="s">
        <v>274</v>
      </c>
      <c r="B177" s="18">
        <v>32007</v>
      </c>
      <c r="C177" s="18" t="s">
        <v>1631</v>
      </c>
    </row>
    <row r="178" spans="1:3" x14ac:dyDescent="0.2">
      <c r="A178" s="32" t="s">
        <v>275</v>
      </c>
      <c r="B178" s="18">
        <v>13479</v>
      </c>
      <c r="C178" s="18" t="s">
        <v>1734</v>
      </c>
    </row>
    <row r="179" spans="1:3" x14ac:dyDescent="0.2">
      <c r="A179" s="10" t="s">
        <v>276</v>
      </c>
      <c r="B179" s="18">
        <v>34337</v>
      </c>
      <c r="C179" s="18" t="s">
        <v>1750</v>
      </c>
    </row>
    <row r="180" spans="1:3" x14ac:dyDescent="0.2">
      <c r="A180" s="32" t="s">
        <v>277</v>
      </c>
      <c r="B180" s="18">
        <v>34340</v>
      </c>
      <c r="C180" s="18" t="s">
        <v>1761</v>
      </c>
    </row>
    <row r="181" spans="1:3" x14ac:dyDescent="0.2">
      <c r="A181" s="10" t="s">
        <v>278</v>
      </c>
      <c r="B181" s="18">
        <v>7616</v>
      </c>
      <c r="C181" s="18" t="s">
        <v>1724</v>
      </c>
    </row>
    <row r="182" spans="1:3" x14ac:dyDescent="0.2">
      <c r="A182" s="15" t="s">
        <v>279</v>
      </c>
      <c r="B182" s="18">
        <v>9402</v>
      </c>
      <c r="C182" s="18" t="s">
        <v>1700</v>
      </c>
    </row>
    <row r="183" spans="1:3" x14ac:dyDescent="0.2">
      <c r="A183" s="10" t="s">
        <v>280</v>
      </c>
      <c r="B183" s="18">
        <v>25167</v>
      </c>
      <c r="C183" s="18" t="s">
        <v>1693</v>
      </c>
    </row>
    <row r="184" spans="1:3" x14ac:dyDescent="0.2">
      <c r="A184" s="32" t="s">
        <v>282</v>
      </c>
      <c r="B184" s="18">
        <v>34652</v>
      </c>
      <c r="C184" s="18" t="s">
        <v>1685</v>
      </c>
    </row>
    <row r="185" spans="1:3" x14ac:dyDescent="0.2">
      <c r="A185" s="10" t="s">
        <v>283</v>
      </c>
      <c r="B185" s="18">
        <v>5540</v>
      </c>
      <c r="C185" s="18" t="s">
        <v>1784</v>
      </c>
    </row>
    <row r="186" spans="1:3" x14ac:dyDescent="0.2">
      <c r="A186" s="32" t="s">
        <v>285</v>
      </c>
      <c r="B186" s="18">
        <v>34839</v>
      </c>
      <c r="C186" s="18" t="s">
        <v>1614</v>
      </c>
    </row>
    <row r="187" spans="1:3" x14ac:dyDescent="0.2">
      <c r="A187" s="10" t="s">
        <v>286</v>
      </c>
      <c r="B187" s="18">
        <v>14777</v>
      </c>
      <c r="C187" s="18" t="s">
        <v>1789</v>
      </c>
    </row>
    <row r="188" spans="1:3" x14ac:dyDescent="0.2">
      <c r="A188" s="15" t="s">
        <v>287</v>
      </c>
      <c r="B188" s="18">
        <v>26871</v>
      </c>
      <c r="C188" s="18" t="s">
        <v>1680</v>
      </c>
    </row>
    <row r="189" spans="1:3" x14ac:dyDescent="0.2">
      <c r="A189" s="10" t="s">
        <v>288</v>
      </c>
      <c r="B189" s="18">
        <v>34886</v>
      </c>
      <c r="C189" s="18" t="s">
        <v>1675</v>
      </c>
    </row>
    <row r="190" spans="1:3" x14ac:dyDescent="0.2">
      <c r="A190" s="32" t="s">
        <v>289</v>
      </c>
      <c r="B190" s="18">
        <v>26472</v>
      </c>
      <c r="C190" s="18" t="s">
        <v>1670</v>
      </c>
    </row>
    <row r="191" spans="1:3" x14ac:dyDescent="0.2">
      <c r="A191" s="10" t="s">
        <v>290</v>
      </c>
      <c r="B191" s="18">
        <v>37507</v>
      </c>
      <c r="C191" s="18" t="s">
        <v>1608</v>
      </c>
    </row>
    <row r="192" spans="1:3" x14ac:dyDescent="0.2">
      <c r="A192" s="32" t="s">
        <v>291</v>
      </c>
      <c r="B192" s="18">
        <v>34885</v>
      </c>
      <c r="C192" s="18" t="s">
        <v>1664</v>
      </c>
    </row>
    <row r="193" spans="1:3" x14ac:dyDescent="0.2">
      <c r="A193" s="18" t="s">
        <v>292</v>
      </c>
      <c r="B193" s="18">
        <v>36924</v>
      </c>
      <c r="C193" s="18" t="s">
        <v>1657</v>
      </c>
    </row>
    <row r="194" spans="1:3" x14ac:dyDescent="0.2">
      <c r="A194" s="32" t="s">
        <v>293</v>
      </c>
      <c r="B194" s="18">
        <v>33347</v>
      </c>
      <c r="C194" s="18" t="s">
        <v>1651</v>
      </c>
    </row>
    <row r="195" spans="1:3" x14ac:dyDescent="0.2">
      <c r="A195" s="10" t="s">
        <v>294</v>
      </c>
      <c r="B195" s="18">
        <v>24299</v>
      </c>
      <c r="C195" s="18" t="s">
        <v>1586</v>
      </c>
    </row>
    <row r="196" spans="1:3" x14ac:dyDescent="0.2">
      <c r="A196" s="32" t="s">
        <v>295</v>
      </c>
      <c r="B196" s="18">
        <v>9088</v>
      </c>
      <c r="C196" s="18" t="s">
        <v>1601</v>
      </c>
    </row>
    <row r="197" spans="1:3" x14ac:dyDescent="0.2">
      <c r="A197" s="18" t="s">
        <v>346</v>
      </c>
      <c r="B197" s="18">
        <v>19371</v>
      </c>
      <c r="C197" s="18" t="s">
        <v>1566</v>
      </c>
    </row>
    <row r="198" spans="1:3" x14ac:dyDescent="0.2">
      <c r="A198" s="32" t="s">
        <v>347</v>
      </c>
      <c r="B198" s="18">
        <v>28423</v>
      </c>
      <c r="C198" s="18" t="s">
        <v>1579</v>
      </c>
    </row>
    <row r="199" spans="1:3" x14ac:dyDescent="0.2">
      <c r="A199" s="10" t="s">
        <v>348</v>
      </c>
      <c r="B199" s="18">
        <v>35145</v>
      </c>
      <c r="C199" s="18" t="s">
        <v>1593</v>
      </c>
    </row>
    <row r="200" spans="1:3" x14ac:dyDescent="0.2">
      <c r="A200" s="32" t="s">
        <v>349</v>
      </c>
      <c r="B200" s="18">
        <v>31634</v>
      </c>
      <c r="C200" s="18" t="s">
        <v>1573</v>
      </c>
    </row>
    <row r="201" spans="1:3" x14ac:dyDescent="0.2">
      <c r="A201" s="10" t="s">
        <v>350</v>
      </c>
      <c r="B201" s="18">
        <v>21608</v>
      </c>
      <c r="C201" s="18" t="s">
        <v>1559</v>
      </c>
    </row>
    <row r="202" spans="1:3" x14ac:dyDescent="0.2">
      <c r="A202" s="32" t="s">
        <v>1981</v>
      </c>
      <c r="B202" s="18">
        <v>37519</v>
      </c>
      <c r="C202" s="18" t="s">
        <v>3005</v>
      </c>
    </row>
    <row r="203" spans="1:3" x14ac:dyDescent="0.2">
      <c r="A203" s="10" t="s">
        <v>137</v>
      </c>
      <c r="B203" s="18">
        <v>35106</v>
      </c>
      <c r="C203" s="18" t="s">
        <v>1810</v>
      </c>
    </row>
    <row r="204" spans="1:3" x14ac:dyDescent="0.2">
      <c r="A204" s="32" t="s">
        <v>195</v>
      </c>
      <c r="B204" s="18">
        <v>29656</v>
      </c>
      <c r="C204" s="18" t="s">
        <v>1833</v>
      </c>
    </row>
    <row r="205" spans="1:3" x14ac:dyDescent="0.2">
      <c r="A205" s="10" t="s">
        <v>299</v>
      </c>
      <c r="B205" s="18">
        <v>21226</v>
      </c>
      <c r="C205" s="18" t="s">
        <v>1966</v>
      </c>
    </row>
    <row r="206" spans="1:3" x14ac:dyDescent="0.2">
      <c r="A206" s="32" t="s">
        <v>302</v>
      </c>
      <c r="B206" s="18">
        <v>34411</v>
      </c>
      <c r="C206" s="18" t="s">
        <v>1961</v>
      </c>
    </row>
    <row r="207" spans="1:3" x14ac:dyDescent="0.2">
      <c r="A207" s="10" t="s">
        <v>303</v>
      </c>
      <c r="B207" s="18">
        <v>34274</v>
      </c>
      <c r="C207" s="18" t="s">
        <v>1806</v>
      </c>
    </row>
    <row r="208" spans="1:3" x14ac:dyDescent="0.2">
      <c r="A208" s="15" t="s">
        <v>304</v>
      </c>
      <c r="B208" s="18">
        <v>31710</v>
      </c>
      <c r="C208" s="18" t="s">
        <v>1860</v>
      </c>
    </row>
    <row r="209" spans="1:3" x14ac:dyDescent="0.2">
      <c r="A209" s="18" t="s">
        <v>306</v>
      </c>
      <c r="B209" s="18">
        <v>30835</v>
      </c>
      <c r="C209" s="18" t="s">
        <v>1974</v>
      </c>
    </row>
    <row r="210" spans="1:3" x14ac:dyDescent="0.2">
      <c r="A210" s="32" t="s">
        <v>308</v>
      </c>
      <c r="B210" s="18">
        <v>29218</v>
      </c>
      <c r="C210" s="18" t="s">
        <v>1970</v>
      </c>
    </row>
    <row r="211" spans="1:3" x14ac:dyDescent="0.2">
      <c r="A211" s="10" t="s">
        <v>309</v>
      </c>
      <c r="B211" s="18">
        <v>35788</v>
      </c>
      <c r="C211" s="18" t="s">
        <v>1985</v>
      </c>
    </row>
    <row r="212" spans="1:3" x14ac:dyDescent="0.2">
      <c r="A212" s="32" t="s">
        <v>311</v>
      </c>
      <c r="B212" s="18">
        <v>10857</v>
      </c>
      <c r="C212" s="18" t="s">
        <v>1979</v>
      </c>
    </row>
    <row r="213" spans="1:3" x14ac:dyDescent="0.2">
      <c r="A213" s="10" t="s">
        <v>312</v>
      </c>
      <c r="B213" s="18">
        <v>28080</v>
      </c>
      <c r="C213" s="18" t="s">
        <v>1848</v>
      </c>
    </row>
    <row r="214" spans="1:3" x14ac:dyDescent="0.2">
      <c r="A214" s="32" t="s">
        <v>314</v>
      </c>
      <c r="B214" s="18">
        <v>37593</v>
      </c>
      <c r="C214" s="18" t="s">
        <v>786</v>
      </c>
    </row>
    <row r="215" spans="1:3" x14ac:dyDescent="0.2">
      <c r="A215" s="10" t="s">
        <v>316</v>
      </c>
      <c r="B215" s="18">
        <v>32833</v>
      </c>
      <c r="C215" s="18" t="s">
        <v>792</v>
      </c>
    </row>
    <row r="216" spans="1:3" x14ac:dyDescent="0.2">
      <c r="A216" s="32" t="s">
        <v>317</v>
      </c>
      <c r="B216" s="18">
        <v>37510</v>
      </c>
      <c r="C216" s="18" t="s">
        <v>774</v>
      </c>
    </row>
    <row r="217" spans="1:3" x14ac:dyDescent="0.2">
      <c r="A217" s="10" t="s">
        <v>319</v>
      </c>
      <c r="B217" s="18">
        <v>35969</v>
      </c>
      <c r="C217" s="18" t="s">
        <v>779</v>
      </c>
    </row>
    <row r="218" spans="1:3" x14ac:dyDescent="0.2">
      <c r="A218" s="32" t="s">
        <v>320</v>
      </c>
      <c r="B218" s="18">
        <v>37594</v>
      </c>
      <c r="C218" s="18" t="s">
        <v>767</v>
      </c>
    </row>
    <row r="219" spans="1:3" x14ac:dyDescent="0.2">
      <c r="A219" s="10" t="s">
        <v>321</v>
      </c>
      <c r="B219" s="18">
        <v>30656</v>
      </c>
      <c r="C219" s="18" t="s">
        <v>1880</v>
      </c>
    </row>
    <row r="220" spans="1:3" x14ac:dyDescent="0.2">
      <c r="A220" s="32" t="s">
        <v>322</v>
      </c>
      <c r="B220" s="18">
        <v>34087</v>
      </c>
      <c r="C220" s="18" t="s">
        <v>1875</v>
      </c>
    </row>
    <row r="221" spans="1:3" x14ac:dyDescent="0.2">
      <c r="A221" s="18" t="s">
        <v>324</v>
      </c>
      <c r="B221" s="18">
        <v>28892</v>
      </c>
      <c r="C221" s="18" t="s">
        <v>1853</v>
      </c>
    </row>
    <row r="222" spans="1:3" x14ac:dyDescent="0.2">
      <c r="A222" s="32" t="s">
        <v>325</v>
      </c>
      <c r="B222" s="18">
        <v>30559</v>
      </c>
      <c r="C222" s="18" t="s">
        <v>1865</v>
      </c>
    </row>
    <row r="223" spans="1:3" x14ac:dyDescent="0.2">
      <c r="A223" s="10" t="s">
        <v>326</v>
      </c>
      <c r="B223" s="18">
        <v>20055</v>
      </c>
      <c r="C223" s="18" t="s">
        <v>1871</v>
      </c>
    </row>
    <row r="224" spans="1:3" x14ac:dyDescent="0.2">
      <c r="A224" s="32" t="s">
        <v>327</v>
      </c>
      <c r="B224" s="18">
        <v>36384</v>
      </c>
      <c r="C224" s="18" t="s">
        <v>1955</v>
      </c>
    </row>
    <row r="225" spans="1:3" x14ac:dyDescent="0.2">
      <c r="A225" s="10" t="s">
        <v>329</v>
      </c>
      <c r="B225" s="18">
        <v>28649</v>
      </c>
      <c r="C225" s="18" t="s">
        <v>1906</v>
      </c>
    </row>
    <row r="226" spans="1:3" x14ac:dyDescent="0.2">
      <c r="A226" s="32" t="s">
        <v>331</v>
      </c>
      <c r="B226" s="18">
        <v>34245</v>
      </c>
      <c r="C226" s="18" t="s">
        <v>1913</v>
      </c>
    </row>
    <row r="227" spans="1:3" x14ac:dyDescent="0.2">
      <c r="A227" s="10" t="s">
        <v>332</v>
      </c>
      <c r="B227" s="18">
        <v>29558</v>
      </c>
      <c r="C227" s="18" t="s">
        <v>1893</v>
      </c>
    </row>
    <row r="228" spans="1:3" x14ac:dyDescent="0.2">
      <c r="A228" s="32" t="s">
        <v>334</v>
      </c>
      <c r="B228" s="18">
        <v>30997</v>
      </c>
      <c r="C228" s="18" t="s">
        <v>1825</v>
      </c>
    </row>
    <row r="229" spans="1:3" x14ac:dyDescent="0.2">
      <c r="A229" s="10" t="s">
        <v>335</v>
      </c>
      <c r="B229" s="18">
        <v>33744</v>
      </c>
      <c r="C229" s="18" t="s">
        <v>1899</v>
      </c>
    </row>
    <row r="230" spans="1:3" x14ac:dyDescent="0.2">
      <c r="A230" s="32" t="s">
        <v>336</v>
      </c>
      <c r="B230" s="18">
        <v>18753</v>
      </c>
      <c r="C230" s="18" t="s">
        <v>1839</v>
      </c>
    </row>
    <row r="231" spans="1:3" x14ac:dyDescent="0.2">
      <c r="A231" s="75" t="s">
        <v>386</v>
      </c>
      <c r="B231" s="18">
        <v>37843</v>
      </c>
      <c r="C231" s="18" t="s">
        <v>1884</v>
      </c>
    </row>
    <row r="232" spans="1:3" x14ac:dyDescent="0.2">
      <c r="A232" s="32" t="s">
        <v>244</v>
      </c>
      <c r="B232" s="18">
        <v>356</v>
      </c>
      <c r="C232" s="18" t="s">
        <v>1389</v>
      </c>
    </row>
    <row r="233" spans="1:3" x14ac:dyDescent="0.2">
      <c r="A233" s="10" t="s">
        <v>264</v>
      </c>
      <c r="B233" s="18">
        <v>35569</v>
      </c>
      <c r="C233" s="18" t="s">
        <v>2160</v>
      </c>
    </row>
    <row r="234" spans="1:3" x14ac:dyDescent="0.2">
      <c r="A234" s="43" t="s">
        <v>296</v>
      </c>
      <c r="B234" s="18" t="e">
        <v>#N/A</v>
      </c>
      <c r="C234" s="18" t="s">
        <v>2155</v>
      </c>
    </row>
    <row r="235" spans="1:3" x14ac:dyDescent="0.2">
      <c r="A235" s="18" t="s">
        <v>1887</v>
      </c>
      <c r="B235" s="18">
        <v>37688</v>
      </c>
      <c r="C235" s="18" t="s">
        <v>2165</v>
      </c>
    </row>
    <row r="236" spans="1:3" x14ac:dyDescent="0.2">
      <c r="A236" s="32" t="s">
        <v>337</v>
      </c>
      <c r="B236" s="18">
        <v>35401</v>
      </c>
      <c r="C236" s="18" t="s">
        <v>2138</v>
      </c>
    </row>
    <row r="237" spans="1:3" x14ac:dyDescent="0.2">
      <c r="A237" s="10" t="s">
        <v>338</v>
      </c>
      <c r="B237" s="18">
        <v>26634</v>
      </c>
      <c r="C237" s="18" t="s">
        <v>2150</v>
      </c>
    </row>
    <row r="238" spans="1:3" x14ac:dyDescent="0.2">
      <c r="A238" s="15" t="s">
        <v>339</v>
      </c>
      <c r="B238" s="18">
        <v>25473</v>
      </c>
      <c r="C238" s="18" t="s">
        <v>2170</v>
      </c>
    </row>
    <row r="239" spans="1:3" x14ac:dyDescent="0.2">
      <c r="A239" s="10" t="s">
        <v>340</v>
      </c>
      <c r="B239" s="18">
        <v>29263</v>
      </c>
      <c r="C239" s="18" t="s">
        <v>2015</v>
      </c>
    </row>
    <row r="240" spans="1:3" x14ac:dyDescent="0.2">
      <c r="A240" s="32" t="s">
        <v>341</v>
      </c>
      <c r="B240" s="18">
        <v>36300</v>
      </c>
      <c r="C240" s="18" t="s">
        <v>2134</v>
      </c>
    </row>
    <row r="241" spans="1:3" x14ac:dyDescent="0.2">
      <c r="A241" s="10" t="s">
        <v>1930</v>
      </c>
      <c r="B241" s="18">
        <v>37839</v>
      </c>
      <c r="C241" s="18" t="s">
        <v>3006</v>
      </c>
    </row>
    <row r="242" spans="1:3" x14ac:dyDescent="0.2">
      <c r="A242" s="32" t="s">
        <v>342</v>
      </c>
      <c r="B242" s="18">
        <v>37145</v>
      </c>
      <c r="C242" s="18" t="s">
        <v>2022</v>
      </c>
    </row>
    <row r="243" spans="1:3" x14ac:dyDescent="0.2">
      <c r="A243" s="10" t="s">
        <v>345</v>
      </c>
      <c r="B243" s="18">
        <v>28312</v>
      </c>
      <c r="C243" s="18" t="s">
        <v>2008</v>
      </c>
    </row>
    <row r="244" spans="1:3" x14ac:dyDescent="0.2">
      <c r="A244" s="15" t="s">
        <v>351</v>
      </c>
      <c r="B244" s="18">
        <v>15930</v>
      </c>
      <c r="C244" s="18" t="s">
        <v>2000</v>
      </c>
    </row>
    <row r="245" spans="1:3" x14ac:dyDescent="0.2">
      <c r="A245" s="10" t="s">
        <v>352</v>
      </c>
      <c r="B245" s="18">
        <v>26794</v>
      </c>
      <c r="C245" s="18" t="s">
        <v>2127</v>
      </c>
    </row>
    <row r="246" spans="1:3" x14ac:dyDescent="0.2">
      <c r="A246" s="32" t="s">
        <v>353</v>
      </c>
      <c r="B246" s="18">
        <v>19360</v>
      </c>
      <c r="C246" s="18" t="s">
        <v>2122</v>
      </c>
    </row>
    <row r="247" spans="1:3" x14ac:dyDescent="0.2">
      <c r="A247" s="10" t="s">
        <v>354</v>
      </c>
      <c r="B247" s="18">
        <v>29436</v>
      </c>
      <c r="C247" s="18" t="s">
        <v>2116</v>
      </c>
    </row>
    <row r="248" spans="1:3" x14ac:dyDescent="0.2">
      <c r="A248" s="32" t="s">
        <v>355</v>
      </c>
      <c r="B248" s="18">
        <v>34192</v>
      </c>
      <c r="C248" s="18" t="s">
        <v>2177</v>
      </c>
    </row>
    <row r="249" spans="1:3" x14ac:dyDescent="0.2">
      <c r="A249" s="10" t="s">
        <v>357</v>
      </c>
      <c r="B249" s="18">
        <v>9429</v>
      </c>
      <c r="C249" s="18" t="s">
        <v>1993</v>
      </c>
    </row>
    <row r="250" spans="1:3" x14ac:dyDescent="0.2">
      <c r="A250" s="32" t="s">
        <v>358</v>
      </c>
      <c r="B250" s="18">
        <v>37797</v>
      </c>
      <c r="C250" s="18" t="s">
        <v>2077</v>
      </c>
    </row>
    <row r="251" spans="1:3" x14ac:dyDescent="0.2">
      <c r="A251" s="10" t="s">
        <v>359</v>
      </c>
      <c r="B251" s="18">
        <v>11978</v>
      </c>
      <c r="C251" s="18" t="s">
        <v>1706</v>
      </c>
    </row>
    <row r="252" spans="1:3" x14ac:dyDescent="0.2">
      <c r="A252" s="15" t="s">
        <v>360</v>
      </c>
      <c r="B252" s="18">
        <v>21362</v>
      </c>
      <c r="C252" s="18" t="s">
        <v>2097</v>
      </c>
    </row>
    <row r="253" spans="1:3" x14ac:dyDescent="0.2">
      <c r="A253" s="18" t="s">
        <v>362</v>
      </c>
      <c r="B253" s="18">
        <v>32004</v>
      </c>
      <c r="C253" s="18" t="s">
        <v>2059</v>
      </c>
    </row>
    <row r="254" spans="1:3" x14ac:dyDescent="0.2">
      <c r="A254" s="15" t="s">
        <v>363</v>
      </c>
      <c r="B254" s="18">
        <v>30828</v>
      </c>
      <c r="C254" s="18" t="s">
        <v>2072</v>
      </c>
    </row>
    <row r="255" spans="1:3" x14ac:dyDescent="0.2">
      <c r="A255" s="10" t="s">
        <v>364</v>
      </c>
      <c r="B255" s="18">
        <v>36629</v>
      </c>
      <c r="C255" s="18" t="s">
        <v>2089</v>
      </c>
    </row>
    <row r="256" spans="1:3" x14ac:dyDescent="0.2">
      <c r="A256" s="15" t="s">
        <v>366</v>
      </c>
      <c r="B256" s="18">
        <v>33689</v>
      </c>
      <c r="C256" s="18" t="s">
        <v>2045</v>
      </c>
    </row>
    <row r="257" spans="1:3" x14ac:dyDescent="0.2">
      <c r="A257" s="10" t="s">
        <v>367</v>
      </c>
      <c r="B257" s="18">
        <v>35824</v>
      </c>
      <c r="C257" s="18" t="s">
        <v>2192</v>
      </c>
    </row>
    <row r="258" spans="1:3" x14ac:dyDescent="0.2">
      <c r="A258" s="32" t="s">
        <v>368</v>
      </c>
      <c r="B258" s="18">
        <v>37796</v>
      </c>
      <c r="C258" s="18" t="s">
        <v>2052</v>
      </c>
    </row>
    <row r="259" spans="1:3" x14ac:dyDescent="0.2">
      <c r="A259" s="10" t="s">
        <v>2091</v>
      </c>
      <c r="B259" s="18">
        <v>36630</v>
      </c>
      <c r="C259" s="18" t="s">
        <v>3007</v>
      </c>
    </row>
    <row r="260" spans="1:3" x14ac:dyDescent="0.2">
      <c r="A260" s="15" t="s">
        <v>369</v>
      </c>
      <c r="B260" s="18">
        <v>32047</v>
      </c>
      <c r="C260" s="18" t="s">
        <v>2112</v>
      </c>
    </row>
    <row r="261" spans="1:3" x14ac:dyDescent="0.2">
      <c r="A261" s="18" t="s">
        <v>370</v>
      </c>
      <c r="B261" s="18">
        <v>20058</v>
      </c>
      <c r="C261" s="18" t="s">
        <v>2030</v>
      </c>
    </row>
    <row r="262" spans="1:3" x14ac:dyDescent="0.2">
      <c r="A262" s="32" t="s">
        <v>371</v>
      </c>
      <c r="B262" s="18">
        <v>17743</v>
      </c>
      <c r="C262" s="18" t="s">
        <v>2037</v>
      </c>
    </row>
    <row r="263" spans="1:3" x14ac:dyDescent="0.2">
      <c r="A263" s="10" t="s">
        <v>281</v>
      </c>
      <c r="B263" s="18">
        <v>23702</v>
      </c>
      <c r="C263" s="18" t="s">
        <v>2231</v>
      </c>
    </row>
    <row r="264" spans="1:3" x14ac:dyDescent="0.2">
      <c r="A264" s="32" t="s">
        <v>343</v>
      </c>
      <c r="B264" s="18">
        <v>25706</v>
      </c>
      <c r="C264" s="18" t="s">
        <v>2259</v>
      </c>
    </row>
    <row r="265" spans="1:3" x14ac:dyDescent="0.2">
      <c r="A265" s="18" t="s">
        <v>372</v>
      </c>
      <c r="B265" s="18">
        <v>9268</v>
      </c>
      <c r="C265" s="18" t="s">
        <v>2221</v>
      </c>
    </row>
    <row r="266" spans="1:3" x14ac:dyDescent="0.2">
      <c r="A266" s="15" t="s">
        <v>373</v>
      </c>
      <c r="B266" s="18">
        <v>24805</v>
      </c>
      <c r="C266" s="18" t="s">
        <v>2263</v>
      </c>
    </row>
    <row r="267" spans="1:3" x14ac:dyDescent="0.2">
      <c r="A267" s="18" t="s">
        <v>374</v>
      </c>
      <c r="B267" s="18">
        <v>26442</v>
      </c>
      <c r="C267" s="18" t="s">
        <v>2208</v>
      </c>
    </row>
    <row r="268" spans="1:3" x14ac:dyDescent="0.2">
      <c r="A268" s="32" t="s">
        <v>377</v>
      </c>
      <c r="B268" s="18">
        <v>34640</v>
      </c>
      <c r="C268" s="18" t="s">
        <v>2249</v>
      </c>
    </row>
    <row r="269" spans="1:3" x14ac:dyDescent="0.2">
      <c r="A269" s="10" t="s">
        <v>378</v>
      </c>
      <c r="B269" s="18">
        <v>37466</v>
      </c>
      <c r="C269" s="18" t="s">
        <v>2203</v>
      </c>
    </row>
    <row r="270" spans="1:3" x14ac:dyDescent="0.2">
      <c r="A270" s="32" t="s">
        <v>381</v>
      </c>
      <c r="B270" s="18">
        <v>23143</v>
      </c>
      <c r="C270" s="18" t="s">
        <v>2225</v>
      </c>
    </row>
    <row r="271" spans="1:3" x14ac:dyDescent="0.2">
      <c r="A271" s="10" t="s">
        <v>382</v>
      </c>
      <c r="B271" s="18">
        <v>34933</v>
      </c>
      <c r="C271" s="18" t="s">
        <v>2244</v>
      </c>
    </row>
    <row r="272" spans="1:3" x14ac:dyDescent="0.2">
      <c r="A272" s="32" t="s">
        <v>383</v>
      </c>
      <c r="B272" s="18">
        <v>36242</v>
      </c>
      <c r="C272" s="18" t="s">
        <v>2253</v>
      </c>
    </row>
  </sheetData>
  <autoFilter ref="A1:C272" xr:uid="{DDA8858E-0FD6-4229-834D-81895A5956D6}"/>
  <conditionalFormatting sqref="A1:C272 D1">
    <cfRule type="duplicateValues" dxfId="0" priority="13"/>
  </conditionalFormatting>
  <hyperlinks>
    <hyperlink ref="A127" r:id="rId1" xr:uid="{37F51A80-EF43-4561-AC2E-2ACF5B532C4A}"/>
    <hyperlink ref="A31" r:id="rId2" xr:uid="{5BF05756-7673-4E82-A472-BD3A94615B84}"/>
    <hyperlink ref="A72" r:id="rId3" xr:uid="{F1BE4618-E098-46E3-9D26-43D098BB04E4}"/>
    <hyperlink ref="A155" r:id="rId4" xr:uid="{B4D325E1-6B30-4275-89BB-BA40CDABE4AD}"/>
    <hyperlink ref="A231" r:id="rId5" xr:uid="{7783E6BC-2DEF-495A-9BC8-0EDAE01660AB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Master</vt:lpstr>
      <vt:lpstr>Bus leader</vt:lpstr>
      <vt:lpstr>Sheet1</vt:lpstr>
      <vt:lpstr>Room</vt:lpstr>
      <vt:lpstr>Update</vt:lpstr>
      <vt:lpstr>Bus</vt:lpstr>
      <vt:lpstr>EE</vt:lpstr>
      <vt:lpstr>Note</vt:lpstr>
      <vt:lpstr>Kids check</vt:lpstr>
      <vt:lpstr>Data4Hotel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NGUYEN Le Kim Ngan</dc:creator>
  <cp:keywords/>
  <dc:description/>
  <cp:lastModifiedBy>PHAM Trung Kien</cp:lastModifiedBy>
  <cp:revision/>
  <dcterms:created xsi:type="dcterms:W3CDTF">2026-04-22T09:34:09Z</dcterms:created>
  <dcterms:modified xsi:type="dcterms:W3CDTF">2026-05-30T04:24:49Z</dcterms:modified>
  <cp:category/>
  <cp:contentStatus/>
</cp:coreProperties>
</file>