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62BAE854-E4DD-D147-A3F7-D5AC9A045068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8" r:id="rId11"/>
    <pivotCache cacheId="9" r:id="rId12"/>
    <pivotCache cacheId="10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4" i="1" l="1"/>
  <c r="G274" i="1"/>
  <c r="C219" i="1"/>
  <c r="C273" i="1"/>
  <c r="G27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2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57" i="1"/>
  <c r="T188" i="5" s="1"/>
  <c r="P6" i="4"/>
  <c r="P7" i="4"/>
  <c r="P8" i="4"/>
  <c r="P9" i="4"/>
  <c r="P10" i="4"/>
  <c r="P11" i="4"/>
  <c r="G197" i="1"/>
  <c r="G19" i="1"/>
  <c r="G232" i="1"/>
  <c r="G16" i="1"/>
  <c r="G68" i="1"/>
  <c r="G67" i="1"/>
  <c r="P5" i="4"/>
  <c r="P4" i="4"/>
  <c r="G258" i="1"/>
  <c r="T229" i="5" s="1"/>
  <c r="G216" i="1"/>
  <c r="G132" i="1"/>
  <c r="T97" i="5" s="1"/>
  <c r="G13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54" i="1"/>
  <c r="T177" i="5" s="1"/>
  <c r="G163" i="1"/>
  <c r="T199" i="5" s="1"/>
  <c r="G48" i="1"/>
  <c r="G76" i="1"/>
  <c r="T87" i="5" s="1"/>
  <c r="G77" i="1"/>
  <c r="T70" i="5" s="1"/>
  <c r="G181" i="1"/>
  <c r="T260" i="5" s="1"/>
  <c r="G193" i="1"/>
  <c r="T249" i="5" s="1"/>
  <c r="G188" i="1"/>
  <c r="T253" i="5" s="1"/>
  <c r="G262" i="1"/>
  <c r="T173" i="5" s="1"/>
  <c r="G143" i="1"/>
  <c r="T198" i="5" s="1"/>
  <c r="G250" i="1"/>
  <c r="T227" i="5" s="1"/>
  <c r="G49" i="1"/>
  <c r="T42" i="5" s="1"/>
  <c r="G44" i="1"/>
  <c r="T40" i="5" s="1"/>
  <c r="G50" i="1"/>
  <c r="T64" i="5" s="1"/>
  <c r="G51" i="1"/>
  <c r="T43" i="5" s="1"/>
  <c r="G52" i="1"/>
  <c r="T65" i="5" s="1"/>
  <c r="G75" i="1"/>
  <c r="T163" i="5" s="1"/>
  <c r="G242" i="1"/>
  <c r="T230" i="5" s="1"/>
  <c r="G251" i="1"/>
  <c r="T223" i="5" s="1"/>
  <c r="G252" i="1"/>
  <c r="T225" i="5" s="1"/>
  <c r="G53" i="1"/>
  <c r="T44" i="5" s="1"/>
  <c r="G82" i="1"/>
  <c r="T74" i="5" s="1"/>
  <c r="G20" i="1"/>
  <c r="T27" i="5" s="1"/>
  <c r="G229" i="1"/>
  <c r="T233" i="5" s="1"/>
  <c r="G236" i="1"/>
  <c r="T210" i="5" s="1"/>
  <c r="G263" i="1"/>
  <c r="T174" i="5" s="1"/>
  <c r="G54" i="1"/>
  <c r="T45" i="5" s="1"/>
  <c r="G230" i="1"/>
  <c r="T212" i="5" s="1"/>
  <c r="G39" i="1"/>
  <c r="T34" i="5" s="1"/>
  <c r="G167" i="1"/>
  <c r="T247" i="5" s="1"/>
  <c r="G103" i="1"/>
  <c r="T91" i="5" s="1"/>
  <c r="G83" i="1"/>
  <c r="T88" i="5" s="1"/>
  <c r="G78" i="1"/>
  <c r="T72" i="5" s="1"/>
  <c r="G21" i="1"/>
  <c r="T17" i="5" s="1"/>
  <c r="G233" i="1"/>
  <c r="T214" i="5" s="1"/>
  <c r="G158" i="1"/>
  <c r="T194" i="5" s="1"/>
  <c r="G153" i="1"/>
  <c r="T193" i="5" s="1"/>
  <c r="G148" i="1"/>
  <c r="T195" i="5" s="1"/>
  <c r="G22" i="1"/>
  <c r="T18" i="5" s="1"/>
  <c r="G55" i="1"/>
  <c r="T46" i="5" s="1"/>
  <c r="G189" i="1"/>
  <c r="T254" i="5" s="1"/>
  <c r="G264" i="1"/>
  <c r="T146" i="5" s="1"/>
  <c r="G111" i="1"/>
  <c r="T98" i="5" s="1"/>
  <c r="G56" i="1"/>
  <c r="T47" i="5" s="1"/>
  <c r="G240" i="1"/>
  <c r="T211" i="5" s="1"/>
  <c r="G40" i="1"/>
  <c r="T36" i="5" s="1"/>
  <c r="G41" i="1"/>
  <c r="T37" i="5" s="1"/>
  <c r="G173" i="1"/>
  <c r="T265" i="5" s="1"/>
  <c r="G174" i="1"/>
  <c r="T266" i="5" s="1"/>
  <c r="G168" i="1"/>
  <c r="T262" i="5" s="1"/>
  <c r="G175" i="1"/>
  <c r="T267" i="5" s="1"/>
  <c r="G238" i="1"/>
  <c r="T240" i="5" s="1"/>
  <c r="G176" i="1"/>
  <c r="T246" i="5" s="1"/>
  <c r="G208" i="1"/>
  <c r="T154" i="5" s="1"/>
  <c r="G217" i="1"/>
  <c r="T157" i="5" s="1"/>
  <c r="G177" i="1"/>
  <c r="T268" i="5" s="1"/>
  <c r="G104" i="1"/>
  <c r="T92" i="5" s="1"/>
  <c r="G105" i="1"/>
  <c r="T93" i="5" s="1"/>
  <c r="G106" i="1"/>
  <c r="T94" i="5" s="1"/>
  <c r="G247" i="1"/>
  <c r="T222" i="5" s="1"/>
  <c r="G184" i="1"/>
  <c r="T255" i="5" s="1"/>
  <c r="G107" i="1"/>
  <c r="T95" i="5" s="1"/>
  <c r="G45" i="1"/>
  <c r="T35" i="5" s="1"/>
  <c r="G178" i="1"/>
  <c r="T269" i="5" s="1"/>
  <c r="G190" i="1"/>
  <c r="T251" i="5" s="1"/>
  <c r="G73" i="1"/>
  <c r="T61" i="5" s="1"/>
  <c r="T48" i="5"/>
  <c r="G23" i="1"/>
  <c r="T28" i="5" s="1"/>
  <c r="G57" i="1"/>
  <c r="G198" i="1"/>
  <c r="G209" i="1"/>
  <c r="G9" i="1"/>
  <c r="G108" i="1"/>
  <c r="G191" i="1"/>
  <c r="G228" i="1"/>
  <c r="T236" i="5" s="1"/>
  <c r="G186" i="1"/>
  <c r="T243" i="5" s="1"/>
  <c r="G253" i="1"/>
  <c r="G265" i="1"/>
  <c r="G171" i="1"/>
  <c r="T245" i="5" s="1"/>
  <c r="G80" i="1"/>
  <c r="T71" i="5" s="1"/>
  <c r="G24" i="1"/>
  <c r="G25" i="1"/>
  <c r="G199" i="1"/>
  <c r="T148" i="5" s="1"/>
  <c r="G257" i="1"/>
  <c r="G26" i="1"/>
  <c r="G200" i="1"/>
  <c r="T137" i="5" s="1"/>
  <c r="G27" i="1"/>
  <c r="G169" i="1"/>
  <c r="G28" i="1"/>
  <c r="G58" i="1"/>
  <c r="G155" i="1"/>
  <c r="G79" i="1"/>
  <c r="T73" i="5" s="1"/>
  <c r="G59" i="1"/>
  <c r="G241" i="1"/>
  <c r="G10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84" i="1"/>
  <c r="G147" i="1"/>
  <c r="T200" i="5" s="1"/>
  <c r="G152" i="1"/>
  <c r="G85" i="1"/>
  <c r="G86" i="1"/>
  <c r="G121" i="1"/>
  <c r="G201" i="1"/>
  <c r="G46" i="1"/>
  <c r="G87" i="1"/>
  <c r="G122" i="1"/>
  <c r="T138" i="5" s="1"/>
  <c r="G112" i="1"/>
  <c r="T99" i="5" s="1"/>
  <c r="G243" i="1"/>
  <c r="T231" i="5" s="1"/>
  <c r="G185" i="1"/>
  <c r="T271" i="5" s="1"/>
  <c r="G244" i="1"/>
  <c r="T232" i="5" s="1"/>
  <c r="G29" i="1"/>
  <c r="T29" i="5" s="1"/>
  <c r="G6" i="1"/>
  <c r="T160" i="5" s="1"/>
  <c r="G60" i="1"/>
  <c r="T66" i="5" s="1"/>
  <c r="G113" i="1"/>
  <c r="T100" i="5" s="1"/>
  <c r="G133" i="1"/>
  <c r="T107" i="5" s="1"/>
  <c r="G61" i="1"/>
  <c r="T52" i="5" s="1"/>
  <c r="G114" i="1"/>
  <c r="T101" i="5" s="1"/>
  <c r="G10" i="1"/>
  <c r="T9" i="5" s="1"/>
  <c r="G62" i="1"/>
  <c r="T68" i="5" s="1"/>
  <c r="G115" i="1"/>
  <c r="T118" i="5" s="1"/>
  <c r="G42" i="1"/>
  <c r="T38" i="5" s="1"/>
  <c r="G81" i="1"/>
  <c r="T165" i="5" s="1"/>
  <c r="G116" i="1"/>
  <c r="T102" i="5" s="1"/>
  <c r="G172" i="1"/>
  <c r="T264" i="5" s="1"/>
  <c r="G255" i="1"/>
  <c r="T209" i="5" s="1"/>
  <c r="G30" i="1"/>
  <c r="T21" i="5" s="1"/>
  <c r="G212" i="1"/>
  <c r="T131" i="5" s="1"/>
  <c r="G215" i="1"/>
  <c r="T158" i="5" s="1"/>
  <c r="G202" i="1"/>
  <c r="T122" i="5" s="1"/>
  <c r="G149" i="1"/>
  <c r="T206" i="5" s="1"/>
  <c r="G93" i="1"/>
  <c r="T140" i="5" s="1"/>
  <c r="G151" i="1"/>
  <c r="T180" i="5" s="1"/>
  <c r="G220" i="1"/>
  <c r="T126" i="5" s="1"/>
  <c r="G88" i="1"/>
  <c r="T78" i="5" s="1"/>
  <c r="G89" i="1"/>
  <c r="T79" i="5" s="1"/>
  <c r="G245" i="1"/>
  <c r="T228" i="5" s="1"/>
  <c r="G90" i="1"/>
  <c r="T90" i="5" s="1"/>
  <c r="G225" i="1"/>
  <c r="T135" i="5" s="1"/>
  <c r="G231" i="1"/>
  <c r="T234" i="5" s="1"/>
  <c r="G91" i="1"/>
  <c r="G194" i="1"/>
  <c r="G92" i="1"/>
  <c r="T142" i="5" s="1"/>
  <c r="G195" i="1"/>
  <c r="T239" i="5" s="1"/>
  <c r="G137" i="1"/>
  <c r="T183" i="5" s="1"/>
  <c r="G138" i="1"/>
  <c r="G8" i="1"/>
  <c r="T162" i="5" s="1"/>
  <c r="G150" i="1"/>
  <c r="T202" i="5" s="1"/>
  <c r="G139" i="1"/>
  <c r="G160" i="1"/>
  <c r="G164" i="1"/>
  <c r="G205" i="1"/>
  <c r="T151" i="5" s="1"/>
  <c r="G246" i="1"/>
  <c r="G144" i="1"/>
  <c r="G117" i="1"/>
  <c r="G218" i="1"/>
  <c r="T159" i="5" s="1"/>
  <c r="G260" i="1"/>
  <c r="T219" i="5" s="1"/>
  <c r="G31" i="1"/>
  <c r="G235" i="1"/>
  <c r="T213" i="5" s="1"/>
  <c r="G183" i="1"/>
  <c r="G7" i="1"/>
  <c r="G145" i="1"/>
  <c r="G134" i="1"/>
  <c r="T196" i="5"/>
  <c r="G63" i="1"/>
  <c r="G11" i="1"/>
  <c r="G110" i="1"/>
  <c r="G74" i="1"/>
  <c r="G118" i="1"/>
  <c r="G248" i="1"/>
  <c r="G256" i="1"/>
  <c r="G119" i="1"/>
  <c r="G206" i="1"/>
  <c r="T152" i="5" s="1"/>
  <c r="G36" i="1"/>
  <c r="G94" i="1"/>
  <c r="G95" i="1"/>
  <c r="T143" i="5" s="1"/>
  <c r="G123" i="1"/>
  <c r="T119" i="5" s="1"/>
  <c r="G120" i="1"/>
  <c r="G179" i="1"/>
  <c r="G124" i="1"/>
  <c r="G12" i="1"/>
  <c r="G13" i="1"/>
  <c r="G125" i="1"/>
  <c r="G64" i="1"/>
  <c r="G14" i="1"/>
  <c r="G165" i="1"/>
  <c r="T203" i="5" s="1"/>
  <c r="G135" i="1"/>
  <c r="T134" i="5" s="1"/>
  <c r="G32" i="1"/>
  <c r="G126" i="1"/>
  <c r="T114" i="5" s="1"/>
  <c r="G65" i="1"/>
  <c r="G213" i="1"/>
  <c r="G127" i="1"/>
  <c r="G266" i="1"/>
  <c r="G221" i="1"/>
  <c r="G66" i="1"/>
  <c r="G96" i="1"/>
  <c r="G214" i="1"/>
  <c r="T167" i="5" s="1"/>
  <c r="G146" i="1"/>
  <c r="G237" i="1"/>
  <c r="T237" i="5" s="1"/>
  <c r="G37" i="1"/>
  <c r="G38" i="1"/>
  <c r="G97" i="1"/>
  <c r="G267" i="1"/>
  <c r="G207" i="1"/>
  <c r="T153" i="5" s="1"/>
  <c r="G15" i="1"/>
  <c r="G3" i="1"/>
  <c r="G4" i="1"/>
  <c r="G161" i="1"/>
  <c r="G268" i="1"/>
  <c r="G69" i="1"/>
  <c r="G2" i="1"/>
  <c r="G98" i="1"/>
  <c r="T144" i="5" s="1"/>
  <c r="G222" i="1"/>
  <c r="G156" i="1"/>
  <c r="G5" i="1"/>
  <c r="G140" i="1"/>
  <c r="G47" i="1"/>
  <c r="G141" i="1"/>
  <c r="G70" i="1"/>
  <c r="G71" i="1"/>
  <c r="G128" i="1"/>
  <c r="G142" i="1"/>
  <c r="G162" i="1"/>
  <c r="G180" i="1"/>
  <c r="T259" i="5" s="1"/>
  <c r="G196" i="1"/>
  <c r="T241" i="5" s="1"/>
  <c r="G33" i="1"/>
  <c r="G17" i="1"/>
  <c r="G159" i="1"/>
  <c r="T175" i="5" s="1"/>
  <c r="G99" i="1"/>
  <c r="T84" i="5" s="1"/>
  <c r="G223" i="1"/>
  <c r="T123" i="5" s="1"/>
  <c r="G100" i="1"/>
  <c r="T86" i="5" s="1"/>
  <c r="G166" i="1"/>
  <c r="G101" i="1"/>
  <c r="T85" i="5" s="1"/>
  <c r="G102" i="1"/>
  <c r="T139" i="5" s="1"/>
  <c r="G224" i="1"/>
  <c r="G34" i="1"/>
  <c r="G269" i="1"/>
  <c r="G18" i="1"/>
  <c r="G249" i="1"/>
  <c r="T207" i="5" s="1"/>
  <c r="G227" i="1"/>
  <c r="T235" i="5" s="1"/>
  <c r="G130" i="1"/>
  <c r="T117" i="5" s="1"/>
  <c r="G131" i="1"/>
  <c r="T121" i="5" s="1"/>
  <c r="G72" i="1"/>
  <c r="T60" i="5" s="1"/>
  <c r="G35" i="1"/>
  <c r="T170" i="5" s="1"/>
  <c r="G43" i="1"/>
  <c r="T39" i="5" s="1"/>
  <c r="G170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<sst xmlns="http://schemas.openxmlformats.org/spreadsheetml/2006/main" count="13126" uniqueCount="2241">
  <si>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</si>
  <si>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</si>
  <si>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</si>
  <si>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</si>
  <si>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</si>
  <si>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</si>
  <si>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</si>
  <si>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</si>
  <si>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</si>
  <si>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</si>
  <si>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</si>
  <si>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</si>
  <si>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</si>
  <si>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</si>
  <si>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</si>
  <si>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</si>
  <si>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</si>
  <si>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</si>
  <si>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</si>
  <si>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</si>
  <si>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</si>
  <si>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</si>
  <si>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</si>
  <si>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</si>
  <si>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</si>
  <si>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</si>
  <si>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</si>
  <si>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</si>
  <si>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</si>
  <si>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</si>
  <si>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</si>
  <si>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</si>
  <si>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</si>
  <si>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</si>
  <si>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</si>
  <si>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</si>
  <si>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</si>
  <si>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</si>
  <si>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</si>
  <si>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</si>
  <si>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</si>
  <si>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</si>
  <si>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</si>
  <si>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</si>
  <si>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</si>
  <si>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</si>
  <si>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</si>
  <si>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</si>
  <si>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</si>
  <si>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</si>
  <si>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</si>
  <si>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</si>
  <si>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</si>
  <si>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</si>
  <si>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</si>
  <si>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</si>
  <si>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</si>
  <si>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</si>
  <si>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</si>
  <si>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</si>
  <si>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</si>
  <si>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</si>
  <si>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</si>
  <si>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</si>
  <si>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</si>
  <si>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</si>
  <si>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</si>
  <si>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</si>
  <si>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</si>
  <si>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</si>
  <si>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</si>
  <si>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</si>
  <si>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</si>
  <si>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</si>
  <si>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</si>
  <si>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</si>
  <si>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</si>
  <si>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</si>
  <si>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</si>
  <si>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</si>
  <si>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</si>
  <si>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</si>
  <si>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</si>
  <si>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</si>
  <si>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</si>
  <si>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</si>
  <si>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</si>
  <si>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</si>
  <si>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</si>
  <si>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</si>
  <si>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</si>
  <si>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</si>
  <si>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</si>
  <si>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</si>
  <si>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</si>
  <si>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</si>
  <si>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</si>
  <si>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</si>
  <si>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</si>
  <si>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</si>
  <si>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</si>
  <si>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</si>
  <si>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</si>
  <si>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</si>
  <si>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</si>
  <si>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</si>
  <si>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</si>
  <si>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</si>
  <si>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</si>
  <si>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</si>
  <si>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</si>
  <si>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</si>
  <si>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</si>
  <si>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</si>
  <si>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</si>
  <si>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</si>
  <si>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</si>
  <si>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</si>
  <si>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</si>
  <si>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</si>
  <si>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</si>
  <si>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</si>
  <si>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</si>
  <si>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</si>
  <si>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</si>
  <si>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</si>
  <si>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</si>
  <si>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</si>
  <si>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</si>
  <si>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</si>
  <si>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</si>
  <si>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</si>
  <si>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</si>
  <si>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</si>
  <si>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</si>
  <si>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</si>
  <si>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</si>
  <si>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</si>
  <si>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</si>
  <si>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</si>
  <si>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</si>
  <si>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</si>
  <si>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</si>
  <si>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</si>
  <si>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</si>
  <si>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</si>
  <si>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</si>
  <si>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</si>
  <si>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</si>
  <si>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</si>
  <si>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</si>
  <si>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</si>
  <si>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</si>
  <si>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</si>
  <si>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</si>
  <si>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</si>
  <si>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</si>
  <si>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</si>
  <si>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</si>
  <si>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</si>
  <si>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</si>
  <si>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</si>
  <si>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</si>
  <si>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</si>
  <si>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</si>
  <si>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</si>
  <si>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</si>
  <si>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</si>
  <si>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</si>
  <si>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</si>
  <si>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</si>
  <si>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</si>
  <si>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</si>
  <si>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</si>
  <si>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</si>
  <si>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</si>
  <si>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</si>
  <si>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</si>
  <si>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</si>
  <si>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</si>
  <si>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</si>
  <si>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</si>
  <si>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</si>
  <si>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</si>
  <si>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</si>
  <si>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</si>
  <si>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</si>
  <si>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</si>
  <si>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</si>
  <si>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</si>
  <si>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</si>
  <si>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</si>
  <si>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</si>
  <si>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</si>
  <si>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</si>
  <si>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</si>
  <si>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</si>
  <si>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</si>
  <si>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</si>
  <si>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</si>
  <si>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</si>
  <si>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</si>
  <si>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</si>
  <si>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</si>
  <si>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</si>
  <si>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</si>
  <si>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</si>
  <si>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</si>
  <si>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</si>
  <si>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</si>
  <si>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</si>
  <si>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</si>
  <si>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</si>
  <si>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</si>
  <si>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</si>
  <si>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</si>
  <si>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</si>
  <si>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</si>
  <si>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</si>
  <si>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</si>
  <si>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</si>
  <si>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</si>
  <si>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</si>
  <si>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</si>
  <si>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</si>
  <si>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</si>
  <si>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</si>
  <si>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</si>
  <si>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</si>
  <si>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</si>
  <si>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</si>
  <si>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</si>
  <si>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</si>
  <si>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</si>
  <si>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</si>
  <si>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</si>
  <si>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</si>
  <si>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</si>
  <si>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</si>
  <si>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</si>
  <si>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</si>
  <si>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</si>
  <si>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</si>
  <si>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</si>
  <si>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</si>
  <si>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</si>
  <si>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</si>
  <si>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</si>
  <si>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</si>
  <si>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</si>
  <si>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</si>
  <si>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</si>
  <si>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</si>
  <si>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</si>
  <si>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</si>
  <si>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</si>
  <si>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</si>
  <si>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</si>
  <si>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</si>
  <si>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</si>
  <si>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</si>
  <si>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</si>
  <si>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</si>
  <si>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</si>
  <si>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</si>
  <si>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</si>
  <si>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</si>
  <si>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</si>
  <si>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</si>
  <si>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</si>
  <si>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</si>
  <si>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</si>
  <si>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</si>
  <si>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</si>
  <si>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</si>
  <si>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</si>
  <si>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</si>
  <si>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</si>
  <si>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</si>
  <si>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</si>
  <si>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</si>
  <si>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</si>
  <si>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</si>
  <si>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</si>
  <si>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</si>
  <si>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</si>
  <si>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</si>
  <si>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</si>
  <si>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</si>
  <si>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</si>
  <si>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</si>
  <si>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</si>
  <si>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</si>
  <si>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</si>
  <si>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</si>
  <si>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</si>
  <si>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</si>
  <si>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</si>
  <si>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</si>
  <si>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</si>
  <si>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</si>
  <si>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</si>
  <si>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</si>
  <si>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</si>
  <si>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</si>
  <si>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</si>
  <si>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</si>
  <si>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</si>
  <si>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</si>
  <si>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</si>
  <si>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</si>
  <si>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</si>
  <si>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</si>
  <si>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</si>
  <si>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</si>
  <si>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</si>
  <si>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</si>
  <si>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</si>
  <si>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</si>
  <si>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</si>
  <si>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</si>
  <si>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</si>
  <si>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</si>
  <si>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</si>
  <si>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</si>
  <si>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</si>
  <si>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</si>
  <si>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</si>
  <si>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</si>
  <si>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</si>
  <si>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</si>
  <si>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</si>
  <si>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</si>
  <si>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</si>
  <si>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</si>
  <si>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</si>
  <si>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</si>
  <si>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</si>
  <si>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</si>
  <si>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</si>
  <si>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</si>
  <si>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</si>
  <si>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</si>
  <si>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</si>
  <si>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</si>
  <si>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</si>
  <si>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</si>
  <si>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</si>
  <si>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</si>
  <si>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</si>
  <si>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</si>
  <si>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</si>
  <si>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</si>
  <si>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</si>
  <si>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</si>
  <si>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</si>
  <si>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</si>
  <si>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</si>
  <si>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</si>
  <si>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</si>
  <si>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</si>
  <si>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</si>
  <si>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</si>
  <si>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</si>
  <si>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</si>
  <si>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</si>
  <si>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</si>
  <si>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</si>
  <si>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</si>
  <si>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</si>
  <si>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</si>
  <si>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</si>
  <si>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</si>
  <si>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</si>
  <si>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</si>
  <si>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</si>
  <si>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</si>
  <si>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</si>
  <si>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</si>
  <si>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</si>
  <si>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</si>
  <si>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</si>
  <si>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</si>
  <si>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</si>
  <si>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</si>
  <si>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</si>
  <si>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</si>
  <si>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</si>
  <si>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</si>
  <si>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</si>
  <si>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</si>
  <si>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</si>
  <si>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</si>
  <si>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</si>
  <si>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</si>
  <si>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</si>
  <si>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</si>
  <si>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</si>
  <si>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</si>
  <si>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</si>
  <si>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</si>
  <si>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</si>
  <si>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</si>
  <si>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</si>
  <si>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</si>
  <si>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</si>
  <si>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</si>
  <si>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</si>
  <si>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</si>
  <si>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</si>
  <si>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</si>
  <si>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</si>
  <si>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</si>
  <si>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</si>
  <si>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</si>
  <si>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</si>
  <si>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</si>
  <si>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</si>
  <si>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</si>
  <si>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</si>
  <si>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</si>
  <si>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</si>
  <si>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</si>
  <si>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</si>
  <si>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</si>
  <si>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</si>
  <si>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</si>
  <si>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</si>
  <si>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</si>
  <si>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</si>
  <si>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</si>
  <si>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</si>
  <si>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</si>
  <si>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</si>
  <si>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</si>
  <si>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</si>
  <si>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</si>
  <si>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</si>
  <si>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</si>
  <si>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</si>
  <si>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</si>
  <si>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</si>
  <si>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</si>
  <si>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</si>
  <si>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</si>
  <si>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</si>
  <si>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</si>
  <si>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</si>
  <si>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</si>
  <si>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</si>
  <si>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</si>
  <si>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</si>
  <si>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</si>
  <si>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</si>
  <si>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</si>
  <si>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</si>
  <si>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</si>
  <si>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</si>
  <si>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</si>
  <si>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</si>
  <si>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</si>
  <si>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</si>
  <si>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</si>
  <si>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</si>
  <si>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</si>
  <si>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</si>
  <si>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</si>
  <si>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</si>
  <si>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</si>
  <si>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</si>
  <si>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</si>
  <si>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</si>
  <si>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</si>
  <si>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</si>
  <si>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</si>
  <si>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</si>
  <si>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</si>
  <si>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</si>
  <si>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</si>
  <si>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</si>
  <si>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</si>
  <si>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</si>
  <si>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</si>
  <si>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</si>
  <si>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</si>
  <si>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</si>
  <si>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</si>
  <si>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</si>
  <si>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</si>
  <si>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</si>
  <si>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</si>
  <si>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</si>
  <si>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</si>
  <si>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</si>
  <si>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</si>
  <si>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</si>
  <si>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</si>
  <si>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</si>
  <si>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</si>
  <si>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</si>
  <si>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</si>
  <si>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</si>
  <si>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</si>
  <si>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</si>
  <si>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</si>
  <si>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</si>
  <si>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</si>
  <si>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</si>
  <si>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</si>
  <si>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</si>
  <si>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</si>
  <si>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</si>
  <si>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</si>
  <si>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</si>
  <si>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</si>
  <si>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</si>
  <si>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</si>
  <si>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</si>
  <si>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</si>
  <si>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</si>
  <si>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</si>
  <si>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</si>
  <si>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</si>
  <si>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</si>
  <si>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</si>
  <si>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</si>
  <si>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</si>
  <si>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</si>
  <si>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</si>
  <si>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</si>
  <si>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</si>
  <si>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</si>
  <si>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</si>
  <si>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</si>
  <si>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</si>
  <si>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</si>
  <si>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</si>
  <si>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</si>
  <si>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</si>
  <si>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</si>
  <si>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</si>
  <si>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</si>
  <si>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</si>
  <si>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</si>
  <si>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</si>
  <si>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</si>
  <si>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</si>
  <si>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</si>
  <si>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</si>
  <si>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</si>
  <si>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</si>
  <si>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</si>
  <si>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</si>
  <si>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</si>
  <si>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</si>
  <si>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</si>
  <si>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</si>
  <si>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</si>
  <si>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</si>
  <si>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</si>
  <si>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</si>
  <si>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</si>
  <si>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</si>
  <si>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</si>
  <si>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</si>
  <si>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</si>
  <si>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</si>
  <si>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</si>
  <si>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</si>
  <si>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</si>
  <si>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</si>
  <si>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</si>
  <si>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</si>
  <si>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</si>
  <si>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</si>
  <si>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</si>
  <si>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</si>
  <si>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</si>
  <si>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</si>
  <si>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</si>
  <si>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</si>
  <si>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</si>
  <si>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</si>
  <si>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</si>
  <si>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</si>
  <si>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</si>
  <si>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</si>
  <si>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</si>
  <si>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</si>
  <si>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</si>
  <si>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</si>
  <si>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</si>
  <si>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</si>
  <si>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</si>
  <si>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</si>
  <si>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</si>
  <si>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</si>
  <si>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</si>
  <si>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</si>
  <si>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</si>
  <si>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</si>
  <si>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</si>
  <si>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</si>
  <si>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</si>
  <si>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</si>
  <si>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</si>
  <si>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</si>
  <si>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</si>
  <si>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</si>
  <si>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</si>
  <si>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</si>
  <si>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</si>
  <si>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</si>
  <si>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</si>
  <si>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</si>
  <si>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</si>
  <si>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</si>
  <si>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</si>
  <si>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</si>
  <si>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</si>
  <si>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</si>
  <si>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</si>
  <si>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</si>
  <si>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</si>
  <si>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</si>
  <si>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</si>
  <si>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</si>
  <si>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</si>
  <si>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</si>
  <si>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</si>
  <si>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</si>
  <si>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</si>
  <si>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</si>
  <si>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</si>
  <si>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</si>
  <si>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</si>
  <si>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</si>
  <si>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</si>
  <si>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</si>
  <si>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</si>
  <si>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</si>
  <si>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</si>
  <si>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</si>
  <si>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</si>
  <si>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</si>
  <si>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</si>
  <si>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</si>
  <si>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</si>
  <si>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</si>
  <si>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</si>
  <si>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</si>
  <si>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</si>
  <si>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</si>
  <si>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</si>
  <si>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</si>
  <si>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</si>
  <si>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</si>
  <si>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</si>
  <si>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</si>
  <si>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</si>
  <si>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</si>
  <si>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</si>
  <si>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</si>
  <si>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</si>
  <si>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</si>
  <si>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</si>
  <si>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</si>
  <si>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</si>
  <si>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</si>
  <si>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</si>
  <si>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</si>
  <si>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</si>
  <si>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</si>
  <si>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</si>
  <si>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</si>
  <si>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</si>
  <si>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</si>
  <si>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</si>
  <si>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</si>
  <si>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</si>
  <si>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</si>
  <si>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</si>
  <si>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</si>
  <si>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</si>
  <si>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</si>
  <si>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</si>
  <si>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</si>
  <si>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</si>
  <si>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</si>
  <si>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</si>
  <si>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</si>
  <si>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</si>
  <si>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</si>
  <si>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</si>
  <si>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</si>
  <si>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</si>
  <si>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</si>
  <si>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</si>
  <si>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</si>
  <si>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</si>
  <si>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</si>
  <si>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</si>
  <si>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</si>
  <si>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</si>
  <si>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</si>
  <si>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</si>
  <si>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</si>
  <si>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</si>
  <si>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</si>
  <si>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</si>
  <si>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</si>
  <si>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</si>
  <si>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</si>
  <si>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</si>
  <si>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</si>
  <si>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</si>
  <si>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</si>
  <si>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</si>
  <si>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</si>
  <si>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</si>
  <si>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</si>
  <si>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</si>
  <si>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</si>
  <si>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</si>
  <si>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</si>
  <si>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</si>
  <si>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</si>
  <si>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</si>
  <si>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</si>
  <si>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</si>
  <si>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</si>
  <si>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</si>
  <si>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</si>
  <si>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</si>
  <si>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</si>
  <si>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</si>
  <si>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</si>
  <si>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</si>
  <si>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</si>
  <si>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</si>
  <si>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</si>
  <si>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</si>
  <si>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</si>
  <si>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</si>
  <si>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</si>
  <si>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</si>
  <si>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</si>
  <si>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</si>
  <si>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</si>
  <si>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</si>
  <si>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</si>
  <si>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</si>
  <si>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</si>
  <si>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</si>
  <si>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</si>
  <si>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</si>
  <si>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</si>
  <si>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</si>
  <si>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</si>
  <si>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</si>
  <si>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</si>
  <si>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</si>
  <si>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</si>
  <si>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</si>
  <si>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</si>
  <si>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</si>
  <si>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</si>
  <si>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</si>
  <si>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</si>
  <si>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</si>
  <si>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</si>
  <si>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</si>
  <si>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</si>
  <si>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</si>
  <si>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</si>
  <si>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</si>
  <si>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</si>
  <si>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</si>
  <si>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</si>
  <si>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</si>
  <si>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</si>
  <si>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</si>
  <si>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</si>
  <si>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</si>
  <si>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</si>
  <si>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</si>
  <si>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</si>
  <si>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</si>
  <si>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</si>
  <si>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</si>
  <si>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</si>
  <si>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</si>
  <si>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</si>
  <si>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</si>
  <si>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</si>
  <si>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</si>
  <si>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</si>
  <si>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</si>
  <si>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</si>
  <si>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</si>
  <si>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</si>
  <si>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</si>
  <si>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</si>
  <si>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</si>
  <si>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</si>
  <si>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</si>
  <si>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</si>
  <si>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</si>
  <si>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</si>
  <si>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</si>
  <si>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</si>
  <si>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</si>
  <si>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</si>
  <si>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</si>
  <si>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</si>
  <si>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</si>
  <si>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</si>
  <si>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</si>
  <si>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</si>
  <si>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</si>
  <si>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</si>
  <si>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</si>
  <si>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</si>
  <si>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</si>
  <si>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</si>
  <si>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</si>
  <si>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</si>
  <si>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</si>
  <si>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</si>
  <si>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</si>
  <si>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</si>
  <si>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</si>
  <si>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</si>
  <si>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</si>
  <si>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</si>
  <si>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</si>
  <si>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</si>
  <si>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</si>
  <si>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</si>
  <si>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</si>
  <si>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</si>
  <si>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</si>
  <si>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</si>
  <si>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</si>
  <si>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</si>
  <si>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</si>
  <si>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</si>
  <si>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</si>
  <si>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</si>
  <si>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</si>
  <si>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</si>
  <si>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</si>
  <si>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</si>
  <si>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</si>
  <si>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</si>
  <si>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</si>
  <si>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</si>
  <si>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</si>
  <si>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</si>
  <si>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</si>
  <si>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</si>
  <si>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</si>
  <si>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</si>
  <si>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</si>
  <si>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</si>
  <si>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</si>
  <si>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</si>
  <si>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</si>
  <si>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</si>
  <si>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</si>
  <si>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</si>
  <si>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</si>
  <si>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</si>
  <si>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</si>
  <si>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</si>
  <si>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</si>
  <si>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</si>
  <si>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</si>
  <si>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</si>
  <si>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</si>
  <si>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</si>
  <si>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</si>
  <si>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</si>
  <si>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</si>
  <si>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</si>
  <si>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</si>
  <si>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</si>
  <si>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</si>
  <si>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</si>
  <si>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</si>
  <si>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</si>
  <si>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</si>
  <si>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</si>
  <si>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</si>
  <si>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</si>
  <si>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</si>
  <si>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</si>
  <si>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</si>
  <si>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</si>
  <si>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</si>
  <si>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</si>
  <si>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</si>
  <si>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</si>
  <si>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</si>
  <si>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</si>
  <si>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</si>
  <si>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</si>
  <si>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</si>
  <si>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</si>
  <si>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</si>
  <si>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</si>
  <si>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</si>
  <si>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</si>
  <si>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</si>
  <si>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</si>
  <si>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</si>
  <si>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</si>
  <si>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</si>
  <si>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</si>
  <si>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</si>
  <si>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</si>
  <si>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</si>
  <si>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</si>
  <si>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</si>
  <si>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</si>
  <si>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</si>
  <si>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</si>
  <si>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</si>
  <si>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</si>
  <si>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</si>
  <si>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</si>
  <si>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</si>
  <si>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</si>
  <si>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</si>
  <si>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</si>
  <si>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</si>
  <si>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</si>
  <si>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</si>
  <si>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</si>
  <si>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</si>
  <si>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</si>
  <si>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</si>
  <si>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</si>
  <si>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</si>
  <si>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</si>
  <si>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</si>
  <si>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</si>
  <si>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</si>
  <si>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</si>
  <si>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</si>
  <si>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</si>
  <si>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</si>
  <si>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</si>
  <si>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</si>
  <si>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</si>
  <si>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</si>
  <si>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</si>
  <si>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</si>
  <si>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</si>
  <si>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</si>
  <si>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</si>
  <si>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</si>
  <si>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</si>
  <si>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</si>
  <si>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</si>
  <si>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</si>
  <si>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</si>
  <si>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</si>
  <si>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</si>
  <si>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</si>
  <si>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</si>
  <si>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</si>
  <si>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</si>
  <si>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</si>
  <si>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</si>
  <si>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</si>
  <si>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</si>
  <si>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</si>
  <si>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</si>
  <si>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</si>
  <si>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</si>
  <si>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</si>
  <si>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</si>
  <si>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</si>
  <si>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</si>
  <si>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</si>
  <si>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</si>
  <si>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</si>
  <si>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</si>
  <si>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</si>
  <si>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</si>
  <si>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</si>
  <si>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</si>
  <si>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</si>
  <si>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</si>
  <si>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</si>
  <si>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</si>
  <si>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</si>
  <si>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</si>
  <si>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</si>
  <si>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</si>
  <si>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</si>
  <si>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</si>
  <si>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</si>
  <si>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</si>
  <si>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</si>
  <si>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</si>
  <si>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</si>
  <si>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</si>
  <si>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</si>
  <si>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</si>
  <si>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</si>
  <si>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</si>
  <si>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</si>
  <si>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</si>
  <si>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</si>
  <si>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</si>
  <si>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</si>
  <si>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</si>
  <si>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</si>
  <si>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</si>
  <si>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</si>
  <si>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</si>
  <si>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</si>
  <si>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</si>
  <si>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</si>
  <si>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</si>
  <si>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</si>
  <si>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</si>
  <si>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</si>
  <si>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</si>
  <si>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</si>
  <si>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</si>
  <si>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</si>
  <si>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</si>
  <si>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</si>
  <si>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</si>
  <si>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</si>
  <si>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</si>
  <si>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</si>
  <si>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</si>
  <si>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</si>
  <si>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</si>
  <si>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</si>
  <si>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</si>
  <si>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</si>
  <si>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</si>
  <si>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</si>
  <si>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</si>
  <si>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</si>
  <si>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</si>
  <si>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</si>
  <si>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</si>
  <si>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</si>
  <si>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</si>
  <si>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</si>
  <si>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</si>
  <si>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</si>
  <si>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</si>
  <si>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</si>
  <si>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</si>
  <si>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</si>
  <si>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</si>
  <si>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</si>
  <si>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</si>
  <si>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</si>
  <si>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</si>
  <si>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</si>
  <si>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</si>
  <si>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</si>
  <si>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</si>
  <si>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</si>
  <si>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</si>
  <si>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</si>
  <si>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</si>
  <si>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</si>
  <si>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</si>
  <si>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</si>
  <si>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</si>
  <si>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</si>
  <si>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</si>
  <si>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</si>
  <si>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</si>
  <si>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</si>
  <si>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</si>
  <si>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</si>
  <si>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</si>
  <si>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</si>
  <si>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</si>
  <si>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</si>
  <si>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</si>
  <si>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</si>
  <si>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</si>
  <si>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</si>
  <si>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</si>
  <si>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</si>
  <si>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</si>
  <si>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</si>
  <si>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</si>
  <si>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</si>
  <si>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</si>
  <si>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</si>
  <si>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</si>
  <si>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</si>
  <si>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</si>
  <si>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</si>
  <si>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</si>
  <si>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</si>
  <si>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</si>
  <si>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</si>
  <si>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</si>
  <si>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</si>
  <si>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</si>
  <si>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</si>
  <si>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</si>
  <si>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</si>
  <si>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</si>
  <si>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</si>
  <si>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</si>
  <si>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</si>
  <si>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</si>
  <si>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</si>
  <si>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</si>
  <si>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</si>
  <si>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</si>
  <si>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</si>
  <si>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</si>
  <si>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</si>
  <si>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</si>
  <si>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</si>
  <si>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</si>
  <si>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</si>
  <si>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</si>
  <si>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</si>
  <si>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</si>
  <si>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</si>
  <si>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</si>
  <si>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</si>
  <si>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</si>
  <si>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</si>
  <si>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</si>
  <si>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</si>
  <si>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</si>
  <si>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</si>
  <si>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</si>
  <si>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</si>
  <si>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</si>
  <si>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</si>
  <si>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</si>
  <si>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</si>
  <si>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</si>
  <si>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</si>
  <si>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</si>
  <si>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</si>
  <si>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</si>
  <si>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</si>
  <si>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</si>
  <si>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</si>
  <si>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</si>
  <si>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</si>
  <si>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</si>
  <si>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</si>
  <si>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</si>
  <si>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</si>
  <si>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</si>
  <si>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</si>
  <si>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</si>
  <si>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</si>
  <si>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</si>
  <si>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</si>
  <si>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</si>
  <si>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</si>
  <si>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</si>
  <si>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</si>
  <si>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</si>
  <si>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</si>
  <si>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</si>
  <si>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</si>
  <si>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</si>
  <si>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</si>
  <si>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</si>
  <si>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</si>
  <si>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</si>
  <si>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</si>
  <si>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</si>
  <si>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</si>
  <si>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</si>
  <si>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</si>
  <si>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</si>
  <si>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</si>
  <si>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</si>
  <si>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</si>
  <si>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</si>
  <si>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</si>
  <si>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</si>
  <si>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</si>
  <si>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</si>
  <si>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</si>
  <si>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</si>
  <si>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</si>
  <si>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</si>
  <si>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</si>
  <si>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</si>
  <si>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</si>
  <si>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</si>
  <si>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</si>
  <si>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</si>
  <si>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</si>
  <si>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</si>
  <si>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</si>
  <si>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</si>
  <si>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</si>
  <si>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</si>
  <si>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</si>
  <si>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</si>
  <si>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</si>
  <si>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</si>
  <si>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</si>
  <si>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</si>
  <si>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</si>
  <si>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</si>
  <si>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</si>
  <si>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</si>
  <si>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</si>
  <si>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</si>
  <si>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</si>
  <si>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</si>
  <si>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</si>
  <si>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</si>
  <si>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</si>
  <si>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</si>
  <si>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</si>
  <si>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</si>
  <si>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</si>
  <si>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</si>
  <si>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</si>
  <si>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</si>
  <si>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</si>
  <si>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</si>
  <si>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</si>
  <si>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</si>
  <si>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</si>
  <si>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</si>
  <si>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</si>
  <si>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</si>
  <si>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</si>
  <si>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</si>
  <si>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</si>
  <si>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</si>
  <si>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</si>
  <si>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</si>
  <si>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</si>
  <si>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</si>
  <si>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</si>
  <si>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</si>
  <si>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</si>
  <si>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</si>
  <si>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</si>
  <si>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</si>
  <si>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</si>
  <si>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</si>
  <si>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</si>
  <si>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</si>
  <si>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</si>
  <si>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</si>
  <si>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</si>
  <si>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</si>
  <si>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</si>
  <si>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</si>
  <si>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</si>
  <si>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</si>
  <si>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</si>
  <si>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</si>
  <si>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</si>
  <si>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</si>
  <si>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</si>
  <si>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</si>
  <si>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</si>
  <si>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</si>
  <si>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</si>
  <si>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</si>
  <si>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</si>
  <si>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</si>
  <si>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</si>
  <si>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</si>
  <si>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</si>
  <si>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</si>
  <si>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</si>
  <si>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</si>
  <si>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</si>
  <si>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</si>
  <si>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</si>
  <si>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</si>
  <si>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</si>
  <si>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</si>
  <si>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</si>
  <si>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</si>
  <si>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</si>
  <si>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</si>
  <si>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</si>
  <si>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</si>
  <si>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</si>
  <si>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</si>
  <si>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</si>
  <si>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</si>
  <si>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</si>
  <si>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</si>
  <si>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</si>
  <si>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</si>
  <si>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</si>
  <si>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</si>
  <si>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</si>
  <si>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</si>
  <si>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</si>
  <si>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</si>
  <si>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</si>
  <si>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</si>
  <si>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</si>
  <si>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</si>
  <si>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</si>
  <si>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</si>
  <si>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</si>
  <si>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</si>
  <si>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</si>
  <si>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</si>
  <si>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</si>
  <si>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</si>
  <si>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</si>
  <si>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</si>
  <si>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</si>
  <si>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</si>
  <si>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</si>
  <si>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</si>
  <si>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</si>
  <si>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</si>
  <si>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</si>
  <si>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</si>
  <si>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</si>
  <si>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</si>
  <si>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</si>
  <si>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</si>
  <si>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</si>
  <si>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</si>
  <si>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</si>
  <si>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</si>
  <si>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</si>
  <si>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</si>
  <si>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</si>
  <si>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</si>
  <si>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</si>
  <si>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</si>
  <si>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</si>
  <si>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</si>
  <si>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</si>
  <si>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</si>
  <si>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</si>
  <si>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</si>
  <si>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</si>
  <si>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</si>
  <si>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</si>
  <si>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</si>
  <si>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</si>
  <si>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</si>
  <si>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</si>
  <si>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</si>
  <si>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</si>
  <si>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</si>
  <si>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</si>
  <si>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</si>
  <si>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</si>
  <si>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</si>
  <si>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</si>
  <si>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</si>
  <si>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</si>
  <si>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</si>
  <si>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</si>
  <si>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</si>
  <si>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</si>
  <si>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</si>
  <si>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</si>
  <si>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</si>
  <si>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</si>
  <si>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</si>
  <si>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</si>
  <si>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</si>
  <si>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</si>
  <si>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</si>
  <si>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</si>
  <si>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</si>
  <si>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</si>
  <si>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</si>
  <si>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</si>
  <si>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</si>
  <si>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</si>
  <si>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</si>
  <si>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</si>
  <si>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</si>
  <si>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</si>
  <si>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</si>
  <si>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</si>
  <si>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</si>
  <si>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</si>
  <si>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</si>
  <si>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</si>
  <si>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</si>
  <si>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</si>
  <si>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</si>
  <si>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</si>
  <si>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</si>
  <si>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</si>
  <si>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</si>
  <si>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</si>
  <si>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</si>
  <si>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</si>
  <si>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</si>
  <si>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</si>
  <si>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</si>
  <si>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</si>
  <si>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</si>
  <si>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</si>
  <si>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</si>
  <si>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</si>
  <si>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</si>
  <si>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</si>
  <si>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</si>
  <si>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</si>
  <si>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</si>
  <si>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</si>
  <si>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</si>
  <si>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</si>
  <si>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</si>
  <si>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</si>
  <si>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</si>
  <si>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</si>
  <si>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</si>
  <si>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</si>
  <si>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</si>
  <si>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</si>
  <si>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</si>
  <si>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</si>
  <si>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</si>
  <si>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</si>
  <si>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</si>
  <si>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</si>
  <si>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</si>
  <si>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</si>
  <si>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</si>
  <si>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</si>
  <si>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</si>
  <si>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</si>
  <si>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</si>
  <si>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</si>
  <si>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</si>
  <si>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</si>
  <si>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</si>
  <si>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</si>
  <si>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</si>
  <si>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</si>
  <si>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</si>
  <si>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</si>
  <si>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</si>
  <si>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</si>
  <si>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</si>
  <si>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</si>
  <si>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</si>
  <si>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</si>
  <si>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</si>
  <si>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</si>
  <si>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</si>
  <si>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</si>
  <si>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</si>
  <si>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</si>
  <si>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</si>
  <si>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</si>
  <si>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</si>
  <si>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</si>
  <si>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</si>
  <si>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</si>
  <si>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</si>
  <si>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</si>
  <si>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</si>
  <si>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</si>
  <si>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</si>
  <si>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</si>
  <si>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</si>
  <si>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</si>
  <si>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</si>
  <si>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</si>
  <si>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</si>
  <si>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</si>
  <si>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</si>
  <si>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</si>
  <si>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</si>
  <si>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</si>
  <si>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</si>
  <si>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</si>
  <si>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</si>
  <si>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</si>
  <si>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</si>
  <si>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</si>
  <si>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</si>
  <si>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</si>
  <si>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</si>
  <si>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</si>
  <si>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</si>
  <si>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</si>
  <si>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</si>
  <si>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</si>
  <si>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</si>
  <si>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</si>
  <si>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</si>
  <si>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</si>
  <si>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</si>
  <si>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</si>
  <si>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</si>
  <si>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</si>
  <si>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</si>
  <si>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</si>
  <si>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</si>
  <si>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</si>
  <si>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</si>
  <si>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</si>
  <si>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</si>
  <si>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</si>
  <si>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</si>
  <si>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</si>
  <si>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</si>
  <si>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</si>
  <si>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</si>
  <si>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</si>
  <si>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</si>
  <si>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</si>
  <si>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</si>
  <si>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</si>
  <si>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</si>
  <si>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</si>
  <si>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</si>
  <si>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</si>
  <si>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</si>
  <si>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</si>
  <si>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</si>
  <si>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</si>
  <si>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</si>
  <si>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</si>
  <si>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</si>
  <si>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</si>
  <si>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</si>
  <si>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</si>
  <si>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</si>
  <si>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</si>
  <si>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</si>
  <si>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</si>
  <si>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</si>
  <si>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</si>
  <si>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</si>
  <si>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</si>
  <si>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</si>
  <si>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</si>
  <si>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</si>
  <si>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</si>
  <si>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</si>
  <si>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</si>
  <si>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</si>
  <si>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</si>
  <si>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</si>
  <si>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</si>
  <si>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</si>
  <si>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</si>
  <si>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</si>
  <si>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</si>
  <si>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</si>
  <si>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</si>
  <si>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</si>
  <si>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</si>
  <si>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</si>
  <si>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</si>
  <si>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</si>
  <si>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</si>
  <si>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</si>
  <si>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</si>
  <si>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</si>
  <si>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</si>
  <si>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</si>
  <si>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</si>
  <si>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</si>
  <si>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</si>
  <si>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</si>
  <si>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</si>
  <si>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</si>
  <si>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</si>
  <si>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</si>
  <si>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</si>
  <si>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</si>
  <si>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</si>
  <si>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</si>
  <si>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</si>
  <si>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</si>
  <si>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</si>
  <si>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</si>
  <si>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</si>
  <si>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</si>
  <si>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</si>
  <si>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</si>
  <si>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</si>
  <si>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</si>
  <si>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</si>
  <si>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</si>
  <si>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</si>
  <si>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</si>
  <si>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</si>
  <si>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</si>
  <si>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</si>
  <si>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</si>
  <si>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</si>
  <si>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</si>
  <si>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</si>
  <si>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</si>
  <si>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</si>
  <si>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</si>
  <si>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</si>
  <si>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</si>
  <si>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</si>
  <si>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</si>
  <si>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</si>
  <si>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</si>
  <si>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</si>
  <si>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</si>
  <si>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</si>
  <si>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</si>
  <si>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</si>
  <si>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</si>
  <si>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</si>
  <si>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</si>
  <si>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</si>
  <si>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</si>
  <si>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</si>
  <si>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</si>
  <si>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</si>
  <si>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</si>
  <si>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</si>
  <si>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</si>
  <si>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</si>
  <si>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</si>
  <si>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</si>
  <si>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</si>
  <si>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</si>
  <si>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</si>
  <si>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</si>
  <si>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</si>
  <si>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</si>
  <si>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</si>
  <si>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</si>
  <si>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</si>
  <si>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</si>
  <si>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</si>
  <si>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</si>
  <si>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</si>
  <si>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</si>
  <si>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</si>
  <si>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</si>
  <si>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</si>
  <si>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</si>
  <si>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</si>
  <si>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</si>
  <si>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</si>
  <si>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</si>
  <si>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</si>
  <si>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</si>
  <si>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</si>
  <si>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</si>
  <si>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</si>
  <si>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</si>
  <si>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</si>
  <si>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</si>
  <si>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</si>
  <si>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</si>
  <si>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</si>
  <si>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</si>
  <si>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</si>
  <si>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</si>
  <si>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</si>
  <si>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</si>
  <si>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</si>
  <si>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</si>
  <si>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</si>
  <si>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</si>
  <si>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</si>
  <si>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</si>
  <si>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</si>
  <si>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</si>
  <si>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</si>
  <si>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</si>
  <si>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</si>
  <si>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</si>
  <si>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</si>
  <si>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</si>
  <si>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</si>
  <si>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</si>
  <si>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</si>
  <si>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</si>
  <si>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</si>
  <si>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</si>
  <si>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</si>
  <si>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</si>
  <si>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</si>
  <si>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</si>
  <si>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</si>
  <si>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</si>
  <si>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</si>
  <si>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</si>
  <si>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</si>
  <si>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</si>
  <si>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</si>
  <si>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</si>
  <si>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</si>
  <si>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</si>
  <si>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</si>
  <si>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</si>
  <si>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</si>
  <si>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</si>
  <si>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</si>
  <si>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</si>
  <si>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</si>
  <si>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</si>
  <si>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</si>
  <si>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</si>
  <si>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</si>
  <si>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</si>
  <si>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</si>
  <si>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</si>
  <si>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</si>
  <si>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</si>
  <si>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</si>
  <si>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</si>
  <si>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</si>
  <si>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</si>
  <si>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</si>
  <si>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</si>
  <si>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</si>
  <si>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</si>
  <si>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</si>
  <si>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</si>
  <si>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</si>
  <si>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</si>
  <si>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</si>
  <si>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</si>
  <si>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</si>
  <si>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</si>
  <si>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</si>
  <si>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</si>
  <si>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</si>
  <si>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</si>
  <si>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</si>
  <si>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</si>
  <si>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</si>
  <si>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</si>
  <si>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</si>
  <si>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</si>
  <si>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</si>
  <si>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</si>
  <si>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</si>
  <si>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</si>
  <si>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</si>
  <si>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</si>
  <si>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</si>
  <si>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</si>
  <si>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</si>
  <si>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</si>
  <si>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</si>
  <si>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</si>
  <si>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</si>
  <si>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</si>
  <si>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</si>
  <si>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</si>
  <si>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</si>
  <si>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</si>
  <si>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</si>
  <si>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</si>
  <si>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</si>
  <si>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</si>
  <si>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</si>
  <si>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</si>
  <si>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</si>
  <si>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</si>
  <si>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</si>
  <si>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</si>
  <si>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</si>
  <si>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</si>
  <si>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</si>
  <si>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</si>
  <si>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</si>
  <si>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</si>
  <si>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</si>
  <si>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</si>
  <si>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</si>
  <si>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</si>
  <si>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</si>
  <si>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</si>
  <si>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</si>
  <si>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</si>
  <si>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</si>
  <si>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</si>
  <si>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</si>
  <si>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</si>
  <si>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</si>
  <si>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</si>
  <si>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</si>
  <si>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</si>
  <si>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</si>
  <si>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</si>
  <si>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</si>
  <si>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</si>
  <si>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</si>
  <si>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</si>
  <si>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</si>
  <si>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</si>
  <si>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</si>
  <si>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</si>
  <si>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</si>
  <si>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</si>
  <si>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</si>
  <si>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</si>
  <si>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</si>
  <si>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</si>
  <si>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</si>
  <si>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</si>
  <si>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</si>
  <si>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</si>
  <si>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</si>
  <si>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</si>
  <si>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</si>
  <si>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</si>
  <si>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</si>
  <si>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</si>
  <si>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</si>
  <si>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</si>
  <si>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</si>
  <si>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</si>
  <si>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</si>
  <si>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</si>
  <si>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</si>
  <si>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</si>
  <si>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</si>
  <si>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</si>
  <si>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</si>
  <si>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</si>
  <si>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</si>
  <si>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</si>
  <si>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</si>
  <si>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</si>
  <si>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</si>
  <si>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</si>
  <si>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</si>
  <si>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</si>
  <si>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</si>
  <si>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</si>
  <si>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</si>
  <si>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</si>
  <si>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</si>
  <si>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</si>
  <si>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</si>
  <si>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</si>
  <si>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</si>
  <si>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</si>
  <si>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</si>
  <si>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</si>
  <si>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</si>
  <si>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</si>
  <si>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</si>
  <si>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</si>
  <si>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</si>
  <si>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</si>
  <si>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</si>
  <si>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</si>
  <si>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</si>
  <si>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</si>
  <si>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</si>
  <si>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</si>
  <si>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</si>
  <si>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</si>
  <si>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</si>
  <si>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</si>
  <si>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</si>
  <si>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</si>
  <si>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</si>
  <si>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</si>
  <si>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</si>
  <si>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</si>
  <si>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</si>
  <si>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</si>
  <si>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</si>
  <si>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</si>
  <si>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</si>
  <si>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</si>
  <si>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</si>
  <si>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</si>
  <si>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</si>
  <si>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</si>
  <si>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</si>
  <si>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</si>
  <si>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</si>
  <si>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</si>
  <si>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</si>
  <si>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</si>
  <si>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</si>
  <si>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</si>
  <si>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</si>
  <si>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</si>
  <si>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</si>
  <si>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</si>
  <si>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</si>
  <si>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</si>
  <si>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</si>
  <si>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</si>
  <si>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</si>
  <si>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</si>
  <si>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</si>
  <si>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</si>
  <si>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</si>
  <si>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</si>
  <si>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</si>
  <si>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</si>
  <si>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</si>
  <si>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</si>
  <si>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</si>
  <si>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</si>
  <si>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</si>
  <si>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</si>
  <si>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</si>
  <si>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</si>
  <si>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</si>
  <si>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</si>
  <si>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</si>
  <si>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</si>
  <si>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</si>
  <si>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</si>
  <si>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</si>
  <si>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</si>
  <si>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</si>
  <si>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</si>
  <si>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</si>
  <si>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</si>
  <si>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</si>
  <si>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</si>
  <si>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</si>
  <si>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</si>
  <si>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</si>
  <si>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</si>
  <si>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</si>
  <si>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</si>
  <si>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</si>
  <si>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</si>
  <si>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</si>
  <si>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</si>
  <si>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</si>
  <si>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</si>
  <si>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</si>
  <si>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</si>
  <si>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</si>
  <si>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</si>
  <si>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</si>
  <si>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</si>
  <si>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</si>
  <si>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</si>
  <si>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</si>
  <si>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</si>
  <si>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</si>
  <si>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</si>
  <si>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</si>
  <si>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</si>
  <si>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</si>
  <si>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</si>
  <si>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</si>
  <si>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</si>
  <si>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</si>
  <si>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</si>
  <si>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</si>
  <si>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</si>
  <si>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</si>
  <si>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</si>
  <si>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</si>
  <si>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</si>
  <si>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</si>
  <si>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</si>
  <si>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</si>
  <si>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</si>
  <si>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</si>
  <si>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</si>
  <si>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</si>
  <si>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</si>
  <si>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</si>
  <si>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</si>
  <si>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</si>
  <si>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</si>
  <si>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</si>
  <si>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</si>
  <si>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</si>
  <si>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</si>
  <si>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</si>
  <si>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</si>
  <si>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</si>
  <si>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</si>
  <si>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</si>
  <si>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</si>
  <si>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</si>
  <si>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</si>
  <si>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</si>
  <si>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</si>
  <si>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</si>
  <si>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</si>
  <si>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</si>
  <si>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</si>
  <si>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</si>
  <si>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</si>
  <si>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</si>
  <si>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</si>
  <si>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</si>
  <si>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</si>
  <si>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</si>
  <si>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</si>
  <si>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</si>
  <si>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</si>
  <si>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</si>
  <si>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</si>
  <si>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</si>
  <si>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</si>
  <si>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</si>
  <si>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</si>
  <si>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</si>
  <si>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</si>
  <si>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</si>
  <si>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</si>
  <si>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</si>
  <si>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</si>
  <si>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</si>
  <si>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</si>
  <si>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</si>
  <si>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</si>
  <si>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</si>
  <si>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</si>
  <si>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</si>
  <si>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</si>
  <si>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</si>
  <si>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</si>
  <si>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</si>
  <si>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</si>
  <si>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</si>
  <si>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</si>
  <si>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</si>
  <si>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</si>
  <si>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</si>
  <si>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</si>
  <si>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</si>
  <si>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</si>
  <si>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</si>
  <si>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</si>
  <si>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</si>
  <si>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</si>
  <si>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</si>
  <si>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</si>
  <si>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</si>
  <si>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</si>
  <si>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</si>
  <si>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</si>
  <si>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</si>
  <si>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</si>
  <si>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</si>
  <si>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</si>
  <si>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</si>
  <si>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</si>
  <si>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</si>
  <si>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</si>
  <si>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</si>
  <si>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</si>
  <si>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</si>
  <si>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</si>
  <si>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</si>
  <si>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</si>
  <si>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</si>
  <si>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</si>
  <si>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</si>
  <si>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</si>
  <si>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</si>
  <si>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</si>
  <si>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</si>
  <si>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</si>
  <si>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</si>
  <si>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</si>
  <si>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</si>
  <si>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</si>
  <si>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</si>
  <si>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</si>
  <si>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</si>
  <si>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</si>
  <si>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</si>
  <si>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</si>
  <si>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</si>
  <si>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</si>
  <si>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</si>
  <si>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</si>
  <si>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</si>
  <si>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</si>
  <si>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</si>
  <si>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</si>
  <si>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</si>
  <si>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</si>
  <si>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</si>
  <si>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</si>
  <si>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</si>
  <si>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</si>
  <si>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</si>
  <si>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</si>
  <si>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</si>
  <si>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</si>
  <si>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</si>
  <si>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</si>
  <si>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</si>
  <si>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</si>
  <si>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</si>
  <si>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</si>
  <si>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</si>
  <si>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</si>
  <si>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</si>
  <si>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</si>
  <si>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</si>
  <si>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</si>
  <si>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</si>
  <si>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</si>
  <si>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</si>
  <si>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</si>
  <si>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</si>
  <si>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</si>
  <si>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</si>
  <si>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</si>
  <si>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</si>
  <si>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</si>
  <si>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</si>
  <si>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</si>
  <si>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</si>
  <si>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</si>
  <si>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</si>
  <si>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</si>
  <si>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</si>
  <si>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</si>
  <si>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</si>
  <si>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</si>
  <si>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</si>
  <si>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</si>
  <si>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</si>
  <si>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</si>
  <si>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</si>
  <si>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</si>
  <si>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</si>
  <si>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</si>
  <si>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</si>
  <si>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</si>
  <si>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</si>
  <si>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</si>
  <si>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</si>
  <si>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</si>
  <si>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</si>
  <si>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</si>
  <si>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</si>
  <si>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</si>
  <si>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</si>
  <si>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</si>
  <si>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</si>
  <si>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</si>
  <si>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</si>
  <si>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</si>
  <si>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</si>
  <si>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</si>
  <si>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</si>
  <si>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</si>
  <si>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</si>
  <si>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</si>
  <si>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</si>
  <si>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</si>
  <si>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</si>
  <si>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</si>
  <si>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</si>
  <si>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</si>
  <si>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</si>
  <si>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</si>
  <si>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</si>
  <si>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</si>
  <si>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</si>
  <si>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</si>
  <si>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</si>
  <si>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</si>
  <si>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</si>
  <si>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</si>
  <si>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</si>
  <si>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</si>
  <si>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</si>
  <si>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</si>
  <si>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</si>
  <si>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</si>
  <si>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</si>
  <si>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</si>
  <si>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</si>
  <si>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</si>
  <si>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</si>
  <si>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</si>
  <si>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</si>
  <si>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</si>
  <si>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</si>
  <si>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</si>
  <si>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</si>
  <si>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</si>
  <si>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</si>
  <si>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</si>
  <si>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</si>
  <si>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</si>
  <si>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</si>
  <si>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</si>
  <si>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</si>
  <si>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</si>
  <si>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</si>
  <si>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</si>
  <si>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</si>
  <si>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</si>
  <si>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</si>
  <si>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</si>
  <si>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</si>
  <si>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</si>
  <si>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</si>
  <si>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</si>
  <si>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</si>
  <si>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</si>
  <si>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</si>
  <si>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</si>
  <si>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</si>
  <si>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</si>
  <si>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</si>
  <si>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</si>
  <si>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</si>
  <si>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</si>
  <si>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</si>
  <si>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</si>
  <si>
    <t>Võ Thị Thảo - Female - 15/06/1992 - 042192004938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</si>
</sst>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4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19" borderId="0" xfId="0" applyFill="1"/>
    <xf numFmtId="0" fontId="0" fillId="0" borderId="0" xfId="0" applyNumberFormat="1" applyFill="1" applyAlignment="1"/>
    <xf numFmtId="49" fontId="0" fillId="0" borderId="0" xfId="0" applyNumberFormat="1" applyFill="1" applyAlignment="1"/>
    <xf numFmtId="0" fontId="0" fillId="0" borderId="0" xfId="0" applyNumberFormat="1" applyFill="1"/>
  </cellXfs>
  <cellStyles count="2">
    <cellStyle name="Hyperlink" xfId="1" builtinId="8"/>
    <cellStyle name="Normal" xfId="0" builtinId="0"/>
  </cellStyles>
  <dxfs count="143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4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33">
      <pivotArea outline="0" collapsedLevelsAreSubtotals="1" fieldPosition="0"/>
    </format>
    <format dxfId="132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3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30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9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8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7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6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5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2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2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2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2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9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7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6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1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12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1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9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10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104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3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102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100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9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95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8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84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7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6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75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73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72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7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70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9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8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64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63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61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9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8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7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5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51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4" totalsRowShown="0" headerRowDxfId="142" dataDxfId="141">
  <autoFilter ref="A1:H274" xr:uid="{00000000-0009-0000-0100-000001000000}"/>
  <sortState xmlns:xlrd2="http://schemas.microsoft.com/office/spreadsheetml/2017/richdata2" ref="A2:H274">
    <sortCondition ref="A1:A274"/>
  </sortState>
  <tableColumns count="8">
    <tableColumn id="1" xr3:uid="{00000000-0010-0000-0000-000001000000}" name="No" dataDxfId="140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35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33">
      <calculatedColumnFormula>_xlfn.XLOOKUP(OfficeForms.Table[[#This Row],[Email]],Table2[Email],Table2[FullName],"")</calculatedColumnFormula>
    </tableColumn>
    <tableColumn id="10" xr3:uid="{00000000-0010-0000-0000-00000A000000}" name="Người nhà" dataDxfId="34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9"/>
    <tableColumn id="29" xr3:uid="{06591FFA-F5CF-4443-BD8E-758C76E5F60B}" name="Room" dataDxfId="138"/>
    <tableColumn id="24" xr3:uid="{4467F033-B108-4507-815C-F396E2BECAD9}" name="Gender" dataDxfId="137">
      <calculatedColumnFormula>IFERROR(_xlfn.XLOOKUP(OfficeForms.Table[[#This Row],[Email]],EE!C:C,EE!H:H,"Missing"),"Missing")</calculatedColumnFormula>
    </tableColumn>
    <tableColumn id="28" xr3:uid="{8D7239CF-B5C4-4150-8AD7-EECB88937E73}" name="Room Type" dataDxfId="136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50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9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8" dataDxfId="47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6"/>
    <tableColumn id="2" xr3:uid="{F7DEBE01-4308-486D-8B19-4E44E97FEDA6}" name="FullName" dataDxfId="45"/>
    <tableColumn id="3" xr3:uid="{8E01B04B-564E-4708-85C7-A2341EC0127C}" name="Email" dataDxfId="44"/>
    <tableColumn id="4" xr3:uid="{B5580FC6-8AEE-4B85-90B3-077F94E3A7E2}" name="ManagerFullName" dataDxfId="43"/>
    <tableColumn id="5" xr3:uid="{C06E9FF0-EF3D-4C29-9085-F7964E23E544}" name="Governance" dataDxfId="42"/>
    <tableColumn id="6" xr3:uid="{61F56178-5E0C-48FF-B1C0-63D3991E51CD}" name="Department" dataDxfId="41"/>
    <tableColumn id="7" xr3:uid="{12D8CF1D-81F0-45EC-8C90-FC6CA22E8698}" name="EmployeeStatus" dataDxfId="40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4"/>
  <sheetViews>
    <sheetView tabSelected="1" topLeftCell="A269" zoomScaleNormal="100" workbookViewId="0">
      <selection activeCell="C281" sqref="C281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9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s="89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</v>
      </c>
      <c r="B2" s="2" t="s">
        <v>849</v>
      </c>
      <c r="C2" s="89" t="str">
        <f>_xlfn.XLOOKUP(OfficeForms.Table[[#This Row],[Email]],Table2[Email],Table2[FullName],"")</f>
        <v>TRAN Pham Khanh Linh</v>
      </c>
      <c r="D2" s="2"/>
      <c r="E2">
        <v>1</v>
      </c>
      <c r="F2">
        <v>45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</v>
      </c>
      <c r="B3" s="2" t="s">
        <v>1200</v>
      </c>
      <c r="C3" s="89" t="str">
        <f>_xlfn.XLOOKUP(OfficeForms.Table[[#This Row],[Email]],Table2[Email],Table2[FullName],"")</f>
        <v>PHAM Do Thuy Tien</v>
      </c>
      <c r="D3" s="2"/>
      <c r="E3">
        <v>1</v>
      </c>
      <c r="F3">
        <v>1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3</v>
      </c>
      <c r="B4" s="2" t="s">
        <v>1191</v>
      </c>
      <c r="C4" s="89" t="str">
        <f>_xlfn.XLOOKUP(OfficeForms.Table[[#This Row],[Email]],Table2[Email],Table2[FullName],"")</f>
        <v>NGUYEN Hoang Ha Quyen</v>
      </c>
      <c r="D4" s="2"/>
      <c r="E4">
        <v>1</v>
      </c>
      <c r="F4">
        <v>2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4</v>
      </c>
      <c r="B5" s="2" t="s">
        <v>1195</v>
      </c>
      <c r="C5" s="89" t="str">
        <f>_xlfn.XLOOKUP(OfficeForms.Table[[#This Row],[Email]],Table2[Email],Table2[FullName],"")</f>
        <v>DOAN Thien Trang</v>
      </c>
      <c r="D5" s="2"/>
      <c r="E5">
        <v>1</v>
      </c>
      <c r="F5">
        <v>2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5</v>
      </c>
      <c r="B6" s="2" t="s">
        <v>556</v>
      </c>
      <c r="C6" s="89" t="str">
        <f>_xlfn.XLOOKUP(OfficeForms.Table[[#This Row],[Email]],Table2[Email],Table2[FullName],"")</f>
        <v>HO Nguyen Hong Uyen</v>
      </c>
      <c r="D6" s="2"/>
      <c r="E6" s="25">
        <v>1</v>
      </c>
      <c r="F6">
        <v>85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6</v>
      </c>
      <c r="B7" s="2" t="s">
        <v>531</v>
      </c>
      <c r="C7" s="89" t="str">
        <f>_xlfn.XLOOKUP(OfficeForms.Table[[#This Row],[Email]],Table2[Email],Table2[FullName],"")</f>
        <v>HA Phuong Thao</v>
      </c>
      <c r="D7" s="2"/>
      <c r="E7" s="25">
        <v>1</v>
      </c>
      <c r="F7">
        <v>88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7</v>
      </c>
      <c r="B8" s="2" t="s">
        <v>560</v>
      </c>
      <c r="C8" s="89" t="str">
        <f>_xlfn.XLOOKUP(OfficeForms.Table[[#This Row],[Email]],Table2[Email],Table2[FullName],"")</f>
        <v>VU Thanh Hang</v>
      </c>
      <c r="D8" s="2"/>
      <c r="E8" s="25">
        <v>1</v>
      </c>
      <c r="F8">
        <v>85</v>
      </c>
      <c r="G8" t="str">
        <f>IFERROR(_xlfn.XLOOKUP(OfficeForms.Table[[#This Row],[Email]],EE!C:C,EE!H:H,"Missing"),"Missing")</f>
        <v>Female</v>
      </c>
      <c r="H8" t="s">
        <v>2227</v>
      </c>
    </row>
    <row r="9" spans="1:8" x14ac:dyDescent="0.2">
      <c r="A9">
        <v>8</v>
      </c>
      <c r="B9" s="2" t="s">
        <v>1174</v>
      </c>
      <c r="C9" s="89" t="str">
        <f>_xlfn.XLOOKUP(OfficeForms.Table[[#This Row],[Email]],Table2[Email],Table2[FullName],"")</f>
        <v>CAO Duc Minh</v>
      </c>
      <c r="D9" s="2"/>
      <c r="E9">
        <v>1</v>
      </c>
      <c r="F9">
        <v>4</v>
      </c>
      <c r="G9" t="str">
        <f>IFERROR(_xlfn.XLOOKUP(OfficeForms.Table[[#This Row],[Email]],EE!C:C,EE!H:H,"Missing"),"Missing")</f>
        <v>Male</v>
      </c>
      <c r="H9" t="s">
        <v>2217</v>
      </c>
    </row>
    <row r="10" spans="1:8" x14ac:dyDescent="0.2">
      <c r="A10">
        <v>9</v>
      </c>
      <c r="B10" s="2" t="s">
        <v>1178</v>
      </c>
      <c r="C10" s="89" t="str">
        <f>_xlfn.XLOOKUP(OfficeForms.Table[[#This Row],[Email]],Table2[Email],Table2[FullName],"")</f>
        <v>LA Hoang Tu</v>
      </c>
      <c r="D10" s="2"/>
      <c r="E10">
        <v>1</v>
      </c>
      <c r="F10">
        <v>4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10</v>
      </c>
      <c r="B11" s="2" t="s">
        <v>1166</v>
      </c>
      <c r="C11" s="89" t="str">
        <f>_xlfn.XLOOKUP(OfficeForms.Table[[#This Row],[Email]],Table2[Email],Table2[FullName],"")</f>
        <v>CAO Trung Nghia</v>
      </c>
      <c r="D11" s="2"/>
      <c r="E11">
        <v>1</v>
      </c>
      <c r="F11">
        <v>5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11</v>
      </c>
      <c r="B12" s="2" t="s">
        <v>1182</v>
      </c>
      <c r="C12" s="89" t="str">
        <f>_xlfn.XLOOKUP(OfficeForms.Table[[#This Row],[Email]],Table2[Email],Table2[FullName],"")</f>
        <v>LE Minh Thuan</v>
      </c>
      <c r="D12" s="2"/>
      <c r="E12">
        <v>1</v>
      </c>
      <c r="F12">
        <v>3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12</v>
      </c>
      <c r="B13" s="2" t="s">
        <v>1186</v>
      </c>
      <c r="C13" s="89" t="str">
        <f>_xlfn.XLOOKUP(OfficeForms.Table[[#This Row],[Email]],Table2[Email],Table2[FullName],"")</f>
        <v>NGUYEN Van Thanh Thuan</v>
      </c>
      <c r="D13" s="2"/>
      <c r="E13">
        <v>1</v>
      </c>
      <c r="F13">
        <v>3</v>
      </c>
      <c r="G13" t="str">
        <f>IFERROR(_xlfn.XLOOKUP(OfficeForms.Table[[#This Row],[Email]],EE!C:C,EE!H:H,"Missing"),"Missing")</f>
        <v>Male</v>
      </c>
      <c r="H13" t="s">
        <v>2217</v>
      </c>
    </row>
    <row r="14" spans="1:8" x14ac:dyDescent="0.2">
      <c r="A14">
        <v>13</v>
      </c>
      <c r="B14" s="2" t="s">
        <v>1170</v>
      </c>
      <c r="C14" s="89" t="str">
        <f>_xlfn.XLOOKUP(OfficeForms.Table[[#This Row],[Email]],Table2[Email],Table2[FullName],"")</f>
        <v>TRAN Van Do</v>
      </c>
      <c r="D14" s="2"/>
      <c r="E14">
        <v>1</v>
      </c>
      <c r="F14">
        <v>5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14</v>
      </c>
      <c r="B15" s="2" t="s">
        <v>1158</v>
      </c>
      <c r="C15" s="89" t="str">
        <f>_xlfn.XLOOKUP(OfficeForms.Table[[#This Row],[Email]],Table2[Email],Table2[FullName],"")</f>
        <v>HA Quang Trinh</v>
      </c>
      <c r="D15" s="2"/>
      <c r="E15">
        <v>1</v>
      </c>
      <c r="F15">
        <v>6</v>
      </c>
      <c r="G15" t="str">
        <f>IFERROR(_xlfn.XLOOKUP(OfficeForms.Table[[#This Row],[Email]],EE!C:C,EE!H:H,"Missing"),"Missing")</f>
        <v>Male</v>
      </c>
      <c r="H15" t="s">
        <v>2217</v>
      </c>
    </row>
    <row r="16" spans="1:8" x14ac:dyDescent="0.2">
      <c r="A16">
        <v>15</v>
      </c>
      <c r="B16" s="2" t="s">
        <v>1150</v>
      </c>
      <c r="C16" s="89" t="str">
        <f>_xlfn.XLOOKUP(OfficeForms.Table[[#This Row],[Email]],Table2[Email],Table2[FullName],"")</f>
        <v>Ngô Tấn Thành</v>
      </c>
      <c r="D16" s="2"/>
      <c r="E16">
        <v>1</v>
      </c>
      <c r="F16">
        <v>7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16</v>
      </c>
      <c r="B17" s="2" t="s">
        <v>1162</v>
      </c>
      <c r="C17" s="89" t="str">
        <f>_xlfn.XLOOKUP(OfficeForms.Table[[#This Row],[Email]],Table2[Email],Table2[FullName],"")</f>
        <v>MAI Binh Nam</v>
      </c>
      <c r="D17" s="2"/>
      <c r="E17">
        <v>1</v>
      </c>
      <c r="F17">
        <v>6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17</v>
      </c>
      <c r="B18" s="2" t="s">
        <v>1142</v>
      </c>
      <c r="C18" s="89" t="str">
        <f>_xlfn.XLOOKUP(OfficeForms.Table[[#This Row],[Email]],Table2[Email],Table2[FullName],"")</f>
        <v>NGUYEN Hong Chuong</v>
      </c>
      <c r="D18" s="2"/>
      <c r="E18">
        <v>1</v>
      </c>
      <c r="F18">
        <v>8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18</v>
      </c>
      <c r="B19" s="2" t="s">
        <v>1154</v>
      </c>
      <c r="C19" s="89" t="str">
        <f>_xlfn.XLOOKUP(OfficeForms.Table[[#This Row],[Email]],Table2[Email],Table2[FullName],"")</f>
        <v>Nguyễn Lê Thành</v>
      </c>
      <c r="D19" s="2"/>
      <c r="E19">
        <v>1</v>
      </c>
      <c r="F19">
        <v>7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19</v>
      </c>
      <c r="B20" t="s">
        <v>1102</v>
      </c>
      <c r="C20" s="89" t="str">
        <f>_xlfn.XLOOKUP(OfficeForms.Table[[#This Row],[Email]],Table2[Email],Table2[FullName],"")</f>
        <v>NGUYEN Kim Cong</v>
      </c>
      <c r="E20">
        <v>1</v>
      </c>
      <c r="F20">
        <v>13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20</v>
      </c>
      <c r="B21" s="2" t="s">
        <v>1146</v>
      </c>
      <c r="C21" s="89" t="str">
        <f>_xlfn.XLOOKUP(OfficeForms.Table[[#This Row],[Email]],Table2[Email],Table2[FullName],"")</f>
        <v>NGUYEN Ngoc Tuan</v>
      </c>
      <c r="D21" s="2"/>
      <c r="E21">
        <v>1</v>
      </c>
      <c r="F21">
        <v>8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21</v>
      </c>
      <c r="B22" s="2" t="s">
        <v>1134</v>
      </c>
      <c r="C22" s="89" t="str">
        <f>_xlfn.XLOOKUP(OfficeForms.Table[[#This Row],[Email]],Table2[Email],Table2[FullName],"")</f>
        <v>PHAN Thanh Nhan</v>
      </c>
      <c r="D22" s="2"/>
      <c r="E22">
        <v>1</v>
      </c>
      <c r="F22">
        <v>9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22</v>
      </c>
      <c r="B23" s="2" t="s">
        <v>1094</v>
      </c>
      <c r="C23" s="89" t="str">
        <f>_xlfn.XLOOKUP(OfficeForms.Table[[#This Row],[Email]],Table2[Email],Table2[FullName],"")</f>
        <v>NGUYEN Trung Nghia</v>
      </c>
      <c r="D23" s="2"/>
      <c r="E23">
        <v>1</v>
      </c>
      <c r="F23">
        <v>14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23</v>
      </c>
      <c r="B24" s="2" t="s">
        <v>1118</v>
      </c>
      <c r="C24" s="89" t="str">
        <f>_xlfn.XLOOKUP(OfficeForms.Table[[#This Row],[Email]],Table2[Email],Table2[FullName],"")</f>
        <v>NGUYEN Le Man Dat</v>
      </c>
      <c r="D24" s="2"/>
      <c r="E24">
        <v>1</v>
      </c>
      <c r="F24">
        <v>11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24</v>
      </c>
      <c r="B25" s="2" t="s">
        <v>1110</v>
      </c>
      <c r="C25" s="89" t="str">
        <f>_xlfn.XLOOKUP(OfficeForms.Table[[#This Row],[Email]],Table2[Email],Table2[FullName],"")</f>
        <v>NGUYEN Thanh Loc</v>
      </c>
      <c r="D25" s="2"/>
      <c r="E25">
        <v>1</v>
      </c>
      <c r="F25">
        <v>12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25</v>
      </c>
      <c r="B26" s="2" t="s">
        <v>1106</v>
      </c>
      <c r="C26" s="89" t="str">
        <f>_xlfn.XLOOKUP(OfficeForms.Table[[#This Row],[Email]],Table2[Email],Table2[FullName],"")</f>
        <v>NGUYEN Huu Vinh</v>
      </c>
      <c r="D26" s="2"/>
      <c r="E26">
        <v>1</v>
      </c>
      <c r="F26">
        <v>13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26</v>
      </c>
      <c r="B27" s="2" t="s">
        <v>1126</v>
      </c>
      <c r="C27" s="89" t="str">
        <f>_xlfn.XLOOKUP(OfficeForms.Table[[#This Row],[Email]],Table2[Email],Table2[FullName],"")</f>
        <v>DAO Hong Son</v>
      </c>
      <c r="D27" s="2"/>
      <c r="E27">
        <v>1</v>
      </c>
      <c r="F27">
        <v>10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27</v>
      </c>
      <c r="B28" s="2" t="s">
        <v>1138</v>
      </c>
      <c r="C28" s="89" t="str">
        <f>_xlfn.XLOOKUP(OfficeForms.Table[[#This Row],[Email]],Table2[Email],Table2[FullName],"")</f>
        <v>HOANG Xuan Dat</v>
      </c>
      <c r="D28" s="2"/>
      <c r="E28">
        <v>1</v>
      </c>
      <c r="F28">
        <v>9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28</v>
      </c>
      <c r="B29" s="2" t="s">
        <v>1098</v>
      </c>
      <c r="C29" s="89" t="str">
        <f>_xlfn.XLOOKUP(OfficeForms.Table[[#This Row],[Email]],Table2[Email],Table2[FullName],"")</f>
        <v>PHAM Trung Hieu</v>
      </c>
      <c r="D29" s="2"/>
      <c r="E29">
        <v>1</v>
      </c>
      <c r="F29">
        <v>14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29</v>
      </c>
      <c r="B30" s="2" t="s">
        <v>1130</v>
      </c>
      <c r="C30" s="89" t="str">
        <f>_xlfn.XLOOKUP(OfficeForms.Table[[#This Row],[Email]],Table2[Email],Table2[FullName],"")</f>
        <v>NGUYEN Thanh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30</v>
      </c>
      <c r="B31" s="80" t="s">
        <v>644</v>
      </c>
      <c r="C31" s="85" t="str">
        <f>_xlfn.XLOOKUP(OfficeForms.Table[[#This Row],[Email]],Table2[Email],Table2[FullName],"")</f>
        <v>NGUYEN Thanh Tai</v>
      </c>
      <c r="D31" s="2" t="s">
        <v>648</v>
      </c>
      <c r="E31">
        <v>1</v>
      </c>
      <c r="F31">
        <v>73</v>
      </c>
      <c r="G31" t="str">
        <f>IFERROR(_xlfn.XLOOKUP(OfficeForms.Table[[#This Row],[Email]],EE!C:C,EE!H:H,"Missing"),"Missing")</f>
        <v>Male</v>
      </c>
      <c r="H31" t="s">
        <v>2227</v>
      </c>
    </row>
    <row r="32" spans="1:8" x14ac:dyDescent="0.2">
      <c r="A32">
        <v>31</v>
      </c>
      <c r="B32" s="2" t="s">
        <v>1114</v>
      </c>
      <c r="C32" s="89" t="str">
        <f>_xlfn.XLOOKUP(OfficeForms.Table[[#This Row],[Email]],Table2[Email],Table2[FullName],"")</f>
        <v>KHUAT Van Thanh Danh</v>
      </c>
      <c r="D32" s="2"/>
      <c r="E32">
        <v>1</v>
      </c>
      <c r="F32">
        <v>12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32</v>
      </c>
      <c r="B33" s="2" t="s">
        <v>1085</v>
      </c>
      <c r="C33" s="89" t="str">
        <f>_xlfn.XLOOKUP(OfficeForms.Table[[#This Row],[Email]],Table2[Email],Table2[FullName],"")</f>
        <v>NGUYEN Quang Nien</v>
      </c>
      <c r="D33" s="2"/>
      <c r="E33">
        <v>1</v>
      </c>
      <c r="F33">
        <v>15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33</v>
      </c>
      <c r="B34" s="2" t="s">
        <v>1122</v>
      </c>
      <c r="C34" s="89" t="str">
        <f>_xlfn.XLOOKUP(OfficeForms.Table[[#This Row],[Email]],Table2[Email],Table2[FullName],"")</f>
        <v>LE Thanh Phuoc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34</v>
      </c>
      <c r="B35" s="2" t="s">
        <v>515</v>
      </c>
      <c r="C35" s="89" t="str">
        <f>_xlfn.XLOOKUP(OfficeForms.Table[[#This Row],[Email]],Table2[Email],Table2[FullName],"")</f>
        <v>NGUYEN Tien Nam</v>
      </c>
      <c r="D35" s="2"/>
      <c r="E35" s="25">
        <v>8</v>
      </c>
      <c r="F35">
        <v>110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35</v>
      </c>
      <c r="B36" s="2" t="s">
        <v>1089</v>
      </c>
      <c r="C36" s="89" t="str">
        <f>_xlfn.XLOOKUP(OfficeForms.Table[[#This Row],[Email]],Table2[Email],Table2[FullName],"")</f>
        <v>BUI Cong Danh</v>
      </c>
      <c r="D36" s="2"/>
      <c r="E36">
        <v>1</v>
      </c>
      <c r="F36">
        <v>15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36</v>
      </c>
      <c r="B37" s="2" t="s">
        <v>1077</v>
      </c>
      <c r="C37" s="89" t="str">
        <f>_xlfn.XLOOKUP(OfficeForms.Table[[#This Row],[Email]],Table2[Email],Table2[FullName],"")</f>
        <v>VO Huynh Chi Tin</v>
      </c>
      <c r="D37" s="2"/>
      <c r="E37">
        <v>1</v>
      </c>
      <c r="F37">
        <v>16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s="89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38</v>
      </c>
      <c r="B39" s="2" t="s">
        <v>696</v>
      </c>
      <c r="C39" s="5" t="str">
        <f>_xlfn.XLOOKUP(OfficeForms.Table[[#This Row],[Email]],Table2[Email],Table2[FullName],"")</f>
        <v>DANG Van Trien</v>
      </c>
      <c r="D39" s="2"/>
      <c r="E39" s="90">
        <v>7</v>
      </c>
      <c r="F39">
        <v>65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39</v>
      </c>
      <c r="B40" s="2" t="s">
        <v>688</v>
      </c>
      <c r="C40" s="5" t="str">
        <f>_xlfn.XLOOKUP(OfficeForms.Table[[#This Row],[Email]],Table2[Email],Table2[FullName],"")</f>
        <v>NGUYEN Thanh Dat</v>
      </c>
      <c r="D40" s="2"/>
      <c r="E40" s="90">
        <v>7</v>
      </c>
      <c r="F40">
        <v>66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40</v>
      </c>
      <c r="B41" s="2" t="s">
        <v>692</v>
      </c>
      <c r="C41" s="5" t="str">
        <f>_xlfn.XLOOKUP(OfficeForms.Table[[#This Row],[Email]],Table2[Email],Table2[FullName],"")</f>
        <v>VU Song Toan</v>
      </c>
      <c r="D41" s="2"/>
      <c r="E41" s="90">
        <v>7</v>
      </c>
      <c r="F41">
        <v>66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41</v>
      </c>
      <c r="B42" s="2" t="s">
        <v>680</v>
      </c>
      <c r="C42" s="5" t="str">
        <f>_xlfn.XLOOKUP(OfficeForms.Table[[#This Row],[Email]],Table2[Email],Table2[FullName],"")</f>
        <v>TRAN Quang Tin</v>
      </c>
      <c r="D42" s="2"/>
      <c r="E42" s="90">
        <v>7</v>
      </c>
      <c r="F42">
        <v>67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42</v>
      </c>
      <c r="B43" s="2" t="s">
        <v>684</v>
      </c>
      <c r="C43" s="5" t="str">
        <f>_xlfn.XLOOKUP(OfficeForms.Table[[#This Row],[Email]],Table2[Email],Table2[FullName],"")</f>
        <v>VO Tuong Duy</v>
      </c>
      <c r="D43" s="2"/>
      <c r="E43" s="90">
        <v>7</v>
      </c>
      <c r="F43">
        <v>67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43</v>
      </c>
      <c r="B44" t="s">
        <v>1044</v>
      </c>
      <c r="C44" s="89" t="str">
        <f>_xlfn.XLOOKUP(OfficeForms.Table[[#This Row],[Email]],Table2[Email],Table2[FullName],"")</f>
        <v>PHAM Ngoc Thanh</v>
      </c>
      <c r="E44">
        <v>2</v>
      </c>
      <c r="F44">
        <v>20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44</v>
      </c>
      <c r="B45" s="2" t="s">
        <v>1069</v>
      </c>
      <c r="C45" s="89" t="str">
        <f>_xlfn.XLOOKUP(OfficeForms.Table[[#This Row],[Email]],Table2[Email],Table2[FullName],"")</f>
        <v>HUYNH Cong Khanh</v>
      </c>
      <c r="D45" s="2"/>
      <c r="E45">
        <v>2</v>
      </c>
      <c r="F45">
        <v>17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45</v>
      </c>
      <c r="B46" s="2" t="s">
        <v>1048</v>
      </c>
      <c r="C46" s="89" t="str">
        <f>_xlfn.XLOOKUP(OfficeForms.Table[[#This Row],[Email]],Table2[Email],Table2[FullName],"")</f>
        <v>TRAN Xuan Vu</v>
      </c>
      <c r="D46" s="2"/>
      <c r="E46">
        <v>2</v>
      </c>
      <c r="F46">
        <v>20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46</v>
      </c>
      <c r="B47" s="2" t="s">
        <v>86</v>
      </c>
      <c r="C47" s="89" t="str">
        <f>_xlfn.XLOOKUP(OfficeForms.Table[[#This Row],[Email]],Table2[Email],Table2[FullName],"")</f>
        <v>LE Thi Thanh Huong</v>
      </c>
      <c r="D47" s="2"/>
      <c r="E47">
        <v>2</v>
      </c>
      <c r="F47">
        <v>31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47</v>
      </c>
      <c r="B48" t="s">
        <v>958</v>
      </c>
      <c r="C48" s="89" t="str">
        <f>_xlfn.XLOOKUP(OfficeForms.Table[[#This Row],[Email]],Table2[Email],Table2[FullName],"")</f>
        <v>LE THI Phuong Hang</v>
      </c>
      <c r="E48">
        <v>2</v>
      </c>
      <c r="F48">
        <v>31</v>
      </c>
      <c r="G48" t="str">
        <f>IFERROR(_xlfn.XLOOKUP(OfficeForms.Table[[#This Row],[Email]],EE!C:C,EE!H:H,"Missing"),"Missing")</f>
        <v>Female</v>
      </c>
      <c r="H48" t="s">
        <v>2227</v>
      </c>
    </row>
    <row r="49" spans="1:8" x14ac:dyDescent="0.2">
      <c r="A49">
        <v>48</v>
      </c>
      <c r="B49" t="s">
        <v>1036</v>
      </c>
      <c r="C49" s="89" t="str">
        <f>_xlfn.XLOOKUP(OfficeForms.Table[[#This Row],[Email]],Table2[Email],Table2[FullName],"")</f>
        <v>PHAN Nhu Hai Luu</v>
      </c>
      <c r="E49">
        <v>2</v>
      </c>
      <c r="F49">
        <v>21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49</v>
      </c>
      <c r="B50" t="s">
        <v>950</v>
      </c>
      <c r="C50" s="89" t="str">
        <f>_xlfn.XLOOKUP(OfficeForms.Table[[#This Row],[Email]],Table2[Email],Table2[FullName],"")</f>
        <v>TRAN Thi Tram Ngan</v>
      </c>
      <c r="E50">
        <v>2</v>
      </c>
      <c r="F50">
        <v>32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50</v>
      </c>
      <c r="B51" t="s">
        <v>1040</v>
      </c>
      <c r="C51" s="89" t="str">
        <f>_xlfn.XLOOKUP(OfficeForms.Table[[#This Row],[Email]],Table2[Email],Table2[FullName],"")</f>
        <v>CAO Hoai Sang</v>
      </c>
      <c r="E51">
        <v>2</v>
      </c>
      <c r="F51">
        <v>21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51</v>
      </c>
      <c r="B52" t="s">
        <v>954</v>
      </c>
      <c r="C52" s="89" t="str">
        <f>_xlfn.XLOOKUP(OfficeForms.Table[[#This Row],[Email]],Table2[Email],Table2[FullName],"")</f>
        <v>HA Ngoc My</v>
      </c>
      <c r="E52">
        <v>2</v>
      </c>
      <c r="F52">
        <v>32</v>
      </c>
      <c r="G52" t="str">
        <f>IFERROR(_xlfn.XLOOKUP(OfficeForms.Table[[#This Row],[Email]],EE!C:C,EE!H:H,"Missing"),"Missing")</f>
        <v>Female</v>
      </c>
      <c r="H52" t="s">
        <v>2227</v>
      </c>
    </row>
    <row r="53" spans="1:8" x14ac:dyDescent="0.2">
      <c r="A53">
        <v>52</v>
      </c>
      <c r="B53" t="s">
        <v>1028</v>
      </c>
      <c r="C53" s="89" t="str">
        <f>_xlfn.XLOOKUP(OfficeForms.Table[[#This Row],[Email]],Table2[Email],Table2[FullName],"")</f>
        <v>NGUYEN Huynh Duy Duc</v>
      </c>
      <c r="E53">
        <v>2</v>
      </c>
      <c r="F53">
        <v>22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53</v>
      </c>
      <c r="B54" t="s">
        <v>1032</v>
      </c>
      <c r="C54" s="89" t="str">
        <f>_xlfn.XLOOKUP(OfficeForms.Table[[#This Row],[Email]],Table2[Email],Table2[FullName],"")</f>
        <v>TRAN Quoc Linh</v>
      </c>
      <c r="E54">
        <v>2</v>
      </c>
      <c r="F54">
        <v>22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54</v>
      </c>
      <c r="B55" s="2" t="s">
        <v>1020</v>
      </c>
      <c r="C55" s="89" t="str">
        <f>_xlfn.XLOOKUP(OfficeForms.Table[[#This Row],[Email]],Table2[Email],Table2[FullName],"")</f>
        <v>LE Van Hao</v>
      </c>
      <c r="D55" s="2"/>
      <c r="E55">
        <v>2</v>
      </c>
      <c r="F55">
        <v>23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55</v>
      </c>
      <c r="B56" s="2" t="s">
        <v>1024</v>
      </c>
      <c r="C56" s="89" t="str">
        <f>_xlfn.XLOOKUP(OfficeForms.Table[[#This Row],[Email]],Table2[Email],Table2[FullName],"")</f>
        <v>NGUYEN Minh Phuoc</v>
      </c>
      <c r="D56" s="2"/>
      <c r="E56">
        <v>2</v>
      </c>
      <c r="F56">
        <v>23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56</v>
      </c>
      <c r="B57" s="2" t="s">
        <v>1016</v>
      </c>
      <c r="C57" s="89" t="str">
        <f>_xlfn.XLOOKUP(OfficeForms.Table[[#This Row],[Email]],Table2[Email],Table2[FullName],"")</f>
        <v>MAI Huu Ngan</v>
      </c>
      <c r="D57" s="2"/>
      <c r="E57">
        <v>2</v>
      </c>
      <c r="F57">
        <v>24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57</v>
      </c>
      <c r="B58" s="2" t="s">
        <v>1004</v>
      </c>
      <c r="C58" s="89" t="str">
        <f>_xlfn.XLOOKUP(OfficeForms.Table[[#This Row],[Email]],Table2[Email],Table2[FullName],"")</f>
        <v>DANG Minh Quan</v>
      </c>
      <c r="D58" s="2"/>
      <c r="E58">
        <v>2</v>
      </c>
      <c r="F58">
        <v>25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58</v>
      </c>
      <c r="B59" s="2" t="s">
        <v>1008</v>
      </c>
      <c r="C59" s="89" t="str">
        <f>_xlfn.XLOOKUP(OfficeForms.Table[[#This Row],[Email]],Table2[Email],Table2[FullName],"")</f>
        <v>PHAM Huu Nghia</v>
      </c>
      <c r="D59" s="2"/>
      <c r="E59">
        <v>2</v>
      </c>
      <c r="F59">
        <v>25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59</v>
      </c>
      <c r="B60" s="2" t="s">
        <v>942</v>
      </c>
      <c r="C60" s="89" t="str">
        <f>_xlfn.XLOOKUP(OfficeForms.Table[[#This Row],[Email]],Table2[Email],Table2[FullName],"")</f>
        <v>PHAM Ngoc Thuy Trang</v>
      </c>
      <c r="D60" s="2"/>
      <c r="E60">
        <v>2</v>
      </c>
      <c r="F60">
        <v>33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60</v>
      </c>
      <c r="B61" s="2" t="s">
        <v>996</v>
      </c>
      <c r="C61" s="89" t="str">
        <f>_xlfn.XLOOKUP(OfficeForms.Table[[#This Row],[Email]],Table2[Email],Table2[FullName],"")</f>
        <v>NGUYEN Duy Phong</v>
      </c>
      <c r="D61" s="2"/>
      <c r="E61">
        <v>2</v>
      </c>
      <c r="F61">
        <v>26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61</v>
      </c>
      <c r="B62" s="2" t="s">
        <v>934</v>
      </c>
      <c r="C62" s="89" t="str">
        <f>_xlfn.XLOOKUP(OfficeForms.Table[[#This Row],[Email]],Table2[Email],Table2[FullName],"")</f>
        <v>DINH THI Tu Uyen</v>
      </c>
      <c r="D62" s="2"/>
      <c r="E62">
        <v>2</v>
      </c>
      <c r="F62">
        <v>34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62</v>
      </c>
      <c r="B63" s="2" t="s">
        <v>1000</v>
      </c>
      <c r="C63" s="89" t="str">
        <f>_xlfn.XLOOKUP(OfficeForms.Table[[#This Row],[Email]],Table2[Email],Table2[FullName],"")</f>
        <v>TRAN Tuan Thanh</v>
      </c>
      <c r="D63" s="2"/>
      <c r="E63">
        <v>2</v>
      </c>
      <c r="F63">
        <v>26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63</v>
      </c>
      <c r="B64" s="2" t="s">
        <v>988</v>
      </c>
      <c r="C64" s="89" t="str">
        <f>_xlfn.XLOOKUP(OfficeForms.Table[[#This Row],[Email]],Table2[Email],Table2[FullName],"")</f>
        <v>NGUYEN Huy Tri</v>
      </c>
      <c r="D64" s="2"/>
      <c r="E64">
        <v>2</v>
      </c>
      <c r="F64">
        <v>27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64</v>
      </c>
      <c r="B65" s="2" t="s">
        <v>992</v>
      </c>
      <c r="C65" s="89" t="str">
        <f>_xlfn.XLOOKUP(OfficeForms.Table[[#This Row],[Email]],Table2[Email],Table2[FullName],"")</f>
        <v>LE Thanh Duc</v>
      </c>
      <c r="D65" s="2"/>
      <c r="E65">
        <v>2</v>
      </c>
      <c r="F65">
        <v>27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65</v>
      </c>
      <c r="B66" s="2" t="s">
        <v>938</v>
      </c>
      <c r="C66" s="89" t="str">
        <f>_xlfn.XLOOKUP(OfficeForms.Table[[#This Row],[Email]],Table2[Email],Table2[FullName],"")</f>
        <v>TA THI Ngoc Tran</v>
      </c>
      <c r="D66" s="2"/>
      <c r="E66">
        <v>2</v>
      </c>
      <c r="F66">
        <v>34</v>
      </c>
      <c r="G66" t="str">
        <f>IFERROR(_xlfn.XLOOKUP(OfficeForms.Table[[#This Row],[Email]],EE!C:C,EE!H:H,"Missing"),"Missing")</f>
        <v>Female</v>
      </c>
      <c r="H66" t="s">
        <v>2227</v>
      </c>
    </row>
    <row r="67" spans="1:8" x14ac:dyDescent="0.2">
      <c r="A67">
        <v>66</v>
      </c>
      <c r="B67" s="2" t="s">
        <v>981</v>
      </c>
      <c r="C67" s="89" t="str">
        <f>_xlfn.XLOOKUP(OfficeForms.Table[[#This Row],[Email]],Table2[Email],Table2[FullName],"")</f>
        <v>Tran Nhat Duc NGUYEN</v>
      </c>
      <c r="D67" s="2"/>
      <c r="E67">
        <v>2</v>
      </c>
      <c r="F67">
        <v>28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67</v>
      </c>
      <c r="B68" s="2" t="s">
        <v>985</v>
      </c>
      <c r="C68" s="89" t="str">
        <f>_xlfn.XLOOKUP(OfficeForms.Table[[#This Row],[Email]],Table2[Email],Table2[FullName],"")</f>
        <v>Minh Tri DO</v>
      </c>
      <c r="D68" s="2"/>
      <c r="E68">
        <v>2</v>
      </c>
      <c r="F68">
        <v>28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68</v>
      </c>
      <c r="B69" s="2" t="s">
        <v>973</v>
      </c>
      <c r="C69" s="89" t="str">
        <f>_xlfn.XLOOKUP(OfficeForms.Table[[#This Row],[Email]],Table2[Email],Table2[FullName],"")</f>
        <v>NGUYEN Tien Manh</v>
      </c>
      <c r="D69" s="2"/>
      <c r="E69">
        <v>2</v>
      </c>
      <c r="F69">
        <v>29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69</v>
      </c>
      <c r="B70" s="2" t="s">
        <v>946</v>
      </c>
      <c r="C70" s="89" t="str">
        <f>_xlfn.XLOOKUP(OfficeForms.Table[[#This Row],[Email]],Table2[Email],Table2[FullName],"")</f>
        <v>PHAM THUY Thai An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70</v>
      </c>
      <c r="B71" s="2" t="s">
        <v>977</v>
      </c>
      <c r="C71" s="89" t="str">
        <f>_xlfn.XLOOKUP(OfficeForms.Table[[#This Row],[Email]],Table2[Email],Table2[FullName],"")</f>
        <v>KIEU Quoc Trung</v>
      </c>
      <c r="D71" s="2"/>
      <c r="E71">
        <v>2</v>
      </c>
      <c r="F71">
        <v>29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71</v>
      </c>
      <c r="B72" s="80" t="s">
        <v>964</v>
      </c>
      <c r="C72" s="85" t="str">
        <f>_xlfn.XLOOKUP(OfficeForms.Table[[#This Row],[Email]],Table2[Email],Table2[FullName],"")</f>
        <v>DINH Thanh Viet</v>
      </c>
      <c r="D72" s="2"/>
      <c r="E72">
        <v>2</v>
      </c>
      <c r="F72">
        <v>30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72</v>
      </c>
      <c r="B73" s="2" t="s">
        <v>968</v>
      </c>
      <c r="C73" s="89" t="str">
        <f>_xlfn.XLOOKUP(OfficeForms.Table[[#This Row],[Email]],Table2[Email],Table2[FullName],"")</f>
        <v>HUYNH Chi Cuong</v>
      </c>
      <c r="D73" s="2"/>
      <c r="E73">
        <v>2</v>
      </c>
      <c r="F73">
        <v>30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73</v>
      </c>
      <c r="B74" s="2" t="s">
        <v>548</v>
      </c>
      <c r="C74" s="89" t="str">
        <f>_xlfn.XLOOKUP(OfficeForms.Table[[#This Row],[Email]],Table2[Email],Table2[FullName],"")</f>
        <v>LA Thuy My Hao</v>
      </c>
      <c r="D74" s="2"/>
      <c r="E74">
        <v>2</v>
      </c>
      <c r="F74">
        <v>86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74</v>
      </c>
      <c r="B75" t="s">
        <v>539</v>
      </c>
      <c r="C75" s="89" t="str">
        <f>_xlfn.XLOOKUP(OfficeForms.Table[[#This Row],[Email]],Table2[Email],Table2[FullName],"")</f>
        <v>NGUYEN The Trinh</v>
      </c>
      <c r="E75">
        <v>2</v>
      </c>
      <c r="F75">
        <v>45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75</v>
      </c>
      <c r="B76" t="s">
        <v>853</v>
      </c>
      <c r="C76" s="89" t="str">
        <f>_xlfn.XLOOKUP(OfficeForms.Table[[#This Row],[Email]],Table2[Email],Table2[FullName],"")</f>
        <v>NONG Thi Nguyet</v>
      </c>
      <c r="E76">
        <v>3</v>
      </c>
      <c r="F76">
        <v>87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76</v>
      </c>
      <c r="B77" t="s">
        <v>926</v>
      </c>
      <c r="C77" s="89" t="str">
        <f>_xlfn.XLOOKUP(OfficeForms.Table[[#This Row],[Email]],Table2[Email],Table2[FullName],"")</f>
        <v>NGUYEN Tri Hung</v>
      </c>
      <c r="E77">
        <v>3</v>
      </c>
      <c r="F77">
        <v>35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77</v>
      </c>
      <c r="B78" s="2" t="s">
        <v>918</v>
      </c>
      <c r="C78" s="89" t="str">
        <f>_xlfn.XLOOKUP(OfficeForms.Table[[#This Row],[Email]],Table2[Email],Table2[FullName],"")</f>
        <v>TON That Viet Anh</v>
      </c>
      <c r="D78" s="2"/>
      <c r="E78">
        <v>3</v>
      </c>
      <c r="F78">
        <v>36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78</v>
      </c>
      <c r="B79" s="2" t="s">
        <v>922</v>
      </c>
      <c r="C79" s="89" t="str">
        <f>_xlfn.XLOOKUP(OfficeForms.Table[[#This Row],[Email]],Table2[Email],Table2[FullName],"")</f>
        <v>NGUYEN Truong An</v>
      </c>
      <c r="D79" s="2"/>
      <c r="E79">
        <v>3</v>
      </c>
      <c r="F79">
        <v>36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79</v>
      </c>
      <c r="B80" s="2" t="s">
        <v>930</v>
      </c>
      <c r="C80" s="89" t="str">
        <f>_xlfn.XLOOKUP(OfficeForms.Table[[#This Row],[Email]],Table2[Email],Table2[FullName],"")</f>
        <v>NGUYEN Hoang Tuan Anh</v>
      </c>
      <c r="D80" s="2"/>
      <c r="E80">
        <v>3</v>
      </c>
      <c r="F80">
        <v>35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80</v>
      </c>
      <c r="B81" s="2" t="s">
        <v>728</v>
      </c>
      <c r="C81" s="89" t="str">
        <f>_xlfn.XLOOKUP(OfficeForms.Table[[#This Row],[Email]],Table2[Email],Table2[FullName],"")</f>
        <v>TRAN Thi Ha My</v>
      </c>
      <c r="D81" s="2"/>
      <c r="E81">
        <v>3</v>
      </c>
      <c r="F81">
        <v>61</v>
      </c>
      <c r="G81" t="str">
        <f>IFERROR(_xlfn.XLOOKUP(OfficeForms.Table[[#This Row],[Email]],EE!C:C,EE!H:H,"Missing"),"Missing")</f>
        <v>Female</v>
      </c>
      <c r="H81" t="s">
        <v>2227</v>
      </c>
    </row>
    <row r="82" spans="1:8" x14ac:dyDescent="0.2">
      <c r="A82">
        <v>81</v>
      </c>
      <c r="B82" t="s">
        <v>753</v>
      </c>
      <c r="C82" s="89" t="str">
        <f>_xlfn.XLOOKUP(OfficeForms.Table[[#This Row],[Email]],Table2[Email],Table2[FullName],"")</f>
        <v>LE Nam Kha</v>
      </c>
      <c r="E82">
        <v>4</v>
      </c>
      <c r="F82">
        <v>58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82</v>
      </c>
      <c r="B83" s="2" t="s">
        <v>857</v>
      </c>
      <c r="C83" s="89" t="str">
        <f>_xlfn.XLOOKUP(OfficeForms.Table[[#This Row],[Email]],Table2[Email],Table2[FullName],"")</f>
        <v>NGUYEN Thi Viet Trinh</v>
      </c>
      <c r="D83" s="2"/>
      <c r="E83">
        <v>7</v>
      </c>
      <c r="F83">
        <v>44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83</v>
      </c>
      <c r="B84" s="2" t="s">
        <v>910</v>
      </c>
      <c r="C84" s="89" t="str">
        <f>_xlfn.XLOOKUP(OfficeForms.Table[[#This Row],[Email]],Table2[Email],Table2[FullName],"")</f>
        <v>NGUYEN Tan Hoang</v>
      </c>
      <c r="D84" s="2"/>
      <c r="E84">
        <v>3</v>
      </c>
      <c r="F84">
        <v>37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84</v>
      </c>
      <c r="B85" s="2" t="s">
        <v>902</v>
      </c>
      <c r="C85" s="89" t="str">
        <f>_xlfn.XLOOKUP(OfficeForms.Table[[#This Row],[Email]],Table2[Email],Table2[FullName],"")</f>
        <v>HA Bao Khang</v>
      </c>
      <c r="D85" s="2"/>
      <c r="E85">
        <v>3</v>
      </c>
      <c r="F85">
        <v>38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85</v>
      </c>
      <c r="B86" s="2" t="s">
        <v>906</v>
      </c>
      <c r="C86" s="89" t="str">
        <f>_xlfn.XLOOKUP(OfficeForms.Table[[#This Row],[Email]],Table2[Email],Table2[FullName],"")</f>
        <v>CHAU Thanh Duy</v>
      </c>
      <c r="D86" s="2"/>
      <c r="E86">
        <v>3</v>
      </c>
      <c r="F86">
        <v>38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86</v>
      </c>
      <c r="B87" s="2" t="s">
        <v>1204</v>
      </c>
      <c r="C87" s="89" t="str">
        <f>_xlfn.XLOOKUP(OfficeForms.Table[[#This Row],[Email]],Table2[Email],Table2[FullName],"")</f>
        <v>CHUNG Khanh Gia</v>
      </c>
      <c r="D87" s="2"/>
      <c r="E87">
        <v>3</v>
      </c>
      <c r="F87">
        <v>1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87</v>
      </c>
      <c r="B88" s="2" t="s">
        <v>894</v>
      </c>
      <c r="C88" s="89" t="str">
        <f>_xlfn.XLOOKUP(OfficeForms.Table[[#This Row],[Email]],Table2[Email],Table2[FullName],"")</f>
        <v>CAO Van Tien</v>
      </c>
      <c r="D88" s="2"/>
      <c r="E88">
        <v>3</v>
      </c>
      <c r="F88">
        <v>39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88</v>
      </c>
      <c r="B89" s="2" t="s">
        <v>898</v>
      </c>
      <c r="C89" s="89" t="str">
        <f>_xlfn.XLOOKUP(OfficeForms.Table[[#This Row],[Email]],Table2[Email],Table2[FullName],"")</f>
        <v>VU Phuong</v>
      </c>
      <c r="D89" s="2"/>
      <c r="E89">
        <v>3</v>
      </c>
      <c r="F89">
        <v>39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89</v>
      </c>
      <c r="B90" s="2" t="s">
        <v>732</v>
      </c>
      <c r="C90" s="89" t="str">
        <f>_xlfn.XLOOKUP(OfficeForms.Table[[#This Row],[Email]],Table2[Email],Table2[FullName],"")</f>
        <v>TRAN Ngoc Trang Dai</v>
      </c>
      <c r="D90" s="2"/>
      <c r="E90">
        <v>3</v>
      </c>
      <c r="F90">
        <v>87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90</v>
      </c>
      <c r="B91" s="2" t="s">
        <v>886</v>
      </c>
      <c r="C91" s="89" t="str">
        <f>_xlfn.XLOOKUP(OfficeForms.Table[[#This Row],[Email]],Table2[Email],Table2[FullName],"")</f>
        <v>TRAN Minh Tan</v>
      </c>
      <c r="D91" s="2"/>
      <c r="E91">
        <v>3</v>
      </c>
      <c r="F91">
        <v>40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t="48" x14ac:dyDescent="0.2">
      <c r="A92">
        <v>91</v>
      </c>
      <c r="B92" s="2" t="s">
        <v>639</v>
      </c>
      <c r="C92" s="89" t="str">
        <f>_xlfn.XLOOKUP(OfficeForms.Table[[#This Row],[Email]],Table2[Email],Table2[FullName],"")</f>
        <v>NGUYEN Anh Tuan - Tl</v>
      </c>
      <c r="D92" s="3" t="s">
        <v>2232</v>
      </c>
      <c r="E92">
        <v>3</v>
      </c>
      <c r="F92">
        <v>74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92</v>
      </c>
      <c r="B93" s="2" t="s">
        <v>649</v>
      </c>
      <c r="C93" s="89" t="str">
        <f>_xlfn.XLOOKUP(OfficeForms.Table[[#This Row],[Email]],Table2[Email],Table2[FullName],"")</f>
        <v>TRAN Nham Quy</v>
      </c>
      <c r="D93" s="2" t="s">
        <v>653</v>
      </c>
      <c r="E93">
        <v>3</v>
      </c>
      <c r="F93">
        <v>72</v>
      </c>
      <c r="G93" t="str">
        <f>IFERROR(_xlfn.XLOOKUP(OfficeForms.Table[[#This Row],[Email]],EE!C:C,EE!H:H,"Missing"),"Missing")</f>
        <v>Male</v>
      </c>
      <c r="H93" t="s">
        <v>2227</v>
      </c>
    </row>
    <row r="94" spans="1:8" x14ac:dyDescent="0.2">
      <c r="A94">
        <v>93</v>
      </c>
      <c r="B94" s="2" t="s">
        <v>761</v>
      </c>
      <c r="C94" s="89" t="str">
        <f>_xlfn.XLOOKUP(OfficeForms.Table[[#This Row],[Email]],Table2[Email],Table2[FullName],"")</f>
        <v>TRINH Xuan Thuong</v>
      </c>
      <c r="D94" s="2"/>
      <c r="E94">
        <v>4</v>
      </c>
      <c r="F94">
        <v>57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94</v>
      </c>
      <c r="B95" s="2" t="s">
        <v>634</v>
      </c>
      <c r="C95" s="89" t="str">
        <f>_xlfn.XLOOKUP(OfficeForms.Table[[#This Row],[Email]],Table2[Email],Table2[FullName],"")</f>
        <v>NGUYEN Huy Hoang</v>
      </c>
      <c r="D95" s="2" t="s">
        <v>638</v>
      </c>
      <c r="E95">
        <v>3</v>
      </c>
      <c r="F95">
        <v>75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95</v>
      </c>
      <c r="B96" s="2" t="s">
        <v>878</v>
      </c>
      <c r="C96" s="89" t="str">
        <f>_xlfn.XLOOKUP(OfficeForms.Table[[#This Row],[Email]],Table2[Email],Table2[FullName],"")</f>
        <v>NGUYEN Van Hieu</v>
      </c>
      <c r="D96" s="2"/>
      <c r="E96">
        <v>3</v>
      </c>
      <c r="F96">
        <v>41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96</v>
      </c>
      <c r="B97" s="2" t="s">
        <v>882</v>
      </c>
      <c r="C97" s="89" t="str">
        <f>_xlfn.XLOOKUP(OfficeForms.Table[[#This Row],[Email]],Table2[Email],Table2[FullName],"")</f>
        <v>NGUYEN Kim Gia Huy</v>
      </c>
      <c r="D97" s="2"/>
      <c r="E97">
        <v>3</v>
      </c>
      <c r="F97">
        <v>41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97</v>
      </c>
      <c r="B98" s="2" t="s">
        <v>629</v>
      </c>
      <c r="C98" s="89" t="str">
        <f>_xlfn.XLOOKUP(OfficeForms.Table[[#This Row],[Email]],Table2[Email],Table2[FullName],"")</f>
        <v>PHAM Cong Quan</v>
      </c>
      <c r="D98" s="2" t="s">
        <v>633</v>
      </c>
      <c r="E98">
        <v>3</v>
      </c>
      <c r="F98">
        <v>76</v>
      </c>
      <c r="G98" t="str">
        <f>IFERROR(_xlfn.XLOOKUP(OfficeForms.Table[[#This Row],[Email]],EE!C:C,EE!H:H,"Missing"),"Missing")</f>
        <v>Male</v>
      </c>
      <c r="H98" t="s">
        <v>2227</v>
      </c>
    </row>
    <row r="99" spans="1:8" x14ac:dyDescent="0.2">
      <c r="A99">
        <v>98</v>
      </c>
      <c r="B99" s="2" t="s">
        <v>870</v>
      </c>
      <c r="C99" s="89" t="str">
        <f>_xlfn.XLOOKUP(OfficeForms.Table[[#This Row],[Email]],Table2[Email],Table2[FullName],"")</f>
        <v>BUI Thanh Xuan</v>
      </c>
      <c r="D99" s="2"/>
      <c r="E99">
        <v>3</v>
      </c>
      <c r="F99">
        <v>42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99</v>
      </c>
      <c r="B100" s="2" t="s">
        <v>865</v>
      </c>
      <c r="C100" s="89" t="str">
        <f>_xlfn.XLOOKUP(OfficeForms.Table[[#This Row],[Email]],Table2[Email],Table2[FullName],"")</f>
        <v>VU Thi Phuong Thao</v>
      </c>
      <c r="D100" s="2" t="s">
        <v>869</v>
      </c>
      <c r="E100">
        <v>3</v>
      </c>
      <c r="F100">
        <v>43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100</v>
      </c>
      <c r="B101" s="2" t="s">
        <v>874</v>
      </c>
      <c r="C101" s="89" t="str">
        <f>_xlfn.XLOOKUP(OfficeForms.Table[[#This Row],[Email]],Table2[Email],Table2[FullName],"")</f>
        <v>PHAM Van Tinh</v>
      </c>
      <c r="D101" s="2"/>
      <c r="E101">
        <v>3</v>
      </c>
      <c r="F101">
        <v>42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101</v>
      </c>
      <c r="B102" s="2" t="s">
        <v>654</v>
      </c>
      <c r="C102" s="89" t="str">
        <f>_xlfn.XLOOKUP(OfficeForms.Table[[#This Row],[Email]],Table2[Email],Table2[FullName],"")</f>
        <v>VAN Cong Tuan</v>
      </c>
      <c r="D102" s="2" t="s">
        <v>658</v>
      </c>
      <c r="E102">
        <v>3</v>
      </c>
      <c r="F102">
        <v>71</v>
      </c>
      <c r="G102" t="str">
        <f>IFERROR(_xlfn.XLOOKUP(OfficeForms.Table[[#This Row],[Email]],EE!C:C,EE!H:H,"Missing"),"Missing")</f>
        <v>Male</v>
      </c>
      <c r="H102" t="s">
        <v>2227</v>
      </c>
    </row>
    <row r="103" spans="1:8" x14ac:dyDescent="0.2">
      <c r="A103">
        <v>102</v>
      </c>
      <c r="B103" s="2" t="s">
        <v>841</v>
      </c>
      <c r="C103" s="89" t="str">
        <f>_xlfn.XLOOKUP(OfficeForms.Table[[#This Row],[Email]],Table2[Email],Table2[FullName],"")</f>
        <v>NGUYEN Thanh Trung</v>
      </c>
      <c r="D103" s="2"/>
      <c r="E103">
        <v>4</v>
      </c>
      <c r="F103">
        <v>46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103</v>
      </c>
      <c r="B104" s="2" t="s">
        <v>845</v>
      </c>
      <c r="C104" s="89" t="str">
        <f>_xlfn.XLOOKUP(OfficeForms.Table[[#This Row],[Email]],Table2[Email],Table2[FullName],"")</f>
        <v>NGUYEN SY Nguyen Ngoc</v>
      </c>
      <c r="D104" s="2"/>
      <c r="E104">
        <v>4</v>
      </c>
      <c r="F104">
        <v>46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104</v>
      </c>
      <c r="B105" s="2" t="s">
        <v>833</v>
      </c>
      <c r="C105" s="89" t="str">
        <f>_xlfn.XLOOKUP(OfficeForms.Table[[#This Row],[Email]],Table2[Email],Table2[FullName],"")</f>
        <v>PHAM Anh Quoc</v>
      </c>
      <c r="D105" s="2"/>
      <c r="E105">
        <v>4</v>
      </c>
      <c r="F105">
        <v>47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105</v>
      </c>
      <c r="B106" s="2" t="s">
        <v>837</v>
      </c>
      <c r="C106" s="89" t="str">
        <f>_xlfn.XLOOKUP(OfficeForms.Table[[#This Row],[Email]],Table2[Email],Table2[FullName],"")</f>
        <v>DANG Hai Binh</v>
      </c>
      <c r="D106" s="2"/>
      <c r="E106">
        <v>4</v>
      </c>
      <c r="F106">
        <v>47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106</v>
      </c>
      <c r="B107" s="2" t="s">
        <v>825</v>
      </c>
      <c r="C107" s="89" t="str">
        <f>_xlfn.XLOOKUP(OfficeForms.Table[[#This Row],[Email]],Table2[Email],Table2[FullName],"")</f>
        <v>THAI Trung Tin</v>
      </c>
      <c r="D107" s="2"/>
      <c r="E107">
        <v>4</v>
      </c>
      <c r="F107">
        <v>48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107</v>
      </c>
      <c r="B108" s="2" t="s">
        <v>829</v>
      </c>
      <c r="C108" s="89" t="str">
        <f>_xlfn.XLOOKUP(OfficeForms.Table[[#This Row],[Email]],Table2[Email],Table2[FullName],"")</f>
        <v>DANG MINH Nhat</v>
      </c>
      <c r="D108" s="2"/>
      <c r="E108">
        <v>4</v>
      </c>
      <c r="F108">
        <v>48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108</v>
      </c>
      <c r="B109" s="2" t="s">
        <v>523</v>
      </c>
      <c r="C109" s="89" t="str">
        <f>_xlfn.XLOOKUP(OfficeForms.Table[[#This Row],[Email]],Table2[Email],Table2[FullName],"")</f>
        <v>DAO Kim Nha</v>
      </c>
      <c r="D109" s="2"/>
      <c r="E109">
        <v>4</v>
      </c>
      <c r="F109">
        <v>89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109</v>
      </c>
      <c r="B110" s="2" t="s">
        <v>552</v>
      </c>
      <c r="C110" s="89" t="str">
        <f>_xlfn.XLOOKUP(OfficeForms.Table[[#This Row],[Email]],Table2[Email],Table2[FullName],"")</f>
        <v>NGUYEN Thi Minh Phuong</v>
      </c>
      <c r="D110" s="2"/>
      <c r="E110">
        <v>4</v>
      </c>
      <c r="F110">
        <v>86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110</v>
      </c>
      <c r="B111" s="2" t="s">
        <v>812</v>
      </c>
      <c r="C111" s="89" t="str">
        <f>_xlfn.XLOOKUP(OfficeForms.Table[[#This Row],[Email]],Table2[Email],Table2[FullName],"")</f>
        <v>CAO Chien Hao</v>
      </c>
      <c r="D111" s="2"/>
      <c r="E111">
        <v>4</v>
      </c>
      <c r="F111">
        <v>50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111</v>
      </c>
      <c r="B112" s="2" t="s">
        <v>816</v>
      </c>
      <c r="C112" s="89" t="str">
        <f>_xlfn.XLOOKUP(OfficeForms.Table[[#This Row],[Email]],Table2[Email],Table2[FullName],"")</f>
        <v>PHAM Do Nhat Minh</v>
      </c>
      <c r="D112" s="2"/>
      <c r="E112">
        <v>4</v>
      </c>
      <c r="F112">
        <v>50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112</v>
      </c>
      <c r="B113" s="2" t="s">
        <v>804</v>
      </c>
      <c r="C113" s="89" t="str">
        <f>_xlfn.XLOOKUP(OfficeForms.Table[[#This Row],[Email]],Table2[Email],Table2[FullName],"")</f>
        <v>LE Duy Hanh</v>
      </c>
      <c r="D113" s="2"/>
      <c r="E113">
        <v>4</v>
      </c>
      <c r="F113">
        <v>51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113</v>
      </c>
      <c r="B114" s="2" t="s">
        <v>808</v>
      </c>
      <c r="C114" s="89" t="str">
        <f>_xlfn.XLOOKUP(OfficeForms.Table[[#This Row],[Email]],Table2[Email],Table2[FullName],"")</f>
        <v>NGUYEN Huu Thinh</v>
      </c>
      <c r="D114" s="2"/>
      <c r="E114">
        <v>4</v>
      </c>
      <c r="F114">
        <v>51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114</v>
      </c>
      <c r="B115" s="2" t="s">
        <v>736</v>
      </c>
      <c r="C115" s="89" t="str">
        <f>_xlfn.XLOOKUP(OfficeForms.Table[[#This Row],[Email]],Table2[Email],Table2[FullName],"")</f>
        <v>NGUYEN Thi Quynh Phuong</v>
      </c>
      <c r="D115" s="2"/>
      <c r="E115">
        <v>7</v>
      </c>
      <c r="F115">
        <v>60</v>
      </c>
      <c r="G115" t="str">
        <f>IFERROR(_xlfn.XLOOKUP(OfficeForms.Table[[#This Row],[Email]],EE!C:C,EE!H:H,"Missing"),"Missing")</f>
        <v>Female</v>
      </c>
      <c r="H115" t="s">
        <v>2227</v>
      </c>
    </row>
    <row r="116" spans="1:8" x14ac:dyDescent="0.2">
      <c r="A116">
        <v>115</v>
      </c>
      <c r="B116" s="2" t="s">
        <v>796</v>
      </c>
      <c r="C116" s="89" t="str">
        <f>_xlfn.XLOOKUP(OfficeForms.Table[[#This Row],[Email]],Table2[Email],Table2[FullName],"")</f>
        <v>VAN Duc Thanh</v>
      </c>
      <c r="D116" s="2"/>
      <c r="E116">
        <v>4</v>
      </c>
      <c r="F116">
        <v>52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116</v>
      </c>
      <c r="B117" s="2" t="s">
        <v>800</v>
      </c>
      <c r="C117" s="89" t="str">
        <f>_xlfn.XLOOKUP(OfficeForms.Table[[#This Row],[Email]],Table2[Email],Table2[FullName],"")</f>
        <v>NGUYEN LE Duan</v>
      </c>
      <c r="D117" s="2"/>
      <c r="E117">
        <v>4</v>
      </c>
      <c r="F117">
        <v>52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117</v>
      </c>
      <c r="B118" s="2" t="s">
        <v>788</v>
      </c>
      <c r="C118" s="89" t="str">
        <f>_xlfn.XLOOKUP(OfficeForms.Table[[#This Row],[Email]],Table2[Email],Table2[FullName],"")</f>
        <v>NGUYEN Hoang Long</v>
      </c>
      <c r="D118" s="2"/>
      <c r="E118">
        <v>4</v>
      </c>
      <c r="F118">
        <v>53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118</v>
      </c>
      <c r="B119" s="2" t="s">
        <v>792</v>
      </c>
      <c r="C119" s="89" t="str">
        <f>_xlfn.XLOOKUP(OfficeForms.Table[[#This Row],[Email]],Table2[Email],Table2[FullName],"")</f>
        <v>NGUYEN Tan Hoang - Bi</v>
      </c>
      <c r="D119" s="2"/>
      <c r="E119">
        <v>4</v>
      </c>
      <c r="F119">
        <v>53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119</v>
      </c>
      <c r="B120" s="2" t="s">
        <v>768</v>
      </c>
      <c r="C120" s="89" t="str">
        <f>_xlfn.XLOOKUP(OfficeForms.Table[[#This Row],[Email]],Table2[Email],Table2[FullName],"")</f>
        <v>NGUYEN Hai Thien</v>
      </c>
      <c r="D120" s="2"/>
      <c r="E120">
        <v>4</v>
      </c>
      <c r="F120">
        <v>56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120</v>
      </c>
      <c r="B121" s="2" t="s">
        <v>776</v>
      </c>
      <c r="C121" s="89" t="str">
        <f>_xlfn.XLOOKUP(OfficeForms.Table[[#This Row],[Email]],Table2[Email],Table2[FullName],"")</f>
        <v>PHAM Huu Khoi Nguyen</v>
      </c>
      <c r="D121" s="2"/>
      <c r="E121">
        <v>4</v>
      </c>
      <c r="F121">
        <v>55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121</v>
      </c>
      <c r="B122" s="2" t="s">
        <v>659</v>
      </c>
      <c r="C122" s="89" t="str">
        <f>_xlfn.XLOOKUP(OfficeForms.Table[[#This Row],[Email]],Table2[Email],Table2[FullName],"")</f>
        <v>TRAN Huynh Nhat Tan</v>
      </c>
      <c r="D122" s="2" t="s">
        <v>663</v>
      </c>
      <c r="E122">
        <v>4</v>
      </c>
      <c r="F122">
        <v>70</v>
      </c>
      <c r="G122" t="str">
        <f>IFERROR(_xlfn.XLOOKUP(OfficeForms.Table[[#This Row],[Email]],EE!C:C,EE!H:H,"Missing"),"Missing")</f>
        <v>Male</v>
      </c>
      <c r="H122" t="s">
        <v>2227</v>
      </c>
    </row>
    <row r="123" spans="1:8" x14ac:dyDescent="0.2">
      <c r="A123">
        <v>122</v>
      </c>
      <c r="B123" s="2" t="s">
        <v>720</v>
      </c>
      <c r="C123" s="89" t="str">
        <f>_xlfn.XLOOKUP(OfficeForms.Table[[#This Row],[Email]],Table2[Email],Table2[FullName],"")</f>
        <v>DANG Ngoc Khanh Linh</v>
      </c>
      <c r="D123" s="2"/>
      <c r="E123">
        <v>4</v>
      </c>
      <c r="F123">
        <v>62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123</v>
      </c>
      <c r="B124" s="2" t="s">
        <v>890</v>
      </c>
      <c r="C124" s="89" t="str">
        <f>_xlfn.XLOOKUP(OfficeForms.Table[[#This Row],[Email]],Table2[Email],Table2[FullName],"")</f>
        <v>LE Phuoc Son</v>
      </c>
      <c r="D124" s="2"/>
      <c r="E124">
        <v>3</v>
      </c>
      <c r="F124">
        <v>40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124</v>
      </c>
      <c r="B125" s="2" t="s">
        <v>764</v>
      </c>
      <c r="C125" s="89" t="str">
        <f>_xlfn.XLOOKUP(OfficeForms.Table[[#This Row],[Email]],Table2[Email],Table2[FullName],"")</f>
        <v>LE Thanh Tung</v>
      </c>
      <c r="D125" s="2"/>
      <c r="E125">
        <v>4</v>
      </c>
      <c r="F125">
        <v>57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125</v>
      </c>
      <c r="B126" s="2" t="s">
        <v>757</v>
      </c>
      <c r="C126" s="89" t="str">
        <f>_xlfn.XLOOKUP(OfficeForms.Table[[#This Row],[Email]],Table2[Email],Table2[FullName],"")</f>
        <v>DINH Vu Duy</v>
      </c>
      <c r="D126" s="2"/>
      <c r="E126">
        <v>4</v>
      </c>
      <c r="F126">
        <v>58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126</v>
      </c>
      <c r="B127" s="2" t="s">
        <v>745</v>
      </c>
      <c r="C127" s="89" t="str">
        <f>_xlfn.XLOOKUP(OfficeForms.Table[[#This Row],[Email]],Table2[Email],Table2[FullName],"")</f>
        <v>NGO Tung Lam</v>
      </c>
      <c r="D127" s="2"/>
      <c r="E127">
        <v>4</v>
      </c>
      <c r="F127">
        <v>59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127</v>
      </c>
      <c r="B128" s="2" t="s">
        <v>914</v>
      </c>
      <c r="C128" s="89" t="str">
        <f>_xlfn.XLOOKUP(OfficeForms.Table[[#This Row],[Email]],Table2[Email],Table2[FullName],"")</f>
        <v>NGUYEN LE Chi Tam</v>
      </c>
      <c r="D128" s="2"/>
      <c r="E128">
        <v>3</v>
      </c>
      <c r="F128">
        <v>37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128</v>
      </c>
      <c r="B129" s="80" t="s">
        <v>543</v>
      </c>
      <c r="C129" s="85" t="str">
        <f>_xlfn.XLOOKUP(OfficeForms.Table[[#This Row],[Email]],Table2[Email],Table2[FullName],"")</f>
        <v>Trần Quỳnh Anh</v>
      </c>
      <c r="D129" s="2"/>
      <c r="E129">
        <v>3</v>
      </c>
      <c r="F129">
        <v>61</v>
      </c>
      <c r="G129" t="str">
        <f>IFERROR(_xlfn.XLOOKUP(OfficeForms.Table[[#This Row],[Email]],EE!C:C,EE!H:H,"Missing"),"Missing")</f>
        <v>Female</v>
      </c>
      <c r="H129" t="s">
        <v>2227</v>
      </c>
    </row>
    <row r="130" spans="1:8" x14ac:dyDescent="0.2">
      <c r="A130">
        <v>129</v>
      </c>
      <c r="B130" s="2" t="s">
        <v>749</v>
      </c>
      <c r="C130" s="89" t="str">
        <f>_xlfn.XLOOKUP(OfficeForms.Table[[#This Row],[Email]],Table2[Email],Table2[FullName],"")</f>
        <v>TRUONG Van Sang</v>
      </c>
      <c r="D130" s="2"/>
      <c r="E130">
        <v>4</v>
      </c>
      <c r="F130">
        <v>59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130</v>
      </c>
      <c r="B131" s="2" t="s">
        <v>664</v>
      </c>
      <c r="C131" s="89" t="str">
        <f>_xlfn.XLOOKUP(OfficeForms.Table[[#This Row],[Email]],Table2[Email],Table2[FullName],"")</f>
        <v>NGUYEN Bao Ngoc</v>
      </c>
      <c r="D131" s="2"/>
      <c r="E131">
        <v>4</v>
      </c>
      <c r="F131">
        <v>69</v>
      </c>
      <c r="G131" t="str">
        <f>IFERROR(_xlfn.XLOOKUP(OfficeForms.Table[[#This Row],[Email]],EE!C:C,EE!H:H,"Missing"),"Missing")</f>
        <v>Female</v>
      </c>
      <c r="H131" t="s">
        <v>2227</v>
      </c>
    </row>
    <row r="132" spans="1:8" x14ac:dyDescent="0.2">
      <c r="A132">
        <v>131</v>
      </c>
      <c r="B132" t="s">
        <v>820</v>
      </c>
      <c r="C132" s="89" t="str">
        <f>_xlfn.XLOOKUP(OfficeForms.Table[[#This Row],[Email]],Table2[Email],Table2[FullName],"")</f>
        <v>PHAM Trung Kien</v>
      </c>
      <c r="D132" s="21" t="s">
        <v>824</v>
      </c>
      <c r="E132">
        <v>4</v>
      </c>
      <c r="F132">
        <v>49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132</v>
      </c>
      <c r="B133" s="2" t="s">
        <v>784</v>
      </c>
      <c r="C133" s="89" t="str">
        <f>_xlfn.XLOOKUP(OfficeForms.Table[[#This Row],[Email]],Table2[Email],Table2[FullName],"")</f>
        <v>VO Van Ket</v>
      </c>
      <c r="D133" s="2"/>
      <c r="E133">
        <v>4</v>
      </c>
      <c r="F133">
        <v>54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133</v>
      </c>
      <c r="B134" s="2" t="s">
        <v>772</v>
      </c>
      <c r="C134" s="89" t="str">
        <f>_xlfn.XLOOKUP(OfficeForms.Table[[#This Row],[Email]],Table2[Email],Table2[FullName],"")</f>
        <v>NGUYEN Vu Phuong</v>
      </c>
      <c r="D134" s="2"/>
      <c r="E134">
        <v>4</v>
      </c>
      <c r="F134">
        <v>56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134</v>
      </c>
      <c r="B135" s="2" t="s">
        <v>672</v>
      </c>
      <c r="C135" s="89" t="str">
        <f>_xlfn.XLOOKUP(OfficeForms.Table[[#This Row],[Email]],Table2[Email],Table2[FullName],"")</f>
        <v>NGUYEN Duc Quy</v>
      </c>
      <c r="D135" s="2"/>
      <c r="E135">
        <v>4</v>
      </c>
      <c r="F135">
        <v>68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135</v>
      </c>
      <c r="B136" t="s">
        <v>90</v>
      </c>
      <c r="C136" s="89" t="str">
        <f>_xlfn.XLOOKUP(OfficeForms.Table[[#This Row],[Email]],Table2[Email],Table2[FullName],"")</f>
        <v>LE Lan Vy</v>
      </c>
      <c r="E136">
        <v>5</v>
      </c>
      <c r="F136">
        <v>101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136</v>
      </c>
      <c r="B137" s="2" t="s">
        <v>461</v>
      </c>
      <c r="C137" s="89" t="str">
        <f>_xlfn.XLOOKUP(OfficeForms.Table[[#This Row],[Email]],Table2[Email],Table2[FullName],"")</f>
        <v>PHAM Hoang Mai Quyen</v>
      </c>
      <c r="D137" s="2"/>
      <c r="E137">
        <v>5</v>
      </c>
      <c r="F137">
        <v>98</v>
      </c>
      <c r="G137" t="str">
        <f>IFERROR(_xlfn.XLOOKUP(OfficeForms.Table[[#This Row],[Email]],EE!C:C,EE!H:H,"Missing"),"Missing")</f>
        <v>Female</v>
      </c>
      <c r="H137" t="s">
        <v>2227</v>
      </c>
    </row>
    <row r="138" spans="1:8" x14ac:dyDescent="0.2">
      <c r="A138">
        <v>137</v>
      </c>
      <c r="B138" s="2" t="s">
        <v>371</v>
      </c>
      <c r="C138" s="89" t="str">
        <f>_xlfn.XLOOKUP(OfficeForms.Table[[#This Row],[Email]],Table2[Email],Table2[FullName],"")</f>
        <v>LE Xuan Tung</v>
      </c>
      <c r="D138" s="2"/>
      <c r="E138">
        <v>5</v>
      </c>
      <c r="F138">
        <v>109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138</v>
      </c>
      <c r="B139" s="2" t="s">
        <v>465</v>
      </c>
      <c r="C139" s="89" t="str">
        <f>_xlfn.XLOOKUP(OfficeForms.Table[[#This Row],[Email]],Table2[Email],Table2[FullName],"")</f>
        <v>NGUYEN Ho Ngoc Tran</v>
      </c>
      <c r="D139" s="2"/>
      <c r="E139">
        <v>5</v>
      </c>
      <c r="F139">
        <v>98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139</v>
      </c>
      <c r="B140" s="2" t="s">
        <v>469</v>
      </c>
      <c r="C140" s="89" t="str">
        <f>_xlfn.XLOOKUP(OfficeForms.Table[[#This Row],[Email]],Table2[Email],Table2[FullName],"")</f>
        <v>VO Tran Phuong Nga</v>
      </c>
      <c r="D140" s="2"/>
      <c r="E140">
        <v>5</v>
      </c>
      <c r="F140">
        <v>97</v>
      </c>
      <c r="G140" t="str">
        <f>IFERROR(_xlfn.XLOOKUP(OfficeForms.Table[[#This Row],[Email]],EE!C:C,EE!H:H,"Missing"),"Missing")</f>
        <v>Female</v>
      </c>
      <c r="H140" t="s">
        <v>2227</v>
      </c>
    </row>
    <row r="141" spans="1:8" x14ac:dyDescent="0.2">
      <c r="A141">
        <v>140</v>
      </c>
      <c r="B141" s="2" t="s">
        <v>473</v>
      </c>
      <c r="C141" s="89" t="str">
        <f>_xlfn.XLOOKUP(OfficeForms.Table[[#This Row],[Email]],Table2[Email],Table2[FullName],"")</f>
        <v>NGUYEN Thi Thanh Thao</v>
      </c>
      <c r="D141" s="2"/>
      <c r="E141">
        <v>5</v>
      </c>
      <c r="F141">
        <v>97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141</v>
      </c>
      <c r="B142" s="2" t="s">
        <v>477</v>
      </c>
      <c r="C142" s="89" t="str">
        <f>_xlfn.XLOOKUP(OfficeForms.Table[[#This Row],[Email]],Table2[Email],Table2[FullName],"")</f>
        <v>LE Thi Tu Quyen</v>
      </c>
      <c r="D142" s="2"/>
      <c r="E142">
        <v>5</v>
      </c>
      <c r="F142">
        <v>96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142</v>
      </c>
      <c r="B143" t="s">
        <v>396</v>
      </c>
      <c r="C143" s="89" t="str">
        <f>_xlfn.XLOOKUP(OfficeForms.Table[[#This Row],[Email]],Table2[Email],Table2[FullName],"")</f>
        <v>LE Dang Quang</v>
      </c>
      <c r="E143">
        <v>5</v>
      </c>
      <c r="F143">
        <v>106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143</v>
      </c>
      <c r="B144" s="2" t="s">
        <v>453</v>
      </c>
      <c r="C144" s="89" t="str">
        <f>_xlfn.XLOOKUP(OfficeForms.Table[[#This Row],[Email]],Table2[Email],Table2[FullName],"")</f>
        <v>NGUYEN Quynh Mai</v>
      </c>
      <c r="D144" s="2"/>
      <c r="E144">
        <v>5</v>
      </c>
      <c r="F144">
        <v>99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144</v>
      </c>
      <c r="B145" s="2" t="s">
        <v>457</v>
      </c>
      <c r="C145" s="89" t="str">
        <f>_xlfn.XLOOKUP(OfficeForms.Table[[#This Row],[Email]],Table2[Email],Table2[FullName],"")</f>
        <v>TRUONG Thi Phuong Thao</v>
      </c>
      <c r="D145" s="2"/>
      <c r="E145">
        <v>5</v>
      </c>
      <c r="F145">
        <v>99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145</v>
      </c>
      <c r="B146" s="2" t="s">
        <v>376</v>
      </c>
      <c r="C146" s="89" t="str">
        <f>_xlfn.XLOOKUP(OfficeForms.Table[[#This Row],[Email]],Table2[Email],Table2[FullName],"")</f>
        <v>BUI Minh Nhat</v>
      </c>
      <c r="D146" s="2"/>
      <c r="E146">
        <v>5</v>
      </c>
      <c r="F146">
        <v>109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146</v>
      </c>
      <c r="B147" s="2" t="s">
        <v>388</v>
      </c>
      <c r="C147" s="89" t="str">
        <f>_xlfn.XLOOKUP(OfficeForms.Table[[#This Row],[Email]],Table2[Email],Table2[FullName],"")</f>
        <v>NGUYEN Trung Kien</v>
      </c>
      <c r="D147" s="2"/>
      <c r="E147">
        <v>5</v>
      </c>
      <c r="F147">
        <v>107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147</v>
      </c>
      <c r="B148" s="2" t="s">
        <v>409</v>
      </c>
      <c r="C148" s="89" t="str">
        <f>_xlfn.XLOOKUP(OfficeForms.Table[[#This Row],[Email]],Table2[Email],Table2[FullName],"")</f>
        <v>NGUYEN Tran Phuong Phuong</v>
      </c>
      <c r="D148" s="2"/>
      <c r="E148">
        <v>5</v>
      </c>
      <c r="F148">
        <v>104</v>
      </c>
      <c r="G148" t="str">
        <f>IFERROR(_xlfn.XLOOKUP(OfficeForms.Table[[#This Row],[Email]],EE!C:C,EE!H:H,"Missing"),"Missing")</f>
        <v>Female</v>
      </c>
      <c r="H148" t="s">
        <v>2227</v>
      </c>
    </row>
    <row r="149" spans="1:8" x14ac:dyDescent="0.2">
      <c r="A149">
        <v>148</v>
      </c>
      <c r="B149" s="2" t="s">
        <v>363</v>
      </c>
      <c r="C149" s="89" t="str">
        <f>_xlfn.XLOOKUP(OfficeForms.Table[[#This Row],[Email]],Table2[Email],Table2[FullName],"")</f>
        <v>DUTERTRE Geoffrey</v>
      </c>
      <c r="D149" s="2"/>
      <c r="E149">
        <v>8</v>
      </c>
      <c r="F149">
        <v>110</v>
      </c>
      <c r="G149" t="str">
        <f>IFERROR(_xlfn.XLOOKUP(OfficeForms.Table[[#This Row],[Email]],EE!C:C,EE!H:H,"Missing"),"Missing")</f>
        <v>Male</v>
      </c>
      <c r="H149" t="s">
        <v>2217</v>
      </c>
    </row>
    <row r="150" spans="1:8" x14ac:dyDescent="0.2">
      <c r="A150">
        <v>149</v>
      </c>
      <c r="B150" s="2" t="s">
        <v>380</v>
      </c>
      <c r="C150" s="89" t="str">
        <f>_xlfn.XLOOKUP(OfficeForms.Table[[#This Row],[Email]],Table2[Email],Table2[FullName],"")</f>
        <v>PHAM Hoang Phuc</v>
      </c>
      <c r="D150" s="2"/>
      <c r="E150">
        <v>5</v>
      </c>
      <c r="F150">
        <v>108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150</v>
      </c>
      <c r="B151" s="2" t="s">
        <v>482</v>
      </c>
      <c r="C151" s="89" t="str">
        <f>_xlfn.XLOOKUP(OfficeForms.Table[[#This Row],[Email]],Table2[Email],Table2[FullName],"")</f>
        <v>NGUYEN Ha Nhi</v>
      </c>
      <c r="D151" s="2"/>
      <c r="E151">
        <v>5</v>
      </c>
      <c r="F151">
        <v>96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151</v>
      </c>
      <c r="B152" s="2" t="s">
        <v>404</v>
      </c>
      <c r="C152" s="89" t="str">
        <f>_xlfn.XLOOKUP(OfficeForms.Table[[#This Row],[Email]],Table2[Email],Table2[FullName],"")</f>
        <v>DIEP Tue Quan</v>
      </c>
      <c r="D152" s="2" t="s">
        <v>408</v>
      </c>
      <c r="E152">
        <v>5</v>
      </c>
      <c r="F152">
        <v>105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152</v>
      </c>
      <c r="B153" s="2" t="s">
        <v>422</v>
      </c>
      <c r="C153" s="89" t="str">
        <f>_xlfn.XLOOKUP(OfficeForms.Table[[#This Row],[Email]],Table2[Email],Table2[FullName],"")</f>
        <v>LE Ngoc Khanh</v>
      </c>
      <c r="D153" s="2"/>
      <c r="E153">
        <v>5</v>
      </c>
      <c r="F153">
        <v>103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153</v>
      </c>
      <c r="B154" s="81" t="s">
        <v>486</v>
      </c>
      <c r="C154" s="85" t="str">
        <f>_xlfn.XLOOKUP(OfficeForms.Table[[#This Row],[Email]],Table2[Email],Table2[FullName],"")</f>
        <v>HONG Yen Xuan</v>
      </c>
      <c r="E154">
        <v>5</v>
      </c>
      <c r="F154">
        <v>125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154</v>
      </c>
      <c r="B155" s="2" t="s">
        <v>392</v>
      </c>
      <c r="C155" s="89" t="str">
        <f>_xlfn.XLOOKUP(OfficeForms.Table[[#This Row],[Email]],Table2[Email],Table2[FullName],"")</f>
        <v>TRAN Huu Phuc - Tony</v>
      </c>
      <c r="D155" s="2"/>
      <c r="E155">
        <v>5</v>
      </c>
      <c r="F155">
        <v>107</v>
      </c>
      <c r="G155" t="str">
        <f>IFERROR(_xlfn.XLOOKUP(OfficeForms.Table[[#This Row],[Email]],EE!C:C,EE!H:H,"Missing"),"Missing")</f>
        <v>Male</v>
      </c>
      <c r="H155" t="s">
        <v>2217</v>
      </c>
    </row>
    <row r="156" spans="1:8" x14ac:dyDescent="0.2">
      <c r="A156">
        <v>155</v>
      </c>
      <c r="B156" s="2" t="s">
        <v>490</v>
      </c>
      <c r="C156" s="89" t="str">
        <f>_xlfn.XLOOKUP(OfficeForms.Table[[#This Row],[Email]],Table2[Email],Table2[FullName],"")</f>
        <v>LUONG Thi Tram Anh</v>
      </c>
      <c r="D156" s="2"/>
      <c r="E156">
        <v>5</v>
      </c>
      <c r="F156">
        <v>95</v>
      </c>
      <c r="G156" t="str">
        <f>IFERROR(_xlfn.XLOOKUP(OfficeForms.Table[[#This Row],[Email]],EE!C:C,EE!H:H,"Missing"),"Missing")</f>
        <v>Female</v>
      </c>
      <c r="H156" t="s">
        <v>2227</v>
      </c>
    </row>
    <row r="157" spans="1:8" x14ac:dyDescent="0.2">
      <c r="A157">
        <v>156</v>
      </c>
      <c r="B157" s="2" t="s">
        <v>446</v>
      </c>
      <c r="C157" s="89" t="str">
        <f>_xlfn.XLOOKUP(OfficeForms.Table[[#This Row],[Email]],Table2[Email],Table2[FullName],"")</f>
        <v>NGUYEN Vu Phuong Uyen</v>
      </c>
      <c r="D157" s="2"/>
      <c r="E157">
        <v>5</v>
      </c>
      <c r="F157">
        <v>100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157</v>
      </c>
      <c r="B158" s="2" t="s">
        <v>426</v>
      </c>
      <c r="C158" s="89" t="str">
        <f>_xlfn.XLOOKUP(OfficeForms.Table[[#This Row],[Email]],Table2[Email],Table2[FullName],"")</f>
        <v>TRAN Ngoc Phuong Uyen</v>
      </c>
      <c r="D158" s="2"/>
      <c r="E158">
        <v>5</v>
      </c>
      <c r="F158">
        <v>103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158</v>
      </c>
      <c r="B159" s="2" t="s">
        <v>494</v>
      </c>
      <c r="C159" s="89" t="str">
        <f>_xlfn.XLOOKUP(OfficeForms.Table[[#This Row],[Email]],Table2[Email],Table2[FullName],"")</f>
        <v>NGUYEN Chau Giang</v>
      </c>
      <c r="D159" s="2"/>
      <c r="E159">
        <v>5</v>
      </c>
      <c r="F159">
        <v>94</v>
      </c>
      <c r="G159" t="str">
        <f>IFERROR(_xlfn.XLOOKUP(OfficeForms.Table[[#This Row],[Email]],EE!C:C,EE!H:H,"Missing"),"Missing")</f>
        <v>Female</v>
      </c>
      <c r="H159" t="s">
        <v>2227</v>
      </c>
    </row>
    <row r="160" spans="1:8" x14ac:dyDescent="0.2">
      <c r="A160">
        <v>159</v>
      </c>
      <c r="B160" s="2" t="s">
        <v>430</v>
      </c>
      <c r="C160" s="89" t="str">
        <f>_xlfn.XLOOKUP(OfficeForms.Table[[#This Row],[Email]],Table2[Email],Table2[FullName],"")</f>
        <v>VO Dinh Que Chau</v>
      </c>
      <c r="D160" s="2"/>
      <c r="E160">
        <v>5</v>
      </c>
      <c r="F160">
        <v>102</v>
      </c>
      <c r="G160" t="str">
        <f>IFERROR(_xlfn.XLOOKUP(OfficeForms.Table[[#This Row],[Email]],EE!C:C,EE!H:H,"Missing"),"Missing")</f>
        <v>Female</v>
      </c>
      <c r="H160" t="s">
        <v>2227</v>
      </c>
    </row>
    <row r="161" spans="1:8" x14ac:dyDescent="0.2">
      <c r="A161">
        <v>160</v>
      </c>
      <c r="B161" s="2" t="s">
        <v>442</v>
      </c>
      <c r="C161" s="89" t="str">
        <f>_xlfn.XLOOKUP(OfficeForms.Table[[#This Row],[Email]],Table2[Email],Table2[FullName],"")</f>
        <v>HOANG Lam Tam Nhu</v>
      </c>
      <c r="D161" s="2"/>
      <c r="E161">
        <v>5</v>
      </c>
      <c r="F161">
        <v>95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161</v>
      </c>
      <c r="B162" s="2" t="s">
        <v>498</v>
      </c>
      <c r="C162" s="89" t="str">
        <f>_xlfn.XLOOKUP(OfficeForms.Table[[#This Row],[Email]],Table2[Email],Table2[FullName],"")</f>
        <v>TRINH LE THAO Uyen</v>
      </c>
      <c r="D162" s="2"/>
      <c r="E162">
        <v>5</v>
      </c>
      <c r="F162">
        <v>94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162</v>
      </c>
      <c r="B163" t="s">
        <v>400</v>
      </c>
      <c r="C163" s="89" t="str">
        <f>_xlfn.XLOOKUP(OfficeForms.Table[[#This Row],[Email]],Table2[Email],Table2[FullName],"")</f>
        <v>NGUYEN The Anh</v>
      </c>
      <c r="E163">
        <v>5</v>
      </c>
      <c r="F163">
        <v>106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163</v>
      </c>
      <c r="B164" s="2" t="s">
        <v>434</v>
      </c>
      <c r="C164" s="89" t="str">
        <f>_xlfn.XLOOKUP(OfficeForms.Table[[#This Row],[Email]],Table2[Email],Table2[FullName],"")</f>
        <v>LAM Bao Quyen</v>
      </c>
      <c r="D164" s="2"/>
      <c r="E164">
        <v>5</v>
      </c>
      <c r="F164">
        <v>102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164</v>
      </c>
      <c r="B165" s="2" t="s">
        <v>384</v>
      </c>
      <c r="C165" s="89" t="str">
        <f>_xlfn.XLOOKUP(OfficeForms.Table[[#This Row],[Email]],Table2[Email],Table2[FullName],"")</f>
        <v>BUI Quang Hung</v>
      </c>
      <c r="D165" s="2"/>
      <c r="E165">
        <v>5</v>
      </c>
      <c r="F165">
        <v>108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165</v>
      </c>
      <c r="B166" s="2" t="s">
        <v>136</v>
      </c>
      <c r="C166" s="89" t="str">
        <f>_xlfn.XLOOKUP(OfficeForms.Table[[#This Row],[Email]],Table2[Email],Table2[FullName],"")</f>
        <v>DUQUESNAY Guillaume</v>
      </c>
      <c r="D166" s="2"/>
      <c r="E166">
        <v>8</v>
      </c>
      <c r="F166">
        <v>138</v>
      </c>
      <c r="G166" t="str">
        <f>IFERROR(_xlfn.XLOOKUP(OfficeForms.Table[[#This Row],[Email]],EE!C:C,EE!H:H,"Missing"),"Missing")</f>
        <v>Male</v>
      </c>
      <c r="H166" t="s">
        <v>2227</v>
      </c>
    </row>
    <row r="167" spans="1:8" x14ac:dyDescent="0.2">
      <c r="A167">
        <v>166</v>
      </c>
      <c r="B167" s="2" t="s">
        <v>195</v>
      </c>
      <c r="C167" s="89" t="str">
        <f>_xlfn.XLOOKUP(OfficeForms.Table[[#This Row],[Email]],Table2[Email],Table2[FullName],"")</f>
        <v>HUYNH Ngoc Hoa</v>
      </c>
      <c r="D167" s="2"/>
      <c r="E167">
        <v>6</v>
      </c>
      <c r="F167">
        <v>131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167</v>
      </c>
      <c r="B168" s="2" t="s">
        <v>141</v>
      </c>
      <c r="C168" s="89" t="str">
        <f>_xlfn.XLOOKUP(OfficeForms.Table[[#This Row],[Email]],Table2[Email],Table2[FullName],"")</f>
        <v>HUYNH Van Cop</v>
      </c>
      <c r="D168" s="2"/>
      <c r="E168">
        <v>6</v>
      </c>
      <c r="F168">
        <v>138</v>
      </c>
      <c r="G168" t="str">
        <f>IFERROR(_xlfn.XLOOKUP(OfficeForms.Table[[#This Row],[Email]],EE!C:C,EE!H:H,"Missing"),"Missing")</f>
        <v>Male</v>
      </c>
      <c r="H168" t="s">
        <v>2227</v>
      </c>
    </row>
    <row r="169" spans="1:8" x14ac:dyDescent="0.2">
      <c r="A169">
        <v>168</v>
      </c>
      <c r="B169" s="2" t="s">
        <v>128</v>
      </c>
      <c r="C169" s="89" t="str">
        <f>_xlfn.XLOOKUP(OfficeForms.Table[[#This Row],[Email]],Table2[Email],Table2[FullName],"")</f>
        <v>NGUYEN Hoang Minh</v>
      </c>
      <c r="D169" s="2"/>
      <c r="E169">
        <v>6</v>
      </c>
      <c r="F169">
        <v>142</v>
      </c>
      <c r="G169" t="str">
        <f>IFERROR(_xlfn.XLOOKUP(OfficeForms.Table[[#This Row],[Email]],EE!C:C,EE!H:H,"Missing"),"Missing")</f>
        <v>Male</v>
      </c>
      <c r="H169" t="s">
        <v>2227</v>
      </c>
    </row>
    <row r="170" spans="1:8" x14ac:dyDescent="0.2">
      <c r="A170">
        <v>169</v>
      </c>
      <c r="B170" t="s">
        <v>199</v>
      </c>
      <c r="C170" s="89" t="str">
        <f>_xlfn.XLOOKUP(OfficeForms.Table[[#This Row],[Email]],Table2[Email],Table2[FullName],"")</f>
        <v>NGUYEN Thi Ha Trang</v>
      </c>
      <c r="E170">
        <v>6</v>
      </c>
      <c r="F170">
        <v>131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170</v>
      </c>
      <c r="B171" s="2" t="s">
        <v>204</v>
      </c>
      <c r="C171" s="89" t="str">
        <f>_xlfn.XLOOKUP(OfficeForms.Table[[#This Row],[Email]],Table2[Email],Table2[FullName],"")</f>
        <v>HA Thanh Huong</v>
      </c>
      <c r="D171" s="2"/>
      <c r="E171">
        <v>6</v>
      </c>
      <c r="F171">
        <v>130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171</v>
      </c>
      <c r="B172" s="2" t="s">
        <v>132</v>
      </c>
      <c r="C172" s="89" t="str">
        <f>_xlfn.XLOOKUP(OfficeForms.Table[[#This Row],[Email]],Table2[Email],Table2[FullName],"")</f>
        <v>NGUYEN Hai Nam</v>
      </c>
      <c r="D172" s="2"/>
      <c r="E172">
        <v>6</v>
      </c>
      <c r="F172">
        <v>139</v>
      </c>
      <c r="G172" t="str">
        <f>IFERROR(_xlfn.XLOOKUP(OfficeForms.Table[[#This Row],[Email]],EE!C:C,EE!H:H,"Missing"),"Missing")</f>
        <v>Male</v>
      </c>
      <c r="H172" t="s">
        <v>2227</v>
      </c>
    </row>
    <row r="173" spans="1:8" x14ac:dyDescent="0.2">
      <c r="A173">
        <v>172</v>
      </c>
      <c r="B173" s="2" t="s">
        <v>120</v>
      </c>
      <c r="C173" s="89" t="str">
        <f>_xlfn.XLOOKUP(OfficeForms.Table[[#This Row],[Email]],Table2[Email],Table2[FullName],"")</f>
        <v>HOANG Trung Thong</v>
      </c>
      <c r="D173" s="2"/>
      <c r="E173">
        <v>6</v>
      </c>
      <c r="F173">
        <v>140</v>
      </c>
      <c r="G173" t="str">
        <f>IFERROR(_xlfn.XLOOKUP(OfficeForms.Table[[#This Row],[Email]],EE!C:C,EE!H:H,"Missing"),"Missing")</f>
        <v>Male</v>
      </c>
      <c r="H173" t="s">
        <v>2227</v>
      </c>
    </row>
    <row r="174" spans="1:8" x14ac:dyDescent="0.2">
      <c r="A174">
        <v>173</v>
      </c>
      <c r="B174" s="2" t="s">
        <v>124</v>
      </c>
      <c r="C174" s="89" t="str">
        <f>_xlfn.XLOOKUP(OfficeForms.Table[[#This Row],[Email]],Table2[Email],Table2[FullName],"")</f>
        <v>TAI Dai Che Phuong</v>
      </c>
      <c r="D174" s="2"/>
      <c r="E174">
        <v>6</v>
      </c>
      <c r="F174">
        <v>137</v>
      </c>
      <c r="G174" t="str">
        <f>IFERROR(_xlfn.XLOOKUP(OfficeForms.Table[[#This Row],[Email]],EE!C:C,EE!H:H,"Missing"),"Missing")</f>
        <v>Male</v>
      </c>
      <c r="H174" t="s">
        <v>2227</v>
      </c>
    </row>
    <row r="175" spans="1:8" x14ac:dyDescent="0.2">
      <c r="A175">
        <v>174</v>
      </c>
      <c r="B175" s="2" t="s">
        <v>112</v>
      </c>
      <c r="C175" s="89" t="str">
        <f>_xlfn.XLOOKUP(OfficeForms.Table[[#This Row],[Email]],Table2[Email],Table2[FullName],"")</f>
        <v>CHAU Phu Qui</v>
      </c>
      <c r="D175" s="2"/>
      <c r="E175">
        <v>6</v>
      </c>
      <c r="F175">
        <v>141</v>
      </c>
      <c r="G175" t="str">
        <f>IFERROR(_xlfn.XLOOKUP(OfficeForms.Table[[#This Row],[Email]],EE!C:C,EE!H:H,"Missing"),"Missing")</f>
        <v>Male</v>
      </c>
      <c r="H175" t="s">
        <v>2227</v>
      </c>
    </row>
    <row r="176" spans="1:8" x14ac:dyDescent="0.2">
      <c r="A176">
        <v>175</v>
      </c>
      <c r="B176" s="2" t="s">
        <v>208</v>
      </c>
      <c r="C176" s="89" t="str">
        <f>_xlfn.XLOOKUP(OfficeForms.Table[[#This Row],[Email]],Table2[Email],Table2[FullName],"")</f>
        <v>TRAN Nhat Minh</v>
      </c>
      <c r="D176" s="2"/>
      <c r="E176">
        <v>6</v>
      </c>
      <c r="F176">
        <v>130</v>
      </c>
      <c r="G176" t="str">
        <f>IFERROR(_xlfn.XLOOKUP(OfficeForms.Table[[#This Row],[Email]],EE!C:C,EE!H:H,"Missing"),"Missing")</f>
        <v>Female</v>
      </c>
      <c r="H176" t="s">
        <v>2227</v>
      </c>
    </row>
    <row r="177" spans="1:8" x14ac:dyDescent="0.2">
      <c r="A177">
        <v>176</v>
      </c>
      <c r="B177" s="2" t="s">
        <v>116</v>
      </c>
      <c r="C177" s="89" t="str">
        <f>_xlfn.XLOOKUP(OfficeForms.Table[[#This Row],[Email]],Table2[Email],Table2[FullName],"")</f>
        <v>LE Ngoc Huy</v>
      </c>
      <c r="D177" s="2"/>
      <c r="E177">
        <v>6</v>
      </c>
      <c r="F177">
        <v>140</v>
      </c>
      <c r="G177" t="str">
        <f>IFERROR(_xlfn.XLOOKUP(OfficeForms.Table[[#This Row],[Email]],EE!C:C,EE!H:H,"Missing"),"Missing")</f>
        <v>Male</v>
      </c>
      <c r="H177" t="s">
        <v>2227</v>
      </c>
    </row>
    <row r="178" spans="1:8" x14ac:dyDescent="0.2">
      <c r="A178">
        <v>177</v>
      </c>
      <c r="B178" s="2" t="s">
        <v>104</v>
      </c>
      <c r="C178" s="89" t="str">
        <f>_xlfn.XLOOKUP(OfficeForms.Table[[#This Row],[Email]],Table2[Email],Table2[FullName],"")</f>
        <v>NGUYEN Truong Thi</v>
      </c>
      <c r="D178" s="2"/>
      <c r="E178">
        <v>6</v>
      </c>
      <c r="F178">
        <v>141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178</v>
      </c>
      <c r="B179" s="2" t="s">
        <v>108</v>
      </c>
      <c r="C179" s="89" t="str">
        <f>_xlfn.XLOOKUP(OfficeForms.Table[[#This Row],[Email]],Table2[Email],Table2[FullName],"")</f>
        <v>NGUYEN Khac Duy</v>
      </c>
      <c r="D179" s="2"/>
      <c r="E179">
        <v>6</v>
      </c>
      <c r="F179">
        <v>142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179</v>
      </c>
      <c r="B180" s="2" t="s">
        <v>145</v>
      </c>
      <c r="C180" s="89" t="str">
        <f>_xlfn.XLOOKUP(OfficeForms.Table[[#This Row],[Email]],Table2[Email],Table2[FullName],"")</f>
        <v>NGUYEN Hoang Duy</v>
      </c>
      <c r="D180" s="2"/>
      <c r="E180">
        <v>6</v>
      </c>
      <c r="F180">
        <v>139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s="89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181</v>
      </c>
      <c r="B182" s="2" t="s">
        <v>153</v>
      </c>
      <c r="C182" s="89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x14ac:dyDescent="0.2">
      <c r="A183">
        <v>182</v>
      </c>
      <c r="B183" s="2" t="s">
        <v>157</v>
      </c>
      <c r="C183" s="89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s="89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s="89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s="89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s="89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s="89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s="89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s="89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s="89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s="89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s="89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s="89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s="89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s="89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s="89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89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s="89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s="89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s="89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s="89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s="89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s="89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s="89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s="89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s="89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s="89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s="5" t="str">
        <f>_xlfn.XLOOKUP(OfficeForms.Table[[#This Row],[Email]],Table2[Email],Table2[FullName],"")</f>
        <v>HOANG Dinh Anh Quoc</v>
      </c>
      <c r="D209" s="2"/>
      <c r="E209">
        <v>2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s="5" t="str">
        <f>_xlfn.XLOOKUP(OfficeForms.Table[[#This Row],[Email]],Table2[Email],Table2[FullName],"")</f>
        <v>TRAN Dinh Lam</v>
      </c>
      <c r="D210" s="2"/>
      <c r="E210">
        <v>2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s="5" t="str">
        <f>_xlfn.XLOOKUP(OfficeForms.Table[[#This Row],[Email]],Table2[Email],Table2[FullName],"")</f>
        <v>NGUYEN Chi Hau</v>
      </c>
      <c r="D211" s="2"/>
      <c r="E211">
        <v>2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s="5" t="str">
        <f>_xlfn.XLOOKUP(OfficeForms.Table[[#This Row],[Email]],Table2[Email],Table2[FullName],"")</f>
        <v>PHAN Dai Duong</v>
      </c>
      <c r="D212" s="2"/>
      <c r="E212">
        <v>2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s="5" t="str">
        <f>_xlfn.XLOOKUP(OfficeForms.Table[[#This Row],[Email]],Table2[Email],Table2[FullName],"")</f>
        <v>VO NGOC Duy Nguyen</v>
      </c>
      <c r="D213" s="2"/>
      <c r="E213">
        <v>2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s="89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s="89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s="89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s="89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s="89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s="89" t="str">
        <f>_xlfn.XLOOKUP(OfficeForms.Table[[#This Row],[Email]],Table2[Email],Table2[FullName],"")</f>
        <v>NGUYEN Anh Khoa</v>
      </c>
      <c r="D219" s="2"/>
      <c r="E219">
        <v>7</v>
      </c>
      <c r="F219">
        <v>78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s="89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s="89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s="89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s="89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s="89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s="89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s="89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89" t="str">
        <f>_xlfn.XLOOKUP(OfficeForms.Table[[#This Row],[Email]],Table2[Email],Table2[FullName],"")</f>
        <v>NGUYEN Phuong Thao</v>
      </c>
      <c r="D227" s="2"/>
      <c r="E227">
        <v>8</v>
      </c>
      <c r="F227">
        <v>101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s="89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89" t="str">
        <f>_xlfn.XLOOKUP(OfficeForms.Table[[#This Row],[Email]],Table2[Email],Table2[FullName],"")</f>
        <v>TRAN Thi Minh Phuong</v>
      </c>
      <c r="E229">
        <v>8</v>
      </c>
      <c r="F229">
        <v>124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s="89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89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s="89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s="89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x14ac:dyDescent="0.2">
      <c r="A234">
        <v>233</v>
      </c>
      <c r="B234" s="2" t="s">
        <v>334</v>
      </c>
      <c r="C234" s="89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s="89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s="89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s="89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s="89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s="89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s="89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s="89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s="89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s="89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s="89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s="89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s="89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89" t="str">
        <f>_xlfn.XLOOKUP(OfficeForms.Table[[#This Row],[Email]],Table2[Email],Table2[FullName],"")</f>
        <v>NGUYEN Ho Khanh Vy</v>
      </c>
      <c r="D247" s="2"/>
      <c r="E247">
        <v>8</v>
      </c>
      <c r="F247">
        <v>118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s="89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s="89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s="89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89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s="89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s="89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s="89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s="89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s="89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89" t="str">
        <f>_xlfn.XLOOKUP(OfficeForms.Table[[#This Row],[Email]],Table2[Email],Table2[FullName],"")</f>
        <v>DO Hieu Minh</v>
      </c>
      <c r="D257" s="2"/>
      <c r="E257">
        <v>8</v>
      </c>
      <c r="F257">
        <v>89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s="89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s="89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s="89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260</v>
      </c>
      <c r="B261" t="s">
        <v>507</v>
      </c>
      <c r="C261" s="89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x14ac:dyDescent="0.2">
      <c r="A262">
        <v>261</v>
      </c>
      <c r="B262" t="s">
        <v>511</v>
      </c>
      <c r="C262" s="89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x14ac:dyDescent="0.2">
      <c r="A263">
        <v>262</v>
      </c>
      <c r="B263" t="s">
        <v>502</v>
      </c>
      <c r="C263" s="89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263</v>
      </c>
      <c r="B264" s="2" t="s">
        <v>616</v>
      </c>
      <c r="C264" s="89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65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264</v>
      </c>
      <c r="B265" s="2" t="s">
        <v>624</v>
      </c>
      <c r="C265" s="89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265</v>
      </c>
      <c r="B266" s="2" t="s">
        <v>166</v>
      </c>
      <c r="C266" s="89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266</v>
      </c>
      <c r="B267" s="2" t="s">
        <v>780</v>
      </c>
      <c r="C267" s="89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x14ac:dyDescent="0.2">
      <c r="A268">
        <v>267</v>
      </c>
      <c r="B268" s="2" t="s">
        <v>620</v>
      </c>
      <c r="C268" s="89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5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9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9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86" t="s">
        <v>1012</v>
      </c>
      <c r="C273" s="89" t="str">
        <f>_xlfn.XLOOKUP(OfficeForms.Table[[#This Row],[Email]],Table2[Email],Table2[FullName],"")</f>
        <v>NGUYEN Duy Nhat</v>
      </c>
      <c r="D273" s="2"/>
      <c r="E273">
        <v>2</v>
      </c>
      <c r="F273">
        <v>24</v>
      </c>
      <c r="G273" t="str">
        <f>IFERROR(_xlfn.XLOOKUP(OfficeForms.Table[[#This Row],[Email]],EE!C:C,EE!H:H,"Missing"),"Missing")</f>
        <v>Male</v>
      </c>
      <c r="H273" t="s">
        <v>2227</v>
      </c>
    </row>
    <row r="274" spans="1:8" ht="15" customHeight="1" x14ac:dyDescent="0.2">
      <c r="A274">
        <v>273</v>
      </c>
      <c r="B274" s="92" t="s">
        <v>1686</v>
      </c>
      <c r="C274" s="93" t="str">
        <f>_xlfn.XLOOKUP(OfficeForms.Table[[#This Row],[Email]],Table2[Email],Table2[FullName],"")</f>
        <v>LE Quang Phuoc</v>
      </c>
      <c r="D274" s="92" t="s">
        <v>2240</v>
      </c>
      <c r="E274" s="91">
        <v>7</v>
      </c>
      <c r="F274" s="91">
        <v>145</v>
      </c>
      <c r="G274" s="91" t="str">
        <f>IFERROR(_xlfn.XLOOKUP(OfficeForms.Table[[#This Row],[Email]],EE!C:C,EE!H:H,"Missing"),"Missing")</f>
        <v>Male</v>
      </c>
      <c r="H274" t="s">
        <v>2227</v>
      </c>
    </row>
  </sheetData>
  <conditionalFormatting sqref="B1">
    <cfRule type="duplicateValues" dxfId="26" priority="6"/>
  </conditionalFormatting>
  <conditionalFormatting sqref="B2:C1048576">
    <cfRule type="duplicateValues" dxfId="25" priority="14"/>
  </conditionalFormatting>
  <conditionalFormatting sqref="C1">
    <cfRule type="duplicateValues" dxfId="24" priority="2"/>
  </conditionalFormatting>
  <conditionalFormatting sqref="E183">
    <cfRule type="duplicateValues" dxfId="23" priority="4"/>
  </conditionalFormatting>
  <conditionalFormatting sqref="E261:E268 E234">
    <cfRule type="duplicateValues" dxfId="22" priority="3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hyperlinks>
    <hyperlink ref="B129" r:id="rId1" xr:uid="{C6C66E08-8BC7-49C7-8737-0A371C9A5511}"/>
    <hyperlink ref="B154" r:id="rId2" xr:uid="{2F4B6038-177E-4C7B-A8C8-3309E45DBA46}"/>
    <hyperlink ref="B31" r:id="rId3" xr:uid="{6BB5F496-2F4B-4C07-AC77-648D2DAED7B3}"/>
    <hyperlink ref="B7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G6" sqref="G6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1" priority="5"/>
  </conditionalFormatting>
  <conditionalFormatting sqref="B5">
    <cfRule type="duplicateValues" dxfId="20" priority="3"/>
  </conditionalFormatting>
  <conditionalFormatting sqref="B8">
    <cfRule type="duplicateValues" dxfId="19" priority="1"/>
  </conditionalFormatting>
  <conditionalFormatting sqref="C3">
    <cfRule type="duplicateValues" dxfId="18" priority="6"/>
  </conditionalFormatting>
  <conditionalFormatting sqref="C5">
    <cfRule type="duplicateValues" dxfId="17" priority="4"/>
  </conditionalFormatting>
  <conditionalFormatting sqref="C8">
    <cfRule type="duplicateValues" dxfId="1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5" priority="5"/>
  </conditionalFormatting>
  <conditionalFormatting sqref="A274:A1048576 A1:A272">
    <cfRule type="duplicateValues" dxfId="14" priority="4"/>
  </conditionalFormatting>
  <conditionalFormatting sqref="AJ1:AJ1048576">
    <cfRule type="duplicateValues" dxfId="13" priority="1"/>
  </conditionalFormatting>
  <conditionalFormatting sqref="AP1:AP1048576">
    <cfRule type="cellIs" dxfId="12" priority="2" operator="lessThan">
      <formula>2</formula>
    </cfRule>
    <cfRule type="cellIs" dxfId="11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0" priority="3"/>
    <cfRule type="duplicateValues" dxfId="9" priority="4"/>
  </conditionalFormatting>
  <conditionalFormatting sqref="Z1:Z3 Z133:Z1048576">
    <cfRule type="cellIs" dxfId="8" priority="2" operator="equal">
      <formula>3</formula>
    </cfRule>
  </conditionalFormatting>
  <conditionalFormatting sqref="AC1:AC1048576">
    <cfRule type="cellIs" dxfId="7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6" priority="4" operator="greaterThan">
      <formula>1</formula>
    </cfRule>
  </conditionalFormatting>
  <conditionalFormatting sqref="AP1:AP3 AP279:AP1048576">
    <cfRule type="cellIs" dxfId="5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4" priority="1"/>
  </conditionalFormatting>
  <conditionalFormatting sqref="C457">
    <cfRule type="duplicateValues" dxfId="3" priority="2"/>
  </conditionalFormatting>
  <conditionalFormatting sqref="D457">
    <cfRule type="duplicateValues" dxfId="2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8" t="s">
        <v>639</v>
      </c>
      <c r="B3" s="88" t="s">
        <v>640</v>
      </c>
      <c r="C3" s="87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8"/>
      <c r="B4" s="88"/>
      <c r="C4" s="87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8" t="s">
        <v>634</v>
      </c>
      <c r="B6" s="88" t="s">
        <v>635</v>
      </c>
      <c r="C6" s="87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8"/>
      <c r="B7" s="88"/>
      <c r="C7" s="87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1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2026-05-21T10:22:19Z</dcterms:modified>
  <cp:category/>
  <cp:contentStatus/>
</cp:coreProperties>
</file>